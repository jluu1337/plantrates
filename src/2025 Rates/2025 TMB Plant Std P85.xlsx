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plant-rates\plantrates\src\2025 Rates\"/>
    </mc:Choice>
  </mc:AlternateContent>
  <xr:revisionPtr revIDLastSave="0" documentId="13_ncr:1_{FF82C09F-4FCE-4FE8-A855-93F3646024DC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2025 Summary" sheetId="26" r:id="rId1"/>
    <sheet name="Jan" sheetId="14" r:id="rId2"/>
    <sheet name="Feb" sheetId="15" r:id="rId3"/>
    <sheet name="Mar" sheetId="16" r:id="rId4"/>
    <sheet name="Apr" sheetId="17" r:id="rId5"/>
    <sheet name="May" sheetId="18" r:id="rId6"/>
    <sheet name="Jun" sheetId="19" r:id="rId7"/>
    <sheet name="Jul" sheetId="20" r:id="rId8"/>
    <sheet name="Aug" sheetId="21" r:id="rId9"/>
    <sheet name="Sep" sheetId="22" r:id="rId10"/>
    <sheet name="Oct" sheetId="23" r:id="rId11"/>
    <sheet name="Nov" sheetId="24" r:id="rId12"/>
    <sheet name="Dec" sheetId="25" r:id="rId13"/>
  </sheets>
  <definedNames>
    <definedName name="_xlnm.Print_Area" localSheetId="1">Jan!$B$188:$H$198</definedName>
    <definedName name="_xlnm.Print_Titles" localSheetId="1">Jan!$1:$2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" i="15" l="1"/>
  <c r="E42" i="15"/>
  <c r="H135" i="14" l="1"/>
  <c r="G135" i="14"/>
  <c r="C135" i="14"/>
  <c r="B135" i="14"/>
  <c r="B110" i="16"/>
  <c r="C110" i="16"/>
  <c r="D110" i="16"/>
  <c r="E110" i="16"/>
  <c r="G110" i="16"/>
  <c r="H110" i="16"/>
  <c r="F110" i="16"/>
  <c r="E20" i="26"/>
  <c r="D20" i="26"/>
  <c r="M141" i="16" l="1"/>
  <c r="L141" i="16"/>
  <c r="L140" i="16"/>
  <c r="L139" i="16"/>
  <c r="G6" i="26" l="1"/>
  <c r="G5" i="26"/>
  <c r="H6" i="26"/>
  <c r="B58" i="25"/>
  <c r="B106" i="25" s="1"/>
  <c r="D106" i="25" s="1"/>
  <c r="B58" i="24"/>
  <c r="B106" i="24" s="1"/>
  <c r="D106" i="24" s="1"/>
  <c r="B58" i="23"/>
  <c r="E47" i="23" s="1"/>
  <c r="E40" i="23" s="1"/>
  <c r="B54" i="23"/>
  <c r="B24" i="23" s="1"/>
  <c r="B58" i="22"/>
  <c r="B106" i="22" s="1"/>
  <c r="D106" i="22" s="1"/>
  <c r="B58" i="21"/>
  <c r="E47" i="21" s="1"/>
  <c r="B58" i="20"/>
  <c r="B106" i="20" s="1"/>
  <c r="D106" i="20" s="1"/>
  <c r="B54" i="20"/>
  <c r="B102" i="20" s="1"/>
  <c r="D102" i="20" s="1"/>
  <c r="B58" i="19"/>
  <c r="B106" i="19" s="1"/>
  <c r="D106" i="19" s="1"/>
  <c r="B58" i="18"/>
  <c r="B106" i="18" s="1"/>
  <c r="D106" i="18" s="1"/>
  <c r="B54" i="18"/>
  <c r="B24" i="18" s="1"/>
  <c r="B58" i="17"/>
  <c r="B106" i="17" s="1"/>
  <c r="D106" i="17" s="1"/>
  <c r="B58" i="16"/>
  <c r="E47" i="16" s="1"/>
  <c r="H181" i="16" s="1"/>
  <c r="B58" i="15"/>
  <c r="E47" i="15" s="1"/>
  <c r="B58" i="14"/>
  <c r="B54" i="14"/>
  <c r="B54" i="25"/>
  <c r="B54" i="24"/>
  <c r="B54" i="22"/>
  <c r="B54" i="21"/>
  <c r="B54" i="19"/>
  <c r="B54" i="17"/>
  <c r="B54" i="16"/>
  <c r="B54" i="15"/>
  <c r="L208" i="25"/>
  <c r="C196" i="25"/>
  <c r="B196" i="25" s="1"/>
  <c r="C195" i="25"/>
  <c r="B195" i="25"/>
  <c r="E194" i="25"/>
  <c r="B194" i="25"/>
  <c r="D194" i="25" s="1"/>
  <c r="B176" i="25"/>
  <c r="I170" i="25"/>
  <c r="J170" i="25" s="1"/>
  <c r="G170" i="25"/>
  <c r="D170" i="25"/>
  <c r="I169" i="25"/>
  <c r="J169" i="25" s="1"/>
  <c r="J171" i="25" s="1"/>
  <c r="D169" i="25"/>
  <c r="D171" i="25" s="1"/>
  <c r="I164" i="25"/>
  <c r="J164" i="25" s="1"/>
  <c r="H8" i="25" s="1"/>
  <c r="F164" i="25"/>
  <c r="G164" i="25" s="1"/>
  <c r="E8" i="25" s="1"/>
  <c r="D164" i="25"/>
  <c r="J163" i="25"/>
  <c r="H7" i="25" s="1"/>
  <c r="D163" i="25"/>
  <c r="J159" i="25"/>
  <c r="G159" i="25"/>
  <c r="I163" i="25" s="1"/>
  <c r="B153" i="25"/>
  <c r="B152" i="25"/>
  <c r="D150" i="25"/>
  <c r="F150" i="25" s="1"/>
  <c r="D147" i="25"/>
  <c r="F147" i="25" s="1"/>
  <c r="D146" i="25"/>
  <c r="D152" i="25" s="1"/>
  <c r="F152" i="25" s="1"/>
  <c r="H143" i="25"/>
  <c r="G143" i="25"/>
  <c r="F143" i="25"/>
  <c r="E143" i="25"/>
  <c r="D143" i="25"/>
  <c r="C143" i="25"/>
  <c r="B143" i="25"/>
  <c r="B128" i="25"/>
  <c r="B127" i="25"/>
  <c r="D122" i="25"/>
  <c r="F122" i="25" s="1"/>
  <c r="D121" i="25"/>
  <c r="F121" i="25" s="1"/>
  <c r="H118" i="25"/>
  <c r="G118" i="25"/>
  <c r="F118" i="25"/>
  <c r="E118" i="25"/>
  <c r="D118" i="25"/>
  <c r="C118" i="25"/>
  <c r="B118" i="25"/>
  <c r="B107" i="25"/>
  <c r="B105" i="25"/>
  <c r="B104" i="25"/>
  <c r="B103" i="25"/>
  <c r="F102" i="25"/>
  <c r="H102" i="25" s="1"/>
  <c r="H101" i="25"/>
  <c r="L94" i="25"/>
  <c r="L93" i="25"/>
  <c r="L92" i="25"/>
  <c r="F92" i="25"/>
  <c r="H92" i="25" s="1"/>
  <c r="D92" i="25"/>
  <c r="L91" i="25"/>
  <c r="F91" i="25"/>
  <c r="H91" i="25" s="1"/>
  <c r="D91" i="25"/>
  <c r="L90" i="25"/>
  <c r="B90" i="25"/>
  <c r="L89" i="25"/>
  <c r="F89" i="25"/>
  <c r="H89" i="25" s="1"/>
  <c r="D89" i="25"/>
  <c r="B89" i="25"/>
  <c r="L88" i="25"/>
  <c r="F88" i="25"/>
  <c r="H88" i="25" s="1"/>
  <c r="D88" i="25"/>
  <c r="F80" i="25"/>
  <c r="B80" i="25"/>
  <c r="D80" i="25" s="1"/>
  <c r="F79" i="25"/>
  <c r="D79" i="25"/>
  <c r="B79" i="25"/>
  <c r="F78" i="25"/>
  <c r="H78" i="25" s="1"/>
  <c r="D78" i="25"/>
  <c r="B77" i="25"/>
  <c r="D77" i="25" s="1"/>
  <c r="H76" i="25"/>
  <c r="C76" i="25"/>
  <c r="C65" i="25" s="1"/>
  <c r="B76" i="25"/>
  <c r="D76" i="25" s="1"/>
  <c r="D72" i="25"/>
  <c r="G71" i="25"/>
  <c r="F71" i="25"/>
  <c r="E71" i="25"/>
  <c r="D71" i="25"/>
  <c r="G70" i="25"/>
  <c r="F70" i="25"/>
  <c r="E70" i="25"/>
  <c r="D70" i="25"/>
  <c r="G69" i="25"/>
  <c r="F69" i="25"/>
  <c r="F72" i="25" s="1"/>
  <c r="E69" i="25"/>
  <c r="E72" i="25" s="1"/>
  <c r="D69" i="25"/>
  <c r="C69" i="25"/>
  <c r="B69" i="25"/>
  <c r="F87" i="25" s="1"/>
  <c r="H87" i="25" s="1"/>
  <c r="G68" i="25"/>
  <c r="G72" i="25" s="1"/>
  <c r="F68" i="25"/>
  <c r="E68" i="25"/>
  <c r="D68" i="25"/>
  <c r="C68" i="25"/>
  <c r="C72" i="25" s="1"/>
  <c r="D66" i="25"/>
  <c r="G65" i="25"/>
  <c r="F65" i="25"/>
  <c r="E65" i="25"/>
  <c r="E66" i="25" s="1"/>
  <c r="D65" i="25"/>
  <c r="G64" i="25"/>
  <c r="G66" i="25" s="1"/>
  <c r="F64" i="25"/>
  <c r="F66" i="25" s="1"/>
  <c r="E64" i="25"/>
  <c r="D64" i="25"/>
  <c r="C64" i="25"/>
  <c r="B64" i="25"/>
  <c r="E54" i="25"/>
  <c r="D49" i="25"/>
  <c r="C49" i="25"/>
  <c r="H47" i="25"/>
  <c r="B47" i="25"/>
  <c r="B34" i="25" s="1"/>
  <c r="J43" i="25"/>
  <c r="I43" i="25"/>
  <c r="I45" i="25" s="1"/>
  <c r="H43" i="25"/>
  <c r="G43" i="25"/>
  <c r="F43" i="25"/>
  <c r="D43" i="25"/>
  <c r="C43" i="25"/>
  <c r="J35" i="25"/>
  <c r="J45" i="25" s="1"/>
  <c r="I35" i="25"/>
  <c r="G35" i="25"/>
  <c r="G45" i="25" s="1"/>
  <c r="F35" i="25"/>
  <c r="F45" i="25" s="1"/>
  <c r="D35" i="25"/>
  <c r="C35" i="25"/>
  <c r="C45" i="25" s="1"/>
  <c r="B33" i="25"/>
  <c r="H31" i="25"/>
  <c r="H35" i="25" s="1"/>
  <c r="H45" i="25" s="1"/>
  <c r="B31" i="25"/>
  <c r="B30" i="25"/>
  <c r="J27" i="25"/>
  <c r="I27" i="25"/>
  <c r="D27" i="25"/>
  <c r="C27" i="25"/>
  <c r="B27" i="25"/>
  <c r="H27" i="25" s="1"/>
  <c r="H24" i="25"/>
  <c r="E24" i="25"/>
  <c r="J20" i="25"/>
  <c r="I20" i="25"/>
  <c r="G20" i="25"/>
  <c r="F20" i="25"/>
  <c r="D20" i="25"/>
  <c r="C20" i="25"/>
  <c r="J12" i="25"/>
  <c r="J22" i="25" s="1"/>
  <c r="I12" i="25"/>
  <c r="I22" i="25" s="1"/>
  <c r="G12" i="25"/>
  <c r="F12" i="25"/>
  <c r="F22" i="25" s="1"/>
  <c r="D12" i="25"/>
  <c r="D22" i="25" s="1"/>
  <c r="C12" i="25"/>
  <c r="C22" i="25" s="1"/>
  <c r="J4" i="25"/>
  <c r="I4" i="25"/>
  <c r="H4" i="25"/>
  <c r="G4" i="25"/>
  <c r="F4" i="25"/>
  <c r="E4" i="25"/>
  <c r="L208" i="24"/>
  <c r="C196" i="24"/>
  <c r="B196" i="24" s="1"/>
  <c r="C195" i="24"/>
  <c r="B195" i="24"/>
  <c r="E194" i="24"/>
  <c r="B194" i="24"/>
  <c r="D194" i="24" s="1"/>
  <c r="B176" i="24"/>
  <c r="I170" i="24"/>
  <c r="J170" i="24" s="1"/>
  <c r="H31" i="24" s="1"/>
  <c r="H35" i="24" s="1"/>
  <c r="H45" i="24" s="1"/>
  <c r="G170" i="24"/>
  <c r="D170" i="24"/>
  <c r="I169" i="24"/>
  <c r="J169" i="24" s="1"/>
  <c r="J171" i="24" s="1"/>
  <c r="D169" i="24"/>
  <c r="D171" i="24" s="1"/>
  <c r="I164" i="24"/>
  <c r="J164" i="24" s="1"/>
  <c r="H8" i="24" s="1"/>
  <c r="F164" i="24"/>
  <c r="G164" i="24" s="1"/>
  <c r="E8" i="24" s="1"/>
  <c r="D164" i="24"/>
  <c r="J163" i="24"/>
  <c r="H7" i="24" s="1"/>
  <c r="D163" i="24"/>
  <c r="J159" i="24"/>
  <c r="G159" i="24"/>
  <c r="I163" i="24" s="1"/>
  <c r="B153" i="24"/>
  <c r="B152" i="24"/>
  <c r="D150" i="24"/>
  <c r="F150" i="24" s="1"/>
  <c r="D147" i="24"/>
  <c r="F147" i="24" s="1"/>
  <c r="D146" i="24"/>
  <c r="D152" i="24" s="1"/>
  <c r="F152" i="24" s="1"/>
  <c r="H143" i="24"/>
  <c r="G143" i="24"/>
  <c r="F143" i="24"/>
  <c r="E143" i="24"/>
  <c r="D143" i="24"/>
  <c r="C143" i="24"/>
  <c r="B143" i="24"/>
  <c r="B128" i="24"/>
  <c r="B127" i="24"/>
  <c r="D122" i="24"/>
  <c r="F122" i="24" s="1"/>
  <c r="D121" i="24"/>
  <c r="F121" i="24" s="1"/>
  <c r="H118" i="24"/>
  <c r="G118" i="24"/>
  <c r="F118" i="24"/>
  <c r="E118" i="24"/>
  <c r="D118" i="24"/>
  <c r="C118" i="24"/>
  <c r="B118" i="24"/>
  <c r="B107" i="24"/>
  <c r="B105" i="24"/>
  <c r="B104" i="24"/>
  <c r="B103" i="24"/>
  <c r="F102" i="24"/>
  <c r="H102" i="24" s="1"/>
  <c r="H101" i="24"/>
  <c r="L94" i="24"/>
  <c r="L93" i="24"/>
  <c r="L92" i="24"/>
  <c r="F92" i="24"/>
  <c r="H92" i="24" s="1"/>
  <c r="D92" i="24"/>
  <c r="L91" i="24"/>
  <c r="F91" i="24"/>
  <c r="H91" i="24" s="1"/>
  <c r="D91" i="24"/>
  <c r="L90" i="24"/>
  <c r="B90" i="24"/>
  <c r="L89" i="24"/>
  <c r="F89" i="24"/>
  <c r="H89" i="24" s="1"/>
  <c r="D89" i="24"/>
  <c r="B89" i="24"/>
  <c r="L88" i="24"/>
  <c r="F88" i="24"/>
  <c r="H88" i="24" s="1"/>
  <c r="D88" i="24"/>
  <c r="F80" i="24"/>
  <c r="B80" i="24"/>
  <c r="D80" i="24" s="1"/>
  <c r="F79" i="24"/>
  <c r="D79" i="24"/>
  <c r="B79" i="24"/>
  <c r="F78" i="24"/>
  <c r="H78" i="24" s="1"/>
  <c r="D78" i="24"/>
  <c r="B77" i="24"/>
  <c r="D77" i="24" s="1"/>
  <c r="H76" i="24"/>
  <c r="C76" i="24"/>
  <c r="C65" i="24" s="1"/>
  <c r="B76" i="24"/>
  <c r="D76" i="24" s="1"/>
  <c r="D72" i="24"/>
  <c r="G71" i="24"/>
  <c r="F71" i="24"/>
  <c r="E71" i="24"/>
  <c r="D71" i="24"/>
  <c r="G70" i="24"/>
  <c r="F70" i="24"/>
  <c r="E70" i="24"/>
  <c r="D70" i="24"/>
  <c r="G69" i="24"/>
  <c r="F69" i="24"/>
  <c r="F72" i="24" s="1"/>
  <c r="E69" i="24"/>
  <c r="E72" i="24" s="1"/>
  <c r="D69" i="24"/>
  <c r="C69" i="24"/>
  <c r="B69" i="24"/>
  <c r="F87" i="24" s="1"/>
  <c r="H87" i="24" s="1"/>
  <c r="G68" i="24"/>
  <c r="G72" i="24" s="1"/>
  <c r="F68" i="24"/>
  <c r="E68" i="24"/>
  <c r="D68" i="24"/>
  <c r="C68" i="24"/>
  <c r="C72" i="24" s="1"/>
  <c r="D66" i="24"/>
  <c r="G65" i="24"/>
  <c r="F65" i="24"/>
  <c r="E65" i="24"/>
  <c r="E66" i="24" s="1"/>
  <c r="D65" i="24"/>
  <c r="G64" i="24"/>
  <c r="G66" i="24" s="1"/>
  <c r="F64" i="24"/>
  <c r="F66" i="24" s="1"/>
  <c r="E64" i="24"/>
  <c r="D64" i="24"/>
  <c r="C64" i="24"/>
  <c r="B64" i="24"/>
  <c r="E54" i="24"/>
  <c r="D49" i="24"/>
  <c r="C49" i="24"/>
  <c r="H47" i="24"/>
  <c r="B47" i="24"/>
  <c r="B34" i="24" s="1"/>
  <c r="J43" i="24"/>
  <c r="I43" i="24"/>
  <c r="I45" i="24" s="1"/>
  <c r="H43" i="24"/>
  <c r="G43" i="24"/>
  <c r="F43" i="24"/>
  <c r="D43" i="24"/>
  <c r="C43" i="24"/>
  <c r="J35" i="24"/>
  <c r="J45" i="24" s="1"/>
  <c r="I35" i="24"/>
  <c r="G35" i="24"/>
  <c r="G45" i="24" s="1"/>
  <c r="F35" i="24"/>
  <c r="F45" i="24" s="1"/>
  <c r="D35" i="24"/>
  <c r="C35" i="24"/>
  <c r="C45" i="24" s="1"/>
  <c r="B33" i="24"/>
  <c r="B31" i="24"/>
  <c r="B30" i="24"/>
  <c r="I27" i="24"/>
  <c r="H27" i="24"/>
  <c r="D27" i="24"/>
  <c r="J27" i="24" s="1"/>
  <c r="C27" i="24"/>
  <c r="B27" i="24"/>
  <c r="H24" i="24"/>
  <c r="E24" i="24"/>
  <c r="I22" i="24"/>
  <c r="J20" i="24"/>
  <c r="I20" i="24"/>
  <c r="G20" i="24"/>
  <c r="F20" i="24"/>
  <c r="D20" i="24"/>
  <c r="C20" i="24"/>
  <c r="J12" i="24"/>
  <c r="J22" i="24" s="1"/>
  <c r="I12" i="24"/>
  <c r="G12" i="24"/>
  <c r="G22" i="24" s="1"/>
  <c r="F12" i="24"/>
  <c r="F22" i="24" s="1"/>
  <c r="D12" i="24"/>
  <c r="D22" i="24" s="1"/>
  <c r="C12" i="24"/>
  <c r="C22" i="24" s="1"/>
  <c r="J4" i="24"/>
  <c r="I4" i="24"/>
  <c r="H4" i="24"/>
  <c r="G4" i="24"/>
  <c r="F4" i="24"/>
  <c r="E4" i="24"/>
  <c r="L208" i="23"/>
  <c r="C196" i="23"/>
  <c r="B196" i="23" s="1"/>
  <c r="C195" i="23"/>
  <c r="B195" i="23"/>
  <c r="E194" i="23"/>
  <c r="B194" i="23"/>
  <c r="D194" i="23" s="1"/>
  <c r="B176" i="23"/>
  <c r="I170" i="23"/>
  <c r="J170" i="23" s="1"/>
  <c r="H31" i="23" s="1"/>
  <c r="H35" i="23" s="1"/>
  <c r="H45" i="23" s="1"/>
  <c r="G170" i="23"/>
  <c r="D170" i="23"/>
  <c r="I169" i="23"/>
  <c r="J169" i="23" s="1"/>
  <c r="J171" i="23" s="1"/>
  <c r="D169" i="23"/>
  <c r="D171" i="23" s="1"/>
  <c r="I164" i="23"/>
  <c r="J164" i="23" s="1"/>
  <c r="H8" i="23" s="1"/>
  <c r="F164" i="23"/>
  <c r="G164" i="23" s="1"/>
  <c r="E8" i="23" s="1"/>
  <c r="D164" i="23"/>
  <c r="J163" i="23"/>
  <c r="H7" i="23" s="1"/>
  <c r="D163" i="23"/>
  <c r="J159" i="23"/>
  <c r="G159" i="23"/>
  <c r="I163" i="23" s="1"/>
  <c r="B153" i="23"/>
  <c r="B152" i="23"/>
  <c r="D150" i="23"/>
  <c r="F150" i="23" s="1"/>
  <c r="D147" i="23"/>
  <c r="F147" i="23" s="1"/>
  <c r="D146" i="23"/>
  <c r="D152" i="23" s="1"/>
  <c r="F152" i="23" s="1"/>
  <c r="H143" i="23"/>
  <c r="G143" i="23"/>
  <c r="F143" i="23"/>
  <c r="E143" i="23"/>
  <c r="D143" i="23"/>
  <c r="C143" i="23"/>
  <c r="B143" i="23"/>
  <c r="B128" i="23"/>
  <c r="B127" i="23"/>
  <c r="D122" i="23"/>
  <c r="F122" i="23" s="1"/>
  <c r="D121" i="23"/>
  <c r="F121" i="23" s="1"/>
  <c r="H118" i="23"/>
  <c r="G118" i="23"/>
  <c r="F118" i="23"/>
  <c r="E118" i="23"/>
  <c r="D118" i="23"/>
  <c r="C118" i="23"/>
  <c r="B118" i="23"/>
  <c r="B107" i="23"/>
  <c r="B105" i="23"/>
  <c r="B104" i="23"/>
  <c r="B103" i="23"/>
  <c r="F102" i="23"/>
  <c r="H102" i="23" s="1"/>
  <c r="H101" i="23"/>
  <c r="L94" i="23"/>
  <c r="L93" i="23"/>
  <c r="L92" i="23"/>
  <c r="F92" i="23"/>
  <c r="H92" i="23" s="1"/>
  <c r="D92" i="23"/>
  <c r="L91" i="23"/>
  <c r="F91" i="23"/>
  <c r="H91" i="23" s="1"/>
  <c r="D91" i="23"/>
  <c r="L90" i="23"/>
  <c r="B90" i="23"/>
  <c r="L89" i="23"/>
  <c r="F89" i="23"/>
  <c r="H89" i="23" s="1"/>
  <c r="D89" i="23"/>
  <c r="B89" i="23"/>
  <c r="L88" i="23"/>
  <c r="F88" i="23"/>
  <c r="H88" i="23" s="1"/>
  <c r="D88" i="23"/>
  <c r="F80" i="23"/>
  <c r="B80" i="23"/>
  <c r="D80" i="23" s="1"/>
  <c r="F79" i="23"/>
  <c r="D79" i="23"/>
  <c r="B79" i="23"/>
  <c r="F78" i="23"/>
  <c r="H78" i="23" s="1"/>
  <c r="D78" i="23"/>
  <c r="B77" i="23"/>
  <c r="D77" i="23" s="1"/>
  <c r="H76" i="23"/>
  <c r="C76" i="23"/>
  <c r="C65" i="23" s="1"/>
  <c r="B76" i="23"/>
  <c r="D76" i="23" s="1"/>
  <c r="D72" i="23"/>
  <c r="G71" i="23"/>
  <c r="F71" i="23"/>
  <c r="E71" i="23"/>
  <c r="D71" i="23"/>
  <c r="G70" i="23"/>
  <c r="F70" i="23"/>
  <c r="E70" i="23"/>
  <c r="D70" i="23"/>
  <c r="G69" i="23"/>
  <c r="F69" i="23"/>
  <c r="F72" i="23" s="1"/>
  <c r="E69" i="23"/>
  <c r="E72" i="23" s="1"/>
  <c r="D69" i="23"/>
  <c r="C69" i="23"/>
  <c r="B69" i="23"/>
  <c r="F87" i="23" s="1"/>
  <c r="H87" i="23" s="1"/>
  <c r="G68" i="23"/>
  <c r="G72" i="23" s="1"/>
  <c r="F68" i="23"/>
  <c r="E68" i="23"/>
  <c r="D68" i="23"/>
  <c r="C68" i="23"/>
  <c r="C72" i="23" s="1"/>
  <c r="D66" i="23"/>
  <c r="G65" i="23"/>
  <c r="F65" i="23"/>
  <c r="E65" i="23"/>
  <c r="E66" i="23" s="1"/>
  <c r="D65" i="23"/>
  <c r="G64" i="23"/>
  <c r="G66" i="23" s="1"/>
  <c r="F64" i="23"/>
  <c r="F66" i="23" s="1"/>
  <c r="E64" i="23"/>
  <c r="D64" i="23"/>
  <c r="C64" i="23"/>
  <c r="B64" i="23"/>
  <c r="E54" i="23"/>
  <c r="D49" i="23"/>
  <c r="C49" i="23"/>
  <c r="H47" i="23"/>
  <c r="B47" i="23"/>
  <c r="B34" i="23" s="1"/>
  <c r="J43" i="23"/>
  <c r="I43" i="23"/>
  <c r="I45" i="23" s="1"/>
  <c r="H43" i="23"/>
  <c r="G43" i="23"/>
  <c r="F43" i="23"/>
  <c r="D43" i="23"/>
  <c r="C43" i="23"/>
  <c r="J35" i="23"/>
  <c r="J45" i="23" s="1"/>
  <c r="I35" i="23"/>
  <c r="G35" i="23"/>
  <c r="G45" i="23" s="1"/>
  <c r="F35" i="23"/>
  <c r="F45" i="23" s="1"/>
  <c r="D35" i="23"/>
  <c r="C35" i="23"/>
  <c r="C45" i="23" s="1"/>
  <c r="B33" i="23"/>
  <c r="B31" i="23"/>
  <c r="B30" i="23"/>
  <c r="I27" i="23"/>
  <c r="H27" i="23"/>
  <c r="D27" i="23"/>
  <c r="J27" i="23" s="1"/>
  <c r="C27" i="23"/>
  <c r="B27" i="23"/>
  <c r="H24" i="23"/>
  <c r="E24" i="23"/>
  <c r="I22" i="23"/>
  <c r="J20" i="23"/>
  <c r="I20" i="23"/>
  <c r="G20" i="23"/>
  <c r="F20" i="23"/>
  <c r="D20" i="23"/>
  <c r="C20" i="23"/>
  <c r="J12" i="23"/>
  <c r="J22" i="23" s="1"/>
  <c r="I12" i="23"/>
  <c r="G12" i="23"/>
  <c r="G22" i="23" s="1"/>
  <c r="F12" i="23"/>
  <c r="F22" i="23" s="1"/>
  <c r="D12" i="23"/>
  <c r="D22" i="23" s="1"/>
  <c r="C12" i="23"/>
  <c r="J4" i="23"/>
  <c r="I4" i="23"/>
  <c r="H4" i="23"/>
  <c r="G4" i="23"/>
  <c r="F4" i="23"/>
  <c r="E4" i="23"/>
  <c r="L208" i="22"/>
  <c r="C196" i="22"/>
  <c r="B196" i="22" s="1"/>
  <c r="C195" i="22"/>
  <c r="B195" i="22"/>
  <c r="E194" i="22"/>
  <c r="B194" i="22"/>
  <c r="D194" i="22" s="1"/>
  <c r="B176" i="22"/>
  <c r="I170" i="22"/>
  <c r="J170" i="22" s="1"/>
  <c r="H31" i="22" s="1"/>
  <c r="H35" i="22" s="1"/>
  <c r="H45" i="22" s="1"/>
  <c r="G170" i="22"/>
  <c r="D170" i="22"/>
  <c r="I169" i="22"/>
  <c r="J169" i="22" s="1"/>
  <c r="J171" i="22" s="1"/>
  <c r="D169" i="22"/>
  <c r="D171" i="22" s="1"/>
  <c r="I164" i="22"/>
  <c r="J164" i="22" s="1"/>
  <c r="H8" i="22" s="1"/>
  <c r="F164" i="22"/>
  <c r="G164" i="22" s="1"/>
  <c r="E8" i="22" s="1"/>
  <c r="D164" i="22"/>
  <c r="J163" i="22"/>
  <c r="J165" i="22" s="1"/>
  <c r="D163" i="22"/>
  <c r="J159" i="22"/>
  <c r="G159" i="22"/>
  <c r="I163" i="22" s="1"/>
  <c r="B153" i="22"/>
  <c r="B152" i="22"/>
  <c r="D150" i="22"/>
  <c r="F150" i="22" s="1"/>
  <c r="D147" i="22"/>
  <c r="F147" i="22" s="1"/>
  <c r="D146" i="22"/>
  <c r="D152" i="22" s="1"/>
  <c r="F152" i="22" s="1"/>
  <c r="H143" i="22"/>
  <c r="G143" i="22"/>
  <c r="F143" i="22"/>
  <c r="E143" i="22"/>
  <c r="D143" i="22"/>
  <c r="C143" i="22"/>
  <c r="B143" i="22"/>
  <c r="B128" i="22"/>
  <c r="B127" i="22"/>
  <c r="D122" i="22"/>
  <c r="F122" i="22" s="1"/>
  <c r="D121" i="22"/>
  <c r="F121" i="22" s="1"/>
  <c r="H118" i="22"/>
  <c r="G118" i="22"/>
  <c r="F118" i="22"/>
  <c r="E118" i="22"/>
  <c r="D118" i="22"/>
  <c r="C118" i="22"/>
  <c r="B118" i="22"/>
  <c r="B107" i="22"/>
  <c r="B105" i="22"/>
  <c r="B104" i="22"/>
  <c r="B103" i="22"/>
  <c r="F102" i="22"/>
  <c r="H102" i="22" s="1"/>
  <c r="H101" i="22"/>
  <c r="L94" i="22"/>
  <c r="L93" i="22"/>
  <c r="L92" i="22"/>
  <c r="F92" i="22"/>
  <c r="H92" i="22" s="1"/>
  <c r="D92" i="22"/>
  <c r="L91" i="22"/>
  <c r="F91" i="22"/>
  <c r="H91" i="22" s="1"/>
  <c r="D91" i="22"/>
  <c r="L90" i="22"/>
  <c r="B90" i="22"/>
  <c r="L89" i="22"/>
  <c r="F89" i="22"/>
  <c r="H89" i="22" s="1"/>
  <c r="D89" i="22"/>
  <c r="B89" i="22"/>
  <c r="L88" i="22"/>
  <c r="F88" i="22"/>
  <c r="H88" i="22" s="1"/>
  <c r="D88" i="22"/>
  <c r="F80" i="22"/>
  <c r="B80" i="22"/>
  <c r="D80" i="22" s="1"/>
  <c r="F79" i="22"/>
  <c r="D79" i="22"/>
  <c r="B79" i="22"/>
  <c r="F78" i="22"/>
  <c r="H78" i="22" s="1"/>
  <c r="D78" i="22"/>
  <c r="B77" i="22"/>
  <c r="D77" i="22" s="1"/>
  <c r="H76" i="22"/>
  <c r="C76" i="22"/>
  <c r="C65" i="22" s="1"/>
  <c r="B76" i="22"/>
  <c r="D76" i="22" s="1"/>
  <c r="D72" i="22"/>
  <c r="G71" i="22"/>
  <c r="F71" i="22"/>
  <c r="E71" i="22"/>
  <c r="D71" i="22"/>
  <c r="G70" i="22"/>
  <c r="F70" i="22"/>
  <c r="E70" i="22"/>
  <c r="D70" i="22"/>
  <c r="G69" i="22"/>
  <c r="F69" i="22"/>
  <c r="F72" i="22" s="1"/>
  <c r="E69" i="22"/>
  <c r="E72" i="22" s="1"/>
  <c r="D69" i="22"/>
  <c r="C69" i="22"/>
  <c r="B69" i="22"/>
  <c r="F87" i="22" s="1"/>
  <c r="H87" i="22" s="1"/>
  <c r="G68" i="22"/>
  <c r="G72" i="22" s="1"/>
  <c r="F68" i="22"/>
  <c r="E68" i="22"/>
  <c r="D68" i="22"/>
  <c r="C68" i="22"/>
  <c r="C72" i="22" s="1"/>
  <c r="D66" i="22"/>
  <c r="G65" i="22"/>
  <c r="F65" i="22"/>
  <c r="E65" i="22"/>
  <c r="E66" i="22" s="1"/>
  <c r="D65" i="22"/>
  <c r="G64" i="22"/>
  <c r="G66" i="22" s="1"/>
  <c r="F64" i="22"/>
  <c r="F66" i="22" s="1"/>
  <c r="E64" i="22"/>
  <c r="D64" i="22"/>
  <c r="C64" i="22"/>
  <c r="B64" i="22"/>
  <c r="E54" i="22"/>
  <c r="D49" i="22"/>
  <c r="C49" i="22"/>
  <c r="H47" i="22"/>
  <c r="B47" i="22"/>
  <c r="B34" i="22" s="1"/>
  <c r="J43" i="22"/>
  <c r="I43" i="22"/>
  <c r="I45" i="22" s="1"/>
  <c r="H43" i="22"/>
  <c r="G43" i="22"/>
  <c r="F43" i="22"/>
  <c r="D43" i="22"/>
  <c r="C43" i="22"/>
  <c r="J35" i="22"/>
  <c r="J45" i="22" s="1"/>
  <c r="I35" i="22"/>
  <c r="G35" i="22"/>
  <c r="G45" i="22" s="1"/>
  <c r="F35" i="22"/>
  <c r="F45" i="22" s="1"/>
  <c r="D35" i="22"/>
  <c r="C35" i="22"/>
  <c r="C45" i="22" s="1"/>
  <c r="B33" i="22"/>
  <c r="B31" i="22"/>
  <c r="B30" i="22"/>
  <c r="J27" i="22"/>
  <c r="I27" i="22"/>
  <c r="D27" i="22"/>
  <c r="C27" i="22"/>
  <c r="B27" i="22"/>
  <c r="H27" i="22" s="1"/>
  <c r="H24" i="22"/>
  <c r="E24" i="22"/>
  <c r="J20" i="22"/>
  <c r="I20" i="22"/>
  <c r="G20" i="22"/>
  <c r="F20" i="22"/>
  <c r="D20" i="22"/>
  <c r="C20" i="22"/>
  <c r="J12" i="22"/>
  <c r="J22" i="22" s="1"/>
  <c r="I12" i="22"/>
  <c r="I22" i="22" s="1"/>
  <c r="G12" i="22"/>
  <c r="F12" i="22"/>
  <c r="F22" i="22" s="1"/>
  <c r="D12" i="22"/>
  <c r="D22" i="22" s="1"/>
  <c r="C12" i="22"/>
  <c r="C22" i="22" s="1"/>
  <c r="J4" i="22"/>
  <c r="I4" i="22"/>
  <c r="H4" i="22"/>
  <c r="G4" i="22"/>
  <c r="F4" i="22"/>
  <c r="E4" i="22"/>
  <c r="L208" i="21"/>
  <c r="C196" i="21"/>
  <c r="B196" i="21" s="1"/>
  <c r="C195" i="21"/>
  <c r="B195" i="21"/>
  <c r="E194" i="21"/>
  <c r="B194" i="21"/>
  <c r="D194" i="21" s="1"/>
  <c r="B176" i="21"/>
  <c r="I170" i="21"/>
  <c r="J170" i="21" s="1"/>
  <c r="H31" i="21" s="1"/>
  <c r="H35" i="21" s="1"/>
  <c r="H45" i="21" s="1"/>
  <c r="G170" i="21"/>
  <c r="D170" i="21"/>
  <c r="I169" i="21"/>
  <c r="J169" i="21" s="1"/>
  <c r="J171" i="21" s="1"/>
  <c r="D169" i="21"/>
  <c r="D171" i="21" s="1"/>
  <c r="I164" i="21"/>
  <c r="J164" i="21" s="1"/>
  <c r="H8" i="21" s="1"/>
  <c r="F164" i="21"/>
  <c r="G164" i="21" s="1"/>
  <c r="E8" i="21" s="1"/>
  <c r="D164" i="21"/>
  <c r="J163" i="21"/>
  <c r="J165" i="21" s="1"/>
  <c r="D163" i="21"/>
  <c r="J159" i="21"/>
  <c r="G159" i="21"/>
  <c r="I163" i="21" s="1"/>
  <c r="B153" i="21"/>
  <c r="B152" i="21"/>
  <c r="D150" i="21"/>
  <c r="F150" i="21" s="1"/>
  <c r="D147" i="21"/>
  <c r="F147" i="21" s="1"/>
  <c r="D146" i="21"/>
  <c r="D152" i="21" s="1"/>
  <c r="F152" i="21" s="1"/>
  <c r="H143" i="21"/>
  <c r="G143" i="21"/>
  <c r="F143" i="21"/>
  <c r="E143" i="21"/>
  <c r="D143" i="21"/>
  <c r="C143" i="21"/>
  <c r="B143" i="21"/>
  <c r="B128" i="21"/>
  <c r="B127" i="21"/>
  <c r="D122" i="21"/>
  <c r="F122" i="21" s="1"/>
  <c r="D121" i="21"/>
  <c r="F121" i="21" s="1"/>
  <c r="H118" i="21"/>
  <c r="G118" i="21"/>
  <c r="F118" i="21"/>
  <c r="E118" i="21"/>
  <c r="D118" i="21"/>
  <c r="C118" i="21"/>
  <c r="B118" i="21"/>
  <c r="B107" i="21"/>
  <c r="B105" i="21"/>
  <c r="B104" i="21"/>
  <c r="B103" i="21"/>
  <c r="F102" i="21"/>
  <c r="H102" i="21" s="1"/>
  <c r="H101" i="21"/>
  <c r="L94" i="21"/>
  <c r="L93" i="21"/>
  <c r="L92" i="21"/>
  <c r="F92" i="21"/>
  <c r="H92" i="21" s="1"/>
  <c r="D92" i="21"/>
  <c r="L91" i="21"/>
  <c r="F91" i="21"/>
  <c r="H91" i="21" s="1"/>
  <c r="D91" i="21"/>
  <c r="L90" i="21"/>
  <c r="B90" i="21"/>
  <c r="L89" i="21"/>
  <c r="F89" i="21"/>
  <c r="H89" i="21" s="1"/>
  <c r="D89" i="21"/>
  <c r="B89" i="21"/>
  <c r="L88" i="21"/>
  <c r="F88" i="21"/>
  <c r="H88" i="21" s="1"/>
  <c r="D88" i="21"/>
  <c r="F80" i="21"/>
  <c r="B80" i="21"/>
  <c r="D80" i="21" s="1"/>
  <c r="F79" i="21"/>
  <c r="D79" i="21"/>
  <c r="B79" i="21"/>
  <c r="F78" i="21"/>
  <c r="H78" i="21" s="1"/>
  <c r="D78" i="21"/>
  <c r="B77" i="21"/>
  <c r="D77" i="21" s="1"/>
  <c r="H76" i="21"/>
  <c r="C76" i="21"/>
  <c r="C65" i="21" s="1"/>
  <c r="B76" i="21"/>
  <c r="D76" i="21" s="1"/>
  <c r="D72" i="21"/>
  <c r="G71" i="21"/>
  <c r="F71" i="21"/>
  <c r="E71" i="21"/>
  <c r="D71" i="21"/>
  <c r="G70" i="21"/>
  <c r="F70" i="21"/>
  <c r="E70" i="21"/>
  <c r="D70" i="21"/>
  <c r="G69" i="21"/>
  <c r="F69" i="21"/>
  <c r="F72" i="21" s="1"/>
  <c r="E69" i="21"/>
  <c r="E72" i="21" s="1"/>
  <c r="D69" i="21"/>
  <c r="C69" i="21"/>
  <c r="B69" i="21"/>
  <c r="F87" i="21" s="1"/>
  <c r="H87" i="21" s="1"/>
  <c r="G68" i="21"/>
  <c r="G72" i="21" s="1"/>
  <c r="F68" i="21"/>
  <c r="E68" i="21"/>
  <c r="D68" i="21"/>
  <c r="C68" i="21"/>
  <c r="C72" i="21" s="1"/>
  <c r="D66" i="21"/>
  <c r="G65" i="21"/>
  <c r="F65" i="21"/>
  <c r="E65" i="21"/>
  <c r="E66" i="21" s="1"/>
  <c r="D65" i="21"/>
  <c r="G64" i="21"/>
  <c r="G66" i="21" s="1"/>
  <c r="F64" i="21"/>
  <c r="F66" i="21" s="1"/>
  <c r="E64" i="21"/>
  <c r="D64" i="21"/>
  <c r="C64" i="21"/>
  <c r="B64" i="21"/>
  <c r="E54" i="21"/>
  <c r="D49" i="21"/>
  <c r="C49" i="21"/>
  <c r="H47" i="21"/>
  <c r="B47" i="21"/>
  <c r="B34" i="21" s="1"/>
  <c r="I45" i="21"/>
  <c r="J43" i="21"/>
  <c r="I43" i="21"/>
  <c r="H43" i="21"/>
  <c r="G43" i="21"/>
  <c r="F43" i="21"/>
  <c r="D43" i="21"/>
  <c r="C43" i="21"/>
  <c r="J35" i="21"/>
  <c r="J45" i="21" s="1"/>
  <c r="I35" i="21"/>
  <c r="G35" i="21"/>
  <c r="G45" i="21" s="1"/>
  <c r="F35" i="21"/>
  <c r="F45" i="21" s="1"/>
  <c r="D35" i="21"/>
  <c r="C35" i="21"/>
  <c r="C45" i="21" s="1"/>
  <c r="B31" i="21"/>
  <c r="B30" i="21"/>
  <c r="J27" i="21"/>
  <c r="I27" i="21"/>
  <c r="D27" i="21"/>
  <c r="C27" i="21"/>
  <c r="B27" i="21"/>
  <c r="H27" i="21" s="1"/>
  <c r="H24" i="21"/>
  <c r="E24" i="21"/>
  <c r="J20" i="21"/>
  <c r="I20" i="21"/>
  <c r="G20" i="21"/>
  <c r="F20" i="21"/>
  <c r="D20" i="21"/>
  <c r="C20" i="21"/>
  <c r="J12" i="21"/>
  <c r="J22" i="21" s="1"/>
  <c r="I12" i="21"/>
  <c r="I22" i="21" s="1"/>
  <c r="G12" i="21"/>
  <c r="F12" i="21"/>
  <c r="F22" i="21" s="1"/>
  <c r="D12" i="21"/>
  <c r="D22" i="21" s="1"/>
  <c r="C12" i="21"/>
  <c r="C22" i="21" s="1"/>
  <c r="J4" i="21"/>
  <c r="I4" i="21"/>
  <c r="H4" i="21"/>
  <c r="G4" i="21"/>
  <c r="F4" i="21"/>
  <c r="E4" i="21"/>
  <c r="L208" i="20"/>
  <c r="C196" i="20"/>
  <c r="B196" i="20" s="1"/>
  <c r="C195" i="20"/>
  <c r="B195" i="20"/>
  <c r="E194" i="20"/>
  <c r="B194" i="20"/>
  <c r="D194" i="20" s="1"/>
  <c r="B176" i="20"/>
  <c r="I170" i="20"/>
  <c r="J170" i="20" s="1"/>
  <c r="H31" i="20" s="1"/>
  <c r="H35" i="20" s="1"/>
  <c r="H45" i="20" s="1"/>
  <c r="G170" i="20"/>
  <c r="D170" i="20"/>
  <c r="I169" i="20"/>
  <c r="J169" i="20" s="1"/>
  <c r="J171" i="20" s="1"/>
  <c r="D169" i="20"/>
  <c r="D171" i="20" s="1"/>
  <c r="I164" i="20"/>
  <c r="J164" i="20" s="1"/>
  <c r="H8" i="20" s="1"/>
  <c r="F164" i="20"/>
  <c r="G164" i="20" s="1"/>
  <c r="E8" i="20" s="1"/>
  <c r="D164" i="20"/>
  <c r="J163" i="20"/>
  <c r="H7" i="20" s="1"/>
  <c r="D163" i="20"/>
  <c r="J159" i="20"/>
  <c r="G159" i="20"/>
  <c r="I163" i="20" s="1"/>
  <c r="B153" i="20"/>
  <c r="B152" i="20"/>
  <c r="D150" i="20"/>
  <c r="F150" i="20" s="1"/>
  <c r="D147" i="20"/>
  <c r="F147" i="20" s="1"/>
  <c r="D146" i="20"/>
  <c r="D152" i="20" s="1"/>
  <c r="F152" i="20" s="1"/>
  <c r="H143" i="20"/>
  <c r="G143" i="20"/>
  <c r="F143" i="20"/>
  <c r="E143" i="20"/>
  <c r="D143" i="20"/>
  <c r="C143" i="20"/>
  <c r="B143" i="20"/>
  <c r="B128" i="20"/>
  <c r="B127" i="20"/>
  <c r="D122" i="20"/>
  <c r="F122" i="20" s="1"/>
  <c r="D121" i="20"/>
  <c r="F121" i="20" s="1"/>
  <c r="H118" i="20"/>
  <c r="G118" i="20"/>
  <c r="F118" i="20"/>
  <c r="E118" i="20"/>
  <c r="D118" i="20"/>
  <c r="C118" i="20"/>
  <c r="B118" i="20"/>
  <c r="B107" i="20"/>
  <c r="B105" i="20"/>
  <c r="B104" i="20"/>
  <c r="B103" i="20"/>
  <c r="F102" i="20"/>
  <c r="H102" i="20" s="1"/>
  <c r="H101" i="20"/>
  <c r="L94" i="20"/>
  <c r="L93" i="20"/>
  <c r="L92" i="20"/>
  <c r="F92" i="20"/>
  <c r="H92" i="20" s="1"/>
  <c r="D92" i="20"/>
  <c r="L91" i="20"/>
  <c r="F91" i="20"/>
  <c r="H91" i="20" s="1"/>
  <c r="D91" i="20"/>
  <c r="L90" i="20"/>
  <c r="B90" i="20"/>
  <c r="L89" i="20"/>
  <c r="F89" i="20"/>
  <c r="H89" i="20" s="1"/>
  <c r="D89" i="20"/>
  <c r="B89" i="20"/>
  <c r="L88" i="20"/>
  <c r="F88" i="20"/>
  <c r="H88" i="20" s="1"/>
  <c r="D88" i="20"/>
  <c r="F80" i="20"/>
  <c r="B80" i="20"/>
  <c r="D80" i="20" s="1"/>
  <c r="F79" i="20"/>
  <c r="D79" i="20"/>
  <c r="B79" i="20"/>
  <c r="F78" i="20"/>
  <c r="H78" i="20" s="1"/>
  <c r="D78" i="20"/>
  <c r="B77" i="20"/>
  <c r="D77" i="20" s="1"/>
  <c r="H76" i="20"/>
  <c r="C76" i="20"/>
  <c r="C65" i="20" s="1"/>
  <c r="B76" i="20"/>
  <c r="D76" i="20" s="1"/>
  <c r="D72" i="20"/>
  <c r="G71" i="20"/>
  <c r="F71" i="20"/>
  <c r="E71" i="20"/>
  <c r="D71" i="20"/>
  <c r="G70" i="20"/>
  <c r="F70" i="20"/>
  <c r="E70" i="20"/>
  <c r="D70" i="20"/>
  <c r="G69" i="20"/>
  <c r="F69" i="20"/>
  <c r="F72" i="20" s="1"/>
  <c r="E69" i="20"/>
  <c r="E72" i="20" s="1"/>
  <c r="D69" i="20"/>
  <c r="C69" i="20"/>
  <c r="B69" i="20"/>
  <c r="F87" i="20" s="1"/>
  <c r="H87" i="20" s="1"/>
  <c r="G68" i="20"/>
  <c r="G72" i="20" s="1"/>
  <c r="F68" i="20"/>
  <c r="E68" i="20"/>
  <c r="D68" i="20"/>
  <c r="C68" i="20"/>
  <c r="C72" i="20" s="1"/>
  <c r="D66" i="20"/>
  <c r="G65" i="20"/>
  <c r="F65" i="20"/>
  <c r="E65" i="20"/>
  <c r="E66" i="20" s="1"/>
  <c r="D65" i="20"/>
  <c r="G64" i="20"/>
  <c r="G66" i="20" s="1"/>
  <c r="F64" i="20"/>
  <c r="F66" i="20" s="1"/>
  <c r="E64" i="20"/>
  <c r="D64" i="20"/>
  <c r="C64" i="20"/>
  <c r="B64" i="20"/>
  <c r="E54" i="20"/>
  <c r="D49" i="20"/>
  <c r="C49" i="20"/>
  <c r="H47" i="20"/>
  <c r="B47" i="20"/>
  <c r="B34" i="20" s="1"/>
  <c r="J43" i="20"/>
  <c r="I43" i="20"/>
  <c r="I45" i="20" s="1"/>
  <c r="H43" i="20"/>
  <c r="G43" i="20"/>
  <c r="F43" i="20"/>
  <c r="D43" i="20"/>
  <c r="C43" i="20"/>
  <c r="J35" i="20"/>
  <c r="J45" i="20" s="1"/>
  <c r="I35" i="20"/>
  <c r="G35" i="20"/>
  <c r="G45" i="20" s="1"/>
  <c r="F35" i="20"/>
  <c r="F45" i="20" s="1"/>
  <c r="D35" i="20"/>
  <c r="C35" i="20"/>
  <c r="C45" i="20" s="1"/>
  <c r="B31" i="20"/>
  <c r="B30" i="20"/>
  <c r="I27" i="20"/>
  <c r="H27" i="20"/>
  <c r="D27" i="20"/>
  <c r="J27" i="20" s="1"/>
  <c r="C27" i="20"/>
  <c r="B27" i="20"/>
  <c r="H24" i="20"/>
  <c r="E24" i="20"/>
  <c r="J20" i="20"/>
  <c r="I20" i="20"/>
  <c r="G20" i="20"/>
  <c r="F20" i="20"/>
  <c r="D20" i="20"/>
  <c r="C20" i="20"/>
  <c r="J12" i="20"/>
  <c r="J22" i="20" s="1"/>
  <c r="I12" i="20"/>
  <c r="I22" i="20" s="1"/>
  <c r="G12" i="20"/>
  <c r="G22" i="20" s="1"/>
  <c r="F12" i="20"/>
  <c r="D12" i="20"/>
  <c r="D22" i="20" s="1"/>
  <c r="C12" i="20"/>
  <c r="C22" i="20" s="1"/>
  <c r="J4" i="20"/>
  <c r="I4" i="20"/>
  <c r="H4" i="20"/>
  <c r="G4" i="20"/>
  <c r="F4" i="20"/>
  <c r="E4" i="20"/>
  <c r="L208" i="19"/>
  <c r="C196" i="19"/>
  <c r="B196" i="19" s="1"/>
  <c r="C195" i="19"/>
  <c r="B195" i="19"/>
  <c r="E194" i="19"/>
  <c r="B194" i="19"/>
  <c r="D194" i="19" s="1"/>
  <c r="B176" i="19"/>
  <c r="I170" i="19"/>
  <c r="J170" i="19" s="1"/>
  <c r="G170" i="19"/>
  <c r="D170" i="19"/>
  <c r="I169" i="19"/>
  <c r="J169" i="19" s="1"/>
  <c r="J171" i="19" s="1"/>
  <c r="D169" i="19"/>
  <c r="D171" i="19" s="1"/>
  <c r="I164" i="19"/>
  <c r="J164" i="19" s="1"/>
  <c r="H8" i="19" s="1"/>
  <c r="F164" i="19"/>
  <c r="G164" i="19" s="1"/>
  <c r="E8" i="19" s="1"/>
  <c r="D164" i="19"/>
  <c r="J163" i="19"/>
  <c r="J165" i="19" s="1"/>
  <c r="D163" i="19"/>
  <c r="J159" i="19"/>
  <c r="G159" i="19"/>
  <c r="I163" i="19" s="1"/>
  <c r="B153" i="19"/>
  <c r="B152" i="19"/>
  <c r="D150" i="19"/>
  <c r="F150" i="19" s="1"/>
  <c r="D147" i="19"/>
  <c r="F147" i="19" s="1"/>
  <c r="D146" i="19"/>
  <c r="D152" i="19" s="1"/>
  <c r="F152" i="19" s="1"/>
  <c r="H143" i="19"/>
  <c r="G143" i="19"/>
  <c r="F143" i="19"/>
  <c r="E143" i="19"/>
  <c r="D143" i="19"/>
  <c r="C143" i="19"/>
  <c r="B143" i="19"/>
  <c r="B128" i="19"/>
  <c r="B127" i="19"/>
  <c r="D122" i="19"/>
  <c r="F122" i="19" s="1"/>
  <c r="D121" i="19"/>
  <c r="F121" i="19" s="1"/>
  <c r="H118" i="19"/>
  <c r="G118" i="19"/>
  <c r="F118" i="19"/>
  <c r="E118" i="19"/>
  <c r="D118" i="19"/>
  <c r="C118" i="19"/>
  <c r="B118" i="19"/>
  <c r="B107" i="19"/>
  <c r="B105" i="19"/>
  <c r="B104" i="19"/>
  <c r="B103" i="19"/>
  <c r="F102" i="19"/>
  <c r="H102" i="19" s="1"/>
  <c r="H101" i="19"/>
  <c r="L94" i="19"/>
  <c r="L93" i="19"/>
  <c r="L92" i="19"/>
  <c r="F92" i="19"/>
  <c r="H92" i="19" s="1"/>
  <c r="D92" i="19"/>
  <c r="L91" i="19"/>
  <c r="F91" i="19"/>
  <c r="H91" i="19" s="1"/>
  <c r="D91" i="19"/>
  <c r="L90" i="19"/>
  <c r="B90" i="19"/>
  <c r="L89" i="19"/>
  <c r="F89" i="19"/>
  <c r="H89" i="19" s="1"/>
  <c r="D89" i="19"/>
  <c r="B89" i="19"/>
  <c r="L88" i="19"/>
  <c r="F88" i="19"/>
  <c r="H88" i="19" s="1"/>
  <c r="D88" i="19"/>
  <c r="H87" i="19"/>
  <c r="F80" i="19"/>
  <c r="D80" i="19"/>
  <c r="B80" i="19"/>
  <c r="F79" i="19"/>
  <c r="D79" i="19"/>
  <c r="B79" i="19"/>
  <c r="F78" i="19"/>
  <c r="H78" i="19" s="1"/>
  <c r="D78" i="19"/>
  <c r="B77" i="19"/>
  <c r="D77" i="19" s="1"/>
  <c r="H76" i="19"/>
  <c r="C76" i="19"/>
  <c r="C65" i="19" s="1"/>
  <c r="B76" i="19"/>
  <c r="D76" i="19" s="1"/>
  <c r="D72" i="19"/>
  <c r="G71" i="19"/>
  <c r="F71" i="19"/>
  <c r="E71" i="19"/>
  <c r="D71" i="19"/>
  <c r="G70" i="19"/>
  <c r="F70" i="19"/>
  <c r="E70" i="19"/>
  <c r="D70" i="19"/>
  <c r="G69" i="19"/>
  <c r="F69" i="19"/>
  <c r="E69" i="19"/>
  <c r="E72" i="19" s="1"/>
  <c r="D69" i="19"/>
  <c r="C69" i="19"/>
  <c r="B69" i="19"/>
  <c r="F87" i="19" s="1"/>
  <c r="G68" i="19"/>
  <c r="G72" i="19" s="1"/>
  <c r="F68" i="19"/>
  <c r="F72" i="19" s="1"/>
  <c r="E68" i="19"/>
  <c r="D68" i="19"/>
  <c r="C68" i="19"/>
  <c r="C72" i="19" s="1"/>
  <c r="D66" i="19"/>
  <c r="G65" i="19"/>
  <c r="F65" i="19"/>
  <c r="E65" i="19"/>
  <c r="E66" i="19" s="1"/>
  <c r="D65" i="19"/>
  <c r="G64" i="19"/>
  <c r="G66" i="19" s="1"/>
  <c r="F64" i="19"/>
  <c r="F66" i="19" s="1"/>
  <c r="E64" i="19"/>
  <c r="D64" i="19"/>
  <c r="C64" i="19"/>
  <c r="C66" i="19" s="1"/>
  <c r="B64" i="19"/>
  <c r="E54" i="19"/>
  <c r="D49" i="19"/>
  <c r="C49" i="19"/>
  <c r="H47" i="19"/>
  <c r="B47" i="19"/>
  <c r="B34" i="19" s="1"/>
  <c r="J43" i="19"/>
  <c r="I43" i="19"/>
  <c r="I45" i="19" s="1"/>
  <c r="H43" i="19"/>
  <c r="G43" i="19"/>
  <c r="F43" i="19"/>
  <c r="D43" i="19"/>
  <c r="C43" i="19"/>
  <c r="J35" i="19"/>
  <c r="J45" i="19" s="1"/>
  <c r="I35" i="19"/>
  <c r="G35" i="19"/>
  <c r="G45" i="19" s="1"/>
  <c r="F35" i="19"/>
  <c r="F45" i="19" s="1"/>
  <c r="D35" i="19"/>
  <c r="C35" i="19"/>
  <c r="C45" i="19" s="1"/>
  <c r="H31" i="19"/>
  <c r="H35" i="19" s="1"/>
  <c r="H45" i="19" s="1"/>
  <c r="B31" i="19"/>
  <c r="B30" i="19"/>
  <c r="I27" i="19"/>
  <c r="D27" i="19"/>
  <c r="J27" i="19" s="1"/>
  <c r="C27" i="19"/>
  <c r="B27" i="19"/>
  <c r="H27" i="19" s="1"/>
  <c r="H24" i="19"/>
  <c r="E24" i="19"/>
  <c r="J20" i="19"/>
  <c r="I20" i="19"/>
  <c r="G20" i="19"/>
  <c r="F20" i="19"/>
  <c r="D20" i="19"/>
  <c r="C20" i="19"/>
  <c r="J12" i="19"/>
  <c r="J22" i="19" s="1"/>
  <c r="I12" i="19"/>
  <c r="I22" i="19" s="1"/>
  <c r="G12" i="19"/>
  <c r="G22" i="19" s="1"/>
  <c r="F12" i="19"/>
  <c r="F22" i="19" s="1"/>
  <c r="D12" i="19"/>
  <c r="D22" i="19" s="1"/>
  <c r="C12" i="19"/>
  <c r="C22" i="19" s="1"/>
  <c r="H7" i="19"/>
  <c r="J4" i="19"/>
  <c r="I4" i="19"/>
  <c r="H4" i="19"/>
  <c r="G4" i="19"/>
  <c r="F4" i="19"/>
  <c r="E4" i="19"/>
  <c r="L208" i="18"/>
  <c r="C196" i="18"/>
  <c r="B196" i="18" s="1"/>
  <c r="C195" i="18"/>
  <c r="B195" i="18"/>
  <c r="E194" i="18"/>
  <c r="B194" i="18"/>
  <c r="D194" i="18" s="1"/>
  <c r="B176" i="18"/>
  <c r="I170" i="18"/>
  <c r="J170" i="18" s="1"/>
  <c r="H31" i="18" s="1"/>
  <c r="H35" i="18" s="1"/>
  <c r="H45" i="18" s="1"/>
  <c r="G170" i="18"/>
  <c r="D170" i="18"/>
  <c r="I169" i="18"/>
  <c r="J169" i="18" s="1"/>
  <c r="J171" i="18" s="1"/>
  <c r="D169" i="18"/>
  <c r="D171" i="18" s="1"/>
  <c r="I164" i="18"/>
  <c r="J164" i="18" s="1"/>
  <c r="H8" i="18" s="1"/>
  <c r="G164" i="18"/>
  <c r="F164" i="18"/>
  <c r="D164" i="18"/>
  <c r="D163" i="18"/>
  <c r="J159" i="18"/>
  <c r="G159" i="18"/>
  <c r="I163" i="18" s="1"/>
  <c r="J163" i="18" s="1"/>
  <c r="B153" i="18"/>
  <c r="B152" i="18"/>
  <c r="D150" i="18"/>
  <c r="F150" i="18" s="1"/>
  <c r="D147" i="18"/>
  <c r="F147" i="18" s="1"/>
  <c r="D146" i="18"/>
  <c r="D152" i="18" s="1"/>
  <c r="F152" i="18" s="1"/>
  <c r="H143" i="18"/>
  <c r="G143" i="18"/>
  <c r="F143" i="18"/>
  <c r="E143" i="18"/>
  <c r="D143" i="18"/>
  <c r="C143" i="18"/>
  <c r="B143" i="18"/>
  <c r="B128" i="18"/>
  <c r="B127" i="18"/>
  <c r="D122" i="18"/>
  <c r="F122" i="18" s="1"/>
  <c r="D121" i="18"/>
  <c r="F121" i="18" s="1"/>
  <c r="H118" i="18"/>
  <c r="G118" i="18"/>
  <c r="F118" i="18"/>
  <c r="E118" i="18"/>
  <c r="D118" i="18"/>
  <c r="C118" i="18"/>
  <c r="B118" i="18"/>
  <c r="B107" i="18"/>
  <c r="B105" i="18"/>
  <c r="B104" i="18"/>
  <c r="B103" i="18"/>
  <c r="F102" i="18"/>
  <c r="H102" i="18" s="1"/>
  <c r="H101" i="18"/>
  <c r="L94" i="18"/>
  <c r="L93" i="18"/>
  <c r="L92" i="18"/>
  <c r="F92" i="18"/>
  <c r="H92" i="18" s="1"/>
  <c r="D92" i="18"/>
  <c r="L91" i="18"/>
  <c r="F91" i="18"/>
  <c r="H91" i="18" s="1"/>
  <c r="D91" i="18"/>
  <c r="L90" i="18"/>
  <c r="B90" i="18"/>
  <c r="L89" i="18"/>
  <c r="F89" i="18"/>
  <c r="H89" i="18" s="1"/>
  <c r="D89" i="18"/>
  <c r="B89" i="18"/>
  <c r="L88" i="18"/>
  <c r="F88" i="18"/>
  <c r="H88" i="18" s="1"/>
  <c r="D88" i="18"/>
  <c r="H87" i="18"/>
  <c r="F80" i="18"/>
  <c r="D80" i="18"/>
  <c r="B80" i="18"/>
  <c r="F79" i="18"/>
  <c r="D79" i="18"/>
  <c r="B79" i="18"/>
  <c r="F78" i="18"/>
  <c r="H78" i="18" s="1"/>
  <c r="D78" i="18"/>
  <c r="B77" i="18"/>
  <c r="D77" i="18" s="1"/>
  <c r="H76" i="18"/>
  <c r="C76" i="18"/>
  <c r="C65" i="18" s="1"/>
  <c r="B76" i="18"/>
  <c r="D76" i="18" s="1"/>
  <c r="D72" i="18"/>
  <c r="G71" i="18"/>
  <c r="F71" i="18"/>
  <c r="E71" i="18"/>
  <c r="D71" i="18"/>
  <c r="G70" i="18"/>
  <c r="F70" i="18"/>
  <c r="E70" i="18"/>
  <c r="D70" i="18"/>
  <c r="G69" i="18"/>
  <c r="F69" i="18"/>
  <c r="E69" i="18"/>
  <c r="E72" i="18" s="1"/>
  <c r="D69" i="18"/>
  <c r="C69" i="18"/>
  <c r="B69" i="18"/>
  <c r="F87" i="18" s="1"/>
  <c r="G68" i="18"/>
  <c r="G72" i="18" s="1"/>
  <c r="F68" i="18"/>
  <c r="F72" i="18" s="1"/>
  <c r="E68" i="18"/>
  <c r="D68" i="18"/>
  <c r="C68" i="18"/>
  <c r="C72" i="18" s="1"/>
  <c r="D66" i="18"/>
  <c r="G65" i="18"/>
  <c r="F65" i="18"/>
  <c r="E65" i="18"/>
  <c r="E66" i="18" s="1"/>
  <c r="D65" i="18"/>
  <c r="G64" i="18"/>
  <c r="G66" i="18" s="1"/>
  <c r="F64" i="18"/>
  <c r="F66" i="18" s="1"/>
  <c r="E64" i="18"/>
  <c r="D64" i="18"/>
  <c r="C64" i="18"/>
  <c r="C66" i="18" s="1"/>
  <c r="B64" i="18"/>
  <c r="E54" i="18"/>
  <c r="D49" i="18"/>
  <c r="C49" i="18"/>
  <c r="H47" i="18"/>
  <c r="B47" i="18"/>
  <c r="B34" i="18" s="1"/>
  <c r="J43" i="18"/>
  <c r="I43" i="18"/>
  <c r="I45" i="18" s="1"/>
  <c r="H43" i="18"/>
  <c r="G43" i="18"/>
  <c r="F43" i="18"/>
  <c r="D43" i="18"/>
  <c r="C43" i="18"/>
  <c r="J35" i="18"/>
  <c r="J45" i="18" s="1"/>
  <c r="I35" i="18"/>
  <c r="G35" i="18"/>
  <c r="G45" i="18" s="1"/>
  <c r="F35" i="18"/>
  <c r="F45" i="18" s="1"/>
  <c r="D35" i="18"/>
  <c r="C35" i="18"/>
  <c r="C45" i="18" s="1"/>
  <c r="B33" i="18"/>
  <c r="B31" i="18"/>
  <c r="B30" i="18"/>
  <c r="I27" i="18"/>
  <c r="H27" i="18"/>
  <c r="D27" i="18"/>
  <c r="J27" i="18" s="1"/>
  <c r="C27" i="18"/>
  <c r="B27" i="18"/>
  <c r="H24" i="18"/>
  <c r="E24" i="18"/>
  <c r="J20" i="18"/>
  <c r="I20" i="18"/>
  <c r="G20" i="18"/>
  <c r="F20" i="18"/>
  <c r="D20" i="18"/>
  <c r="C20" i="18"/>
  <c r="J12" i="18"/>
  <c r="J22" i="18" s="1"/>
  <c r="I12" i="18"/>
  <c r="I22" i="18" s="1"/>
  <c r="G12" i="18"/>
  <c r="G22" i="18" s="1"/>
  <c r="F12" i="18"/>
  <c r="F22" i="18" s="1"/>
  <c r="D12" i="18"/>
  <c r="D22" i="18" s="1"/>
  <c r="C12" i="18"/>
  <c r="C22" i="18" s="1"/>
  <c r="E8" i="18"/>
  <c r="J4" i="18"/>
  <c r="I4" i="18"/>
  <c r="H4" i="18"/>
  <c r="G4" i="18"/>
  <c r="F4" i="18"/>
  <c r="E4" i="18"/>
  <c r="L208" i="17"/>
  <c r="C196" i="17"/>
  <c r="B196" i="17" s="1"/>
  <c r="C195" i="17"/>
  <c r="B195" i="17"/>
  <c r="E194" i="17"/>
  <c r="B194" i="17"/>
  <c r="D194" i="17" s="1"/>
  <c r="B176" i="17"/>
  <c r="I170" i="17"/>
  <c r="J170" i="17" s="1"/>
  <c r="H31" i="17" s="1"/>
  <c r="H35" i="17" s="1"/>
  <c r="H45" i="17" s="1"/>
  <c r="G170" i="17"/>
  <c r="D170" i="17"/>
  <c r="I169" i="17"/>
  <c r="J169" i="17" s="1"/>
  <c r="J171" i="17" s="1"/>
  <c r="D169" i="17"/>
  <c r="D171" i="17" s="1"/>
  <c r="I164" i="17"/>
  <c r="J164" i="17" s="1"/>
  <c r="H8" i="17" s="1"/>
  <c r="F164" i="17"/>
  <c r="G164" i="17" s="1"/>
  <c r="E8" i="17" s="1"/>
  <c r="D164" i="17"/>
  <c r="F163" i="17"/>
  <c r="G163" i="17" s="1"/>
  <c r="D163" i="17"/>
  <c r="J159" i="17"/>
  <c r="G159" i="17"/>
  <c r="I163" i="17" s="1"/>
  <c r="J163" i="17" s="1"/>
  <c r="B153" i="17"/>
  <c r="B152" i="17"/>
  <c r="D147" i="17"/>
  <c r="F147" i="17" s="1"/>
  <c r="D146" i="17"/>
  <c r="D152" i="17" s="1"/>
  <c r="F152" i="17" s="1"/>
  <c r="H143" i="17"/>
  <c r="G143" i="17"/>
  <c r="F143" i="17"/>
  <c r="E143" i="17"/>
  <c r="D143" i="17"/>
  <c r="C143" i="17"/>
  <c r="B143" i="17"/>
  <c r="B128" i="17"/>
  <c r="B127" i="17"/>
  <c r="D122" i="17"/>
  <c r="F122" i="17" s="1"/>
  <c r="D121" i="17"/>
  <c r="F121" i="17" s="1"/>
  <c r="H118" i="17"/>
  <c r="G118" i="17"/>
  <c r="F118" i="17"/>
  <c r="E118" i="17"/>
  <c r="D118" i="17"/>
  <c r="C118" i="17"/>
  <c r="B118" i="17"/>
  <c r="B107" i="17"/>
  <c r="B105" i="17"/>
  <c r="B104" i="17"/>
  <c r="B103" i="17"/>
  <c r="F102" i="17"/>
  <c r="H102" i="17" s="1"/>
  <c r="H101" i="17"/>
  <c r="L94" i="17"/>
  <c r="L93" i="17"/>
  <c r="L92" i="17"/>
  <c r="F92" i="17"/>
  <c r="H92" i="17" s="1"/>
  <c r="D92" i="17"/>
  <c r="L91" i="17"/>
  <c r="F91" i="17"/>
  <c r="H91" i="17" s="1"/>
  <c r="D91" i="17"/>
  <c r="L90" i="17"/>
  <c r="B90" i="17"/>
  <c r="L89" i="17"/>
  <c r="F89" i="17"/>
  <c r="H89" i="17" s="1"/>
  <c r="D89" i="17"/>
  <c r="B89" i="17"/>
  <c r="L88" i="17"/>
  <c r="F88" i="17"/>
  <c r="H88" i="17" s="1"/>
  <c r="D88" i="17"/>
  <c r="F80" i="17"/>
  <c r="B80" i="17"/>
  <c r="D80" i="17" s="1"/>
  <c r="F79" i="17"/>
  <c r="D79" i="17"/>
  <c r="B79" i="17"/>
  <c r="F78" i="17"/>
  <c r="H78" i="17" s="1"/>
  <c r="D78" i="17"/>
  <c r="B77" i="17"/>
  <c r="D77" i="17" s="1"/>
  <c r="H76" i="17"/>
  <c r="C76" i="17"/>
  <c r="C65" i="17" s="1"/>
  <c r="B76" i="17"/>
  <c r="D76" i="17" s="1"/>
  <c r="D72" i="17"/>
  <c r="G71" i="17"/>
  <c r="F71" i="17"/>
  <c r="E71" i="17"/>
  <c r="D71" i="17"/>
  <c r="G70" i="17"/>
  <c r="F70" i="17"/>
  <c r="E70" i="17"/>
  <c r="D70" i="17"/>
  <c r="G69" i="17"/>
  <c r="F69" i="17"/>
  <c r="F72" i="17" s="1"/>
  <c r="E69" i="17"/>
  <c r="E72" i="17" s="1"/>
  <c r="D69" i="17"/>
  <c r="C69" i="17"/>
  <c r="B69" i="17"/>
  <c r="F87" i="17" s="1"/>
  <c r="H87" i="17" s="1"/>
  <c r="G68" i="17"/>
  <c r="G72" i="17" s="1"/>
  <c r="F68" i="17"/>
  <c r="E68" i="17"/>
  <c r="D68" i="17"/>
  <c r="C68" i="17"/>
  <c r="C72" i="17" s="1"/>
  <c r="D66" i="17"/>
  <c r="G65" i="17"/>
  <c r="F65" i="17"/>
  <c r="E65" i="17"/>
  <c r="E66" i="17" s="1"/>
  <c r="D65" i="17"/>
  <c r="G64" i="17"/>
  <c r="G66" i="17" s="1"/>
  <c r="F64" i="17"/>
  <c r="F66" i="17" s="1"/>
  <c r="E64" i="17"/>
  <c r="D64" i="17"/>
  <c r="C64" i="17"/>
  <c r="C66" i="17" s="1"/>
  <c r="B64" i="17"/>
  <c r="E54" i="17"/>
  <c r="D49" i="17"/>
  <c r="C49" i="17"/>
  <c r="H47" i="17"/>
  <c r="B47" i="17"/>
  <c r="B34" i="17" s="1"/>
  <c r="I45" i="17"/>
  <c r="J43" i="17"/>
  <c r="I43" i="17"/>
  <c r="H43" i="17"/>
  <c r="G43" i="17"/>
  <c r="F43" i="17"/>
  <c r="D43" i="17"/>
  <c r="C43" i="17"/>
  <c r="J35" i="17"/>
  <c r="J45" i="17" s="1"/>
  <c r="I35" i="17"/>
  <c r="G35" i="17"/>
  <c r="G45" i="17" s="1"/>
  <c r="F35" i="17"/>
  <c r="F45" i="17" s="1"/>
  <c r="D35" i="17"/>
  <c r="C35" i="17"/>
  <c r="C45" i="17" s="1"/>
  <c r="B33" i="17"/>
  <c r="B31" i="17"/>
  <c r="B30" i="17"/>
  <c r="J27" i="17"/>
  <c r="I27" i="17"/>
  <c r="H27" i="17"/>
  <c r="D27" i="17"/>
  <c r="C27" i="17"/>
  <c r="B27" i="17"/>
  <c r="H24" i="17"/>
  <c r="E24" i="17"/>
  <c r="J20" i="17"/>
  <c r="I20" i="17"/>
  <c r="G20" i="17"/>
  <c r="F20" i="17"/>
  <c r="D20" i="17"/>
  <c r="C20" i="17"/>
  <c r="J12" i="17"/>
  <c r="J22" i="17" s="1"/>
  <c r="I12" i="17"/>
  <c r="I22" i="17" s="1"/>
  <c r="G12" i="17"/>
  <c r="G22" i="17" s="1"/>
  <c r="F12" i="17"/>
  <c r="F22" i="17" s="1"/>
  <c r="D12" i="17"/>
  <c r="D22" i="17" s="1"/>
  <c r="C12" i="17"/>
  <c r="C22" i="17" s="1"/>
  <c r="J4" i="17"/>
  <c r="I4" i="17"/>
  <c r="H4" i="17"/>
  <c r="G4" i="17"/>
  <c r="F4" i="17"/>
  <c r="E4" i="17"/>
  <c r="L208" i="16"/>
  <c r="C196" i="16"/>
  <c r="B196" i="16" s="1"/>
  <c r="C195" i="16"/>
  <c r="B195" i="16"/>
  <c r="E194" i="16"/>
  <c r="B194" i="16"/>
  <c r="D194" i="16" s="1"/>
  <c r="B176" i="16"/>
  <c r="I170" i="16"/>
  <c r="J170" i="16" s="1"/>
  <c r="H31" i="16" s="1"/>
  <c r="H35" i="16" s="1"/>
  <c r="H45" i="16" s="1"/>
  <c r="G170" i="16"/>
  <c r="D170" i="16"/>
  <c r="I169" i="16"/>
  <c r="J169" i="16" s="1"/>
  <c r="J171" i="16" s="1"/>
  <c r="D169" i="16"/>
  <c r="D171" i="16" s="1"/>
  <c r="I164" i="16"/>
  <c r="J164" i="16" s="1"/>
  <c r="H8" i="16" s="1"/>
  <c r="F164" i="16"/>
  <c r="G164" i="16" s="1"/>
  <c r="E8" i="16" s="1"/>
  <c r="D164" i="16"/>
  <c r="J163" i="16"/>
  <c r="J165" i="16" s="1"/>
  <c r="D163" i="16"/>
  <c r="J159" i="16"/>
  <c r="G159" i="16"/>
  <c r="I163" i="16" s="1"/>
  <c r="B153" i="16"/>
  <c r="B152" i="16"/>
  <c r="D150" i="16"/>
  <c r="F150" i="16" s="1"/>
  <c r="D147" i="16"/>
  <c r="F147" i="16" s="1"/>
  <c r="D146" i="16"/>
  <c r="D152" i="16" s="1"/>
  <c r="F152" i="16" s="1"/>
  <c r="H143" i="16"/>
  <c r="G143" i="16"/>
  <c r="F143" i="16"/>
  <c r="E143" i="16"/>
  <c r="D143" i="16"/>
  <c r="C143" i="16"/>
  <c r="B143" i="16"/>
  <c r="B128" i="16"/>
  <c r="B127" i="16"/>
  <c r="D122" i="16"/>
  <c r="F122" i="16" s="1"/>
  <c r="D121" i="16"/>
  <c r="F121" i="16" s="1"/>
  <c r="H118" i="16"/>
  <c r="G118" i="16"/>
  <c r="F118" i="16"/>
  <c r="E118" i="16"/>
  <c r="D118" i="16"/>
  <c r="C118" i="16"/>
  <c r="B118" i="16"/>
  <c r="B107" i="16"/>
  <c r="B105" i="16"/>
  <c r="B104" i="16"/>
  <c r="B103" i="16"/>
  <c r="F102" i="16"/>
  <c r="H102" i="16" s="1"/>
  <c r="H101" i="16"/>
  <c r="L94" i="16"/>
  <c r="L93" i="16"/>
  <c r="L92" i="16"/>
  <c r="F92" i="16"/>
  <c r="H92" i="16" s="1"/>
  <c r="D92" i="16"/>
  <c r="L91" i="16"/>
  <c r="F91" i="16"/>
  <c r="H91" i="16" s="1"/>
  <c r="D91" i="16"/>
  <c r="L90" i="16"/>
  <c r="B90" i="16"/>
  <c r="L89" i="16"/>
  <c r="F89" i="16"/>
  <c r="H89" i="16" s="1"/>
  <c r="D89" i="16"/>
  <c r="B89" i="16"/>
  <c r="L88" i="16"/>
  <c r="F88" i="16"/>
  <c r="H88" i="16" s="1"/>
  <c r="D88" i="16"/>
  <c r="F80" i="16"/>
  <c r="B80" i="16"/>
  <c r="D80" i="16" s="1"/>
  <c r="F79" i="16"/>
  <c r="D79" i="16"/>
  <c r="B79" i="16"/>
  <c r="F78" i="16"/>
  <c r="H78" i="16" s="1"/>
  <c r="D78" i="16"/>
  <c r="B77" i="16"/>
  <c r="D77" i="16" s="1"/>
  <c r="H76" i="16"/>
  <c r="C76" i="16"/>
  <c r="C65" i="16" s="1"/>
  <c r="B76" i="16"/>
  <c r="D76" i="16" s="1"/>
  <c r="D72" i="16"/>
  <c r="G71" i="16"/>
  <c r="F71" i="16"/>
  <c r="E71" i="16"/>
  <c r="D71" i="16"/>
  <c r="G70" i="16"/>
  <c r="F70" i="16"/>
  <c r="E70" i="16"/>
  <c r="D70" i="16"/>
  <c r="G69" i="16"/>
  <c r="F69" i="16"/>
  <c r="F72" i="16" s="1"/>
  <c r="E69" i="16"/>
  <c r="E72" i="16" s="1"/>
  <c r="D69" i="16"/>
  <c r="C69" i="16"/>
  <c r="B69" i="16"/>
  <c r="F87" i="16" s="1"/>
  <c r="H87" i="16" s="1"/>
  <c r="G68" i="16"/>
  <c r="G72" i="16" s="1"/>
  <c r="F68" i="16"/>
  <c r="E68" i="16"/>
  <c r="D68" i="16"/>
  <c r="C68" i="16"/>
  <c r="C72" i="16" s="1"/>
  <c r="D66" i="16"/>
  <c r="G65" i="16"/>
  <c r="F65" i="16"/>
  <c r="E65" i="16"/>
  <c r="E66" i="16" s="1"/>
  <c r="D65" i="16"/>
  <c r="G64" i="16"/>
  <c r="G66" i="16" s="1"/>
  <c r="F64" i="16"/>
  <c r="F66" i="16" s="1"/>
  <c r="E64" i="16"/>
  <c r="D64" i="16"/>
  <c r="C64" i="16"/>
  <c r="B64" i="16"/>
  <c r="E54" i="16"/>
  <c r="D49" i="16"/>
  <c r="C49" i="16"/>
  <c r="H47" i="16"/>
  <c r="B47" i="16"/>
  <c r="B34" i="16" s="1"/>
  <c r="J43" i="16"/>
  <c r="I43" i="16"/>
  <c r="I45" i="16" s="1"/>
  <c r="H43" i="16"/>
  <c r="G43" i="16"/>
  <c r="F43" i="16"/>
  <c r="D43" i="16"/>
  <c r="C43" i="16"/>
  <c r="J35" i="16"/>
  <c r="J45" i="16" s="1"/>
  <c r="I35" i="16"/>
  <c r="G35" i="16"/>
  <c r="G45" i="16" s="1"/>
  <c r="F35" i="16"/>
  <c r="F45" i="16" s="1"/>
  <c r="D35" i="16"/>
  <c r="C35" i="16"/>
  <c r="C45" i="16" s="1"/>
  <c r="B31" i="16"/>
  <c r="B30" i="16"/>
  <c r="J27" i="16"/>
  <c r="I27" i="16"/>
  <c r="H27" i="16"/>
  <c r="D27" i="16"/>
  <c r="C27" i="16"/>
  <c r="B27" i="16"/>
  <c r="H24" i="16"/>
  <c r="E24" i="16"/>
  <c r="I22" i="16"/>
  <c r="J20" i="16"/>
  <c r="I20" i="16"/>
  <c r="G20" i="16"/>
  <c r="F20" i="16"/>
  <c r="D20" i="16"/>
  <c r="C20" i="16"/>
  <c r="J12" i="16"/>
  <c r="J22" i="16" s="1"/>
  <c r="I12" i="16"/>
  <c r="G12" i="16"/>
  <c r="G22" i="16" s="1"/>
  <c r="F12" i="16"/>
  <c r="F22" i="16" s="1"/>
  <c r="D12" i="16"/>
  <c r="D22" i="16" s="1"/>
  <c r="C12" i="16"/>
  <c r="C22" i="16" s="1"/>
  <c r="H7" i="16"/>
  <c r="J4" i="16"/>
  <c r="I4" i="16"/>
  <c r="H4" i="16"/>
  <c r="G4" i="16"/>
  <c r="F4" i="16"/>
  <c r="E4" i="16"/>
  <c r="L208" i="15"/>
  <c r="E196" i="15"/>
  <c r="C196" i="15"/>
  <c r="B196" i="15"/>
  <c r="D196" i="15" s="1"/>
  <c r="E195" i="15"/>
  <c r="D195" i="15"/>
  <c r="C195" i="15"/>
  <c r="B195" i="15"/>
  <c r="B194" i="15"/>
  <c r="B176" i="15"/>
  <c r="I170" i="15"/>
  <c r="J170" i="15" s="1"/>
  <c r="H31" i="15" s="1"/>
  <c r="G170" i="15"/>
  <c r="D170" i="15"/>
  <c r="D171" i="15" s="1"/>
  <c r="I169" i="15"/>
  <c r="J169" i="15" s="1"/>
  <c r="J171" i="15" s="1"/>
  <c r="F169" i="15"/>
  <c r="G169" i="15" s="1"/>
  <c r="D169" i="15"/>
  <c r="I164" i="15"/>
  <c r="J164" i="15" s="1"/>
  <c r="F164" i="15"/>
  <c r="G164" i="15" s="1"/>
  <c r="D164" i="15"/>
  <c r="D165" i="15" s="1"/>
  <c r="I163" i="15"/>
  <c r="J163" i="15" s="1"/>
  <c r="D163" i="15"/>
  <c r="J159" i="15"/>
  <c r="G159" i="15"/>
  <c r="F163" i="15" s="1"/>
  <c r="G163" i="15" s="1"/>
  <c r="B153" i="15"/>
  <c r="B152" i="15"/>
  <c r="D149" i="15"/>
  <c r="F149" i="15" s="1"/>
  <c r="D147" i="15"/>
  <c r="F147" i="15" s="1"/>
  <c r="D146" i="15"/>
  <c r="H143" i="15"/>
  <c r="G143" i="15"/>
  <c r="F143" i="15"/>
  <c r="E143" i="15"/>
  <c r="D143" i="15"/>
  <c r="C143" i="15"/>
  <c r="B143" i="15"/>
  <c r="B128" i="15"/>
  <c r="B127" i="15"/>
  <c r="D122" i="15"/>
  <c r="F122" i="15" s="1"/>
  <c r="D121" i="15"/>
  <c r="F121" i="15" s="1"/>
  <c r="H118" i="15"/>
  <c r="G118" i="15"/>
  <c r="F118" i="15"/>
  <c r="E118" i="15"/>
  <c r="D118" i="15"/>
  <c r="C118" i="15"/>
  <c r="F102" i="15" s="1"/>
  <c r="H102" i="15" s="1"/>
  <c r="B118" i="15"/>
  <c r="B107" i="15"/>
  <c r="B105" i="15"/>
  <c r="B104" i="15"/>
  <c r="B103" i="15"/>
  <c r="H101" i="15"/>
  <c r="L94" i="15"/>
  <c r="L93" i="15"/>
  <c r="L92" i="15"/>
  <c r="F92" i="15"/>
  <c r="H92" i="15" s="1"/>
  <c r="D92" i="15"/>
  <c r="L91" i="15"/>
  <c r="F91" i="15"/>
  <c r="H91" i="15" s="1"/>
  <c r="D91" i="15"/>
  <c r="L90" i="15"/>
  <c r="F90" i="15"/>
  <c r="H90" i="15" s="1"/>
  <c r="B90" i="15"/>
  <c r="D90" i="15" s="1"/>
  <c r="L89" i="15"/>
  <c r="B89" i="15"/>
  <c r="F89" i="15" s="1"/>
  <c r="H89" i="15" s="1"/>
  <c r="L88" i="15"/>
  <c r="F88" i="15"/>
  <c r="H88" i="15" s="1"/>
  <c r="D88" i="15"/>
  <c r="F87" i="15"/>
  <c r="H87" i="15" s="1"/>
  <c r="J86" i="15"/>
  <c r="L86" i="15" s="1"/>
  <c r="H86" i="15"/>
  <c r="B86" i="15"/>
  <c r="D86" i="15" s="1"/>
  <c r="B80" i="15"/>
  <c r="B79" i="15"/>
  <c r="F79" i="15" s="1"/>
  <c r="H78" i="15"/>
  <c r="F78" i="15"/>
  <c r="D78" i="15"/>
  <c r="F77" i="15"/>
  <c r="H77" i="15" s="1"/>
  <c r="H82" i="15" s="1"/>
  <c r="E6" i="15" s="1"/>
  <c r="B77" i="15"/>
  <c r="D77" i="15" s="1"/>
  <c r="H76" i="15"/>
  <c r="D76" i="15"/>
  <c r="C76" i="15"/>
  <c r="B76" i="15"/>
  <c r="F72" i="15"/>
  <c r="G71" i="15"/>
  <c r="F71" i="15"/>
  <c r="E71" i="15"/>
  <c r="D71" i="15"/>
  <c r="G70" i="15"/>
  <c r="F70" i="15"/>
  <c r="E70" i="15"/>
  <c r="D70" i="15"/>
  <c r="G69" i="15"/>
  <c r="G72" i="15" s="1"/>
  <c r="F69" i="15"/>
  <c r="E69" i="15"/>
  <c r="D69" i="15"/>
  <c r="D72" i="15" s="1"/>
  <c r="C69" i="15"/>
  <c r="C72" i="15" s="1"/>
  <c r="B69" i="15"/>
  <c r="J87" i="15" s="1"/>
  <c r="L87" i="15" s="1"/>
  <c r="G68" i="15"/>
  <c r="F68" i="15"/>
  <c r="E68" i="15"/>
  <c r="E72" i="15" s="1"/>
  <c r="D68" i="15"/>
  <c r="C68" i="15"/>
  <c r="F66" i="15"/>
  <c r="G65" i="15"/>
  <c r="G66" i="15" s="1"/>
  <c r="F65" i="15"/>
  <c r="E65" i="15"/>
  <c r="D65" i="15"/>
  <c r="C65" i="15"/>
  <c r="C66" i="15" s="1"/>
  <c r="G64" i="15"/>
  <c r="F64" i="15"/>
  <c r="E64" i="15"/>
  <c r="E66" i="15" s="1"/>
  <c r="D64" i="15"/>
  <c r="D66" i="15" s="1"/>
  <c r="C64" i="15"/>
  <c r="B64" i="15"/>
  <c r="F86" i="15" s="1"/>
  <c r="E54" i="15"/>
  <c r="D49" i="15"/>
  <c r="C49" i="15"/>
  <c r="H47" i="15"/>
  <c r="B47" i="15"/>
  <c r="B32" i="15" s="1"/>
  <c r="J43" i="15"/>
  <c r="I43" i="15"/>
  <c r="H43" i="15"/>
  <c r="G43" i="15"/>
  <c r="G45" i="15" s="1"/>
  <c r="F43" i="15"/>
  <c r="D43" i="15"/>
  <c r="C43" i="15"/>
  <c r="C45" i="15" s="1"/>
  <c r="J35" i="15"/>
  <c r="J45" i="15" s="1"/>
  <c r="I35" i="15"/>
  <c r="I45" i="15" s="1"/>
  <c r="H35" i="15"/>
  <c r="H45" i="15" s="1"/>
  <c r="G35" i="15"/>
  <c r="F35" i="15"/>
  <c r="F45" i="15" s="1"/>
  <c r="D35" i="15"/>
  <c r="C35" i="15"/>
  <c r="B33" i="15"/>
  <c r="B31" i="15"/>
  <c r="B30" i="15"/>
  <c r="J27" i="15"/>
  <c r="H27" i="15"/>
  <c r="D27" i="15"/>
  <c r="C27" i="15"/>
  <c r="I27" i="15" s="1"/>
  <c r="B27" i="15"/>
  <c r="H24" i="15"/>
  <c r="E24" i="15"/>
  <c r="J20" i="15"/>
  <c r="I20" i="15"/>
  <c r="G20" i="15"/>
  <c r="F20" i="15"/>
  <c r="D20" i="15"/>
  <c r="C20" i="15"/>
  <c r="J12" i="15"/>
  <c r="J22" i="15" s="1"/>
  <c r="I12" i="15"/>
  <c r="I22" i="15" s="1"/>
  <c r="G12" i="15"/>
  <c r="G22" i="15" s="1"/>
  <c r="F12" i="15"/>
  <c r="F22" i="15" s="1"/>
  <c r="D12" i="15"/>
  <c r="D22" i="15" s="1"/>
  <c r="C12" i="15"/>
  <c r="C22" i="15" s="1"/>
  <c r="H8" i="15"/>
  <c r="E8" i="15"/>
  <c r="J4" i="15"/>
  <c r="I4" i="15"/>
  <c r="H4" i="15"/>
  <c r="G4" i="15"/>
  <c r="F4" i="15"/>
  <c r="E4" i="15"/>
  <c r="B153" i="14"/>
  <c r="B152" i="14"/>
  <c r="F147" i="14"/>
  <c r="D147" i="14"/>
  <c r="D150" i="14" s="1"/>
  <c r="F150" i="14" s="1"/>
  <c r="D146" i="14"/>
  <c r="D152" i="14" s="1"/>
  <c r="F152" i="14" s="1"/>
  <c r="H143" i="14"/>
  <c r="G143" i="14"/>
  <c r="F143" i="14"/>
  <c r="E143" i="14"/>
  <c r="D143" i="14"/>
  <c r="C143" i="14"/>
  <c r="B143" i="14"/>
  <c r="D128" i="14"/>
  <c r="D127" i="14"/>
  <c r="D125" i="14"/>
  <c r="D124" i="14"/>
  <c r="E47" i="17" l="1"/>
  <c r="E40" i="17" s="1"/>
  <c r="E47" i="25"/>
  <c r="H181" i="25" s="1"/>
  <c r="E33" i="25" s="1"/>
  <c r="H181" i="21"/>
  <c r="E33" i="21" s="1"/>
  <c r="B102" i="23"/>
  <c r="D102" i="23" s="1"/>
  <c r="B60" i="23"/>
  <c r="C60" i="23" s="1"/>
  <c r="J184" i="23"/>
  <c r="B11" i="23" s="1"/>
  <c r="B17" i="23"/>
  <c r="H5" i="26"/>
  <c r="E47" i="22"/>
  <c r="E40" i="22" s="1"/>
  <c r="B102" i="15"/>
  <c r="D102" i="15" s="1"/>
  <c r="B24" i="15"/>
  <c r="B8" i="15" s="1"/>
  <c r="B60" i="15"/>
  <c r="C56" i="15" s="1"/>
  <c r="B60" i="21"/>
  <c r="C60" i="21" s="1"/>
  <c r="B24" i="21"/>
  <c r="B14" i="21" s="1"/>
  <c r="B102" i="21"/>
  <c r="D102" i="21" s="1"/>
  <c r="B24" i="16"/>
  <c r="B49" i="16" s="1"/>
  <c r="B102" i="16"/>
  <c r="D102" i="16" s="1"/>
  <c r="B102" i="22"/>
  <c r="D102" i="22" s="1"/>
  <c r="D108" i="22" s="1"/>
  <c r="E102" i="22" s="1"/>
  <c r="B24" i="22"/>
  <c r="J184" i="22" s="1"/>
  <c r="B11" i="22" s="1"/>
  <c r="B102" i="17"/>
  <c r="D102" i="17" s="1"/>
  <c r="D108" i="17" s="1"/>
  <c r="E102" i="17" s="1"/>
  <c r="B60" i="17"/>
  <c r="C60" i="17" s="1"/>
  <c r="B24" i="17"/>
  <c r="J184" i="17" s="1"/>
  <c r="B11" i="17" s="1"/>
  <c r="B102" i="24"/>
  <c r="D102" i="24" s="1"/>
  <c r="D108" i="24" s="1"/>
  <c r="E102" i="24" s="1"/>
  <c r="B24" i="24"/>
  <c r="B8" i="24" s="1"/>
  <c r="J184" i="18"/>
  <c r="B11" i="18" s="1"/>
  <c r="B17" i="18"/>
  <c r="B8" i="18"/>
  <c r="B60" i="19"/>
  <c r="C59" i="19" s="1"/>
  <c r="B102" i="19"/>
  <c r="D102" i="19" s="1"/>
  <c r="D108" i="19" s="1"/>
  <c r="E102" i="19" s="1"/>
  <c r="B24" i="19"/>
  <c r="J184" i="19" s="1"/>
  <c r="B11" i="19" s="1"/>
  <c r="B102" i="25"/>
  <c r="D102" i="25" s="1"/>
  <c r="D108" i="25" s="1"/>
  <c r="E102" i="25" s="1"/>
  <c r="B24" i="25"/>
  <c r="B7" i="25" s="1"/>
  <c r="B60" i="25"/>
  <c r="C60" i="25" s="1"/>
  <c r="E47" i="19"/>
  <c r="L209" i="19" s="1"/>
  <c r="L210" i="19" s="1"/>
  <c r="B106" i="21"/>
  <c r="D106" i="21" s="1"/>
  <c r="B106" i="15"/>
  <c r="D106" i="15" s="1"/>
  <c r="B102" i="18"/>
  <c r="D102" i="18" s="1"/>
  <c r="D108" i="18" s="1"/>
  <c r="E106" i="18" s="1"/>
  <c r="B24" i="20"/>
  <c r="B18" i="20" s="1"/>
  <c r="B106" i="23"/>
  <c r="D106" i="23" s="1"/>
  <c r="D108" i="23" s="1"/>
  <c r="E102" i="23" s="1"/>
  <c r="B60" i="16"/>
  <c r="C60" i="16" s="1"/>
  <c r="B106" i="16"/>
  <c r="D106" i="16" s="1"/>
  <c r="E47" i="24"/>
  <c r="E40" i="24" s="1"/>
  <c r="E47" i="18"/>
  <c r="E40" i="18" s="1"/>
  <c r="E31" i="21"/>
  <c r="B60" i="22"/>
  <c r="C60" i="22" s="1"/>
  <c r="B60" i="20"/>
  <c r="C54" i="20" s="1"/>
  <c r="B60" i="24"/>
  <c r="C60" i="24" s="1"/>
  <c r="E40" i="16"/>
  <c r="E31" i="16"/>
  <c r="B60" i="18"/>
  <c r="C57" i="18" s="1"/>
  <c r="E47" i="20"/>
  <c r="G171" i="15"/>
  <c r="E31" i="25"/>
  <c r="E40" i="25"/>
  <c r="B8" i="23"/>
  <c r="H181" i="23"/>
  <c r="E33" i="23" s="1"/>
  <c r="B49" i="23"/>
  <c r="E31" i="23"/>
  <c r="J181" i="23"/>
  <c r="B10" i="23" s="1"/>
  <c r="B33" i="21"/>
  <c r="E40" i="21"/>
  <c r="B33" i="20"/>
  <c r="B33" i="19"/>
  <c r="J181" i="18"/>
  <c r="B10" i="18" s="1"/>
  <c r="H181" i="17"/>
  <c r="E33" i="17" s="1"/>
  <c r="E31" i="17"/>
  <c r="E33" i="16"/>
  <c r="E10" i="16"/>
  <c r="B33" i="16"/>
  <c r="B34" i="15"/>
  <c r="D90" i="25"/>
  <c r="F90" i="25"/>
  <c r="H90" i="25" s="1"/>
  <c r="J165" i="25"/>
  <c r="D196" i="25"/>
  <c r="E196" i="25"/>
  <c r="E10" i="25"/>
  <c r="G22" i="25"/>
  <c r="C66" i="25"/>
  <c r="H10" i="25"/>
  <c r="J86" i="25"/>
  <c r="L86" i="25" s="1"/>
  <c r="B86" i="25"/>
  <c r="D86" i="25" s="1"/>
  <c r="D96" i="25" s="1"/>
  <c r="H6" i="25" s="1"/>
  <c r="F86" i="25"/>
  <c r="H86" i="25" s="1"/>
  <c r="E195" i="25"/>
  <c r="D195" i="25"/>
  <c r="D82" i="25"/>
  <c r="B29" i="25" s="1"/>
  <c r="D124" i="25"/>
  <c r="D165" i="25"/>
  <c r="J87" i="25"/>
  <c r="L87" i="25" s="1"/>
  <c r="B32" i="25"/>
  <c r="F77" i="25"/>
  <c r="H77" i="25" s="1"/>
  <c r="H82" i="25" s="1"/>
  <c r="E6" i="25" s="1"/>
  <c r="F103" i="25"/>
  <c r="H103" i="25" s="1"/>
  <c r="D125" i="25"/>
  <c r="D149" i="25"/>
  <c r="F149" i="25" s="1"/>
  <c r="D153" i="25"/>
  <c r="F153" i="25" s="1"/>
  <c r="F169" i="25"/>
  <c r="G169" i="25" s="1"/>
  <c r="H177" i="25"/>
  <c r="E32" i="25" s="1"/>
  <c r="H184" i="25"/>
  <c r="L209" i="25"/>
  <c r="L210" i="25" s="1"/>
  <c r="B87" i="25"/>
  <c r="D87" i="25" s="1"/>
  <c r="F163" i="25"/>
  <c r="G163" i="25" s="1"/>
  <c r="E34" i="25"/>
  <c r="F146" i="25"/>
  <c r="J165" i="24"/>
  <c r="E196" i="24"/>
  <c r="D196" i="24"/>
  <c r="C66" i="24"/>
  <c r="J86" i="24"/>
  <c r="L86" i="24" s="1"/>
  <c r="B86" i="24"/>
  <c r="D86" i="24" s="1"/>
  <c r="F86" i="24"/>
  <c r="H86" i="24" s="1"/>
  <c r="F90" i="24"/>
  <c r="H90" i="24" s="1"/>
  <c r="D90" i="24"/>
  <c r="E195" i="24"/>
  <c r="D195" i="24"/>
  <c r="D82" i="24"/>
  <c r="D124" i="24"/>
  <c r="D165" i="24"/>
  <c r="J87" i="24"/>
  <c r="L87" i="24" s="1"/>
  <c r="F163" i="24"/>
  <c r="G163" i="24" s="1"/>
  <c r="B32" i="24"/>
  <c r="F77" i="24"/>
  <c r="H77" i="24" s="1"/>
  <c r="H82" i="24" s="1"/>
  <c r="E6" i="24" s="1"/>
  <c r="F103" i="24"/>
  <c r="H103" i="24" s="1"/>
  <c r="D125" i="24"/>
  <c r="D149" i="24"/>
  <c r="F149" i="24" s="1"/>
  <c r="D153" i="24"/>
  <c r="F153" i="24" s="1"/>
  <c r="F169" i="24"/>
  <c r="G169" i="24" s="1"/>
  <c r="B87" i="24"/>
  <c r="D87" i="24" s="1"/>
  <c r="F146" i="24"/>
  <c r="B14" i="23"/>
  <c r="J86" i="23"/>
  <c r="L86" i="23" s="1"/>
  <c r="B86" i="23"/>
  <c r="D86" i="23" s="1"/>
  <c r="F86" i="23"/>
  <c r="H86" i="23" s="1"/>
  <c r="F90" i="23"/>
  <c r="H90" i="23" s="1"/>
  <c r="D90" i="23"/>
  <c r="J165" i="23"/>
  <c r="D196" i="23"/>
  <c r="E196" i="23"/>
  <c r="C66" i="23"/>
  <c r="E10" i="23"/>
  <c r="C22" i="23"/>
  <c r="E195" i="23"/>
  <c r="D195" i="23"/>
  <c r="H10" i="23"/>
  <c r="D82" i="23"/>
  <c r="D124" i="23"/>
  <c r="D165" i="23"/>
  <c r="B7" i="23"/>
  <c r="J87" i="23"/>
  <c r="L87" i="23" s="1"/>
  <c r="B32" i="23"/>
  <c r="F77" i="23"/>
  <c r="H77" i="23" s="1"/>
  <c r="H82" i="23" s="1"/>
  <c r="E6" i="23" s="1"/>
  <c r="F103" i="23"/>
  <c r="H103" i="23" s="1"/>
  <c r="D125" i="23"/>
  <c r="D149" i="23"/>
  <c r="F149" i="23" s="1"/>
  <c r="D153" i="23"/>
  <c r="F153" i="23" s="1"/>
  <c r="B15" i="23" s="1"/>
  <c r="F169" i="23"/>
  <c r="G169" i="23" s="1"/>
  <c r="H177" i="23"/>
  <c r="H184" i="23"/>
  <c r="L209" i="23"/>
  <c r="L210" i="23" s="1"/>
  <c r="B87" i="23"/>
  <c r="D87" i="23" s="1"/>
  <c r="F163" i="23"/>
  <c r="G163" i="23" s="1"/>
  <c r="F146" i="23"/>
  <c r="J177" i="23"/>
  <c r="B9" i="23" s="1"/>
  <c r="J86" i="22"/>
  <c r="L86" i="22" s="1"/>
  <c r="B86" i="22"/>
  <c r="D86" i="22" s="1"/>
  <c r="F86" i="22"/>
  <c r="H86" i="22" s="1"/>
  <c r="H96" i="22" s="1"/>
  <c r="D90" i="22"/>
  <c r="F90" i="22"/>
  <c r="H90" i="22" s="1"/>
  <c r="H7" i="22"/>
  <c r="G22" i="22"/>
  <c r="D196" i="22"/>
  <c r="E196" i="22"/>
  <c r="C66" i="22"/>
  <c r="E195" i="22"/>
  <c r="D195" i="22"/>
  <c r="D82" i="22"/>
  <c r="B29" i="22" s="1"/>
  <c r="D124" i="22"/>
  <c r="D165" i="22"/>
  <c r="J87" i="22"/>
  <c r="L87" i="22" s="1"/>
  <c r="F163" i="22"/>
  <c r="G163" i="22" s="1"/>
  <c r="B32" i="22"/>
  <c r="F77" i="22"/>
  <c r="H77" i="22" s="1"/>
  <c r="H82" i="22" s="1"/>
  <c r="E6" i="22" s="1"/>
  <c r="F103" i="22"/>
  <c r="H103" i="22" s="1"/>
  <c r="D125" i="22"/>
  <c r="D149" i="22"/>
  <c r="F149" i="22" s="1"/>
  <c r="D153" i="22"/>
  <c r="F153" i="22" s="1"/>
  <c r="F169" i="22"/>
  <c r="G169" i="22" s="1"/>
  <c r="B87" i="22"/>
  <c r="D87" i="22" s="1"/>
  <c r="F146" i="22"/>
  <c r="H7" i="21"/>
  <c r="E10" i="21"/>
  <c r="G22" i="21"/>
  <c r="J86" i="21"/>
  <c r="L86" i="21" s="1"/>
  <c r="L96" i="21" s="1"/>
  <c r="E29" i="21" s="1"/>
  <c r="B86" i="21"/>
  <c r="D86" i="21" s="1"/>
  <c r="D96" i="21" s="1"/>
  <c r="H6" i="21" s="1"/>
  <c r="F86" i="21"/>
  <c r="H86" i="21" s="1"/>
  <c r="F90" i="21"/>
  <c r="H90" i="21" s="1"/>
  <c r="D90" i="21"/>
  <c r="E196" i="21"/>
  <c r="D196" i="21"/>
  <c r="C66" i="21"/>
  <c r="E195" i="21"/>
  <c r="D195" i="21"/>
  <c r="H10" i="21"/>
  <c r="D82" i="21"/>
  <c r="B29" i="21" s="1"/>
  <c r="D124" i="21"/>
  <c r="D165" i="21"/>
  <c r="B87" i="21"/>
  <c r="D87" i="21" s="1"/>
  <c r="F163" i="21"/>
  <c r="G163" i="21" s="1"/>
  <c r="B32" i="21"/>
  <c r="F77" i="21"/>
  <c r="H77" i="21" s="1"/>
  <c r="H82" i="21" s="1"/>
  <c r="E6" i="21" s="1"/>
  <c r="F103" i="21"/>
  <c r="H103" i="21" s="1"/>
  <c r="D125" i="21"/>
  <c r="D149" i="21"/>
  <c r="F149" i="21" s="1"/>
  <c r="D153" i="21"/>
  <c r="F153" i="21" s="1"/>
  <c r="F169" i="21"/>
  <c r="G169" i="21" s="1"/>
  <c r="H177" i="21"/>
  <c r="E32" i="21" s="1"/>
  <c r="H184" i="21"/>
  <c r="L209" i="21"/>
  <c r="L210" i="21" s="1"/>
  <c r="J87" i="21"/>
  <c r="L87" i="21" s="1"/>
  <c r="F146" i="21"/>
  <c r="F155" i="20"/>
  <c r="J86" i="20"/>
  <c r="L86" i="20" s="1"/>
  <c r="L96" i="20" s="1"/>
  <c r="B86" i="20"/>
  <c r="D86" i="20" s="1"/>
  <c r="F86" i="20"/>
  <c r="H86" i="20" s="1"/>
  <c r="J165" i="20"/>
  <c r="E196" i="20"/>
  <c r="D196" i="20"/>
  <c r="F22" i="20"/>
  <c r="D90" i="20"/>
  <c r="F90" i="20"/>
  <c r="H90" i="20" s="1"/>
  <c r="C66" i="20"/>
  <c r="D108" i="20"/>
  <c r="E195" i="20"/>
  <c r="D195" i="20"/>
  <c r="D82" i="20"/>
  <c r="B108" i="20"/>
  <c r="D124" i="20"/>
  <c r="D165" i="20"/>
  <c r="B87" i="20"/>
  <c r="D87" i="20" s="1"/>
  <c r="B32" i="20"/>
  <c r="F77" i="20"/>
  <c r="H77" i="20" s="1"/>
  <c r="H82" i="20" s="1"/>
  <c r="E6" i="20" s="1"/>
  <c r="F103" i="20"/>
  <c r="H103" i="20" s="1"/>
  <c r="D125" i="20"/>
  <c r="D149" i="20"/>
  <c r="F149" i="20" s="1"/>
  <c r="D153" i="20"/>
  <c r="F153" i="20" s="1"/>
  <c r="F169" i="20"/>
  <c r="G169" i="20" s="1"/>
  <c r="J87" i="20"/>
  <c r="L87" i="20" s="1"/>
  <c r="F163" i="20"/>
  <c r="G163" i="20" s="1"/>
  <c r="F146" i="20"/>
  <c r="J177" i="20"/>
  <c r="B9" i="20" s="1"/>
  <c r="F90" i="19"/>
  <c r="H90" i="19" s="1"/>
  <c r="D90" i="19"/>
  <c r="E196" i="19"/>
  <c r="D196" i="19"/>
  <c r="E195" i="19"/>
  <c r="D195" i="19"/>
  <c r="D82" i="19"/>
  <c r="J86" i="19"/>
  <c r="L86" i="19" s="1"/>
  <c r="B86" i="19"/>
  <c r="D86" i="19" s="1"/>
  <c r="F86" i="19"/>
  <c r="H86" i="19" s="1"/>
  <c r="H96" i="19" s="1"/>
  <c r="D124" i="19"/>
  <c r="D165" i="19"/>
  <c r="B87" i="19"/>
  <c r="D87" i="19" s="1"/>
  <c r="F163" i="19"/>
  <c r="G163" i="19" s="1"/>
  <c r="B32" i="19"/>
  <c r="F77" i="19"/>
  <c r="H77" i="19" s="1"/>
  <c r="H82" i="19" s="1"/>
  <c r="E6" i="19" s="1"/>
  <c r="F103" i="19"/>
  <c r="H103" i="19" s="1"/>
  <c r="D125" i="19"/>
  <c r="D149" i="19"/>
  <c r="F149" i="19" s="1"/>
  <c r="D153" i="19"/>
  <c r="F153" i="19" s="1"/>
  <c r="F169" i="19"/>
  <c r="G169" i="19" s="1"/>
  <c r="J87" i="19"/>
  <c r="L87" i="19" s="1"/>
  <c r="F146" i="19"/>
  <c r="B14" i="18"/>
  <c r="F155" i="18"/>
  <c r="B16" i="18" s="1"/>
  <c r="H7" i="18"/>
  <c r="J165" i="18"/>
  <c r="E196" i="18"/>
  <c r="D196" i="18"/>
  <c r="D82" i="18"/>
  <c r="J86" i="18"/>
  <c r="L86" i="18" s="1"/>
  <c r="B86" i="18"/>
  <c r="D86" i="18" s="1"/>
  <c r="F86" i="18"/>
  <c r="H86" i="18" s="1"/>
  <c r="D124" i="18"/>
  <c r="D165" i="18"/>
  <c r="B7" i="18"/>
  <c r="E195" i="18"/>
  <c r="D195" i="18"/>
  <c r="H82" i="18"/>
  <c r="E6" i="18" s="1"/>
  <c r="D90" i="18"/>
  <c r="F90" i="18"/>
  <c r="H90" i="18" s="1"/>
  <c r="J87" i="18"/>
  <c r="L87" i="18" s="1"/>
  <c r="F163" i="18"/>
  <c r="G163" i="18" s="1"/>
  <c r="B32" i="18"/>
  <c r="F77" i="18"/>
  <c r="H77" i="18" s="1"/>
  <c r="F103" i="18"/>
  <c r="H103" i="18" s="1"/>
  <c r="D125" i="18"/>
  <c r="D149" i="18"/>
  <c r="F149" i="18" s="1"/>
  <c r="D153" i="18"/>
  <c r="F153" i="18" s="1"/>
  <c r="B15" i="18" s="1"/>
  <c r="F169" i="18"/>
  <c r="G169" i="18" s="1"/>
  <c r="B87" i="18"/>
  <c r="D87" i="18" s="1"/>
  <c r="F146" i="18"/>
  <c r="J177" i="18"/>
  <c r="B9" i="18" s="1"/>
  <c r="H7" i="17"/>
  <c r="J165" i="17"/>
  <c r="D196" i="17"/>
  <c r="E196" i="17"/>
  <c r="E195" i="17"/>
  <c r="D195" i="17"/>
  <c r="D82" i="17"/>
  <c r="B29" i="17" s="1"/>
  <c r="D124" i="17"/>
  <c r="D165" i="17"/>
  <c r="J86" i="17"/>
  <c r="L86" i="17" s="1"/>
  <c r="B86" i="17"/>
  <c r="D86" i="17" s="1"/>
  <c r="D96" i="17" s="1"/>
  <c r="H6" i="17" s="1"/>
  <c r="F86" i="17"/>
  <c r="H86" i="17" s="1"/>
  <c r="F90" i="17"/>
  <c r="H90" i="17" s="1"/>
  <c r="D90" i="17"/>
  <c r="D150" i="17"/>
  <c r="F150" i="17" s="1"/>
  <c r="G165" i="17"/>
  <c r="E7" i="17"/>
  <c r="J87" i="17"/>
  <c r="L87" i="17" s="1"/>
  <c r="B32" i="17"/>
  <c r="F77" i="17"/>
  <c r="H77" i="17" s="1"/>
  <c r="H82" i="17" s="1"/>
  <c r="E6" i="17" s="1"/>
  <c r="F103" i="17"/>
  <c r="H103" i="17" s="1"/>
  <c r="D125" i="17"/>
  <c r="D149" i="17"/>
  <c r="F149" i="17" s="1"/>
  <c r="D153" i="17"/>
  <c r="F153" i="17" s="1"/>
  <c r="F169" i="17"/>
  <c r="G169" i="17" s="1"/>
  <c r="H177" i="17"/>
  <c r="E32" i="17" s="1"/>
  <c r="H184" i="17"/>
  <c r="E34" i="17" s="1"/>
  <c r="L209" i="17"/>
  <c r="L210" i="17" s="1"/>
  <c r="B87" i="17"/>
  <c r="D87" i="17" s="1"/>
  <c r="F146" i="17"/>
  <c r="J86" i="16"/>
  <c r="L86" i="16" s="1"/>
  <c r="L96" i="16" s="1"/>
  <c r="E29" i="16" s="1"/>
  <c r="B86" i="16"/>
  <c r="D86" i="16" s="1"/>
  <c r="F86" i="16"/>
  <c r="H86" i="16" s="1"/>
  <c r="H10" i="16"/>
  <c r="C66" i="16"/>
  <c r="D90" i="16"/>
  <c r="F90" i="16"/>
  <c r="H90" i="16" s="1"/>
  <c r="E196" i="16"/>
  <c r="D196" i="16"/>
  <c r="E195" i="16"/>
  <c r="D195" i="16"/>
  <c r="D82" i="16"/>
  <c r="D124" i="16"/>
  <c r="D165" i="16"/>
  <c r="B87" i="16"/>
  <c r="D87" i="16" s="1"/>
  <c r="B32" i="16"/>
  <c r="F77" i="16"/>
  <c r="H77" i="16" s="1"/>
  <c r="H82" i="16" s="1"/>
  <c r="E6" i="16" s="1"/>
  <c r="F103" i="16"/>
  <c r="H103" i="16" s="1"/>
  <c r="D125" i="16"/>
  <c r="D149" i="16"/>
  <c r="F149" i="16" s="1"/>
  <c r="D153" i="16"/>
  <c r="F153" i="16" s="1"/>
  <c r="F169" i="16"/>
  <c r="G169" i="16" s="1"/>
  <c r="H177" i="16"/>
  <c r="H184" i="16"/>
  <c r="L209" i="16"/>
  <c r="L210" i="16" s="1"/>
  <c r="J87" i="16"/>
  <c r="L87" i="16" s="1"/>
  <c r="F163" i="16"/>
  <c r="G163" i="16" s="1"/>
  <c r="F146" i="16"/>
  <c r="G165" i="15"/>
  <c r="E7" i="15"/>
  <c r="H181" i="15"/>
  <c r="E40" i="15"/>
  <c r="E31" i="15"/>
  <c r="L96" i="15"/>
  <c r="E29" i="15" s="1"/>
  <c r="H177" i="15"/>
  <c r="E32" i="15" s="1"/>
  <c r="F103" i="15"/>
  <c r="H103" i="15" s="1"/>
  <c r="D125" i="15"/>
  <c r="D152" i="15"/>
  <c r="F152" i="15" s="1"/>
  <c r="F146" i="15"/>
  <c r="H184" i="15"/>
  <c r="H96" i="15"/>
  <c r="H7" i="15"/>
  <c r="J165" i="15"/>
  <c r="F80" i="15"/>
  <c r="D80" i="15"/>
  <c r="E30" i="15"/>
  <c r="D153" i="15"/>
  <c r="F153" i="15" s="1"/>
  <c r="D194" i="15"/>
  <c r="E194" i="15"/>
  <c r="L209" i="15"/>
  <c r="L210" i="15" s="1"/>
  <c r="D79" i="15"/>
  <c r="D82" i="15" s="1"/>
  <c r="D89" i="15"/>
  <c r="D124" i="15"/>
  <c r="D150" i="15"/>
  <c r="F150" i="15" s="1"/>
  <c r="B87" i="15"/>
  <c r="D87" i="15" s="1"/>
  <c r="D96" i="15" s="1"/>
  <c r="H6" i="15" s="1"/>
  <c r="D149" i="14"/>
  <c r="F149" i="14" s="1"/>
  <c r="D153" i="14"/>
  <c r="F153" i="14" s="1"/>
  <c r="F155" i="14" s="1"/>
  <c r="F146" i="14"/>
  <c r="H177" i="24" l="1"/>
  <c r="H184" i="24"/>
  <c r="C56" i="20"/>
  <c r="E31" i="24"/>
  <c r="H177" i="19"/>
  <c r="E40" i="19"/>
  <c r="H177" i="20"/>
  <c r="E32" i="20" s="1"/>
  <c r="C59" i="22"/>
  <c r="C56" i="23"/>
  <c r="C58" i="23"/>
  <c r="D190" i="23"/>
  <c r="F195" i="23" s="1"/>
  <c r="E41" i="23"/>
  <c r="E42" i="23"/>
  <c r="B8" i="17"/>
  <c r="B19" i="16"/>
  <c r="E42" i="16"/>
  <c r="E41" i="16"/>
  <c r="C54" i="15"/>
  <c r="H177" i="18"/>
  <c r="H184" i="22"/>
  <c r="E34" i="22" s="1"/>
  <c r="C54" i="23"/>
  <c r="E31" i="22"/>
  <c r="D108" i="21"/>
  <c r="E102" i="21" s="1"/>
  <c r="H181" i="22"/>
  <c r="H10" i="22" s="1"/>
  <c r="H177" i="22"/>
  <c r="E32" i="22" s="1"/>
  <c r="C57" i="25"/>
  <c r="C54" i="18"/>
  <c r="C59" i="23"/>
  <c r="C58" i="24"/>
  <c r="B7" i="16"/>
  <c r="B15" i="21"/>
  <c r="B7" i="21"/>
  <c r="J181" i="17"/>
  <c r="B10" i="17" s="1"/>
  <c r="B17" i="17"/>
  <c r="B14" i="17"/>
  <c r="C59" i="18"/>
  <c r="C55" i="24"/>
  <c r="C54" i="21"/>
  <c r="C57" i="23"/>
  <c r="C55" i="18"/>
  <c r="J181" i="20"/>
  <c r="B10" i="20" s="1"/>
  <c r="C58" i="21"/>
  <c r="C55" i="23"/>
  <c r="C56" i="25"/>
  <c r="C60" i="15"/>
  <c r="J177" i="16"/>
  <c r="B9" i="16" s="1"/>
  <c r="C55" i="16"/>
  <c r="C58" i="19"/>
  <c r="C55" i="15"/>
  <c r="J177" i="15"/>
  <c r="J181" i="16"/>
  <c r="B10" i="16" s="1"/>
  <c r="C57" i="19"/>
  <c r="C60" i="19"/>
  <c r="C59" i="15"/>
  <c r="B15" i="15"/>
  <c r="B19" i="21"/>
  <c r="B15" i="25"/>
  <c r="C54" i="19"/>
  <c r="B49" i="21"/>
  <c r="B17" i="25"/>
  <c r="B49" i="25"/>
  <c r="B14" i="25"/>
  <c r="B17" i="19"/>
  <c r="J177" i="19"/>
  <c r="B9" i="19" s="1"/>
  <c r="B8" i="19"/>
  <c r="B49" i="15"/>
  <c r="B18" i="15" s="1"/>
  <c r="J181" i="15"/>
  <c r="B10" i="15" s="1"/>
  <c r="B108" i="16"/>
  <c r="J177" i="22"/>
  <c r="B9" i="22" s="1"/>
  <c r="B17" i="22"/>
  <c r="C57" i="24"/>
  <c r="B108" i="24"/>
  <c r="C108" i="24" s="1"/>
  <c r="J184" i="15"/>
  <c r="B11" i="15" s="1"/>
  <c r="J177" i="17"/>
  <c r="B9" i="17" s="1"/>
  <c r="B15" i="17"/>
  <c r="B15" i="19"/>
  <c r="B7" i="19"/>
  <c r="C57" i="20"/>
  <c r="B19" i="20"/>
  <c r="B14" i="20"/>
  <c r="B17" i="21"/>
  <c r="B108" i="22"/>
  <c r="C108" i="22" s="1"/>
  <c r="B14" i="22"/>
  <c r="C54" i="24"/>
  <c r="E31" i="18"/>
  <c r="C58" i="18"/>
  <c r="B49" i="19"/>
  <c r="C59" i="20"/>
  <c r="C55" i="20"/>
  <c r="C56" i="24"/>
  <c r="D108" i="16"/>
  <c r="E102" i="16" s="1"/>
  <c r="B14" i="15"/>
  <c r="B7" i="17"/>
  <c r="L209" i="18"/>
  <c r="L210" i="18" s="1"/>
  <c r="B108" i="18"/>
  <c r="C108" i="18" s="1"/>
  <c r="H184" i="19"/>
  <c r="E34" i="19" s="1"/>
  <c r="B14" i="19"/>
  <c r="B15" i="20"/>
  <c r="J177" i="21"/>
  <c r="B9" i="21" s="1"/>
  <c r="C54" i="22"/>
  <c r="L209" i="22"/>
  <c r="L210" i="22" s="1"/>
  <c r="B15" i="22"/>
  <c r="B7" i="22"/>
  <c r="C58" i="17"/>
  <c r="B49" i="17"/>
  <c r="B19" i="17" s="1"/>
  <c r="H181" i="18"/>
  <c r="H10" i="18" s="1"/>
  <c r="J181" i="19"/>
  <c r="B10" i="19" s="1"/>
  <c r="J181" i="22"/>
  <c r="B10" i="22" s="1"/>
  <c r="H181" i="19"/>
  <c r="C54" i="25"/>
  <c r="C55" i="21"/>
  <c r="C56" i="22"/>
  <c r="C55" i="22"/>
  <c r="C58" i="25"/>
  <c r="J184" i="25"/>
  <c r="B11" i="25" s="1"/>
  <c r="B8" i="25"/>
  <c r="J181" i="25"/>
  <c r="B10" i="25" s="1"/>
  <c r="J184" i="24"/>
  <c r="B11" i="24" s="1"/>
  <c r="B17" i="24"/>
  <c r="J184" i="16"/>
  <c r="B11" i="16" s="1"/>
  <c r="B17" i="16"/>
  <c r="C58" i="15"/>
  <c r="C57" i="16"/>
  <c r="B15" i="16"/>
  <c r="C57" i="17"/>
  <c r="J177" i="24"/>
  <c r="B9" i="24" s="1"/>
  <c r="J177" i="25"/>
  <c r="B9" i="25" s="1"/>
  <c r="B6" i="25"/>
  <c r="C59" i="16"/>
  <c r="C58" i="16"/>
  <c r="C56" i="17"/>
  <c r="C59" i="17"/>
  <c r="C55" i="19"/>
  <c r="C59" i="21"/>
  <c r="B49" i="24"/>
  <c r="C55" i="25"/>
  <c r="J184" i="20"/>
  <c r="B11" i="20" s="1"/>
  <c r="B17" i="20"/>
  <c r="B8" i="20"/>
  <c r="B17" i="15"/>
  <c r="B7" i="15"/>
  <c r="B108" i="15"/>
  <c r="C57" i="15"/>
  <c r="B9" i="15"/>
  <c r="C54" i="16"/>
  <c r="B14" i="16"/>
  <c r="C54" i="17"/>
  <c r="B108" i="17"/>
  <c r="C108" i="17" s="1"/>
  <c r="H184" i="18"/>
  <c r="E11" i="18" s="1"/>
  <c r="B108" i="19"/>
  <c r="C108" i="19" s="1"/>
  <c r="B7" i="20"/>
  <c r="B16" i="20"/>
  <c r="C57" i="21"/>
  <c r="B108" i="21"/>
  <c r="C108" i="21" s="1"/>
  <c r="B6" i="22"/>
  <c r="B108" i="23"/>
  <c r="C108" i="23" s="1"/>
  <c r="L209" i="24"/>
  <c r="L210" i="24" s="1"/>
  <c r="B15" i="24"/>
  <c r="B7" i="24"/>
  <c r="B14" i="24"/>
  <c r="B108" i="25"/>
  <c r="C108" i="25" s="1"/>
  <c r="C56" i="16"/>
  <c r="B8" i="16"/>
  <c r="C55" i="17"/>
  <c r="B49" i="18"/>
  <c r="E31" i="19"/>
  <c r="C56" i="19"/>
  <c r="C56" i="21"/>
  <c r="B8" i="22"/>
  <c r="B49" i="22"/>
  <c r="B18" i="22" s="1"/>
  <c r="J181" i="24"/>
  <c r="B10" i="24" s="1"/>
  <c r="H181" i="24"/>
  <c r="E33" i="24" s="1"/>
  <c r="C59" i="24"/>
  <c r="C59" i="25"/>
  <c r="J184" i="21"/>
  <c r="B11" i="21" s="1"/>
  <c r="J181" i="21"/>
  <c r="B10" i="21" s="1"/>
  <c r="B8" i="21"/>
  <c r="E40" i="20"/>
  <c r="H181" i="20"/>
  <c r="E31" i="20"/>
  <c r="E29" i="20"/>
  <c r="E33" i="19"/>
  <c r="E10" i="19"/>
  <c r="H10" i="19"/>
  <c r="L209" i="20"/>
  <c r="L210" i="20" s="1"/>
  <c r="B49" i="20"/>
  <c r="E41" i="20" s="1"/>
  <c r="C58" i="22"/>
  <c r="H184" i="20"/>
  <c r="H11" i="20" s="1"/>
  <c r="C57" i="22"/>
  <c r="C60" i="18"/>
  <c r="C56" i="18"/>
  <c r="C60" i="20"/>
  <c r="C58" i="20"/>
  <c r="E106" i="23"/>
  <c r="H190" i="23"/>
  <c r="B18" i="23"/>
  <c r="B19" i="23"/>
  <c r="J160" i="23"/>
  <c r="E106" i="22"/>
  <c r="B18" i="21"/>
  <c r="D190" i="21"/>
  <c r="E102" i="18"/>
  <c r="E33" i="18"/>
  <c r="E10" i="18"/>
  <c r="E106" i="17"/>
  <c r="E10" i="17"/>
  <c r="H10" i="17"/>
  <c r="B18" i="16"/>
  <c r="D190" i="16"/>
  <c r="H190" i="16" s="1"/>
  <c r="J160" i="16"/>
  <c r="H9" i="25"/>
  <c r="E9" i="25"/>
  <c r="F125" i="25"/>
  <c r="D128" i="25"/>
  <c r="F128" i="25" s="1"/>
  <c r="E38" i="25" s="1"/>
  <c r="F124" i="25"/>
  <c r="D127" i="25"/>
  <c r="F127" i="25" s="1"/>
  <c r="G171" i="25"/>
  <c r="E30" i="25"/>
  <c r="E105" i="25"/>
  <c r="E104" i="25"/>
  <c r="E103" i="25"/>
  <c r="E108" i="25"/>
  <c r="E107" i="25"/>
  <c r="F155" i="25"/>
  <c r="B16" i="25" s="1"/>
  <c r="E11" i="25"/>
  <c r="H11" i="25"/>
  <c r="G165" i="25"/>
  <c r="E7" i="25"/>
  <c r="L96" i="25"/>
  <c r="E29" i="25" s="1"/>
  <c r="B35" i="25"/>
  <c r="H96" i="25"/>
  <c r="E106" i="25"/>
  <c r="L96" i="24"/>
  <c r="E29" i="24" s="1"/>
  <c r="E105" i="24"/>
  <c r="E104" i="24"/>
  <c r="E103" i="24"/>
  <c r="E108" i="24"/>
  <c r="E107" i="24"/>
  <c r="F155" i="24"/>
  <c r="B16" i="24" s="1"/>
  <c r="E34" i="24"/>
  <c r="E11" i="24"/>
  <c r="H11" i="24"/>
  <c r="B29" i="24"/>
  <c r="B35" i="24" s="1"/>
  <c r="B6" i="24"/>
  <c r="H96" i="24"/>
  <c r="E106" i="24"/>
  <c r="G171" i="24"/>
  <c r="E30" i="24"/>
  <c r="D127" i="24"/>
  <c r="F127" i="24" s="1"/>
  <c r="F124" i="24"/>
  <c r="E32" i="24"/>
  <c r="H9" i="24"/>
  <c r="E9" i="24"/>
  <c r="F125" i="24"/>
  <c r="D128" i="24"/>
  <c r="F128" i="24" s="1"/>
  <c r="E38" i="24" s="1"/>
  <c r="G165" i="24"/>
  <c r="E7" i="24"/>
  <c r="D96" i="24"/>
  <c r="H6" i="24" s="1"/>
  <c r="G171" i="23"/>
  <c r="E30" i="23"/>
  <c r="F196" i="23"/>
  <c r="E34" i="23"/>
  <c r="E11" i="23"/>
  <c r="H11" i="23"/>
  <c r="D96" i="23"/>
  <c r="H6" i="23" s="1"/>
  <c r="F155" i="23"/>
  <c r="B16" i="23" s="1"/>
  <c r="B29" i="23"/>
  <c r="B35" i="23" s="1"/>
  <c r="B6" i="23"/>
  <c r="B12" i="23" s="1"/>
  <c r="H96" i="23"/>
  <c r="G165" i="23"/>
  <c r="E7" i="23"/>
  <c r="E32" i="23"/>
  <c r="H9" i="23"/>
  <c r="E9" i="23"/>
  <c r="F125" i="23"/>
  <c r="D128" i="23"/>
  <c r="F128" i="23" s="1"/>
  <c r="E38" i="23" s="1"/>
  <c r="D127" i="23"/>
  <c r="F127" i="23" s="1"/>
  <c r="F124" i="23"/>
  <c r="E105" i="23"/>
  <c r="E104" i="23"/>
  <c r="E103" i="23"/>
  <c r="E107" i="23"/>
  <c r="E108" i="23"/>
  <c r="L96" i="23"/>
  <c r="E29" i="23" s="1"/>
  <c r="G171" i="22"/>
  <c r="E30" i="22"/>
  <c r="F124" i="22"/>
  <c r="D127" i="22"/>
  <c r="F127" i="22" s="1"/>
  <c r="E105" i="22"/>
  <c r="E103" i="22"/>
  <c r="E104" i="22"/>
  <c r="E107" i="22"/>
  <c r="E108" i="22"/>
  <c r="B35" i="22"/>
  <c r="D96" i="22"/>
  <c r="H6" i="22" s="1"/>
  <c r="F155" i="22"/>
  <c r="B16" i="22" s="1"/>
  <c r="F125" i="22"/>
  <c r="D128" i="22"/>
  <c r="F128" i="22" s="1"/>
  <c r="E38" i="22" s="1"/>
  <c r="G165" i="22"/>
  <c r="E7" i="22"/>
  <c r="L96" i="22"/>
  <c r="E29" i="22" s="1"/>
  <c r="E11" i="21"/>
  <c r="H11" i="21"/>
  <c r="B35" i="21"/>
  <c r="E34" i="21"/>
  <c r="B6" i="21"/>
  <c r="H9" i="21"/>
  <c r="E9" i="21"/>
  <c r="F125" i="21"/>
  <c r="D128" i="21"/>
  <c r="F128" i="21" s="1"/>
  <c r="E38" i="21" s="1"/>
  <c r="G165" i="21"/>
  <c r="E7" i="21"/>
  <c r="E105" i="21"/>
  <c r="E104" i="21"/>
  <c r="E103" i="21"/>
  <c r="E107" i="21"/>
  <c r="E108" i="21"/>
  <c r="B37" i="21" s="1"/>
  <c r="F155" i="21"/>
  <c r="B16" i="21" s="1"/>
  <c r="G171" i="21"/>
  <c r="E30" i="21"/>
  <c r="D127" i="21"/>
  <c r="F127" i="21" s="1"/>
  <c r="F124" i="21"/>
  <c r="H96" i="21"/>
  <c r="E106" i="21"/>
  <c r="G165" i="20"/>
  <c r="E7" i="20"/>
  <c r="F125" i="20"/>
  <c r="D128" i="20"/>
  <c r="F128" i="20" s="1"/>
  <c r="E38" i="20" s="1"/>
  <c r="F124" i="20"/>
  <c r="D127" i="20"/>
  <c r="F127" i="20" s="1"/>
  <c r="E105" i="20"/>
  <c r="E104" i="20"/>
  <c r="E103" i="20"/>
  <c r="E108" i="20"/>
  <c r="E107" i="20"/>
  <c r="B29" i="20"/>
  <c r="B35" i="20" s="1"/>
  <c r="B6" i="20"/>
  <c r="H96" i="20"/>
  <c r="G171" i="20"/>
  <c r="E30" i="20"/>
  <c r="C108" i="20"/>
  <c r="E102" i="20"/>
  <c r="E106" i="20"/>
  <c r="D96" i="20"/>
  <c r="H6" i="20" s="1"/>
  <c r="F155" i="19"/>
  <c r="B16" i="19" s="1"/>
  <c r="E106" i="19"/>
  <c r="E32" i="19"/>
  <c r="H9" i="19"/>
  <c r="E9" i="19"/>
  <c r="F125" i="19"/>
  <c r="D128" i="19"/>
  <c r="F128" i="19" s="1"/>
  <c r="E38" i="19" s="1"/>
  <c r="G165" i="19"/>
  <c r="E7" i="19"/>
  <c r="D96" i="19"/>
  <c r="H6" i="19" s="1"/>
  <c r="B29" i="19"/>
  <c r="B35" i="19" s="1"/>
  <c r="B6" i="19"/>
  <c r="G171" i="19"/>
  <c r="E30" i="19"/>
  <c r="D127" i="19"/>
  <c r="F127" i="19" s="1"/>
  <c r="F124" i="19"/>
  <c r="L96" i="19"/>
  <c r="E29" i="19" s="1"/>
  <c r="E105" i="19"/>
  <c r="E104" i="19"/>
  <c r="E103" i="19"/>
  <c r="E108" i="19"/>
  <c r="E107" i="19"/>
  <c r="G171" i="18"/>
  <c r="E30" i="18"/>
  <c r="D127" i="18"/>
  <c r="F127" i="18" s="1"/>
  <c r="F124" i="18"/>
  <c r="L96" i="18"/>
  <c r="E29" i="18" s="1"/>
  <c r="E105" i="18"/>
  <c r="E104" i="18"/>
  <c r="E103" i="18"/>
  <c r="E107" i="18"/>
  <c r="E108" i="18"/>
  <c r="H96" i="18"/>
  <c r="B29" i="18"/>
  <c r="B35" i="18" s="1"/>
  <c r="B6" i="18"/>
  <c r="B12" i="18" s="1"/>
  <c r="E32" i="18"/>
  <c r="H9" i="18"/>
  <c r="E9" i="18"/>
  <c r="F125" i="18"/>
  <c r="D128" i="18"/>
  <c r="F128" i="18" s="1"/>
  <c r="E38" i="18" s="1"/>
  <c r="G165" i="18"/>
  <c r="E7" i="18"/>
  <c r="D96" i="18"/>
  <c r="H6" i="18" s="1"/>
  <c r="L96" i="17"/>
  <c r="E29" i="17" s="1"/>
  <c r="B6" i="17"/>
  <c r="H9" i="17"/>
  <c r="E9" i="17"/>
  <c r="F125" i="17"/>
  <c r="D128" i="17"/>
  <c r="F128" i="17" s="1"/>
  <c r="E38" i="17" s="1"/>
  <c r="F155" i="17"/>
  <c r="B16" i="17" s="1"/>
  <c r="E11" i="17"/>
  <c r="H11" i="17"/>
  <c r="B35" i="17"/>
  <c r="G171" i="17"/>
  <c r="E30" i="17"/>
  <c r="H96" i="17"/>
  <c r="E105" i="17"/>
  <c r="E104" i="17"/>
  <c r="E103" i="17"/>
  <c r="E107" i="17"/>
  <c r="E108" i="17"/>
  <c r="D127" i="17"/>
  <c r="F127" i="17" s="1"/>
  <c r="F124" i="17"/>
  <c r="G165" i="16"/>
  <c r="E7" i="16"/>
  <c r="E32" i="16"/>
  <c r="H9" i="16"/>
  <c r="E9" i="16"/>
  <c r="F125" i="16"/>
  <c r="D128" i="16"/>
  <c r="F128" i="16" s="1"/>
  <c r="E38" i="16" s="1"/>
  <c r="F124" i="16"/>
  <c r="D127" i="16"/>
  <c r="F127" i="16" s="1"/>
  <c r="H96" i="16"/>
  <c r="F155" i="16"/>
  <c r="B16" i="16" s="1"/>
  <c r="B29" i="16"/>
  <c r="B35" i="16" s="1"/>
  <c r="B6" i="16"/>
  <c r="E34" i="16"/>
  <c r="E11" i="16"/>
  <c r="H11" i="16"/>
  <c r="G171" i="16"/>
  <c r="E30" i="16"/>
  <c r="D96" i="16"/>
  <c r="H6" i="16" s="1"/>
  <c r="B29" i="15"/>
  <c r="B35" i="15" s="1"/>
  <c r="B6" i="15"/>
  <c r="D127" i="15"/>
  <c r="F127" i="15" s="1"/>
  <c r="F124" i="15"/>
  <c r="D108" i="15"/>
  <c r="D128" i="15"/>
  <c r="F128" i="15" s="1"/>
  <c r="E38" i="15" s="1"/>
  <c r="F125" i="15"/>
  <c r="H11" i="15"/>
  <c r="E11" i="15"/>
  <c r="H10" i="15"/>
  <c r="E10" i="15"/>
  <c r="E34" i="15"/>
  <c r="F155" i="15"/>
  <c r="B16" i="15" s="1"/>
  <c r="E9" i="15"/>
  <c r="H9" i="15"/>
  <c r="E33" i="15"/>
  <c r="H9" i="20" l="1"/>
  <c r="E9" i="22"/>
  <c r="H11" i="22"/>
  <c r="E10" i="22"/>
  <c r="E42" i="21"/>
  <c r="E41" i="21"/>
  <c r="E42" i="20"/>
  <c r="E34" i="20"/>
  <c r="E9" i="20"/>
  <c r="E11" i="22"/>
  <c r="E33" i="22"/>
  <c r="E34" i="18"/>
  <c r="E35" i="18" s="1"/>
  <c r="E14" i="17"/>
  <c r="B19" i="15"/>
  <c r="B20" i="15" s="1"/>
  <c r="G196" i="23"/>
  <c r="H196" i="23" s="1"/>
  <c r="E42" i="24"/>
  <c r="E41" i="24"/>
  <c r="G194" i="23"/>
  <c r="G195" i="23"/>
  <c r="H195" i="23" s="1"/>
  <c r="F194" i="23"/>
  <c r="H17" i="23" s="1"/>
  <c r="D190" i="25"/>
  <c r="H190" i="25" s="1"/>
  <c r="E42" i="25"/>
  <c r="E41" i="25"/>
  <c r="B12" i="17"/>
  <c r="E42" i="19"/>
  <c r="E41" i="19"/>
  <c r="D190" i="17"/>
  <c r="E41" i="17"/>
  <c r="E42" i="17"/>
  <c r="E41" i="18"/>
  <c r="E42" i="18"/>
  <c r="E41" i="22"/>
  <c r="E42" i="22"/>
  <c r="H9" i="22"/>
  <c r="H12" i="22" s="1"/>
  <c r="H11" i="19"/>
  <c r="E11" i="20"/>
  <c r="J160" i="19"/>
  <c r="J160" i="15"/>
  <c r="F196" i="25"/>
  <c r="E103" i="16"/>
  <c r="J160" i="25"/>
  <c r="C108" i="16"/>
  <c r="E105" i="16"/>
  <c r="E106" i="16"/>
  <c r="E14" i="24"/>
  <c r="B19" i="25"/>
  <c r="E107" i="16"/>
  <c r="J160" i="22"/>
  <c r="B19" i="18"/>
  <c r="B18" i="18"/>
  <c r="D190" i="15"/>
  <c r="F194" i="15" s="1"/>
  <c r="E17" i="15" s="1"/>
  <c r="E14" i="21"/>
  <c r="G196" i="17"/>
  <c r="J160" i="17"/>
  <c r="D190" i="20"/>
  <c r="H190" i="20" s="1"/>
  <c r="J160" i="21"/>
  <c r="D190" i="18"/>
  <c r="H190" i="18" s="1"/>
  <c r="B20" i="20"/>
  <c r="B12" i="25"/>
  <c r="B18" i="17"/>
  <c r="B20" i="17" s="1"/>
  <c r="B22" i="17" s="1"/>
  <c r="G10" i="26" s="1"/>
  <c r="B18" i="25"/>
  <c r="D190" i="19"/>
  <c r="F194" i="19" s="1"/>
  <c r="B20" i="16"/>
  <c r="B12" i="19"/>
  <c r="E11" i="19"/>
  <c r="E12" i="19" s="1"/>
  <c r="B12" i="15"/>
  <c r="E108" i="16"/>
  <c r="E14" i="16" s="1"/>
  <c r="B19" i="19"/>
  <c r="C108" i="15"/>
  <c r="E104" i="16"/>
  <c r="E14" i="22"/>
  <c r="B18" i="19"/>
  <c r="J160" i="20"/>
  <c r="B12" i="22"/>
  <c r="J160" i="18"/>
  <c r="E35" i="16"/>
  <c r="B12" i="21"/>
  <c r="B12" i="16"/>
  <c r="H11" i="18"/>
  <c r="H14" i="18"/>
  <c r="B12" i="20"/>
  <c r="H10" i="24"/>
  <c r="H12" i="24" s="1"/>
  <c r="B18" i="24"/>
  <c r="D190" i="24"/>
  <c r="J160" i="24"/>
  <c r="B19" i="24"/>
  <c r="E35" i="21"/>
  <c r="E12" i="21"/>
  <c r="E12" i="23"/>
  <c r="B12" i="24"/>
  <c r="F194" i="16"/>
  <c r="B40" i="16" s="1"/>
  <c r="E10" i="24"/>
  <c r="E12" i="24" s="1"/>
  <c r="D190" i="22"/>
  <c r="B19" i="22"/>
  <c r="B20" i="22" s="1"/>
  <c r="B37" i="17"/>
  <c r="E33" i="20"/>
  <c r="E35" i="20" s="1"/>
  <c r="H10" i="20"/>
  <c r="H12" i="20" s="1"/>
  <c r="E10" i="20"/>
  <c r="E12" i="20" s="1"/>
  <c r="H12" i="19"/>
  <c r="H14" i="21"/>
  <c r="F196" i="16"/>
  <c r="H18" i="16" s="1"/>
  <c r="E12" i="25"/>
  <c r="E35" i="25"/>
  <c r="H12" i="25"/>
  <c r="B37" i="24"/>
  <c r="E35" i="24"/>
  <c r="H14" i="24"/>
  <c r="B20" i="23"/>
  <c r="B22" i="23" s="1"/>
  <c r="G16" i="26" s="1"/>
  <c r="E35" i="23"/>
  <c r="B37" i="22"/>
  <c r="E35" i="22"/>
  <c r="E12" i="22"/>
  <c r="H190" i="21"/>
  <c r="G194" i="21"/>
  <c r="F194" i="21"/>
  <c r="G196" i="21"/>
  <c r="G195" i="21"/>
  <c r="F196" i="21"/>
  <c r="B20" i="21"/>
  <c r="F195" i="21"/>
  <c r="H12" i="21"/>
  <c r="G196" i="20"/>
  <c r="E35" i="19"/>
  <c r="H12" i="18"/>
  <c r="E14" i="18"/>
  <c r="E12" i="18"/>
  <c r="H12" i="17"/>
  <c r="H14" i="17"/>
  <c r="E12" i="17"/>
  <c r="F195" i="16"/>
  <c r="G194" i="16"/>
  <c r="G195" i="16"/>
  <c r="G196" i="16"/>
  <c r="E12" i="16"/>
  <c r="E35" i="15"/>
  <c r="H12" i="15"/>
  <c r="E12" i="15"/>
  <c r="B38" i="25"/>
  <c r="H15" i="25"/>
  <c r="H16" i="25"/>
  <c r="E15" i="25"/>
  <c r="B39" i="25"/>
  <c r="E16" i="25"/>
  <c r="H14" i="25"/>
  <c r="E14" i="25"/>
  <c r="F130" i="25"/>
  <c r="E39" i="25" s="1"/>
  <c r="E37" i="25"/>
  <c r="B37" i="25"/>
  <c r="F130" i="24"/>
  <c r="E39" i="24" s="1"/>
  <c r="E37" i="24"/>
  <c r="B38" i="24"/>
  <c r="H15" i="24"/>
  <c r="B39" i="24"/>
  <c r="E16" i="24"/>
  <c r="H16" i="24"/>
  <c r="E15" i="24"/>
  <c r="B38" i="23"/>
  <c r="H15" i="23"/>
  <c r="H16" i="23"/>
  <c r="E15" i="23"/>
  <c r="B39" i="23"/>
  <c r="E16" i="23"/>
  <c r="B37" i="23"/>
  <c r="F130" i="23"/>
  <c r="E39" i="23" s="1"/>
  <c r="E37" i="23"/>
  <c r="H14" i="23"/>
  <c r="E14" i="23"/>
  <c r="H19" i="23"/>
  <c r="E19" i="23"/>
  <c r="B42" i="23"/>
  <c r="H12" i="23"/>
  <c r="E18" i="23"/>
  <c r="H18" i="23"/>
  <c r="B41" i="23"/>
  <c r="B38" i="22"/>
  <c r="H15" i="22"/>
  <c r="H16" i="22"/>
  <c r="E15" i="22"/>
  <c r="B39" i="22"/>
  <c r="E16" i="22"/>
  <c r="H14" i="22"/>
  <c r="F130" i="22"/>
  <c r="E39" i="22" s="1"/>
  <c r="E37" i="22"/>
  <c r="B38" i="21"/>
  <c r="H15" i="21"/>
  <c r="H16" i="21"/>
  <c r="E15" i="21"/>
  <c r="B39" i="21"/>
  <c r="E16" i="21"/>
  <c r="F130" i="21"/>
  <c r="E39" i="21" s="1"/>
  <c r="E37" i="21"/>
  <c r="B38" i="20"/>
  <c r="H15" i="20"/>
  <c r="H16" i="20"/>
  <c r="E15" i="20"/>
  <c r="B39" i="20"/>
  <c r="E16" i="20"/>
  <c r="H14" i="20"/>
  <c r="E14" i="20"/>
  <c r="F130" i="20"/>
  <c r="E39" i="20" s="1"/>
  <c r="E37" i="20"/>
  <c r="B37" i="20"/>
  <c r="F130" i="19"/>
  <c r="E39" i="19" s="1"/>
  <c r="E37" i="19"/>
  <c r="B38" i="19"/>
  <c r="H15" i="19"/>
  <c r="B39" i="19"/>
  <c r="H16" i="19"/>
  <c r="E15" i="19"/>
  <c r="E16" i="19"/>
  <c r="H14" i="19"/>
  <c r="E14" i="19"/>
  <c r="B37" i="19"/>
  <c r="B38" i="18"/>
  <c r="H15" i="18"/>
  <c r="H16" i="18"/>
  <c r="E15" i="18"/>
  <c r="B39" i="18"/>
  <c r="E16" i="18"/>
  <c r="B37" i="18"/>
  <c r="F130" i="18"/>
  <c r="E39" i="18" s="1"/>
  <c r="E37" i="18"/>
  <c r="F130" i="17"/>
  <c r="E39" i="17" s="1"/>
  <c r="E37" i="17"/>
  <c r="B38" i="17"/>
  <c r="H15" i="17"/>
  <c r="H16" i="17"/>
  <c r="E15" i="17"/>
  <c r="B39" i="17"/>
  <c r="E16" i="17"/>
  <c r="E35" i="17"/>
  <c r="H12" i="16"/>
  <c r="F130" i="16"/>
  <c r="E39" i="16" s="1"/>
  <c r="E37" i="16"/>
  <c r="E104" i="15"/>
  <c r="E103" i="15"/>
  <c r="E108" i="15"/>
  <c r="E107" i="15"/>
  <c r="E105" i="15"/>
  <c r="E106" i="15"/>
  <c r="E102" i="15"/>
  <c r="F130" i="15"/>
  <c r="E39" i="15" s="1"/>
  <c r="E37" i="15"/>
  <c r="G197" i="23" l="1"/>
  <c r="F197" i="23"/>
  <c r="B40" i="23"/>
  <c r="B43" i="23" s="1"/>
  <c r="B45" i="23" s="1"/>
  <c r="F196" i="19"/>
  <c r="H18" i="19" s="1"/>
  <c r="E17" i="23"/>
  <c r="H194" i="23"/>
  <c r="F194" i="25"/>
  <c r="E17" i="25" s="1"/>
  <c r="G196" i="25"/>
  <c r="H196" i="25" s="1"/>
  <c r="F195" i="25"/>
  <c r="G195" i="25"/>
  <c r="G194" i="25"/>
  <c r="F194" i="17"/>
  <c r="F195" i="17"/>
  <c r="F196" i="17"/>
  <c r="H190" i="17"/>
  <c r="G195" i="17"/>
  <c r="F194" i="18"/>
  <c r="E17" i="18" s="1"/>
  <c r="G194" i="17"/>
  <c r="F195" i="18"/>
  <c r="H19" i="18" s="1"/>
  <c r="G194" i="15"/>
  <c r="H194" i="15" s="1"/>
  <c r="F195" i="20"/>
  <c r="H19" i="20" s="1"/>
  <c r="B22" i="22"/>
  <c r="G15" i="26" s="1"/>
  <c r="B41" i="25"/>
  <c r="E18" i="25"/>
  <c r="H190" i="15"/>
  <c r="B40" i="15"/>
  <c r="F196" i="20"/>
  <c r="E18" i="20" s="1"/>
  <c r="H18" i="25"/>
  <c r="H15" i="16"/>
  <c r="G195" i="18"/>
  <c r="B20" i="25"/>
  <c r="B22" i="25" s="1"/>
  <c r="G18" i="26" s="1"/>
  <c r="H17" i="16"/>
  <c r="E17" i="19"/>
  <c r="H17" i="19"/>
  <c r="F195" i="15"/>
  <c r="E19" i="15" s="1"/>
  <c r="H17" i="15"/>
  <c r="B22" i="21"/>
  <c r="G14" i="26" s="1"/>
  <c r="F196" i="15"/>
  <c r="H18" i="15" s="1"/>
  <c r="E16" i="16"/>
  <c r="B37" i="16"/>
  <c r="F196" i="18"/>
  <c r="E18" i="18" s="1"/>
  <c r="G196" i="18"/>
  <c r="G195" i="15"/>
  <c r="H16" i="16"/>
  <c r="B22" i="15"/>
  <c r="G8" i="26" s="1"/>
  <c r="F197" i="16"/>
  <c r="H194" i="25"/>
  <c r="G194" i="18"/>
  <c r="B22" i="20"/>
  <c r="G13" i="26" s="1"/>
  <c r="B22" i="16"/>
  <c r="G9" i="26" s="1"/>
  <c r="F195" i="19"/>
  <c r="B42" i="19" s="1"/>
  <c r="G195" i="20"/>
  <c r="F194" i="20"/>
  <c r="B40" i="20" s="1"/>
  <c r="G196" i="15"/>
  <c r="H196" i="16"/>
  <c r="G194" i="20"/>
  <c r="G197" i="20" s="1"/>
  <c r="B20" i="19"/>
  <c r="B22" i="19" s="1"/>
  <c r="G12" i="26" s="1"/>
  <c r="B20" i="18"/>
  <c r="B22" i="18" s="1"/>
  <c r="G11" i="26" s="1"/>
  <c r="H190" i="19"/>
  <c r="G196" i="19"/>
  <c r="G195" i="19"/>
  <c r="G194" i="19"/>
  <c r="B39" i="16"/>
  <c r="B38" i="16"/>
  <c r="B40" i="19"/>
  <c r="E15" i="16"/>
  <c r="H14" i="16"/>
  <c r="E17" i="16"/>
  <c r="E18" i="16"/>
  <c r="H190" i="22"/>
  <c r="G196" i="22"/>
  <c r="F195" i="22"/>
  <c r="F196" i="22"/>
  <c r="G195" i="22"/>
  <c r="G194" i="22"/>
  <c r="F194" i="22"/>
  <c r="B20" i="24"/>
  <c r="B22" i="24" s="1"/>
  <c r="G17" i="26" s="1"/>
  <c r="H190" i="24"/>
  <c r="F194" i="24"/>
  <c r="G194" i="24"/>
  <c r="G195" i="24"/>
  <c r="F196" i="24"/>
  <c r="F195" i="24"/>
  <c r="G196" i="24"/>
  <c r="H194" i="16"/>
  <c r="B41" i="16"/>
  <c r="H18" i="20"/>
  <c r="G197" i="16"/>
  <c r="E43" i="18"/>
  <c r="E45" i="18" s="1"/>
  <c r="H17" i="18"/>
  <c r="E43" i="24"/>
  <c r="E45" i="24" s="1"/>
  <c r="E43" i="23"/>
  <c r="E45" i="23" s="1"/>
  <c r="E43" i="21"/>
  <c r="E45" i="21" s="1"/>
  <c r="H195" i="21"/>
  <c r="E19" i="21"/>
  <c r="B42" i="21"/>
  <c r="H19" i="21"/>
  <c r="B41" i="21"/>
  <c r="E18" i="21"/>
  <c r="H196" i="21"/>
  <c r="H18" i="21"/>
  <c r="G197" i="21"/>
  <c r="H17" i="21"/>
  <c r="E17" i="21"/>
  <c r="H194" i="21"/>
  <c r="B40" i="21"/>
  <c r="F197" i="21"/>
  <c r="B42" i="16"/>
  <c r="H19" i="16"/>
  <c r="E19" i="16"/>
  <c r="H195" i="16"/>
  <c r="E43" i="16"/>
  <c r="E45" i="16" s="1"/>
  <c r="E43" i="25"/>
  <c r="E45" i="25" s="1"/>
  <c r="H197" i="23"/>
  <c r="E20" i="23"/>
  <c r="E22" i="23" s="1"/>
  <c r="H20" i="23"/>
  <c r="H22" i="23" s="1"/>
  <c r="E43" i="22"/>
  <c r="E45" i="22" s="1"/>
  <c r="E43" i="20"/>
  <c r="E45" i="20" s="1"/>
  <c r="E43" i="19"/>
  <c r="E45" i="19" s="1"/>
  <c r="E43" i="17"/>
  <c r="E45" i="17" s="1"/>
  <c r="B39" i="15"/>
  <c r="E16" i="15"/>
  <c r="B38" i="15"/>
  <c r="H16" i="15"/>
  <c r="E15" i="15"/>
  <c r="H15" i="15"/>
  <c r="E14" i="15"/>
  <c r="B37" i="15"/>
  <c r="H14" i="15"/>
  <c r="E43" i="15"/>
  <c r="E45" i="15" l="1"/>
  <c r="G197" i="17"/>
  <c r="H195" i="25"/>
  <c r="B42" i="18"/>
  <c r="E19" i="18"/>
  <c r="E20" i="18" s="1"/>
  <c r="E22" i="18" s="1"/>
  <c r="B40" i="18"/>
  <c r="B41" i="19"/>
  <c r="H197" i="25"/>
  <c r="E18" i="19"/>
  <c r="H196" i="19"/>
  <c r="H195" i="20"/>
  <c r="E20" i="25"/>
  <c r="E22" i="25" s="1"/>
  <c r="G197" i="25"/>
  <c r="B42" i="25"/>
  <c r="H19" i="25"/>
  <c r="E19" i="25"/>
  <c r="B40" i="25"/>
  <c r="B43" i="25" s="1"/>
  <c r="B45" i="25" s="1"/>
  <c r="H17" i="25"/>
  <c r="F197" i="25"/>
  <c r="E18" i="17"/>
  <c r="H18" i="17"/>
  <c r="B41" i="17"/>
  <c r="H19" i="17"/>
  <c r="E19" i="17"/>
  <c r="H195" i="17"/>
  <c r="B42" i="17"/>
  <c r="H196" i="17"/>
  <c r="H196" i="18"/>
  <c r="H194" i="17"/>
  <c r="F197" i="17"/>
  <c r="B40" i="17"/>
  <c r="H17" i="17"/>
  <c r="E17" i="17"/>
  <c r="H195" i="18"/>
  <c r="E19" i="20"/>
  <c r="G197" i="18"/>
  <c r="F197" i="18"/>
  <c r="H195" i="19"/>
  <c r="B41" i="15"/>
  <c r="H19" i="19"/>
  <c r="H20" i="19" s="1"/>
  <c r="H22" i="19" s="1"/>
  <c r="F197" i="19"/>
  <c r="B41" i="20"/>
  <c r="B42" i="15"/>
  <c r="H194" i="18"/>
  <c r="E19" i="19"/>
  <c r="H196" i="20"/>
  <c r="H19" i="15"/>
  <c r="H20" i="15" s="1"/>
  <c r="H22" i="15" s="1"/>
  <c r="B42" i="20"/>
  <c r="E20" i="16"/>
  <c r="E22" i="16" s="1"/>
  <c r="F197" i="20"/>
  <c r="H17" i="20"/>
  <c r="H20" i="20" s="1"/>
  <c r="H22" i="20" s="1"/>
  <c r="H195" i="15"/>
  <c r="E18" i="15"/>
  <c r="E20" i="15" s="1"/>
  <c r="E22" i="15" s="1"/>
  <c r="H194" i="20"/>
  <c r="F197" i="15"/>
  <c r="H18" i="18"/>
  <c r="H20" i="18" s="1"/>
  <c r="H22" i="18" s="1"/>
  <c r="B41" i="18"/>
  <c r="E17" i="20"/>
  <c r="E20" i="20" s="1"/>
  <c r="E22" i="20" s="1"/>
  <c r="G197" i="19"/>
  <c r="G197" i="15"/>
  <c r="B43" i="16"/>
  <c r="B45" i="16" s="1"/>
  <c r="H196" i="15"/>
  <c r="H20" i="16"/>
  <c r="H22" i="16" s="1"/>
  <c r="G197" i="22"/>
  <c r="B43" i="19"/>
  <c r="B45" i="19" s="1"/>
  <c r="H194" i="19"/>
  <c r="H197" i="16"/>
  <c r="G197" i="24"/>
  <c r="E17" i="22"/>
  <c r="B40" i="22"/>
  <c r="F197" i="22"/>
  <c r="H17" i="22"/>
  <c r="H194" i="22"/>
  <c r="E19" i="22"/>
  <c r="B42" i="22"/>
  <c r="H195" i="22"/>
  <c r="H19" i="22"/>
  <c r="H19" i="24"/>
  <c r="B42" i="24"/>
  <c r="E19" i="24"/>
  <c r="H195" i="24"/>
  <c r="B40" i="24"/>
  <c r="E17" i="24"/>
  <c r="F197" i="24"/>
  <c r="H17" i="24"/>
  <c r="H194" i="24"/>
  <c r="H18" i="22"/>
  <c r="E18" i="22"/>
  <c r="H196" i="22"/>
  <c r="B41" i="22"/>
  <c r="H20" i="21"/>
  <c r="H22" i="21" s="1"/>
  <c r="B41" i="24"/>
  <c r="H18" i="24"/>
  <c r="H196" i="24"/>
  <c r="E18" i="24"/>
  <c r="L45" i="25"/>
  <c r="M45" i="25" s="1"/>
  <c r="M46" i="25" s="1"/>
  <c r="H18" i="26"/>
  <c r="L45" i="24"/>
  <c r="M45" i="24" s="1"/>
  <c r="M46" i="24" s="1"/>
  <c r="H17" i="26"/>
  <c r="L45" i="23"/>
  <c r="M45" i="23" s="1"/>
  <c r="M46" i="23" s="1"/>
  <c r="H16" i="26"/>
  <c r="L45" i="22"/>
  <c r="M45" i="22" s="1"/>
  <c r="M46" i="22" s="1"/>
  <c r="H15" i="26"/>
  <c r="L45" i="21"/>
  <c r="M45" i="21" s="1"/>
  <c r="M46" i="21" s="1"/>
  <c r="H14" i="26"/>
  <c r="L45" i="20"/>
  <c r="M45" i="20" s="1"/>
  <c r="M46" i="20" s="1"/>
  <c r="H13" i="26"/>
  <c r="L45" i="19"/>
  <c r="M45" i="19" s="1"/>
  <c r="M46" i="19" s="1"/>
  <c r="H12" i="26"/>
  <c r="L45" i="18"/>
  <c r="M45" i="18" s="1"/>
  <c r="M46" i="18" s="1"/>
  <c r="H11" i="26"/>
  <c r="L45" i="17"/>
  <c r="M45" i="17" s="1"/>
  <c r="M46" i="17" s="1"/>
  <c r="H10" i="26"/>
  <c r="H8" i="26"/>
  <c r="L45" i="16"/>
  <c r="M45" i="16" s="1"/>
  <c r="M46" i="16" s="1"/>
  <c r="H9" i="26"/>
  <c r="B43" i="21"/>
  <c r="B45" i="21" s="1"/>
  <c r="E20" i="21"/>
  <c r="E22" i="21" s="1"/>
  <c r="H197" i="21"/>
  <c r="H197" i="17" l="1"/>
  <c r="B43" i="18"/>
  <c r="B45" i="18" s="1"/>
  <c r="H20" i="25"/>
  <c r="H22" i="25" s="1"/>
  <c r="E20" i="19"/>
  <c r="E22" i="19" s="1"/>
  <c r="E20" i="17"/>
  <c r="E22" i="17" s="1"/>
  <c r="B43" i="17"/>
  <c r="B45" i="17" s="1"/>
  <c r="H197" i="18"/>
  <c r="H197" i="19"/>
  <c r="H20" i="17"/>
  <c r="H22" i="17" s="1"/>
  <c r="H197" i="20"/>
  <c r="B43" i="20"/>
  <c r="B45" i="20" s="1"/>
  <c r="B43" i="15"/>
  <c r="B45" i="15" s="1"/>
  <c r="H197" i="15"/>
  <c r="H197" i="24"/>
  <c r="E20" i="24"/>
  <c r="E22" i="24" s="1"/>
  <c r="B43" i="24"/>
  <c r="B45" i="24" s="1"/>
  <c r="H20" i="24"/>
  <c r="H22" i="24" s="1"/>
  <c r="H197" i="22"/>
  <c r="E20" i="22"/>
  <c r="E22" i="22" s="1"/>
  <c r="B43" i="22"/>
  <c r="B45" i="22" s="1"/>
  <c r="H20" i="22"/>
  <c r="H22" i="22" s="1"/>
  <c r="D122" i="14" l="1"/>
  <c r="D121" i="14"/>
  <c r="C118" i="14"/>
  <c r="D118" i="14"/>
  <c r="E118" i="14"/>
  <c r="F118" i="14"/>
  <c r="G118" i="14"/>
  <c r="H118" i="14"/>
  <c r="B118" i="14"/>
  <c r="B128" i="14" l="1"/>
  <c r="B127" i="14"/>
  <c r="F124" i="14"/>
  <c r="F121" i="14"/>
  <c r="E4" i="14"/>
  <c r="F4" i="14"/>
  <c r="G4" i="14"/>
  <c r="H4" i="14"/>
  <c r="I4" i="14"/>
  <c r="J4" i="14"/>
  <c r="C12" i="14"/>
  <c r="D12" i="14"/>
  <c r="F12" i="14"/>
  <c r="G12" i="14"/>
  <c r="I12" i="14"/>
  <c r="J12" i="14"/>
  <c r="C20" i="14"/>
  <c r="D20" i="14"/>
  <c r="F20" i="14"/>
  <c r="G20" i="14"/>
  <c r="I20" i="14"/>
  <c r="J20" i="14"/>
  <c r="J22" i="14" s="1"/>
  <c r="I22" i="14"/>
  <c r="B24" i="14"/>
  <c r="E24" i="14"/>
  <c r="H24" i="14"/>
  <c r="B27" i="14"/>
  <c r="H27" i="14" s="1"/>
  <c r="C27" i="14"/>
  <c r="D27" i="14"/>
  <c r="J27" i="14" s="1"/>
  <c r="I27" i="14"/>
  <c r="C35" i="14"/>
  <c r="D35" i="14"/>
  <c r="F35" i="14"/>
  <c r="G35" i="14"/>
  <c r="G45" i="14" s="1"/>
  <c r="I35" i="14"/>
  <c r="J35" i="14"/>
  <c r="C43" i="14"/>
  <c r="D43" i="14"/>
  <c r="F43" i="14"/>
  <c r="G43" i="14"/>
  <c r="H43" i="14"/>
  <c r="I43" i="14"/>
  <c r="J43" i="14"/>
  <c r="J45" i="14"/>
  <c r="B47" i="14"/>
  <c r="B32" i="14" s="1"/>
  <c r="E47" i="14"/>
  <c r="E30" i="14" s="1"/>
  <c r="H47" i="14"/>
  <c r="C49" i="14"/>
  <c r="D49" i="14"/>
  <c r="E54" i="14"/>
  <c r="B60" i="14"/>
  <c r="C60" i="14" s="1"/>
  <c r="B64" i="14"/>
  <c r="F86" i="14" s="1"/>
  <c r="H86" i="14" s="1"/>
  <c r="D64" i="14"/>
  <c r="E64" i="14"/>
  <c r="F64" i="14"/>
  <c r="G64" i="14"/>
  <c r="D65" i="14"/>
  <c r="E65" i="14"/>
  <c r="F65" i="14"/>
  <c r="F66" i="14" s="1"/>
  <c r="G65" i="14"/>
  <c r="G66" i="14"/>
  <c r="C68" i="14"/>
  <c r="D68" i="14"/>
  <c r="E68" i="14"/>
  <c r="F68" i="14"/>
  <c r="F72" i="14" s="1"/>
  <c r="G68" i="14"/>
  <c r="B69" i="14"/>
  <c r="C69" i="14"/>
  <c r="D69" i="14"/>
  <c r="E69" i="14"/>
  <c r="F69" i="14"/>
  <c r="G69" i="14"/>
  <c r="D70" i="14"/>
  <c r="E70" i="14"/>
  <c r="F70" i="14"/>
  <c r="G70" i="14"/>
  <c r="D71" i="14"/>
  <c r="D72" i="14" s="1"/>
  <c r="E71" i="14"/>
  <c r="F71" i="14"/>
  <c r="G71" i="14"/>
  <c r="G72" i="14"/>
  <c r="B76" i="14"/>
  <c r="C76" i="14"/>
  <c r="C65" i="14" s="1"/>
  <c r="D76" i="14"/>
  <c r="H76" i="14"/>
  <c r="H82" i="14" s="1"/>
  <c r="E6" i="14" s="1"/>
  <c r="B77" i="14"/>
  <c r="D77" i="14"/>
  <c r="F77" i="14"/>
  <c r="H77" i="14" s="1"/>
  <c r="D78" i="14"/>
  <c r="F78" i="14"/>
  <c r="H78" i="14"/>
  <c r="B79" i="14"/>
  <c r="F79" i="14" s="1"/>
  <c r="D79" i="14"/>
  <c r="B80" i="14"/>
  <c r="D80" i="14"/>
  <c r="F80" i="14"/>
  <c r="B86" i="14"/>
  <c r="D86" i="14" s="1"/>
  <c r="J86" i="14"/>
  <c r="L86" i="14"/>
  <c r="B87" i="14"/>
  <c r="D87" i="14" s="1"/>
  <c r="F87" i="14"/>
  <c r="H87" i="14"/>
  <c r="J87" i="14"/>
  <c r="L87" i="14" s="1"/>
  <c r="D88" i="14"/>
  <c r="F88" i="14"/>
  <c r="H88" i="14"/>
  <c r="L88" i="14"/>
  <c r="B89" i="14"/>
  <c r="F89" i="14" s="1"/>
  <c r="H89" i="14" s="1"/>
  <c r="L89" i="14"/>
  <c r="B90" i="14"/>
  <c r="F90" i="14" s="1"/>
  <c r="H90" i="14" s="1"/>
  <c r="D90" i="14"/>
  <c r="L90" i="14"/>
  <c r="D91" i="14"/>
  <c r="F91" i="14"/>
  <c r="H91" i="14"/>
  <c r="L91" i="14"/>
  <c r="D92" i="14"/>
  <c r="F92" i="14"/>
  <c r="H92" i="14" s="1"/>
  <c r="L92" i="14"/>
  <c r="L93" i="14"/>
  <c r="L94" i="14"/>
  <c r="H101" i="14"/>
  <c r="B102" i="14"/>
  <c r="D102" i="14" s="1"/>
  <c r="B103" i="14"/>
  <c r="B104" i="14"/>
  <c r="B105" i="14"/>
  <c r="B106" i="14"/>
  <c r="D106" i="14" s="1"/>
  <c r="B107" i="14"/>
  <c r="G159" i="14"/>
  <c r="J159" i="14"/>
  <c r="D163" i="14"/>
  <c r="D164" i="14"/>
  <c r="F164" i="14"/>
  <c r="G164" i="14" s="1"/>
  <c r="E8" i="14" s="1"/>
  <c r="I164" i="14"/>
  <c r="J164" i="14" s="1"/>
  <c r="H8" i="14" s="1"/>
  <c r="D169" i="14"/>
  <c r="D170" i="14"/>
  <c r="B31" i="14" s="1"/>
  <c r="G170" i="14"/>
  <c r="I170" i="14"/>
  <c r="J170" i="14" s="1"/>
  <c r="H31" i="14" s="1"/>
  <c r="H35" i="14" s="1"/>
  <c r="H45" i="14" s="1"/>
  <c r="B176" i="14"/>
  <c r="B194" i="14"/>
  <c r="C195" i="14"/>
  <c r="C196" i="14"/>
  <c r="L208" i="14"/>
  <c r="L209" i="14" s="1"/>
  <c r="L210" i="14" s="1"/>
  <c r="F128" i="14" l="1"/>
  <c r="E40" i="14"/>
  <c r="H177" i="14"/>
  <c r="E32" i="14" s="1"/>
  <c r="E38" i="14"/>
  <c r="E31" i="14"/>
  <c r="H184" i="14"/>
  <c r="E34" i="14" s="1"/>
  <c r="E29" i="14"/>
  <c r="H181" i="14"/>
  <c r="E33" i="14" s="1"/>
  <c r="B15" i="14"/>
  <c r="J184" i="14"/>
  <c r="B11" i="14" s="1"/>
  <c r="J177" i="14"/>
  <c r="B9" i="14" s="1"/>
  <c r="B6" i="14"/>
  <c r="B14" i="14"/>
  <c r="J181" i="14"/>
  <c r="B10" i="14" s="1"/>
  <c r="B17" i="14"/>
  <c r="B8" i="14"/>
  <c r="B16" i="14"/>
  <c r="B7" i="14"/>
  <c r="D108" i="14"/>
  <c r="E107" i="14" s="1"/>
  <c r="F127" i="14"/>
  <c r="F130" i="14" s="1"/>
  <c r="E39" i="14" s="1"/>
  <c r="C22" i="14"/>
  <c r="F22" i="14"/>
  <c r="F125" i="14"/>
  <c r="C72" i="14"/>
  <c r="F45" i="14"/>
  <c r="I45" i="14"/>
  <c r="C45" i="14"/>
  <c r="D22" i="14"/>
  <c r="F122" i="14"/>
  <c r="L96" i="14"/>
  <c r="D66" i="14"/>
  <c r="C57" i="14"/>
  <c r="F102" i="14"/>
  <c r="H102" i="14" s="1"/>
  <c r="G22" i="14"/>
  <c r="E66" i="14"/>
  <c r="F169" i="14"/>
  <c r="I163" i="14"/>
  <c r="I169" i="14"/>
  <c r="D194" i="14"/>
  <c r="E194" i="14"/>
  <c r="F163" i="14"/>
  <c r="G163" i="14" s="1"/>
  <c r="H96" i="14"/>
  <c r="B30" i="14"/>
  <c r="D171" i="14"/>
  <c r="D89" i="14"/>
  <c r="D96" i="14" s="1"/>
  <c r="H6" i="14" s="1"/>
  <c r="D82" i="14"/>
  <c r="E72" i="14"/>
  <c r="C58" i="14"/>
  <c r="C55" i="14"/>
  <c r="C59" i="14"/>
  <c r="C54" i="14"/>
  <c r="B49" i="14"/>
  <c r="B19" i="14" s="1"/>
  <c r="B195" i="14"/>
  <c r="B196" i="14"/>
  <c r="D165" i="14"/>
  <c r="B108" i="14"/>
  <c r="C56" i="14"/>
  <c r="B34" i="14"/>
  <c r="C64" i="14"/>
  <c r="C66" i="14" s="1"/>
  <c r="B33" i="14"/>
  <c r="B18" i="14" l="1"/>
  <c r="E41" i="14"/>
  <c r="E42" i="14"/>
  <c r="E108" i="14"/>
  <c r="E37" i="14"/>
  <c r="E106" i="14"/>
  <c r="E103" i="14"/>
  <c r="E35" i="14"/>
  <c r="E104" i="14"/>
  <c r="C108" i="14"/>
  <c r="E102" i="14"/>
  <c r="E105" i="14"/>
  <c r="F103" i="14"/>
  <c r="H103" i="14" s="1"/>
  <c r="J163" i="14"/>
  <c r="D196" i="14"/>
  <c r="E196" i="14"/>
  <c r="J169" i="14"/>
  <c r="J171" i="14" s="1"/>
  <c r="E195" i="14"/>
  <c r="D195" i="14"/>
  <c r="E7" i="14"/>
  <c r="G165" i="14"/>
  <c r="G169" i="14"/>
  <c r="J160" i="14"/>
  <c r="D190" i="14"/>
  <c r="H190" i="14" s="1"/>
  <c r="B29" i="14"/>
  <c r="B35" i="14" s="1"/>
  <c r="E43" i="14" l="1"/>
  <c r="F196" i="14"/>
  <c r="B41" i="14" s="1"/>
  <c r="G194" i="14"/>
  <c r="E11" i="14"/>
  <c r="H11" i="14"/>
  <c r="G171" i="14"/>
  <c r="F195" i="14"/>
  <c r="H7" i="14"/>
  <c r="J165" i="14"/>
  <c r="F194" i="14"/>
  <c r="E10" i="14"/>
  <c r="H10" i="14"/>
  <c r="G195" i="14"/>
  <c r="E9" i="14"/>
  <c r="H9" i="14"/>
  <c r="G196" i="14"/>
  <c r="H196" i="14" s="1"/>
  <c r="H18" i="14" l="1"/>
  <c r="E18" i="14"/>
  <c r="G197" i="14"/>
  <c r="H12" i="14"/>
  <c r="E12" i="14"/>
  <c r="E19" i="14"/>
  <c r="H195" i="14"/>
  <c r="H19" i="14"/>
  <c r="B42" i="14"/>
  <c r="B12" i="14"/>
  <c r="E17" i="14"/>
  <c r="H17" i="14"/>
  <c r="H194" i="14"/>
  <c r="F197" i="14"/>
  <c r="B40" i="14"/>
  <c r="E14" i="14"/>
  <c r="H14" i="14"/>
  <c r="B37" i="14"/>
  <c r="H197" i="14" l="1"/>
  <c r="H16" i="14"/>
  <c r="E16" i="14"/>
  <c r="B39" i="14"/>
  <c r="E15" i="14"/>
  <c r="H15" i="14"/>
  <c r="B38" i="14"/>
  <c r="E45" i="14" l="1"/>
  <c r="E20" i="14"/>
  <c r="E22" i="14" s="1"/>
  <c r="B43" i="14"/>
  <c r="B45" i="14" s="1"/>
  <c r="B20" i="14"/>
  <c r="B22" i="14" s="1"/>
  <c r="G7" i="26" s="1"/>
  <c r="H20" i="14"/>
  <c r="H22" i="14" s="1"/>
  <c r="H7" i="2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Moreau, Danielle</author>
    <author>Broussard, Glenn</author>
    <author>Lamb, Jodi</author>
  </authors>
  <commentList>
    <comment ref="O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Ceramics 
absorption limit = $0.1517
Horizon Ag = 100% absorbed</t>
        </r>
      </text>
    </comment>
    <comment ref="B6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Aug 22 average</t>
        </r>
      </text>
    </comment>
    <comment ref="B68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BV of 64.6 million lbs inventory at 10/31/20</t>
        </r>
      </text>
    </comment>
    <comment ref="B69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BV of 2.9 million lbs inventory at 8/31/22</t>
        </r>
      </text>
    </comment>
    <comment ref="G75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C85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G85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K85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B88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Jun 22 purchase - Kuraray
</t>
        </r>
      </text>
    </comment>
    <comment ref="K88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B89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Jul 22 purchase
</t>
        </r>
      </text>
    </comment>
    <comment ref="K89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B90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Aug 22 avg
</t>
        </r>
      </text>
    </comment>
    <comment ref="K90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K91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K92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K93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K94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F101" authorId="1" shapeId="0" xr:uid="{00000000-0006-0000-0000-000013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Jan-Sept W&amp;S total = $64K; annualized = $86K, approx 1 FTE.</t>
        </r>
      </text>
    </comment>
    <comment ref="D158" authorId="1" shapeId="0" xr:uid="{00000000-0006-0000-0000-000018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Avg rate Jan-Aug 22</t>
        </r>
      </text>
    </comment>
    <comment ref="D159" authorId="1" shapeId="0" xr:uid="{00000000-0006-0000-0000-000019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Per Shannon N 9/16/22
</t>
        </r>
      </text>
    </comment>
    <comment ref="G159" authorId="1" shapeId="0" xr:uid="{00000000-0006-0000-0000-00001A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Avg rate Jan-Aug 22</t>
        </r>
      </text>
    </comment>
    <comment ref="J159" authorId="1" shapeId="0" xr:uid="{00000000-0006-0000-0000-00001B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Base electricity usage with no production activity: approx. 30,000 kwh per day x 365 days</t>
        </r>
      </text>
    </comment>
    <comment ref="E163" authorId="1" shapeId="0" xr:uid="{00000000-0006-0000-0000-00001C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Assumes (kwh/lb):
  0.215 incremental
+0.030 base at low-normal capacity (65%)
+0.066 excess due to below normal capacity plan</t>
        </r>
      </text>
    </comment>
    <comment ref="H163" authorId="1" shapeId="0" xr:uid="{00000000-0006-0000-0000-00001D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Assumes (kwh/lb):
  0.215 incremental
+0.030 base at low-normal capacity (65%)
+0.066 excess due to below normal capacity plan</t>
        </r>
      </text>
    </comment>
    <comment ref="H169" authorId="1" shapeId="0" xr:uid="{00000000-0006-0000-0000-00001E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Assumes (kwh/lb):
  0.145 incremental
+0.030 base at low-normal capacity (65%)
+0.066 excess due to below normal capacity plan
(based on Oct 1-day Nanomite production run)</t>
        </r>
      </text>
    </comment>
    <comment ref="B175" authorId="0" shapeId="0" xr:uid="{00000000-0006-0000-0000-00001F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Line 1 - $62M
Line 2 - $57M
Line 3 - $72M
Line 4 - $65M</t>
        </r>
      </text>
    </comment>
    <comment ref="B194" authorId="2" shapeId="0" xr:uid="{00000000-0006-0000-0000-000020000000}">
      <text>
        <r>
          <rPr>
            <b/>
            <sz val="9"/>
            <color indexed="81"/>
            <rFont val="Tahoma"/>
            <family val="2"/>
          </rPr>
          <t>Lamb, Jodi: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96" authorId="1" shapeId="0" xr:uid="{00000000-0006-0000-0000-000021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Assumes no capital additions.
</t>
        </r>
      </text>
    </comment>
    <comment ref="E202" authorId="1" shapeId="0" xr:uid="{00000000-0006-0000-0000-000022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4% increase assumed </t>
        </r>
      </text>
    </comment>
    <comment ref="E209" authorId="1" shapeId="0" xr:uid="{00000000-0006-0000-0000-000023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4% increase assumed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Moreau, Danielle</author>
    <author>Broussard, Glenn</author>
    <author>Lamb, Jodi</author>
  </authors>
  <commentList>
    <comment ref="O7" authorId="0" shapeId="0" xr:uid="{4005DD80-3267-43C2-A6ED-A1DEFF7FB015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Ceramics 
absorption limit = $0.1517
Horizon Ag = 100% absorbed</t>
        </r>
      </text>
    </comment>
    <comment ref="B64" authorId="0" shapeId="0" xr:uid="{0E1A5AFE-13A9-4FBA-981E-3E185875147C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Aug 22 average</t>
        </r>
      </text>
    </comment>
    <comment ref="B68" authorId="1" shapeId="0" xr:uid="{827CB655-B7C9-4B5D-B4B3-C7AFCDE0638E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BV of 64.6 million lbs inventory at 10/31/20</t>
        </r>
      </text>
    </comment>
    <comment ref="B69" authorId="0" shapeId="0" xr:uid="{781212CC-8650-43B7-A7E1-A244FC543E12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BV of 2.9 million lbs inventory at 8/31/22</t>
        </r>
      </text>
    </comment>
    <comment ref="G75" authorId="0" shapeId="0" xr:uid="{36EC9DA8-388B-4B3A-A332-F9CF6110A7F4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C85" authorId="0" shapeId="0" xr:uid="{1024D66E-4A3B-44B9-9050-4058E0B20BE1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G85" authorId="0" shapeId="0" xr:uid="{33D8E030-AFFA-411F-BC9A-2B5F7CAD017C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K85" authorId="0" shapeId="0" xr:uid="{6326DB84-A48F-4993-8AEA-F5251D41E81A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B88" authorId="0" shapeId="0" xr:uid="{63EEC340-5D9F-4D41-A70A-DAD9FEEBCC1F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Jun 22 purchase - Kuraray
</t>
        </r>
      </text>
    </comment>
    <comment ref="K88" authorId="0" shapeId="0" xr:uid="{44CF2BAD-4E42-433E-ACE7-83510E1E7473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B89" authorId="0" shapeId="0" xr:uid="{235F2D08-2E9C-44BD-B2A1-5F1608F92F48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Jul 22 purchase
</t>
        </r>
      </text>
    </comment>
    <comment ref="K89" authorId="0" shapeId="0" xr:uid="{AB77E83C-3720-4EB3-A2AF-CED02AD7192F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B90" authorId="0" shapeId="0" xr:uid="{C03CD923-C1DC-4E94-92B5-F5936F0C6463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Aug 22 avg
</t>
        </r>
      </text>
    </comment>
    <comment ref="K90" authorId="0" shapeId="0" xr:uid="{F88F9A39-D3B2-40C9-968D-93B58A5B8EDB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K91" authorId="0" shapeId="0" xr:uid="{2143C184-B6C1-480C-99BD-4AFBF40080DC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K92" authorId="0" shapeId="0" xr:uid="{44656048-A513-4AB2-8D9D-1259BC1ACC20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K93" authorId="0" shapeId="0" xr:uid="{26EC6409-965B-4E09-A897-D2034C45DD95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K94" authorId="0" shapeId="0" xr:uid="{63DB23A8-BDFE-4721-ADDB-160E5F7E9EE0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F101" authorId="1" shapeId="0" xr:uid="{91C22AB0-D6FC-4B24-AC6E-085FE586EA83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Jan-Sept W&amp;S total = $64K; annualized = $86K, approx 1 FTE.</t>
        </r>
      </text>
    </comment>
    <comment ref="D158" authorId="1" shapeId="0" xr:uid="{12CE1995-0324-4127-8C45-9A1214451E2D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Avg rate Jan-Aug 22</t>
        </r>
      </text>
    </comment>
    <comment ref="D159" authorId="1" shapeId="0" xr:uid="{FB680B9D-DC6B-4681-8A90-EF07340E7A6B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Per Shannon N 9/16/22
</t>
        </r>
      </text>
    </comment>
    <comment ref="G159" authorId="1" shapeId="0" xr:uid="{07D1DFB4-3558-4FCD-A3AD-E6EBD2347B29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Avg rate Jan-Aug 22</t>
        </r>
      </text>
    </comment>
    <comment ref="J159" authorId="1" shapeId="0" xr:uid="{DF315314-5BDE-4825-8DA3-BD44F9A8C8A1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Base electricity usage with no production activity: approx. 30,000 kwh per day x 365 days</t>
        </r>
      </text>
    </comment>
    <comment ref="E163" authorId="1" shapeId="0" xr:uid="{0A1BE85C-B6E1-4DF6-8F9A-6019C7B9315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Assumes (kwh/lb):
  0.215 incremental
+0.030 base at low-normal capacity (65%)
+0.066 excess due to below normal capacity plan</t>
        </r>
      </text>
    </comment>
    <comment ref="H163" authorId="1" shapeId="0" xr:uid="{5F8BAF19-FB78-4C5E-B932-B3A4DA9AF46B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Assumes (kwh/lb):
  0.215 incremental
+0.030 base at low-normal capacity (65%)
+0.066 excess due to below normal capacity plan</t>
        </r>
      </text>
    </comment>
    <comment ref="H169" authorId="1" shapeId="0" xr:uid="{428D2C5C-55A3-4E6B-B5F0-4F49C353993D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Assumes (kwh/lb):
  0.145 incremental
+0.030 base at low-normal capacity (65%)
+0.066 excess due to below normal capacity plan
(based on Oct 1-day Nanomite production run)</t>
        </r>
      </text>
    </comment>
    <comment ref="B175" authorId="0" shapeId="0" xr:uid="{96804C8B-1A7B-494E-830C-01E1D1797021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Line 1 - $62M
Line 2 - $57M
Line 3 - $72M
Line 4 - $65M</t>
        </r>
      </text>
    </comment>
    <comment ref="B194" authorId="2" shapeId="0" xr:uid="{BB2C5588-E59D-4FC5-B6D0-0A09EB19A6C7}">
      <text>
        <r>
          <rPr>
            <b/>
            <sz val="9"/>
            <color indexed="81"/>
            <rFont val="Tahoma"/>
            <family val="2"/>
          </rPr>
          <t>Lamb, Jodi: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96" authorId="1" shapeId="0" xr:uid="{BFC7DCA6-040A-4E4B-8A0F-5C958EAC6F22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Assumes no capital additions.
</t>
        </r>
      </text>
    </comment>
    <comment ref="E202" authorId="1" shapeId="0" xr:uid="{6F6ED11C-BFC6-4184-8370-5BA0C9466EEB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4% increase assumed </t>
        </r>
      </text>
    </comment>
    <comment ref="E209" authorId="1" shapeId="0" xr:uid="{7A863881-B843-45A1-B009-1E0FBF2A69EE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4% increase assumed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Moreau, Danielle</author>
    <author>Broussard, Glenn</author>
    <author>Lamb, Jodi</author>
  </authors>
  <commentList>
    <comment ref="O7" authorId="0" shapeId="0" xr:uid="{2524EBD7-87C9-4AA2-B3EE-DCF094F5F129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Ceramics 
absorption limit = $0.1517
Horizon Ag = 100% absorbed</t>
        </r>
      </text>
    </comment>
    <comment ref="B64" authorId="0" shapeId="0" xr:uid="{95F48811-7FFF-4680-8C36-0481E69E6863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Aug 22 average</t>
        </r>
      </text>
    </comment>
    <comment ref="B68" authorId="1" shapeId="0" xr:uid="{125AA61A-FE6A-435B-81F6-178FBD23D664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BV of 64.6 million lbs inventory at 10/31/20</t>
        </r>
      </text>
    </comment>
    <comment ref="B69" authorId="0" shapeId="0" xr:uid="{15167486-D55C-4F99-AA86-145FFAD31F46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BV of 2.9 million lbs inventory at 8/31/22</t>
        </r>
      </text>
    </comment>
    <comment ref="G75" authorId="0" shapeId="0" xr:uid="{A0465A8F-D238-4705-9D69-99A00A9DAA71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C85" authorId="0" shapeId="0" xr:uid="{54C8FD34-8022-4E16-B8CB-66EB0048DD65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G85" authorId="0" shapeId="0" xr:uid="{EFACC62D-36C2-40F7-A0C9-0BD5FD0350A9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K85" authorId="0" shapeId="0" xr:uid="{7FF6DADD-A887-4A08-86A6-CAEE83C6F4D8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B88" authorId="0" shapeId="0" xr:uid="{15262EC3-1B98-4787-ACBB-A3AF37B054AC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Jun 22 purchase - Kuraray
</t>
        </r>
      </text>
    </comment>
    <comment ref="K88" authorId="0" shapeId="0" xr:uid="{56B44B8D-271F-4CD2-A1D6-833ED51A46E4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B89" authorId="0" shapeId="0" xr:uid="{A25E1889-1D54-49BD-99CE-D0204A533727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Jul 22 purchase
</t>
        </r>
      </text>
    </comment>
    <comment ref="K89" authorId="0" shapeId="0" xr:uid="{D8C04213-CF16-4AAD-9F68-9A9B7721F24B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B90" authorId="0" shapeId="0" xr:uid="{6C134134-DA91-4CB6-9F93-21441BF47E12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Aug 22 avg
</t>
        </r>
      </text>
    </comment>
    <comment ref="K90" authorId="0" shapeId="0" xr:uid="{A3410426-BCB6-4DB6-BE2C-9FA221BEE3E6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K91" authorId="0" shapeId="0" xr:uid="{15FB6533-8A67-4BE6-AAED-A16A59FE7088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K92" authorId="0" shapeId="0" xr:uid="{BC7D8D9C-8ADD-4679-B617-80D7F14210BA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K93" authorId="0" shapeId="0" xr:uid="{67EC9F4A-CEA2-403E-9738-9B3BD81E9498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K94" authorId="0" shapeId="0" xr:uid="{56E919C6-42BF-4B0E-A227-C077F1032C83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F101" authorId="1" shapeId="0" xr:uid="{D535CFB7-F258-4A62-BE91-01AE55677D59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Jan-Sept W&amp;S total = $64K; annualized = $86K, approx 1 FTE.</t>
        </r>
      </text>
    </comment>
    <comment ref="D158" authorId="1" shapeId="0" xr:uid="{98AFC131-9B63-4252-9574-C9463C04CFAE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Avg rate Jan-Aug 22</t>
        </r>
      </text>
    </comment>
    <comment ref="D159" authorId="1" shapeId="0" xr:uid="{4EC6621B-F278-4111-B5DA-2AC557137551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Per Shannon N 9/16/22
</t>
        </r>
      </text>
    </comment>
    <comment ref="G159" authorId="1" shapeId="0" xr:uid="{D0A84C9F-AE85-4D3D-B50D-E20D1055B937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Avg rate Jan-Aug 22</t>
        </r>
      </text>
    </comment>
    <comment ref="J159" authorId="1" shapeId="0" xr:uid="{F9ED67FB-39F9-4F77-8524-3096B47BB5A7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Base electricity usage with no production activity: approx. 30,000 kwh per day x 365 days</t>
        </r>
      </text>
    </comment>
    <comment ref="E163" authorId="1" shapeId="0" xr:uid="{6F1CF21C-2A89-41CD-A62B-7955FA87E7D5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Assumes (kwh/lb):
  0.215 incremental
+0.030 base at low-normal capacity (65%)
+0.066 excess due to below normal capacity plan</t>
        </r>
      </text>
    </comment>
    <comment ref="H163" authorId="1" shapeId="0" xr:uid="{520731CB-D7F3-4553-8D2A-289F2A4220A6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Assumes (kwh/lb):
  0.215 incremental
+0.030 base at low-normal capacity (65%)
+0.066 excess due to below normal capacity plan</t>
        </r>
      </text>
    </comment>
    <comment ref="H169" authorId="1" shapeId="0" xr:uid="{D0D7BA5E-D91E-4465-A54F-6371561D8DCA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Assumes (kwh/lb):
  0.145 incremental
+0.030 base at low-normal capacity (65%)
+0.066 excess due to below normal capacity plan
(based on Oct 1-day Nanomite production run)</t>
        </r>
      </text>
    </comment>
    <comment ref="B175" authorId="0" shapeId="0" xr:uid="{0E15DF28-5979-4B22-AFC2-5BC3B496EAEC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Line 1 - $62M
Line 2 - $57M
Line 3 - $72M
Line 4 - $65M</t>
        </r>
      </text>
    </comment>
    <comment ref="B194" authorId="2" shapeId="0" xr:uid="{D068D73B-921D-42FD-B212-26FBEA8095B3}">
      <text>
        <r>
          <rPr>
            <b/>
            <sz val="9"/>
            <color indexed="81"/>
            <rFont val="Tahoma"/>
            <family val="2"/>
          </rPr>
          <t>Lamb, Jodi: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96" authorId="1" shapeId="0" xr:uid="{C37926E6-F18E-43CE-86D4-F1550D830DEE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Assumes no capital additions.
</t>
        </r>
      </text>
    </comment>
    <comment ref="E202" authorId="1" shapeId="0" xr:uid="{FBD8ED51-24FF-42DE-82DD-45C499DAF9AC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4% increase assumed </t>
        </r>
      </text>
    </comment>
    <comment ref="E209" authorId="1" shapeId="0" xr:uid="{A35DA8D9-C3E4-4793-BE9C-4A2C3E4BD3E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4% increase assumed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Moreau, Danielle</author>
    <author>Broussard, Glenn</author>
    <author>Lamb, Jodi</author>
  </authors>
  <commentList>
    <comment ref="O7" authorId="0" shapeId="0" xr:uid="{3F062874-A558-4323-9B42-31720939BB3A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Ceramics 
absorption limit = $0.1517
Horizon Ag = 100% absorbed</t>
        </r>
      </text>
    </comment>
    <comment ref="B64" authorId="0" shapeId="0" xr:uid="{863BB141-4E4F-435C-8DDC-029E67627264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Aug 22 average</t>
        </r>
      </text>
    </comment>
    <comment ref="B68" authorId="1" shapeId="0" xr:uid="{A83975FF-01EB-493E-9C52-DE27CD024CA7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BV of 64.6 million lbs inventory at 10/31/20</t>
        </r>
      </text>
    </comment>
    <comment ref="B69" authorId="0" shapeId="0" xr:uid="{78D2AD55-5DB6-4E4F-8937-978695D47812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BV of 2.9 million lbs inventory at 8/31/22</t>
        </r>
      </text>
    </comment>
    <comment ref="G75" authorId="0" shapeId="0" xr:uid="{CEB0F324-1FF2-433F-B9A6-C1E7E16B8917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C85" authorId="0" shapeId="0" xr:uid="{AA8A95D1-F139-4A3B-B7EB-4AA8FF6EF80E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G85" authorId="0" shapeId="0" xr:uid="{B5DA714D-D4AB-413F-B580-3EEAA2EA74D6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K85" authorId="0" shapeId="0" xr:uid="{BC7B566D-9828-412A-A330-8039928CC5A3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B88" authorId="0" shapeId="0" xr:uid="{925B0565-AA84-4CC8-A450-CBD3831E5AFE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Jun 22 purchase - Kuraray
</t>
        </r>
      </text>
    </comment>
    <comment ref="K88" authorId="0" shapeId="0" xr:uid="{B07881AE-C6EA-45B1-9F99-35F46F7CAFEC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B89" authorId="0" shapeId="0" xr:uid="{1D3A1981-6CC3-4D4F-9D8E-6162094693D8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Jul 22 purchase
</t>
        </r>
      </text>
    </comment>
    <comment ref="K89" authorId="0" shapeId="0" xr:uid="{9371CB5D-0FC8-4985-ABC5-5332BEC0F1E0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B90" authorId="0" shapeId="0" xr:uid="{33A3F9FB-BE7E-4FD6-825C-BCD3DED7F64C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Aug 22 avg
</t>
        </r>
      </text>
    </comment>
    <comment ref="K90" authorId="0" shapeId="0" xr:uid="{F9A4F4F2-D04C-415B-BCFA-F5835DAEF416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K91" authorId="0" shapeId="0" xr:uid="{A2F04474-D91D-4472-86F5-E4BC4A62E0E3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K92" authorId="0" shapeId="0" xr:uid="{BC2B35AD-ECB8-4257-BEE7-9D339BCCCE5F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K93" authorId="0" shapeId="0" xr:uid="{45D5A62B-0C82-46B5-8E78-C48A34488996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K94" authorId="0" shapeId="0" xr:uid="{FD56D97C-07F6-4AA4-8C3A-CF456334014F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F101" authorId="1" shapeId="0" xr:uid="{AEDA978E-01C5-4191-B9D8-39447689AAB3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Jan-Sept W&amp;S total = $64K; annualized = $86K, approx 1 FTE.</t>
        </r>
      </text>
    </comment>
    <comment ref="D158" authorId="1" shapeId="0" xr:uid="{E05E251C-1F90-40C5-85A2-4FD70551D3A3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Avg rate Jan-Aug 22</t>
        </r>
      </text>
    </comment>
    <comment ref="D159" authorId="1" shapeId="0" xr:uid="{C6D016F7-68C2-48A5-A634-0207329C3E51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Per Shannon N 9/16/22
</t>
        </r>
      </text>
    </comment>
    <comment ref="G159" authorId="1" shapeId="0" xr:uid="{DBB37ECE-E7AB-400B-AFFE-4D724DEA8E42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Avg rate Jan-Aug 22</t>
        </r>
      </text>
    </comment>
    <comment ref="J159" authorId="1" shapeId="0" xr:uid="{E0987CEB-D86D-4059-B943-DB495303924F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Base electricity usage with no production activity: approx. 30,000 kwh per day x 365 days</t>
        </r>
      </text>
    </comment>
    <comment ref="E163" authorId="1" shapeId="0" xr:uid="{0957695A-6873-44FA-B61A-90E1F021363D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Assumes (kwh/lb):
  0.215 incremental
+0.030 base at low-normal capacity (65%)
+0.066 excess due to below normal capacity plan</t>
        </r>
      </text>
    </comment>
    <comment ref="H163" authorId="1" shapeId="0" xr:uid="{65168D2C-3EDC-4185-9936-59DF44A6B25D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Assumes (kwh/lb):
  0.215 incremental
+0.030 base at low-normal capacity (65%)
+0.066 excess due to below normal capacity plan</t>
        </r>
      </text>
    </comment>
    <comment ref="H169" authorId="1" shapeId="0" xr:uid="{27EFB8D8-EC21-4253-87DF-E8D38CC2102E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Assumes (kwh/lb):
  0.145 incremental
+0.030 base at low-normal capacity (65%)
+0.066 excess due to below normal capacity plan
(based on Oct 1-day Nanomite production run)</t>
        </r>
      </text>
    </comment>
    <comment ref="B175" authorId="0" shapeId="0" xr:uid="{3A4402B9-43A0-4875-903B-C49378D4BB9C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Line 1 - $62M
Line 2 - $57M
Line 3 - $72M
Line 4 - $65M</t>
        </r>
      </text>
    </comment>
    <comment ref="B194" authorId="2" shapeId="0" xr:uid="{70E14FFA-BF11-4ADB-8C19-E7E187377652}">
      <text>
        <r>
          <rPr>
            <b/>
            <sz val="9"/>
            <color indexed="81"/>
            <rFont val="Tahoma"/>
            <family val="2"/>
          </rPr>
          <t>Lamb, Jodi: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96" authorId="1" shapeId="0" xr:uid="{02046E68-A714-43D7-B2E5-DBCA71A1FD6F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Assumes no capital additions.
</t>
        </r>
      </text>
    </comment>
    <comment ref="E202" authorId="1" shapeId="0" xr:uid="{42002D0E-E100-4542-8D09-02FDD39BB74E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4% increase assumed </t>
        </r>
      </text>
    </comment>
    <comment ref="E209" authorId="1" shapeId="0" xr:uid="{17216C1D-1104-4A49-98ED-42248C5855E2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4% increase assumed 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Moreau, Danielle</author>
    <author>Broussard, Glenn</author>
    <author>Lamb, Jodi</author>
  </authors>
  <commentList>
    <comment ref="O7" authorId="0" shapeId="0" xr:uid="{145415D1-E26B-4F2A-B28E-A94A4E50EDA8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Ceramics 
absorption limit = $0.1517
Horizon Ag = 100% absorbed</t>
        </r>
      </text>
    </comment>
    <comment ref="B64" authorId="0" shapeId="0" xr:uid="{6EFB69AA-C80B-456B-892F-CE5E84EBE4C7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Aug 22 average</t>
        </r>
      </text>
    </comment>
    <comment ref="B68" authorId="1" shapeId="0" xr:uid="{0FBCA324-0FD2-4B22-8FA1-78385808DF0A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BV of 64.6 million lbs inventory at 10/31/20</t>
        </r>
      </text>
    </comment>
    <comment ref="B69" authorId="0" shapeId="0" xr:uid="{DCCA8D0A-8C70-4D54-B928-46A8845375C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BV of 2.9 million lbs inventory at 8/31/22</t>
        </r>
      </text>
    </comment>
    <comment ref="G75" authorId="0" shapeId="0" xr:uid="{9A4400BB-782A-437F-9581-62993A56A385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C85" authorId="0" shapeId="0" xr:uid="{D69ED318-6667-4E60-830F-292FCC1BDB4E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G85" authorId="0" shapeId="0" xr:uid="{1C72044A-AEE1-4AD0-88A1-A8CFD7BD7C8F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K85" authorId="0" shapeId="0" xr:uid="{FBA38581-BAF3-4503-8783-B5B88D0C834C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B88" authorId="0" shapeId="0" xr:uid="{1BA31CCB-7A63-4700-984E-1DAE4E639F4B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Jun 22 purchase - Kuraray
</t>
        </r>
      </text>
    </comment>
    <comment ref="K88" authorId="0" shapeId="0" xr:uid="{1387BE9C-0B95-41F6-A23E-78E6214A29AF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B89" authorId="0" shapeId="0" xr:uid="{8269148A-6CAE-42A1-B76F-15393748745E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Jul 22 purchase
</t>
        </r>
      </text>
    </comment>
    <comment ref="K89" authorId="0" shapeId="0" xr:uid="{F6C77540-8AE9-4FA2-9EAD-5FD019606B78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B90" authorId="0" shapeId="0" xr:uid="{49F2A5DB-2799-4EB4-BED8-E29593BC9F0F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Aug 22 avg
</t>
        </r>
      </text>
    </comment>
    <comment ref="K90" authorId="0" shapeId="0" xr:uid="{226867C1-08F6-41E0-A9AB-5892FB99190F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K91" authorId="0" shapeId="0" xr:uid="{CCB228AF-FD2C-4EE0-B2E3-985D7A60D8A4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K92" authorId="0" shapeId="0" xr:uid="{E34EFBC1-ED77-4DD2-A1E7-3400BE668CC2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K93" authorId="0" shapeId="0" xr:uid="{036E5255-86F1-4481-AA8A-480C3D16307C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K94" authorId="0" shapeId="0" xr:uid="{3601548C-AFBB-44F6-AF5F-EDDB70B69C04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F101" authorId="1" shapeId="0" xr:uid="{CF3E9A9D-DAA0-4E8A-9364-90F7F9BD38CD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Jan-Sept W&amp;S total = $64K; annualized = $86K, approx 1 FTE.</t>
        </r>
      </text>
    </comment>
    <comment ref="D158" authorId="1" shapeId="0" xr:uid="{7EA40BF8-40A8-4B8D-BCB6-A271CB476067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Avg rate Jan-Aug 22</t>
        </r>
      </text>
    </comment>
    <comment ref="D159" authorId="1" shapeId="0" xr:uid="{04E7B901-4781-4860-8458-5A6D29BA2484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Per Shannon N 9/16/22
</t>
        </r>
      </text>
    </comment>
    <comment ref="G159" authorId="1" shapeId="0" xr:uid="{E48FCB90-9423-4B01-B7E1-BB1F7EC6B0A3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Avg rate Jan-Aug 22</t>
        </r>
      </text>
    </comment>
    <comment ref="J159" authorId="1" shapeId="0" xr:uid="{5D97AF8F-BA34-4F8D-A7F0-9E3438BC4D95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Base electricity usage with no production activity: approx. 30,000 kwh per day x 365 days</t>
        </r>
      </text>
    </comment>
    <comment ref="E163" authorId="1" shapeId="0" xr:uid="{FBE0A009-0498-48AC-91FC-AB0D3F45BF4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Assumes (kwh/lb):
  0.215 incremental
+0.030 base at low-normal capacity (65%)
+0.066 excess due to below normal capacity plan</t>
        </r>
      </text>
    </comment>
    <comment ref="H163" authorId="1" shapeId="0" xr:uid="{0B0A84AE-37AD-4729-868E-CEEDDD964E8D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Assumes (kwh/lb):
  0.215 incremental
+0.030 base at low-normal capacity (65%)
+0.066 excess due to below normal capacity plan</t>
        </r>
      </text>
    </comment>
    <comment ref="H169" authorId="1" shapeId="0" xr:uid="{44227B2D-CA54-431B-9151-AB3F6C8D1431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Assumes (kwh/lb):
  0.145 incremental
+0.030 base at low-normal capacity (65%)
+0.066 excess due to below normal capacity plan
(based on Oct 1-day Nanomite production run)</t>
        </r>
      </text>
    </comment>
    <comment ref="B175" authorId="0" shapeId="0" xr:uid="{1DE0E3B5-391C-4923-8644-AEB757ED65F9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Line 1 - $62M
Line 2 - $57M
Line 3 - $72M
Line 4 - $65M</t>
        </r>
      </text>
    </comment>
    <comment ref="B194" authorId="2" shapeId="0" xr:uid="{69A82980-2188-41E9-A0DB-A677705622A6}">
      <text>
        <r>
          <rPr>
            <b/>
            <sz val="9"/>
            <color indexed="81"/>
            <rFont val="Tahoma"/>
            <family val="2"/>
          </rPr>
          <t>Lamb, Jodi: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96" authorId="1" shapeId="0" xr:uid="{53D40886-E5E9-4DA7-BBDF-D5E82795B329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Assumes no capital additions.
</t>
        </r>
      </text>
    </comment>
    <comment ref="E202" authorId="1" shapeId="0" xr:uid="{9A05E7F4-6E43-44D3-915F-21830D31100B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4% increase assumed </t>
        </r>
      </text>
    </comment>
    <comment ref="E209" authorId="1" shapeId="0" xr:uid="{E8FDCC29-A51B-49CC-A16D-0A63B0EFD4A5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4% increase assumed 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Moreau, Danielle</author>
    <author>Broussard, Glenn</author>
    <author>Lamb, Jodi</author>
  </authors>
  <commentList>
    <comment ref="O7" authorId="0" shapeId="0" xr:uid="{9274054A-BCF9-4060-8504-CEA6F5AA02B2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Ceramics 
absorption limit = $0.1517
Horizon Ag = 100% absorbed</t>
        </r>
      </text>
    </comment>
    <comment ref="B64" authorId="0" shapeId="0" xr:uid="{D0CAA2F7-662F-4559-B75C-920878D9051D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Aug 22 average</t>
        </r>
      </text>
    </comment>
    <comment ref="B68" authorId="1" shapeId="0" xr:uid="{F4B76F41-72D7-4560-9977-31BC20067CE4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BV of 64.6 million lbs inventory at 10/31/20</t>
        </r>
      </text>
    </comment>
    <comment ref="B69" authorId="0" shapeId="0" xr:uid="{2A10339E-C185-4273-9382-0C63617E4EBA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BV of 2.9 million lbs inventory at 8/31/22</t>
        </r>
      </text>
    </comment>
    <comment ref="G75" authorId="0" shapeId="0" xr:uid="{4679EFAC-5CC6-4233-9628-9E24D8CFEFDD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C85" authorId="0" shapeId="0" xr:uid="{A1D3D942-F820-491E-8C43-FEC3C2BBE04E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G85" authorId="0" shapeId="0" xr:uid="{BB53BCDE-6146-4A90-B348-B08B1BD62A9A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K85" authorId="0" shapeId="0" xr:uid="{8186D714-EF7D-47C9-8039-E844687FE457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B88" authorId="0" shapeId="0" xr:uid="{E53A9111-5228-4D46-AFAE-8E7BC164704E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Jun 22 purchase - Kuraray
</t>
        </r>
      </text>
    </comment>
    <comment ref="K88" authorId="0" shapeId="0" xr:uid="{4DC27BD8-9818-4105-9951-542BC9757469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B89" authorId="0" shapeId="0" xr:uid="{5C2D8317-EC92-4BFD-87C8-704F9B4A452C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Jul 22 purchase
</t>
        </r>
      </text>
    </comment>
    <comment ref="K89" authorId="0" shapeId="0" xr:uid="{34077D57-E2EE-4603-BB87-E167F64AB679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B90" authorId="0" shapeId="0" xr:uid="{E4E1F402-940D-4BF7-A655-CEBDD5275564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Aug 22 avg
</t>
        </r>
      </text>
    </comment>
    <comment ref="K90" authorId="0" shapeId="0" xr:uid="{3F59D1C9-4193-41D3-937D-8BFCA717CCC1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K91" authorId="0" shapeId="0" xr:uid="{E4F0514E-4C64-4AF6-AF94-1EB63855F92C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K92" authorId="0" shapeId="0" xr:uid="{8A4BAFEA-0D0D-4E71-B81E-694278F7CC43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K93" authorId="0" shapeId="0" xr:uid="{EC9B724E-3346-4212-AC8F-F802A742612F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K94" authorId="0" shapeId="0" xr:uid="{1394D176-2257-4EA7-A652-DEE9CCD29CBD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F101" authorId="1" shapeId="0" xr:uid="{9DDDAE8E-4D60-4E92-83F5-D52CD2D6F4AB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Jan-Sept W&amp;S total = $64K; annualized = $86K, approx 1 FTE.</t>
        </r>
      </text>
    </comment>
    <comment ref="D158" authorId="1" shapeId="0" xr:uid="{D2172E0D-B361-4745-BBAD-736EF7E6DF37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Avg rate Jan-Aug 22</t>
        </r>
      </text>
    </comment>
    <comment ref="D159" authorId="1" shapeId="0" xr:uid="{86CBD576-1935-4F11-8FBF-7057F403CA02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Per Shannon N 9/16/22
</t>
        </r>
      </text>
    </comment>
    <comment ref="G159" authorId="1" shapeId="0" xr:uid="{77756F93-F718-4B9E-942E-80C4FD60CAC5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Avg rate Jan-Aug 22</t>
        </r>
      </text>
    </comment>
    <comment ref="J159" authorId="1" shapeId="0" xr:uid="{5E3EB2A5-3FDC-4C07-AE09-5C911927C1F2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Base electricity usage with no production activity: approx. 30,000 kwh per day x 365 days</t>
        </r>
      </text>
    </comment>
    <comment ref="E163" authorId="1" shapeId="0" xr:uid="{F830A706-CFF1-4C27-A985-7AF9F153C6CB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Assumes (kwh/lb):
  0.215 incremental
+0.030 base at low-normal capacity (65%)
+0.066 excess due to below normal capacity plan</t>
        </r>
      </text>
    </comment>
    <comment ref="H163" authorId="1" shapeId="0" xr:uid="{99178047-A319-45DE-82C6-12EAD783FB0C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Assumes (kwh/lb):
  0.215 incremental
+0.030 base at low-normal capacity (65%)
+0.066 excess due to below normal capacity plan</t>
        </r>
      </text>
    </comment>
    <comment ref="H169" authorId="1" shapeId="0" xr:uid="{68473DDA-287E-4172-86F2-D27EBC460FD2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Assumes (kwh/lb):
  0.145 incremental
+0.030 base at low-normal capacity (65%)
+0.066 excess due to below normal capacity plan
(based on Oct 1-day Nanomite production run)</t>
        </r>
      </text>
    </comment>
    <comment ref="B175" authorId="0" shapeId="0" xr:uid="{9CA23FAC-E965-4369-8161-3553A69D6236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Line 1 - $62M
Line 2 - $57M
Line 3 - $72M
Line 4 - $65M</t>
        </r>
      </text>
    </comment>
    <comment ref="B194" authorId="2" shapeId="0" xr:uid="{BF7140C7-02CD-4DAC-AC7A-4CADB2E7853C}">
      <text>
        <r>
          <rPr>
            <b/>
            <sz val="9"/>
            <color indexed="81"/>
            <rFont val="Tahoma"/>
            <family val="2"/>
          </rPr>
          <t>Lamb, Jodi: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96" authorId="1" shapeId="0" xr:uid="{EE13DB4D-1303-4530-A108-1283E5302F45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Assumes no capital additions.
</t>
        </r>
      </text>
    </comment>
    <comment ref="E202" authorId="1" shapeId="0" xr:uid="{1BA1D1A7-BB56-4A0A-955E-C3C3B9E60498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4% increase assumed </t>
        </r>
      </text>
    </comment>
    <comment ref="E209" authorId="1" shapeId="0" xr:uid="{1A491931-E135-465C-907C-1921F7901E42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4% increase assumed 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Moreau, Danielle</author>
    <author>Broussard, Glenn</author>
    <author>Lamb, Jodi</author>
  </authors>
  <commentList>
    <comment ref="O7" authorId="0" shapeId="0" xr:uid="{3500730A-15CF-42F1-80C1-41A3BB72FC33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Ceramics 
absorption limit = $0.1517
Horizon Ag = 100% absorbed</t>
        </r>
      </text>
    </comment>
    <comment ref="B64" authorId="0" shapeId="0" xr:uid="{2EB63FE9-A765-4C36-AE74-BC64449BA5B8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Aug 22 average</t>
        </r>
      </text>
    </comment>
    <comment ref="B68" authorId="1" shapeId="0" xr:uid="{1A2FDD8F-D360-4D55-9DCB-07945E2AD2DF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BV of 64.6 million lbs inventory at 10/31/20</t>
        </r>
      </text>
    </comment>
    <comment ref="B69" authorId="0" shapeId="0" xr:uid="{C06B7E9E-B8CA-4C08-A75D-9914BEEFA41B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BV of 2.9 million lbs inventory at 8/31/22</t>
        </r>
      </text>
    </comment>
    <comment ref="G75" authorId="0" shapeId="0" xr:uid="{2AFEA46C-A203-42EF-AD89-5EA65B0D10AD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C85" authorId="0" shapeId="0" xr:uid="{09453D4C-3065-4DE1-8B6B-6465AD092B1B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G85" authorId="0" shapeId="0" xr:uid="{48EBDE22-0EE5-43B7-BF32-89A3A3C1A1C5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K85" authorId="0" shapeId="0" xr:uid="{B33178DA-53EC-4BF6-A68D-6448D6972F03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B88" authorId="0" shapeId="0" xr:uid="{B2810B3B-8CC8-4E75-8EF9-64C59BAEAE1B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Jun 22 purchase - Kuraray
</t>
        </r>
      </text>
    </comment>
    <comment ref="K88" authorId="0" shapeId="0" xr:uid="{18CAE79E-34AD-4891-B8C5-12A94C17DF0E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B89" authorId="0" shapeId="0" xr:uid="{943680EA-EE3A-4039-9B2C-B18C096E129D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Jul 22 purchase
</t>
        </r>
      </text>
    </comment>
    <comment ref="K89" authorId="0" shapeId="0" xr:uid="{D1A58294-1B19-4D63-812A-118C94197031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B90" authorId="0" shapeId="0" xr:uid="{F0AB994F-D639-41D1-A1F8-197D8B32FE1D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Aug 22 avg
</t>
        </r>
      </text>
    </comment>
    <comment ref="K90" authorId="0" shapeId="0" xr:uid="{75798D63-72B1-4655-B352-E62F4D709B9A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K91" authorId="0" shapeId="0" xr:uid="{F0A5C567-11CC-4AB5-8B6B-8877A794DE8D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K92" authorId="0" shapeId="0" xr:uid="{37CA9B97-9098-49E8-AC7E-45119510ED4F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K93" authorId="0" shapeId="0" xr:uid="{AE61B11A-A25B-4631-BA95-0F1F7D4215EE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K94" authorId="0" shapeId="0" xr:uid="{3D796B16-3D34-4E61-A044-815A876128BE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F101" authorId="1" shapeId="0" xr:uid="{2CC317CD-5916-40AA-82A6-E1C4F3A9C81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Jan-Sept W&amp;S total = $64K; annualized = $86K, approx 1 FTE.</t>
        </r>
      </text>
    </comment>
    <comment ref="D158" authorId="1" shapeId="0" xr:uid="{73D3FE0F-C791-4955-A3B4-A8C3052AEEB9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Avg rate Jan-Aug 22</t>
        </r>
      </text>
    </comment>
    <comment ref="D159" authorId="1" shapeId="0" xr:uid="{1898452F-00BE-4F13-B051-B8B539259A53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Per Shannon N 9/16/22
</t>
        </r>
      </text>
    </comment>
    <comment ref="G159" authorId="1" shapeId="0" xr:uid="{E4C31068-A088-45B7-B51C-956AB8FE84E9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Avg rate Jan-Aug 22</t>
        </r>
      </text>
    </comment>
    <comment ref="J159" authorId="1" shapeId="0" xr:uid="{C3E21D17-3A5F-4D7F-A39F-0E4029E439B4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Base electricity usage with no production activity: approx. 30,000 kwh per day x 365 days</t>
        </r>
      </text>
    </comment>
    <comment ref="E163" authorId="1" shapeId="0" xr:uid="{AEB9C894-DA02-43E5-9E9B-7A20C78E7557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Assumes (kwh/lb):
  0.215 incremental
+0.030 base at low-normal capacity (65%)
+0.066 excess due to below normal capacity plan</t>
        </r>
      </text>
    </comment>
    <comment ref="H163" authorId="1" shapeId="0" xr:uid="{F8CFF147-3AB9-44B0-BB07-42D77F11DBAE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Assumes (kwh/lb):
  0.215 incremental
+0.030 base at low-normal capacity (65%)
+0.066 excess due to below normal capacity plan</t>
        </r>
      </text>
    </comment>
    <comment ref="H169" authorId="1" shapeId="0" xr:uid="{EE4984D8-24E7-4CB0-92A7-FB5BB3096B4E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Assumes (kwh/lb):
  0.145 incremental
+0.030 base at low-normal capacity (65%)
+0.066 excess due to below normal capacity plan
(based on Oct 1-day Nanomite production run)</t>
        </r>
      </text>
    </comment>
    <comment ref="B175" authorId="0" shapeId="0" xr:uid="{D60B6893-7374-4485-905E-8F623EB2FC43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Line 1 - $62M
Line 2 - $57M
Line 3 - $72M
Line 4 - $65M</t>
        </r>
      </text>
    </comment>
    <comment ref="B194" authorId="2" shapeId="0" xr:uid="{E47DE1D9-9394-4480-9F66-C73FF23F5F72}">
      <text>
        <r>
          <rPr>
            <b/>
            <sz val="9"/>
            <color indexed="81"/>
            <rFont val="Tahoma"/>
            <family val="2"/>
          </rPr>
          <t>Lamb, Jodi: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96" authorId="1" shapeId="0" xr:uid="{0D6F5A93-CF3B-49B9-A423-D8CC215ABC2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Assumes no capital additions.
</t>
        </r>
      </text>
    </comment>
    <comment ref="E202" authorId="1" shapeId="0" xr:uid="{60BD72DD-E4D3-45BF-A97E-70A5E65277FC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4% increase assumed </t>
        </r>
      </text>
    </comment>
    <comment ref="E209" authorId="1" shapeId="0" xr:uid="{B6486212-D2AC-4794-AEB0-C446685809D9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4% increase assumed 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Moreau, Danielle</author>
    <author>Broussard, Glenn</author>
    <author>Lamb, Jodi</author>
  </authors>
  <commentList>
    <comment ref="O7" authorId="0" shapeId="0" xr:uid="{20A92AA8-27A8-46F2-BF70-7768D2A2D815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Ceramics 
absorption limit = $0.1517
Horizon Ag = 100% absorbed</t>
        </r>
      </text>
    </comment>
    <comment ref="B64" authorId="0" shapeId="0" xr:uid="{BDAE90B0-6958-4F01-90D4-AE5BB4BF30FC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Aug 22 average</t>
        </r>
      </text>
    </comment>
    <comment ref="B68" authorId="1" shapeId="0" xr:uid="{AF3ED6F5-6049-411E-BF1D-B1F40FFA1C32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BV of 64.6 million lbs inventory at 10/31/20</t>
        </r>
      </text>
    </comment>
    <comment ref="B69" authorId="0" shapeId="0" xr:uid="{E45451FB-CC8A-489B-97D7-6D0A22EB9EB1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BV of 2.9 million lbs inventory at 8/31/22</t>
        </r>
      </text>
    </comment>
    <comment ref="G75" authorId="0" shapeId="0" xr:uid="{BC3693DA-C46A-40EB-BB5A-A19B499B96B3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C85" authorId="0" shapeId="0" xr:uid="{01E80BB7-6AB5-4CAE-BDFE-88D54754562A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G85" authorId="0" shapeId="0" xr:uid="{748CC762-9547-4B90-87E3-C6754BE97289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K85" authorId="0" shapeId="0" xr:uid="{08759AD8-A6D0-40AB-85C0-8864B5541E81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B88" authorId="0" shapeId="0" xr:uid="{F20B1AC2-399B-480E-95B9-D13424C6CDE4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Jun 22 purchase - Kuraray
</t>
        </r>
      </text>
    </comment>
    <comment ref="K88" authorId="0" shapeId="0" xr:uid="{C75CCDDE-82A4-4E9F-A473-78B832E96555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B89" authorId="0" shapeId="0" xr:uid="{47FA2D97-90EE-4CF2-BFDC-3570E5ED1B6E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Jul 22 purchase
</t>
        </r>
      </text>
    </comment>
    <comment ref="K89" authorId="0" shapeId="0" xr:uid="{DC71C826-CEFF-49A5-BD49-ED5E25BB50ED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B90" authorId="0" shapeId="0" xr:uid="{05651CCB-FF72-4CB4-B1F6-FFDDC74B548F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Aug 22 avg
</t>
        </r>
      </text>
    </comment>
    <comment ref="K90" authorId="0" shapeId="0" xr:uid="{08872882-1B13-4B56-98E2-7787908637DD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K91" authorId="0" shapeId="0" xr:uid="{FB61551C-0D02-4068-9EA3-139F373609F5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K92" authorId="0" shapeId="0" xr:uid="{EA86BF59-2510-43B4-8481-CBEF542C4973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K93" authorId="0" shapeId="0" xr:uid="{4BBC2580-1D8B-401E-821F-C7BBF5B65003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K94" authorId="0" shapeId="0" xr:uid="{5D13F82D-51A1-4194-B4A8-239B00990616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F101" authorId="1" shapeId="0" xr:uid="{DF4AED85-79A8-442A-94B4-35FCEF99DC4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Jan-Sept W&amp;S total = $64K; annualized = $86K, approx 1 FTE.</t>
        </r>
      </text>
    </comment>
    <comment ref="D158" authorId="1" shapeId="0" xr:uid="{F509D17F-02DC-44DF-97E8-38B0BDA3B3E2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Avg rate Jan-Aug 22</t>
        </r>
      </text>
    </comment>
    <comment ref="D159" authorId="1" shapeId="0" xr:uid="{3CF22321-9257-4E5E-A0F8-9261CB6C2FFA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Per Shannon N 9/16/22
</t>
        </r>
      </text>
    </comment>
    <comment ref="G159" authorId="1" shapeId="0" xr:uid="{BBC06FDE-B93E-4BF4-838F-54ABB2F33129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Avg rate Jan-Aug 22</t>
        </r>
      </text>
    </comment>
    <comment ref="J159" authorId="1" shapeId="0" xr:uid="{EE938870-B48E-4F89-A8DB-4669B279C05E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Base electricity usage with no production activity: approx. 30,000 kwh per day x 365 days</t>
        </r>
      </text>
    </comment>
    <comment ref="E163" authorId="1" shapeId="0" xr:uid="{BE2C167E-2906-4A3C-8962-79E94D2ADF4C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Assumes (kwh/lb):
  0.215 incremental
+0.030 base at low-normal capacity (65%)
+0.066 excess due to below normal capacity plan</t>
        </r>
      </text>
    </comment>
    <comment ref="H163" authorId="1" shapeId="0" xr:uid="{AA177F27-E002-4FD8-863C-5EA199E5C763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Assumes (kwh/lb):
  0.215 incremental
+0.030 base at low-normal capacity (65%)
+0.066 excess due to below normal capacity plan</t>
        </r>
      </text>
    </comment>
    <comment ref="H169" authorId="1" shapeId="0" xr:uid="{6A4E68DB-91E5-4FE2-A104-E40E0C5D26D5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Assumes (kwh/lb):
  0.145 incremental
+0.030 base at low-normal capacity (65%)
+0.066 excess due to below normal capacity plan
(based on Oct 1-day Nanomite production run)</t>
        </r>
      </text>
    </comment>
    <comment ref="B175" authorId="0" shapeId="0" xr:uid="{C52B150E-21D4-46D5-AD1A-4D79DA98CDD5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Line 1 - $62M
Line 2 - $57M
Line 3 - $72M
Line 4 - $65M</t>
        </r>
      </text>
    </comment>
    <comment ref="B194" authorId="2" shapeId="0" xr:uid="{DD7A9DCC-44D6-4C29-AE0C-DDA002AABEC2}">
      <text>
        <r>
          <rPr>
            <b/>
            <sz val="9"/>
            <color indexed="81"/>
            <rFont val="Tahoma"/>
            <family val="2"/>
          </rPr>
          <t>Lamb, Jodi: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96" authorId="1" shapeId="0" xr:uid="{4084E718-FF2A-4618-AF88-3D0BE852F19E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Assumes no capital additions.
</t>
        </r>
      </text>
    </comment>
    <comment ref="E202" authorId="1" shapeId="0" xr:uid="{FCDFBBF7-9566-4E0A-A5AB-46C285365773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4% increase assumed </t>
        </r>
      </text>
    </comment>
    <comment ref="E209" authorId="1" shapeId="0" xr:uid="{38669E5B-FFDC-46C4-870B-9729FFBD107E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4% increase assumed 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Moreau, Danielle</author>
    <author>Broussard, Glenn</author>
    <author>Lamb, Jodi</author>
  </authors>
  <commentList>
    <comment ref="O7" authorId="0" shapeId="0" xr:uid="{3823B768-98B9-461E-BE9B-17A0F1915C3B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Ceramics 
absorption limit = $0.1517
Horizon Ag = 100% absorbed</t>
        </r>
      </text>
    </comment>
    <comment ref="B64" authorId="0" shapeId="0" xr:uid="{2CF03DCE-ECF0-4A81-9C5F-BDC6F63A6811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Aug 22 average</t>
        </r>
      </text>
    </comment>
    <comment ref="B68" authorId="1" shapeId="0" xr:uid="{9D65C615-E481-4B68-B0B3-87FABDA52743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BV of 64.6 million lbs inventory at 10/31/20</t>
        </r>
      </text>
    </comment>
    <comment ref="B69" authorId="0" shapeId="0" xr:uid="{AFFFE672-B911-4ECF-B0BF-30E404AD2175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BV of 2.9 million lbs inventory at 8/31/22</t>
        </r>
      </text>
    </comment>
    <comment ref="G75" authorId="0" shapeId="0" xr:uid="{81B64FE8-A540-4FE3-B07A-14F02E8F47BD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C85" authorId="0" shapeId="0" xr:uid="{DF3CFF7C-7734-4508-B280-8CE4AD2A7C64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G85" authorId="0" shapeId="0" xr:uid="{1D3B8253-DA71-4125-8CD7-3D80423B271C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K85" authorId="0" shapeId="0" xr:uid="{568DE896-B957-41DB-B972-519EE3A99786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B88" authorId="0" shapeId="0" xr:uid="{98526C76-56E2-4DAE-AFE5-1FAC30C052BA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Jun 22 purchase - Kuraray
</t>
        </r>
      </text>
    </comment>
    <comment ref="K88" authorId="0" shapeId="0" xr:uid="{463EA7EF-C845-4405-A8D8-F794A8655A72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B89" authorId="0" shapeId="0" xr:uid="{D825AE68-2AC5-485A-BF9F-B8D738739714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Jul 22 purchase
</t>
        </r>
      </text>
    </comment>
    <comment ref="K89" authorId="0" shapeId="0" xr:uid="{9083C8D5-C106-4E10-B34F-940D89F2820E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B90" authorId="0" shapeId="0" xr:uid="{C8057F15-EAEF-4F39-BF09-64F0DA48BF84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Aug 22 avg
</t>
        </r>
      </text>
    </comment>
    <comment ref="K90" authorId="0" shapeId="0" xr:uid="{46EC0455-FA04-499A-91E9-8AF52EB59A59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K91" authorId="0" shapeId="0" xr:uid="{14009C6A-56C1-41CE-8DE1-EC23F571F028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K92" authorId="0" shapeId="0" xr:uid="{A86D26C1-3CCB-4A51-9A0F-37DD3FDB0254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K93" authorId="0" shapeId="0" xr:uid="{B769C2FF-913B-47BF-9BE4-C0BA8C4999CF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K94" authorId="0" shapeId="0" xr:uid="{C43FBDC8-05BA-4EFA-82FE-20B00E7E5C0F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F101" authorId="1" shapeId="0" xr:uid="{7880C193-E615-4830-BCF2-B2C90C0C8C76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Jan-Sept W&amp;S total = $64K; annualized = $86K, approx 1 FTE.</t>
        </r>
      </text>
    </comment>
    <comment ref="D158" authorId="1" shapeId="0" xr:uid="{7C461A20-9D20-45D6-90A1-2275BD034B3B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Avg rate Jan-Aug 22</t>
        </r>
      </text>
    </comment>
    <comment ref="D159" authorId="1" shapeId="0" xr:uid="{4AD6623C-0C30-43B2-B232-94D92A80F659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Per Shannon N 9/16/22
</t>
        </r>
      </text>
    </comment>
    <comment ref="G159" authorId="1" shapeId="0" xr:uid="{0056FC8E-4BB2-437E-BA18-B6ADB5DB2889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Avg rate Jan-Aug 22</t>
        </r>
      </text>
    </comment>
    <comment ref="J159" authorId="1" shapeId="0" xr:uid="{0471F39B-ACBE-4863-914A-57035582EF3D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Base electricity usage with no production activity: approx. 30,000 kwh per day x 365 days</t>
        </r>
      </text>
    </comment>
    <comment ref="E163" authorId="1" shapeId="0" xr:uid="{0440A2E8-2D10-48D8-B029-190AFC2164BC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Assumes (kwh/lb):
  0.215 incremental
+0.030 base at low-normal capacity (65%)
+0.066 excess due to below normal capacity plan</t>
        </r>
      </text>
    </comment>
    <comment ref="H163" authorId="1" shapeId="0" xr:uid="{17B87416-E42A-4B9E-9E84-6C3581704523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Assumes (kwh/lb):
  0.215 incremental
+0.030 base at low-normal capacity (65%)
+0.066 excess due to below normal capacity plan</t>
        </r>
      </text>
    </comment>
    <comment ref="H169" authorId="1" shapeId="0" xr:uid="{E5A60E1D-A36F-46F1-B709-7CC19E2EAA4A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Assumes (kwh/lb):
  0.145 incremental
+0.030 base at low-normal capacity (65%)
+0.066 excess due to below normal capacity plan
(based on Oct 1-day Nanomite production run)</t>
        </r>
      </text>
    </comment>
    <comment ref="B175" authorId="0" shapeId="0" xr:uid="{3E2A68A8-56FF-4424-9BDD-F5C3B426A2D5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Line 1 - $62M
Line 2 - $57M
Line 3 - $72M
Line 4 - $65M</t>
        </r>
      </text>
    </comment>
    <comment ref="B194" authorId="2" shapeId="0" xr:uid="{57A31895-576F-4D23-8039-ACE5FBDAE51A}">
      <text>
        <r>
          <rPr>
            <b/>
            <sz val="9"/>
            <color indexed="81"/>
            <rFont val="Tahoma"/>
            <family val="2"/>
          </rPr>
          <t>Lamb, Jodi: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96" authorId="1" shapeId="0" xr:uid="{2ACB5E7E-8B4D-487A-9317-F1DE9F3181C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Assumes no capital additions.
</t>
        </r>
      </text>
    </comment>
    <comment ref="E202" authorId="1" shapeId="0" xr:uid="{E7C9DE2A-0B9A-4F18-AF0C-9D4A4B736CA3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4% increase assumed </t>
        </r>
      </text>
    </comment>
    <comment ref="E209" authorId="1" shapeId="0" xr:uid="{63E6F199-0AF3-45F2-842B-03FFE763DCCD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4% increase assumed 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Moreau, Danielle</author>
    <author>Broussard, Glenn</author>
    <author>Lamb, Jodi</author>
  </authors>
  <commentList>
    <comment ref="O7" authorId="0" shapeId="0" xr:uid="{45410AFB-4335-46B5-95A1-D7A885B08F16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Ceramics 
absorption limit = $0.1517
Horizon Ag = 100% absorbed</t>
        </r>
      </text>
    </comment>
    <comment ref="B64" authorId="0" shapeId="0" xr:uid="{3E679D20-4391-4C27-9264-48AACCC18152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Aug 22 average</t>
        </r>
      </text>
    </comment>
    <comment ref="B68" authorId="1" shapeId="0" xr:uid="{C50844E0-F920-43CA-BE48-5D5D938FB62D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BV of 64.6 million lbs inventory at 10/31/20</t>
        </r>
      </text>
    </comment>
    <comment ref="B69" authorId="0" shapeId="0" xr:uid="{20B33BBE-FCEB-4857-9C21-1815F798CB78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BV of 2.9 million lbs inventory at 8/31/22</t>
        </r>
      </text>
    </comment>
    <comment ref="G75" authorId="0" shapeId="0" xr:uid="{91A890CD-05EB-4E3D-8A5E-C03C04B6E912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C85" authorId="0" shapeId="0" xr:uid="{69FAF9FA-EF16-4B49-B740-F8E8A144970B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G85" authorId="0" shapeId="0" xr:uid="{933E5BA6-35DA-40BD-9C64-B9754DD06C23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K85" authorId="0" shapeId="0" xr:uid="{56FDA090-F36D-4D0A-97A2-5128A2C0AE82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B88" authorId="0" shapeId="0" xr:uid="{A0B2F7D4-2896-4CB5-9E23-4A2BB77C753E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Jun 22 purchase - Kuraray
</t>
        </r>
      </text>
    </comment>
    <comment ref="K88" authorId="0" shapeId="0" xr:uid="{C52CC735-04C5-43D7-BA62-C787F459312D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B89" authorId="0" shapeId="0" xr:uid="{2707EE3A-B604-4E7F-BEBB-C021D49C69F5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Jul 22 purchase
</t>
        </r>
      </text>
    </comment>
    <comment ref="K89" authorId="0" shapeId="0" xr:uid="{38AD77C2-F196-48E3-9C14-E0F2175B17FC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B90" authorId="0" shapeId="0" xr:uid="{556E8510-714D-47D6-A13F-19B144BA5D62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Aug 22 avg
</t>
        </r>
      </text>
    </comment>
    <comment ref="K90" authorId="0" shapeId="0" xr:uid="{5F9DB7CF-636B-4C33-87FA-5602E6EE9EEA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K91" authorId="0" shapeId="0" xr:uid="{40F4A92B-7667-4F19-851D-BC42665C4733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K92" authorId="0" shapeId="0" xr:uid="{5BF89BAD-7D69-4059-A1BE-78FE6DA9F20A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K93" authorId="0" shapeId="0" xr:uid="{5AB321F4-04DF-4251-AED5-E42041CF7799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K94" authorId="0" shapeId="0" xr:uid="{6045645E-C53B-40F9-A92B-912F5DB2CB02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F101" authorId="1" shapeId="0" xr:uid="{4511B844-FF54-4480-BDBB-5F76FFFC94AF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Jan-Sept W&amp;S total = $64K; annualized = $86K, approx 1 FTE.</t>
        </r>
      </text>
    </comment>
    <comment ref="D158" authorId="1" shapeId="0" xr:uid="{3EF19399-4481-4EF0-B460-6678A4E01419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Avg rate Jan-Aug 22</t>
        </r>
      </text>
    </comment>
    <comment ref="D159" authorId="1" shapeId="0" xr:uid="{731BCE2D-8161-47EE-B06F-3136E6EE4021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Per Shannon N 9/16/22
</t>
        </r>
      </text>
    </comment>
    <comment ref="G159" authorId="1" shapeId="0" xr:uid="{85EAE682-BBB8-4F77-A326-84CE5C41523F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Avg rate Jan-Aug 22</t>
        </r>
      </text>
    </comment>
    <comment ref="J159" authorId="1" shapeId="0" xr:uid="{2CEC6328-D2EF-4E5C-86B5-22B3B2EA80CB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Base electricity usage with no production activity: approx. 30,000 kwh per day x 365 days</t>
        </r>
      </text>
    </comment>
    <comment ref="E163" authorId="1" shapeId="0" xr:uid="{8A833CDA-64B3-4BFC-9137-A0FD6A01D351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Assumes (kwh/lb):
  0.215 incremental
+0.030 base at low-normal capacity (65%)
+0.066 excess due to below normal capacity plan</t>
        </r>
      </text>
    </comment>
    <comment ref="H163" authorId="1" shapeId="0" xr:uid="{A80AA177-A65E-4B49-B520-4821822FCD5C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Assumes (kwh/lb):
  0.215 incremental
+0.030 base at low-normal capacity (65%)
+0.066 excess due to below normal capacity plan</t>
        </r>
      </text>
    </comment>
    <comment ref="H169" authorId="1" shapeId="0" xr:uid="{F8FA457C-80DC-4030-BEEF-CF89B3B33C6B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Assumes (kwh/lb):
  0.145 incremental
+0.030 base at low-normal capacity (65%)
+0.066 excess due to below normal capacity plan
(based on Oct 1-day Nanomite production run)</t>
        </r>
      </text>
    </comment>
    <comment ref="B175" authorId="0" shapeId="0" xr:uid="{95AD0E4C-152C-4613-8472-A8350B90670A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Line 1 - $62M
Line 2 - $57M
Line 3 - $72M
Line 4 - $65M</t>
        </r>
      </text>
    </comment>
    <comment ref="B194" authorId="2" shapeId="0" xr:uid="{8E94B22E-DD29-4570-B793-B831D395776C}">
      <text>
        <r>
          <rPr>
            <b/>
            <sz val="9"/>
            <color indexed="81"/>
            <rFont val="Tahoma"/>
            <family val="2"/>
          </rPr>
          <t>Lamb, Jodi: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96" authorId="1" shapeId="0" xr:uid="{7CFB487F-EF0A-41C6-9056-884BB017224A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Assumes no capital additions.
</t>
        </r>
      </text>
    </comment>
    <comment ref="E202" authorId="1" shapeId="0" xr:uid="{5B4A80B8-35DB-449B-8D2F-168CDBE1019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4% increase assumed </t>
        </r>
      </text>
    </comment>
    <comment ref="E209" authorId="1" shapeId="0" xr:uid="{DA04D046-CDFD-42AE-B450-E6A3ADD30D57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4% increase assumed 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Moreau, Danielle</author>
    <author>Broussard, Glenn</author>
    <author>Lamb, Jodi</author>
  </authors>
  <commentList>
    <comment ref="O7" authorId="0" shapeId="0" xr:uid="{D31BF41C-E7A3-4358-9B3D-94E0D4E2109C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Ceramics 
absorption limit = $0.1517
Horizon Ag = 100% absorbed</t>
        </r>
      </text>
    </comment>
    <comment ref="B64" authorId="0" shapeId="0" xr:uid="{533C4D1C-E58C-47CC-BE4F-53F17DA6528B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Aug 22 average</t>
        </r>
      </text>
    </comment>
    <comment ref="B68" authorId="1" shapeId="0" xr:uid="{615DFC88-7AD1-4EBC-9298-206856551285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BV of 64.6 million lbs inventory at 10/31/20</t>
        </r>
      </text>
    </comment>
    <comment ref="B69" authorId="0" shapeId="0" xr:uid="{B0141E79-9EB4-4290-A997-EA63BA79448B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BV of 2.9 million lbs inventory at 8/31/22</t>
        </r>
      </text>
    </comment>
    <comment ref="G75" authorId="0" shapeId="0" xr:uid="{A5E22304-CD6F-4699-9C74-837A18E44E68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C85" authorId="0" shapeId="0" xr:uid="{8BE7A92E-6C03-4B77-AB0D-9403A4C4D2C3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G85" authorId="0" shapeId="0" xr:uid="{A8D4D4A1-5605-4763-9374-1F17A7B933CF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K85" authorId="0" shapeId="0" xr:uid="{CE3EDCCF-A43B-44B5-A309-057AD3345BAA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B88" authorId="0" shapeId="0" xr:uid="{448D0203-39F1-4221-ADB8-CAE68F5A6EA7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Jun 22 purchase - Kuraray
</t>
        </r>
      </text>
    </comment>
    <comment ref="K88" authorId="0" shapeId="0" xr:uid="{42DD8EC4-610D-4CA6-BEBA-5CF7DAA73144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B89" authorId="0" shapeId="0" xr:uid="{C813E9AE-661F-4464-B3B0-04FB17CDBBD3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Jul 22 purchase
</t>
        </r>
      </text>
    </comment>
    <comment ref="K89" authorId="0" shapeId="0" xr:uid="{AEEDF136-ED59-4032-8D59-6294610F49C8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B90" authorId="0" shapeId="0" xr:uid="{8FBA4491-5839-46FE-BFC6-C0A9E618E0CA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Aug 22 avg
</t>
        </r>
      </text>
    </comment>
    <comment ref="K90" authorId="0" shapeId="0" xr:uid="{DDA16345-41A9-4A26-B0C9-EA02A3B2E619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K91" authorId="0" shapeId="0" xr:uid="{B71FE4AD-924D-400A-895A-8342C9F59414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K92" authorId="0" shapeId="0" xr:uid="{E234208E-10EB-4AE7-B7A6-EF144554A43F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K93" authorId="0" shapeId="0" xr:uid="{9755A921-0EFF-479D-A878-69DF84DF1787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K94" authorId="0" shapeId="0" xr:uid="{28B33245-3E3E-4B76-9482-CF71E8208FFB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F101" authorId="1" shapeId="0" xr:uid="{05B5A2C9-A9B7-4663-8EDF-0917131660DF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Jan-Sept W&amp;S total = $64K; annualized = $86K, approx 1 FTE.</t>
        </r>
      </text>
    </comment>
    <comment ref="D158" authorId="1" shapeId="0" xr:uid="{E09D9CA9-9028-41C5-B04E-96D073A23875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Avg rate Jan-Aug 22</t>
        </r>
      </text>
    </comment>
    <comment ref="D159" authorId="1" shapeId="0" xr:uid="{88F1B967-2F6B-4299-977B-6044188644B9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Per Shannon N 9/16/22
</t>
        </r>
      </text>
    </comment>
    <comment ref="G159" authorId="1" shapeId="0" xr:uid="{20562D10-C770-47FB-9399-2D8C7720F576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Avg rate Jan-Aug 22</t>
        </r>
      </text>
    </comment>
    <comment ref="J159" authorId="1" shapeId="0" xr:uid="{D5351B40-43B6-41E7-B435-1CF8B42FF7F2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Base electricity usage with no production activity: approx. 30,000 kwh per day x 365 days</t>
        </r>
      </text>
    </comment>
    <comment ref="E163" authorId="1" shapeId="0" xr:uid="{87236048-AA56-4AB7-AA63-DDCD0F2CF113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Assumes (kwh/lb):
  0.215 incremental
+0.030 base at low-normal capacity (65%)
+0.066 excess due to below normal capacity plan</t>
        </r>
      </text>
    </comment>
    <comment ref="H163" authorId="1" shapeId="0" xr:uid="{6F91E960-8B7F-4B76-9200-7DA7A049651C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Assumes (kwh/lb):
  0.215 incremental
+0.030 base at low-normal capacity (65%)
+0.066 excess due to below normal capacity plan</t>
        </r>
      </text>
    </comment>
    <comment ref="H169" authorId="1" shapeId="0" xr:uid="{C1F7233B-8824-47A1-A10C-30D7FD0304C2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Assumes (kwh/lb):
  0.145 incremental
+0.030 base at low-normal capacity (65%)
+0.066 excess due to below normal capacity plan
(based on Oct 1-day Nanomite production run)</t>
        </r>
      </text>
    </comment>
    <comment ref="B175" authorId="0" shapeId="0" xr:uid="{E77FC81D-3D54-4543-BB87-7A121422A98E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Line 1 - $62M
Line 2 - $57M
Line 3 - $72M
Line 4 - $65M</t>
        </r>
      </text>
    </comment>
    <comment ref="B194" authorId="2" shapeId="0" xr:uid="{67B7453C-6CF9-4FD5-93D5-CBB21B700CF9}">
      <text>
        <r>
          <rPr>
            <b/>
            <sz val="9"/>
            <color indexed="81"/>
            <rFont val="Tahoma"/>
            <family val="2"/>
          </rPr>
          <t>Lamb, Jodi: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96" authorId="1" shapeId="0" xr:uid="{C39E6D59-4051-4BEE-B335-8C1A16275623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Assumes no capital additions.
</t>
        </r>
      </text>
    </comment>
    <comment ref="E202" authorId="1" shapeId="0" xr:uid="{45F52693-7E81-4870-A7EE-E65114FFD014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4% increase assumed </t>
        </r>
      </text>
    </comment>
    <comment ref="E209" authorId="1" shapeId="0" xr:uid="{31B9F7F3-5420-4C50-908E-4E8E11BD30F7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4% increase assumed 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Moreau, Danielle</author>
    <author>Broussard, Glenn</author>
    <author>Lamb, Jodi</author>
  </authors>
  <commentList>
    <comment ref="O7" authorId="0" shapeId="0" xr:uid="{F76AD210-E863-4ABB-A02D-052B83986148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Ceramics 
absorption limit = $0.1517
Horizon Ag = 100% absorbed</t>
        </r>
      </text>
    </comment>
    <comment ref="B64" authorId="0" shapeId="0" xr:uid="{0A92F672-BD38-43CC-A18F-291E8B6CA81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Aug 22 average</t>
        </r>
      </text>
    </comment>
    <comment ref="B68" authorId="1" shapeId="0" xr:uid="{7B416CCF-2CA1-41F7-AF97-F7CF3230A833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BV of 64.6 million lbs inventory at 10/31/20</t>
        </r>
      </text>
    </comment>
    <comment ref="B69" authorId="0" shapeId="0" xr:uid="{3181EBD2-958F-42F9-8E1A-1E34695D4BBF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BV of 2.9 million lbs inventory at 8/31/22</t>
        </r>
      </text>
    </comment>
    <comment ref="G75" authorId="0" shapeId="0" xr:uid="{3A8E1AB1-AD29-4797-9F19-191E0A262152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C85" authorId="0" shapeId="0" xr:uid="{E358C768-D144-47EE-9A14-D2D21D81AEA2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G85" authorId="0" shapeId="0" xr:uid="{B7F15977-682D-4D31-BE4B-17E89786F2E2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K85" authorId="0" shapeId="0" xr:uid="{D2224925-03E9-4B79-B73A-E9F76EE7CF2C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confirm with Jodi</t>
        </r>
      </text>
    </comment>
    <comment ref="B88" authorId="0" shapeId="0" xr:uid="{87DB96F2-2F74-440C-B02E-CEA717C421B3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Jun 22 purchase - Kuraray
</t>
        </r>
      </text>
    </comment>
    <comment ref="K88" authorId="0" shapeId="0" xr:uid="{F1D4057D-F2BC-46BF-B100-B9232FBD561E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B89" authorId="0" shapeId="0" xr:uid="{BB091752-EAFC-4AD5-A0A5-BAD12EAABA27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Jul 22 purchase
</t>
        </r>
      </text>
    </comment>
    <comment ref="K89" authorId="0" shapeId="0" xr:uid="{E18E83C0-AB06-4C7B-B97C-66CE398CCB40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B90" authorId="0" shapeId="0" xr:uid="{0FCD5C9F-2CDB-4595-BBE7-6928E6C429CB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Aug 22 avg
</t>
        </r>
      </text>
    </comment>
    <comment ref="K90" authorId="0" shapeId="0" xr:uid="{44F83DB0-4A0D-4F38-8778-49CC668092E7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K91" authorId="0" shapeId="0" xr:uid="{07CE3D78-2670-4737-9B23-383F7930292D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K92" authorId="0" shapeId="0" xr:uid="{157621BD-83FD-4005-A19D-E509D3FFF547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K93" authorId="0" shapeId="0" xr:uid="{0040EC15-D417-4259-B623-2A0D67D1B15A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K94" authorId="0" shapeId="0" xr:uid="{D798B730-5D69-45A0-9A21-47AE71CA7ED7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2022 Jan-Jul Actual</t>
        </r>
      </text>
    </comment>
    <comment ref="F101" authorId="1" shapeId="0" xr:uid="{94AD80E6-D2A5-4DAF-8272-DC1EE6E62A62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Jan-Sept W&amp;S total = $64K; annualized = $86K, approx 1 FTE.</t>
        </r>
      </text>
    </comment>
    <comment ref="D158" authorId="1" shapeId="0" xr:uid="{01F4CB72-FDB2-42E6-9B16-CD77E9864F4E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Avg rate Jan-Aug 22</t>
        </r>
      </text>
    </comment>
    <comment ref="D159" authorId="1" shapeId="0" xr:uid="{415F7CD1-4079-4581-ADDF-926827B20B2F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Per Shannon N 9/16/22
</t>
        </r>
      </text>
    </comment>
    <comment ref="G159" authorId="1" shapeId="0" xr:uid="{2ADB32F5-1774-41C1-8930-D23DF2FDA8BE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Avg rate Jan-Aug 22</t>
        </r>
      </text>
    </comment>
    <comment ref="J159" authorId="1" shapeId="0" xr:uid="{8FB5422D-9C8C-417B-B6F4-EB4821C268E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Base electricity usage with no production activity: approx. 30,000 kwh per day x 365 days</t>
        </r>
      </text>
    </comment>
    <comment ref="E163" authorId="1" shapeId="0" xr:uid="{73E22B8C-1E24-4652-8279-C629E59F3D2E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Assumes (kwh/lb):
  0.215 incremental
+0.030 base at low-normal capacity (65%)
+0.066 excess due to below normal capacity plan</t>
        </r>
      </text>
    </comment>
    <comment ref="H163" authorId="1" shapeId="0" xr:uid="{7E61E5E8-C211-4669-BFA6-472B81019B74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Assumes (kwh/lb):
  0.215 incremental
+0.030 base at low-normal capacity (65%)
+0.066 excess due to below normal capacity plan</t>
        </r>
      </text>
    </comment>
    <comment ref="H169" authorId="1" shapeId="0" xr:uid="{8F5EF40C-6773-488B-80CE-3837445B4D38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Assumes (kwh/lb):
  0.145 incremental
+0.030 base at low-normal capacity (65%)
+0.066 excess due to below normal capacity plan
(based on Oct 1-day Nanomite production run)</t>
        </r>
      </text>
    </comment>
    <comment ref="B175" authorId="0" shapeId="0" xr:uid="{CEA54C7C-D602-46F8-BEFC-DF9D4261C6C5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Line 1 - $62M
Line 2 - $57M
Line 3 - $72M
Line 4 - $65M</t>
        </r>
      </text>
    </comment>
    <comment ref="B194" authorId="2" shapeId="0" xr:uid="{66F4DF2D-CC4D-4DC0-B730-EF7A97905734}">
      <text>
        <r>
          <rPr>
            <b/>
            <sz val="9"/>
            <color indexed="81"/>
            <rFont val="Tahoma"/>
            <family val="2"/>
          </rPr>
          <t>Lamb, Jodi: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96" authorId="1" shapeId="0" xr:uid="{A69355CB-003C-4201-83F5-7F691B737B17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Assumes no capital additions.
</t>
        </r>
      </text>
    </comment>
    <comment ref="E202" authorId="1" shapeId="0" xr:uid="{0D9C5613-73BF-493C-929B-3077F72684BB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4% increase assumed </t>
        </r>
      </text>
    </comment>
    <comment ref="E209" authorId="1" shapeId="0" xr:uid="{8BA879D6-4E27-46D6-A4FB-49D11AF74CE4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4% increase assumed </t>
        </r>
      </text>
    </comment>
  </commentList>
</comments>
</file>

<file path=xl/sharedStrings.xml><?xml version="1.0" encoding="utf-8"?>
<sst xmlns="http://schemas.openxmlformats.org/spreadsheetml/2006/main" count="3403" uniqueCount="149">
  <si>
    <t>FICA Rate</t>
  </si>
  <si>
    <t>Overtime Rate</t>
  </si>
  <si>
    <t xml:space="preserve">      Total Fixed Costs Per Pound</t>
  </si>
  <si>
    <t>Depreciation</t>
  </si>
  <si>
    <t>Insurance &amp; Taxes</t>
  </si>
  <si>
    <t>Supervision</t>
  </si>
  <si>
    <t>Annualized Expenses</t>
  </si>
  <si>
    <t>Plant Capacity</t>
  </si>
  <si>
    <t>Plant Utilization Ratio</t>
  </si>
  <si>
    <t>Planned Production</t>
  </si>
  <si>
    <t>Plant Utilization Ratio * Annual Cost * Planned Production = Std. Cost Contribution (Fixed)</t>
  </si>
  <si>
    <t>Fixed Costs:</t>
  </si>
  <si>
    <t xml:space="preserve">      Total Other Variables</t>
  </si>
  <si>
    <t>Equip. Rental, Trash Removal, Sewerage, Water, Fuel</t>
  </si>
  <si>
    <t xml:space="preserve">      Total Manufacturing Supplies</t>
  </si>
  <si>
    <t xml:space="preserve">      Total R&amp;M Supplies</t>
  </si>
  <si>
    <t>R&amp;M as % of Capital</t>
  </si>
  <si>
    <t>Total Cost</t>
  </si>
  <si>
    <t>Capital Equipments (RV)</t>
  </si>
  <si>
    <t>Variable Costs - R&amp;M Supplies, Manuf. Supplies, Other Variables</t>
  </si>
  <si>
    <t xml:space="preserve"> </t>
  </si>
  <si>
    <t xml:space="preserve">    Total Utility Cost Per Pound</t>
  </si>
  <si>
    <t>Gas (mmbtu)</t>
  </si>
  <si>
    <t>Electricity (kwh)</t>
  </si>
  <si>
    <t>Electricity Unit Cost ($/kwh)</t>
  </si>
  <si>
    <t>Gas Unit Cost ($/mmbtu)</t>
  </si>
  <si>
    <t>Variable Costs - Utilities</t>
  </si>
  <si>
    <t>Electricity</t>
  </si>
  <si>
    <t>IPC</t>
  </si>
  <si>
    <t>Payroll</t>
  </si>
  <si>
    <t>R &amp; M Labor</t>
  </si>
  <si>
    <t>Production Labor</t>
  </si>
  <si>
    <t>Kiln Days</t>
  </si>
  <si>
    <t>Variable Cost - Production/R&amp;M Labor &amp; Benefits</t>
  </si>
  <si>
    <t>Price ($/lb)</t>
  </si>
  <si>
    <t>Yield Factor</t>
  </si>
  <si>
    <t>Price ($/Ton)</t>
  </si>
  <si>
    <t>Purchase Price/lb * Yield Factor * Scrap Factor * Mix = Std. Cost Contribution</t>
  </si>
  <si>
    <t>Variable Costs - Material</t>
  </si>
  <si>
    <t>TOTAL PLANT PRODUCTION ( in 000 lbs)</t>
  </si>
  <si>
    <t xml:space="preserve">    PRODUCTION ( in 000 lbs )</t>
  </si>
  <si>
    <t xml:space="preserve">    TOTAL COSTS PER POUND</t>
  </si>
  <si>
    <t xml:space="preserve">    Total Fixed Costs</t>
  </si>
  <si>
    <t>Indirect Payroll Costs (Benefits)</t>
  </si>
  <si>
    <t>Repairs &amp; Maintenance Labor</t>
  </si>
  <si>
    <t xml:space="preserve">    Total Variable Costs</t>
  </si>
  <si>
    <t>Other variable</t>
  </si>
  <si>
    <t>Manufacturing Supplies</t>
  </si>
  <si>
    <t>R&amp;M Supplies and Service</t>
  </si>
  <si>
    <t>Gas</t>
  </si>
  <si>
    <t>Materials</t>
  </si>
  <si>
    <t>Other Consumables (screens, ball mill balls, shotgun shells, etc.)</t>
  </si>
  <si>
    <t>IPC Rate</t>
  </si>
  <si>
    <t>W&amp;S Carve Out of Production Labor</t>
  </si>
  <si>
    <t>% Split</t>
  </si>
  <si>
    <t>Labor Split:</t>
  </si>
  <si>
    <t>Prod. Plan (000)</t>
  </si>
  <si>
    <t>Std. Cost Contrib.</t>
  </si>
  <si>
    <r>
      <rPr>
        <b/>
        <sz val="10"/>
        <rFont val="Arial"/>
        <family val="2"/>
      </rPr>
      <t>&lt;--</t>
    </r>
    <r>
      <rPr>
        <sz val="10"/>
        <rFont val="Arial"/>
        <family val="2"/>
      </rPr>
      <t xml:space="preserve">EEs </t>
    </r>
    <r>
      <rPr>
        <b/>
        <sz val="10"/>
        <rFont val="Arial"/>
        <family val="2"/>
      </rPr>
      <t>|</t>
    </r>
    <r>
      <rPr>
        <sz val="10"/>
        <rFont val="Arial"/>
        <family val="2"/>
      </rPr>
      <t xml:space="preserve"> Hrs</t>
    </r>
    <r>
      <rPr>
        <b/>
        <sz val="10"/>
        <rFont val="Arial"/>
        <family val="2"/>
      </rPr>
      <t>--&gt;</t>
    </r>
  </si>
  <si>
    <t xml:space="preserve">  </t>
  </si>
  <si>
    <t>Mix %</t>
  </si>
  <si>
    <t>Production Plan:</t>
  </si>
  <si>
    <t>Pounds (000)</t>
  </si>
  <si>
    <t>Std $ Contrib</t>
  </si>
  <si>
    <t>Product Split</t>
  </si>
  <si>
    <t>Total</t>
  </si>
  <si>
    <t>Local Kaolin</t>
  </si>
  <si>
    <t>Total Material Cost Per Pound</t>
  </si>
  <si>
    <t>Local kaolin</t>
  </si>
  <si>
    <t>Bauxite</t>
  </si>
  <si>
    <t>Bauxite:</t>
  </si>
  <si>
    <r>
      <t xml:space="preserve">Arcilla (local kaolin) </t>
    </r>
    <r>
      <rPr>
        <i/>
        <sz val="10"/>
        <rFont val="Arial"/>
        <family val="2"/>
      </rPr>
      <t>30012</t>
    </r>
  </si>
  <si>
    <t>Idle weeks</t>
  </si>
  <si>
    <t>Production weeks</t>
  </si>
  <si>
    <t>Hrs/week</t>
  </si>
  <si>
    <t>Production</t>
  </si>
  <si>
    <t>Idle</t>
  </si>
  <si>
    <t>Idle  $/lb</t>
  </si>
  <si>
    <t>Total $/lb</t>
  </si>
  <si>
    <t>Usage
(Unit/lb)</t>
  </si>
  <si>
    <t>Unit
Cost</t>
  </si>
  <si>
    <t>Std
$ Contrib</t>
  </si>
  <si>
    <t>Monthly
Expenses</t>
  </si>
  <si>
    <t>Vacation Hrs</t>
  </si>
  <si>
    <t>Holiday Hrs</t>
  </si>
  <si>
    <t>Rate (000 lbs/day)</t>
  </si>
  <si>
    <t>Base Annual (kwh)</t>
  </si>
  <si>
    <t>Base kwh per plan lb</t>
  </si>
  <si>
    <t>20 Standard</t>
  </si>
  <si>
    <t>(Jan-Sept)</t>
  </si>
  <si>
    <t>HA PELLETS</t>
  </si>
  <si>
    <t>CERAMICS</t>
  </si>
  <si>
    <t>XXX</t>
  </si>
  <si>
    <t xml:space="preserve">CG 280 </t>
  </si>
  <si>
    <t>CG 300</t>
  </si>
  <si>
    <t>Ceramics</t>
  </si>
  <si>
    <t>CG280</t>
  </si>
  <si>
    <t>CG300</t>
  </si>
  <si>
    <t>HA Pellets</t>
  </si>
  <si>
    <r>
      <t>Rusal (30008)</t>
    </r>
    <r>
      <rPr>
        <i/>
        <sz val="10"/>
        <rFont val="Arial"/>
        <family val="2"/>
      </rPr>
      <t xml:space="preserve"> </t>
    </r>
  </si>
  <si>
    <t>Kaolin - CE Calcined (30060)</t>
  </si>
  <si>
    <t>Yield Factor/BOM</t>
  </si>
  <si>
    <t>(Jan-Aug)</t>
  </si>
  <si>
    <t>Ammonia (30000)</t>
  </si>
  <si>
    <t>PVA (30017)</t>
  </si>
  <si>
    <t>Dispersant (30011)</t>
  </si>
  <si>
    <t>Defoamer (30010)</t>
  </si>
  <si>
    <t>Ultrasurf (30341)</t>
  </si>
  <si>
    <t>HA Pallets (30350)</t>
  </si>
  <si>
    <t>HA Bag Protectors (30342)</t>
  </si>
  <si>
    <t>Merit Increase</t>
  </si>
  <si>
    <t>22 Standard</t>
  </si>
  <si>
    <t>Excess Costs</t>
  </si>
  <si>
    <t>24 Standard</t>
  </si>
  <si>
    <t>23 Actual</t>
  </si>
  <si>
    <t>HA Group</t>
  </si>
  <si>
    <t>Ceramics Group</t>
  </si>
  <si>
    <t>Labor Cost Factors:  HA</t>
  </si>
  <si>
    <t>Labor Cost Factors:  Ceramics</t>
  </si>
  <si>
    <t>Reduced daily rate to 110 vs. 150</t>
  </si>
  <si>
    <t>Rate will be dependant on prodcut size</t>
  </si>
  <si>
    <t>under absorption</t>
  </si>
  <si>
    <t>Weeks</t>
  </si>
  <si>
    <t>Cost</t>
  </si>
  <si>
    <t>TOOMSBORO STANDARD 2025</t>
  </si>
  <si>
    <t>Jan</t>
  </si>
  <si>
    <t>Feb</t>
  </si>
  <si>
    <t>Mar</t>
  </si>
  <si>
    <t>Apr</t>
  </si>
  <si>
    <t>May</t>
  </si>
  <si>
    <t>Jun</t>
  </si>
  <si>
    <t>Jul</t>
  </si>
  <si>
    <t>Temp</t>
  </si>
  <si>
    <t>IPC (estimated)</t>
  </si>
  <si>
    <t>$/FTE/month</t>
  </si>
  <si>
    <t>$ Rolling Total</t>
  </si>
  <si>
    <t>Current Production Labor</t>
  </si>
  <si>
    <t>Current R &amp; M Labor</t>
  </si>
  <si>
    <t>Future Production Labor Increase</t>
  </si>
  <si>
    <t>Future R&amp;M Labor Increase</t>
  </si>
  <si>
    <t>Total Production Labor</t>
  </si>
  <si>
    <t>Total R &amp; M Labor</t>
  </si>
  <si>
    <t>HA</t>
  </si>
  <si>
    <t>25 Standard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</si>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</sst>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5" formatCode="&quot;$&quot;#,##0_);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\ ;\(#,##0\)"/>
    <numFmt numFmtId="165" formatCode="_(* #,##0_);_(* \(#,##0\);_(* &quot;-&quot;??_);_(@_)"/>
    <numFmt numFmtId="166" formatCode="_(&quot;$&quot;* #,##0_);_(&quot;$&quot;* \(#,##0\);_(&quot;$&quot;* &quot;-&quot;??_);_(@_)"/>
    <numFmt numFmtId="167" formatCode="_(* #,##0.0_);_(* \(#,##0.0\);_(* &quot;-&quot;??_);_(@_)"/>
    <numFmt numFmtId="168" formatCode="_(&quot;$&quot;* #,##0.0000_);_(&quot;$&quot;* \(#,##0.0000\);_(&quot;$&quot;* &quot;-&quot;??_);_(@_)"/>
    <numFmt numFmtId="169" formatCode="_(* #,##0.0000_);_(* \(#,##0.0000\);_(* &quot;-&quot;????_);_(@_)"/>
    <numFmt numFmtId="170" formatCode="0.0%"/>
    <numFmt numFmtId="171" formatCode="_(&quot;$&quot;* #,##0.0000_);_(&quot;$&quot;* \(#,##0.0000\);_(&quot;$&quot;* &quot;-&quot;????_);_(@_)"/>
    <numFmt numFmtId="172" formatCode="#,##0.0000\ ;\(#,##0.0000\)"/>
    <numFmt numFmtId="173" formatCode="#,##0.000\ ;\(#,##0.000\)"/>
    <numFmt numFmtId="174" formatCode="_(* #,##0.0000_);_(* \(#,##0.0000\);_(* &quot;-&quot;??_);_(@_)"/>
    <numFmt numFmtId="175" formatCode="#,##0.00\ ;\(#,##0.00\)"/>
    <numFmt numFmtId="176" formatCode="0_);\(0\)"/>
    <numFmt numFmtId="177" formatCode="_(&quot;$&quot;* #,##0.00000_);_(&quot;$&quot;* \(#,##0.00000\);_(&quot;$&quot;* &quot;-&quot;?????_);_(@_)"/>
    <numFmt numFmtId="178" formatCode="_(* #,##0.000_);_(* \(#,##0.000\);_(* &quot;-&quot;???_);_(@_)"/>
    <numFmt numFmtId="179" formatCode="0.0000"/>
    <numFmt numFmtId="180" formatCode="0.000_);\(0.000\)"/>
    <numFmt numFmtId="181" formatCode="_(* #,##0.00000_);_(* \(#,##0.00000\);_(* &quot;-&quot;??_);_(@_)"/>
    <numFmt numFmtId="182" formatCode="_(* #,##0.00_);_(* \(#,##0.00\);_(* &quot;-&quot;????_);_(@_)"/>
    <numFmt numFmtId="183" formatCode="_(* #,##0.000000_);_(* \(#,##0.000000\);_(* &quot;-&quot;??_);_(@_)"/>
    <numFmt numFmtId="184" formatCode="_(&quot;$&quot;* #,##0.0000_);_(&quot;$&quot;* \(#,##0.0000\);_(&quot;$&quot;* &quot;-&quot;_);_(@_)"/>
    <numFmt numFmtId="185" formatCode="_(&quot;$&quot;* #,##0.00000_);_(&quot;$&quot;* \(#,##0.00000\);_(&quot;$&quot;* &quot;-&quot;_);_(@_)"/>
  </numFmts>
  <fonts count="36">
    <font>
      <sz val="11"/>
      <color theme="1"/>
      <name val="Calibri"/>
      <family val="2"/>
      <scheme val="minor"/>
    </font>
    <font>
      <sz val="10"/>
      <name val="Geneva"/>
    </font>
    <font>
      <sz val="10"/>
      <color rgb="FFFF0000"/>
      <name val="Arial"/>
      <family val="2"/>
    </font>
    <font>
      <sz val="10"/>
      <name val="Arial"/>
      <family val="2"/>
    </font>
    <font>
      <u val="singleAccounting"/>
      <sz val="10"/>
      <name val="Arial"/>
      <family val="2"/>
    </font>
    <font>
      <i/>
      <sz val="10"/>
      <color rgb="FFFF0000"/>
      <name val="Arial"/>
      <family val="2"/>
    </font>
    <font>
      <u val="doubleAccounting"/>
      <sz val="10"/>
      <name val="Arial"/>
      <family val="2"/>
    </font>
    <font>
      <b/>
      <sz val="10"/>
      <name val="Arial"/>
      <family val="2"/>
    </font>
    <font>
      <b/>
      <u val="singleAccounting"/>
      <sz val="10"/>
      <name val="Arial"/>
      <family val="2"/>
    </font>
    <font>
      <u/>
      <sz val="10"/>
      <name val="Arial"/>
      <family val="2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u/>
      <sz val="10"/>
      <name val="Arial"/>
      <family val="2"/>
    </font>
    <font>
      <b/>
      <u val="singleAccounting"/>
      <sz val="9"/>
      <name val="Arial"/>
      <family val="2"/>
    </font>
    <font>
      <b/>
      <i/>
      <sz val="10"/>
      <name val="Arial"/>
      <family val="2"/>
    </font>
    <font>
      <sz val="8"/>
      <color rgb="FFFF0000"/>
      <name val="Arial"/>
      <family val="2"/>
    </font>
    <font>
      <sz val="9"/>
      <color rgb="FFFF000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name val="Arial"/>
      <family val="2"/>
    </font>
    <font>
      <b/>
      <u val="singleAccounting"/>
      <sz val="10"/>
      <color rgb="FFFF0000"/>
      <name val="Arial"/>
      <family val="2"/>
    </font>
    <font>
      <sz val="9"/>
      <name val="Arial"/>
      <family val="2"/>
    </font>
    <font>
      <sz val="11"/>
      <color rgb="FF3F3F76"/>
      <name val="Calibri"/>
      <family val="2"/>
      <scheme val="minor"/>
    </font>
    <font>
      <b/>
      <sz val="12"/>
      <color rgb="FFFF0000"/>
      <name val="Arial"/>
      <family val="2"/>
    </font>
    <font>
      <sz val="10"/>
      <color rgb="FF0070C0"/>
      <name val="Arial"/>
      <family val="2"/>
    </font>
    <font>
      <b/>
      <u/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b/>
      <i/>
      <sz val="10"/>
      <color rgb="FFFF0000"/>
      <name val="Arial"/>
      <family val="2"/>
    </font>
    <font>
      <b/>
      <i/>
      <u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sz val="11"/>
      <color rgb="FF3F3F7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6" fillId="2" borderId="12" applyNumberFormat="0" applyAlignment="0" applyProtection="0"/>
    <xf numFmtId="44" fontId="21" fillId="0" borderId="0" applyFont="0" applyFill="0" applyBorder="0" applyAlignment="0" applyProtection="0"/>
  </cellStyleXfs>
  <cellXfs count="389">
    <xf numFmtId="0" fontId="0" fillId="0" borderId="0" xfId="0"/>
    <xf numFmtId="164" fontId="2" fillId="0" borderId="0" xfId="1" applyNumberFormat="1" applyFont="1"/>
    <xf numFmtId="166" fontId="2" fillId="0" borderId="0" xfId="3" applyNumberFormat="1" applyFont="1" applyBorder="1"/>
    <xf numFmtId="166" fontId="2" fillId="0" borderId="0" xfId="3" applyNumberFormat="1" applyFont="1" applyFill="1" applyBorder="1"/>
    <xf numFmtId="164" fontId="2" fillId="0" borderId="1" xfId="1" applyNumberFormat="1" applyFont="1" applyBorder="1"/>
    <xf numFmtId="164" fontId="3" fillId="0" borderId="0" xfId="1" applyNumberFormat="1" applyFont="1"/>
    <xf numFmtId="164" fontId="3" fillId="0" borderId="3" xfId="1" applyNumberFormat="1" applyFont="1" applyBorder="1"/>
    <xf numFmtId="10" fontId="3" fillId="0" borderId="2" xfId="1" applyNumberFormat="1" applyFont="1" applyBorder="1"/>
    <xf numFmtId="164" fontId="3" fillId="0" borderId="2" xfId="1" applyNumberFormat="1" applyFont="1" applyBorder="1"/>
    <xf numFmtId="164" fontId="2" fillId="0" borderId="7" xfId="1" applyNumberFormat="1" applyFont="1" applyBorder="1"/>
    <xf numFmtId="164" fontId="2" fillId="0" borderId="8" xfId="1" applyNumberFormat="1" applyFont="1" applyBorder="1"/>
    <xf numFmtId="164" fontId="2" fillId="0" borderId="9" xfId="1" applyNumberFormat="1" applyFont="1" applyBorder="1"/>
    <xf numFmtId="164" fontId="2" fillId="0" borderId="2" xfId="1" applyNumberFormat="1" applyFont="1" applyBorder="1"/>
    <xf numFmtId="169" fontId="3" fillId="0" borderId="0" xfId="3" applyNumberFormat="1" applyFont="1" applyBorder="1"/>
    <xf numFmtId="9" fontId="3" fillId="0" borderId="2" xfId="1" applyNumberFormat="1" applyFont="1" applyBorder="1"/>
    <xf numFmtId="165" fontId="3" fillId="0" borderId="0" xfId="2" applyNumberFormat="1" applyFont="1" applyFill="1" applyBorder="1"/>
    <xf numFmtId="164" fontId="2" fillId="0" borderId="3" xfId="1" applyNumberFormat="1" applyFont="1" applyBorder="1"/>
    <xf numFmtId="170" fontId="3" fillId="0" borderId="2" xfId="1" applyNumberFormat="1" applyFont="1" applyBorder="1"/>
    <xf numFmtId="164" fontId="5" fillId="0" borderId="0" xfId="1" applyNumberFormat="1" applyFont="1"/>
    <xf numFmtId="164" fontId="5" fillId="0" borderId="8" xfId="1" applyNumberFormat="1" applyFont="1" applyBorder="1"/>
    <xf numFmtId="171" fontId="6" fillId="0" borderId="2" xfId="3" applyNumberFormat="1" applyFont="1" applyBorder="1"/>
    <xf numFmtId="170" fontId="3" fillId="0" borderId="0" xfId="1" applyNumberFormat="1" applyFont="1"/>
    <xf numFmtId="164" fontId="3" fillId="0" borderId="2" xfId="1" applyNumberFormat="1" applyFont="1" applyBorder="1" applyAlignment="1">
      <alignment horizontal="center" wrapText="1"/>
    </xf>
    <xf numFmtId="164" fontId="3" fillId="0" borderId="0" xfId="1" applyNumberFormat="1" applyFont="1" applyAlignment="1">
      <alignment horizontal="center" vertical="center"/>
    </xf>
    <xf numFmtId="169" fontId="3" fillId="0" borderId="0" xfId="1" applyNumberFormat="1" applyFont="1"/>
    <xf numFmtId="164" fontId="3" fillId="0" borderId="9" xfId="1" applyNumberFormat="1" applyFont="1" applyBorder="1"/>
    <xf numFmtId="166" fontId="3" fillId="0" borderId="0" xfId="2" applyNumberFormat="1" applyFont="1" applyFill="1" applyBorder="1"/>
    <xf numFmtId="9" fontId="2" fillId="0" borderId="2" xfId="1" applyNumberFormat="1" applyFont="1" applyBorder="1"/>
    <xf numFmtId="41" fontId="3" fillId="0" borderId="0" xfId="1" applyNumberFormat="1" applyFont="1" applyAlignment="1">
      <alignment horizontal="center"/>
    </xf>
    <xf numFmtId="44" fontId="3" fillId="0" borderId="0" xfId="3" applyFont="1" applyFill="1" applyBorder="1"/>
    <xf numFmtId="164" fontId="3" fillId="0" borderId="3" xfId="1" applyNumberFormat="1" applyFont="1" applyBorder="1" applyAlignment="1">
      <alignment horizontal="left"/>
    </xf>
    <xf numFmtId="169" fontId="3" fillId="0" borderId="2" xfId="3" applyNumberFormat="1" applyFont="1" applyBorder="1"/>
    <xf numFmtId="10" fontId="3" fillId="0" borderId="0" xfId="1" applyNumberFormat="1" applyFont="1"/>
    <xf numFmtId="171" fontId="3" fillId="0" borderId="0" xfId="3" applyNumberFormat="1" applyFont="1" applyBorder="1"/>
    <xf numFmtId="43" fontId="4" fillId="0" borderId="2" xfId="1" applyNumberFormat="1" applyFont="1" applyBorder="1" applyAlignment="1">
      <alignment horizontal="right" wrapText="1"/>
    </xf>
    <xf numFmtId="43" fontId="4" fillId="0" borderId="0" xfId="1" applyNumberFormat="1" applyFont="1" applyAlignment="1">
      <alignment horizontal="right" wrapText="1"/>
    </xf>
    <xf numFmtId="0" fontId="2" fillId="0" borderId="0" xfId="5" applyFont="1"/>
    <xf numFmtId="41" fontId="3" fillId="0" borderId="0" xfId="5" applyNumberFormat="1"/>
    <xf numFmtId="171" fontId="3" fillId="0" borderId="0" xfId="5" applyNumberFormat="1"/>
    <xf numFmtId="10" fontId="3" fillId="0" borderId="0" xfId="5" applyNumberFormat="1"/>
    <xf numFmtId="169" fontId="4" fillId="0" borderId="0" xfId="5" applyNumberFormat="1" applyFont="1"/>
    <xf numFmtId="43" fontId="4" fillId="0" borderId="0" xfId="1" applyNumberFormat="1" applyFont="1" applyAlignment="1">
      <alignment horizontal="right"/>
    </xf>
    <xf numFmtId="43" fontId="3" fillId="0" borderId="0" xfId="5" applyNumberFormat="1"/>
    <xf numFmtId="41" fontId="3" fillId="0" borderId="0" xfId="1" applyNumberFormat="1" applyFont="1"/>
    <xf numFmtId="0" fontId="3" fillId="0" borderId="0" xfId="1" applyFont="1"/>
    <xf numFmtId="164" fontId="9" fillId="0" borderId="0" xfId="1" applyNumberFormat="1" applyFont="1" applyAlignment="1">
      <alignment horizontal="center"/>
    </xf>
    <xf numFmtId="164" fontId="2" fillId="0" borderId="0" xfId="1" applyNumberFormat="1" applyFont="1" applyAlignment="1">
      <alignment horizontal="right"/>
    </xf>
    <xf numFmtId="169" fontId="2" fillId="0" borderId="0" xfId="1" applyNumberFormat="1" applyFont="1"/>
    <xf numFmtId="169" fontId="10" fillId="0" borderId="0" xfId="1" applyNumberFormat="1" applyFont="1"/>
    <xf numFmtId="169" fontId="10" fillId="0" borderId="0" xfId="1" applyNumberFormat="1" applyFont="1" applyAlignment="1">
      <alignment horizontal="right"/>
    </xf>
    <xf numFmtId="171" fontId="3" fillId="0" borderId="2" xfId="3" applyNumberFormat="1" applyFont="1" applyFill="1" applyBorder="1"/>
    <xf numFmtId="169" fontId="4" fillId="0" borderId="2" xfId="3" applyNumberFormat="1" applyFont="1" applyFill="1" applyBorder="1"/>
    <xf numFmtId="169" fontId="3" fillId="0" borderId="0" xfId="5" applyNumberFormat="1"/>
    <xf numFmtId="164" fontId="3" fillId="0" borderId="8" xfId="1" applyNumberFormat="1" applyFont="1" applyBorder="1"/>
    <xf numFmtId="164" fontId="18" fillId="0" borderId="6" xfId="1" applyNumberFormat="1" applyFont="1" applyBorder="1" applyAlignment="1">
      <alignment horizontal="left"/>
    </xf>
    <xf numFmtId="164" fontId="18" fillId="0" borderId="6" xfId="1" applyNumberFormat="1" applyFont="1" applyBorder="1"/>
    <xf numFmtId="49" fontId="12" fillId="0" borderId="0" xfId="1" applyNumberFormat="1" applyFont="1"/>
    <xf numFmtId="164" fontId="19" fillId="0" borderId="0" xfId="1" applyNumberFormat="1" applyFont="1"/>
    <xf numFmtId="164" fontId="20" fillId="0" borderId="0" xfId="1" applyNumberFormat="1" applyFont="1"/>
    <xf numFmtId="164" fontId="20" fillId="0" borderId="0" xfId="1" applyNumberFormat="1" applyFont="1" applyAlignment="1">
      <alignment horizontal="left"/>
    </xf>
    <xf numFmtId="171" fontId="3" fillId="0" borderId="0" xfId="2" applyNumberFormat="1" applyFont="1" applyFill="1" applyBorder="1"/>
    <xf numFmtId="164" fontId="3" fillId="0" borderId="0" xfId="1" applyNumberFormat="1" applyFont="1" applyAlignment="1">
      <alignment horizontal="center" wrapText="1"/>
    </xf>
    <xf numFmtId="164" fontId="3" fillId="0" borderId="0" xfId="1" applyNumberFormat="1" applyFont="1" applyAlignment="1">
      <alignment horizontal="right"/>
    </xf>
    <xf numFmtId="173" fontId="2" fillId="0" borderId="0" xfId="1" applyNumberFormat="1" applyFont="1"/>
    <xf numFmtId="164" fontId="2" fillId="0" borderId="6" xfId="1" applyNumberFormat="1" applyFont="1" applyBorder="1"/>
    <xf numFmtId="166" fontId="3" fillId="0" borderId="7" xfId="3" applyNumberFormat="1" applyFont="1" applyFill="1" applyBorder="1"/>
    <xf numFmtId="164" fontId="2" fillId="0" borderId="3" xfId="1" applyNumberFormat="1" applyFont="1" applyBorder="1" applyAlignment="1">
      <alignment horizontal="right"/>
    </xf>
    <xf numFmtId="169" fontId="4" fillId="0" borderId="0" xfId="1" applyNumberFormat="1" applyFont="1"/>
    <xf numFmtId="164" fontId="3" fillId="0" borderId="11" xfId="1" applyNumberFormat="1" applyFont="1" applyBorder="1"/>
    <xf numFmtId="41" fontId="3" fillId="0" borderId="1" xfId="1" applyNumberFormat="1" applyFont="1" applyBorder="1" applyAlignment="1">
      <alignment horizontal="center"/>
    </xf>
    <xf numFmtId="41" fontId="3" fillId="0" borderId="1" xfId="1" applyNumberFormat="1" applyFont="1" applyBorder="1"/>
    <xf numFmtId="164" fontId="18" fillId="0" borderId="3" xfId="1" applyNumberFormat="1" applyFont="1" applyBorder="1"/>
    <xf numFmtId="164" fontId="18" fillId="0" borderId="0" xfId="1" applyNumberFormat="1" applyFont="1"/>
    <xf numFmtId="171" fontId="3" fillId="0" borderId="0" xfId="1" quotePrefix="1" applyNumberFormat="1" applyFont="1" applyAlignment="1">
      <alignment horizontal="center"/>
    </xf>
    <xf numFmtId="41" fontId="3" fillId="0" borderId="0" xfId="1" quotePrefix="1" applyNumberFormat="1" applyFont="1" applyAlignment="1">
      <alignment horizontal="center"/>
    </xf>
    <xf numFmtId="10" fontId="3" fillId="0" borderId="8" xfId="1" applyNumberFormat="1" applyFont="1" applyBorder="1"/>
    <xf numFmtId="164" fontId="3" fillId="0" borderId="3" xfId="1" applyNumberFormat="1" applyFont="1" applyBorder="1" applyAlignment="1">
      <alignment horizontal="left" indent="1"/>
    </xf>
    <xf numFmtId="41" fontId="3" fillId="0" borderId="0" xfId="2" applyNumberFormat="1" applyFont="1" applyFill="1" applyBorder="1"/>
    <xf numFmtId="43" fontId="3" fillId="0" borderId="0" xfId="3" applyNumberFormat="1" applyFont="1" applyFill="1" applyBorder="1"/>
    <xf numFmtId="9" fontId="3" fillId="0" borderId="8" xfId="1" applyNumberFormat="1" applyFont="1" applyBorder="1" applyAlignment="1">
      <alignment horizontal="left"/>
    </xf>
    <xf numFmtId="170" fontId="3" fillId="0" borderId="0" xfId="5" applyNumberFormat="1"/>
    <xf numFmtId="0" fontId="22" fillId="0" borderId="0" xfId="0" applyFont="1"/>
    <xf numFmtId="164" fontId="9" fillId="0" borderId="3" xfId="1" applyNumberFormat="1" applyFont="1" applyBorder="1" applyAlignment="1">
      <alignment horizontal="left"/>
    </xf>
    <xf numFmtId="164" fontId="3" fillId="0" borderId="9" xfId="1" applyNumberFormat="1" applyFont="1" applyBorder="1" applyAlignment="1">
      <alignment horizontal="left" indent="1"/>
    </xf>
    <xf numFmtId="49" fontId="7" fillId="0" borderId="0" xfId="1" applyNumberFormat="1" applyFont="1" applyAlignment="1">
      <alignment horizontal="center"/>
    </xf>
    <xf numFmtId="37" fontId="3" fillId="0" borderId="2" xfId="1" applyNumberFormat="1" applyFont="1" applyBorder="1"/>
    <xf numFmtId="42" fontId="3" fillId="0" borderId="0" xfId="1" applyNumberFormat="1" applyFont="1"/>
    <xf numFmtId="44" fontId="3" fillId="0" borderId="2" xfId="1" applyNumberFormat="1" applyFont="1" applyBorder="1"/>
    <xf numFmtId="169" fontId="4" fillId="0" borderId="0" xfId="3" applyNumberFormat="1" applyFont="1" applyFill="1" applyBorder="1"/>
    <xf numFmtId="171" fontId="3" fillId="0" borderId="0" xfId="3" applyNumberFormat="1" applyFont="1" applyFill="1" applyBorder="1"/>
    <xf numFmtId="171" fontId="3" fillId="0" borderId="2" xfId="2" applyNumberFormat="1" applyFont="1" applyFill="1" applyBorder="1"/>
    <xf numFmtId="164" fontId="7" fillId="0" borderId="0" xfId="1" applyNumberFormat="1" applyFont="1"/>
    <xf numFmtId="49" fontId="7" fillId="0" borderId="0" xfId="1" applyNumberFormat="1" applyFont="1"/>
    <xf numFmtId="10" fontId="3" fillId="0" borderId="0" xfId="8" applyNumberFormat="1" applyFont="1"/>
    <xf numFmtId="169" fontId="3" fillId="0" borderId="2" xfId="1" applyNumberFormat="1" applyFont="1" applyBorder="1"/>
    <xf numFmtId="169" fontId="4" fillId="0" borderId="2" xfId="1" applyNumberFormat="1" applyFont="1" applyBorder="1"/>
    <xf numFmtId="164" fontId="3" fillId="0" borderId="6" xfId="1" applyNumberFormat="1" applyFont="1" applyBorder="1"/>
    <xf numFmtId="164" fontId="3" fillId="0" borderId="2" xfId="1" applyNumberFormat="1" applyFont="1" applyBorder="1" applyAlignment="1">
      <alignment horizontal="center"/>
    </xf>
    <xf numFmtId="166" fontId="3" fillId="0" borderId="0" xfId="3" applyNumberFormat="1" applyFont="1" applyFill="1" applyBorder="1"/>
    <xf numFmtId="171" fontId="3" fillId="0" borderId="2" xfId="1" applyNumberFormat="1" applyFont="1" applyBorder="1"/>
    <xf numFmtId="169" fontId="3" fillId="0" borderId="0" xfId="3" applyNumberFormat="1" applyFont="1" applyFill="1" applyBorder="1"/>
    <xf numFmtId="43" fontId="4" fillId="0" borderId="0" xfId="5" applyNumberFormat="1" applyFont="1" applyAlignment="1">
      <alignment horizontal="right"/>
    </xf>
    <xf numFmtId="166" fontId="26" fillId="2" borderId="12" xfId="10" applyNumberFormat="1"/>
    <xf numFmtId="165" fontId="26" fillId="2" borderId="12" xfId="10" applyNumberFormat="1"/>
    <xf numFmtId="164" fontId="26" fillId="2" borderId="12" xfId="10" applyNumberFormat="1"/>
    <xf numFmtId="167" fontId="26" fillId="2" borderId="12" xfId="10" applyNumberFormat="1"/>
    <xf numFmtId="41" fontId="3" fillId="0" borderId="8" xfId="1" applyNumberFormat="1" applyFont="1" applyBorder="1" applyAlignment="1">
      <alignment horizontal="center"/>
    </xf>
    <xf numFmtId="170" fontId="3" fillId="0" borderId="8" xfId="1" applyNumberFormat="1" applyFont="1" applyBorder="1"/>
    <xf numFmtId="41" fontId="26" fillId="2" borderId="12" xfId="10" applyNumberFormat="1" applyAlignment="1">
      <alignment horizontal="center"/>
    </xf>
    <xf numFmtId="179" fontId="3" fillId="0" borderId="0" xfId="5" applyNumberFormat="1"/>
    <xf numFmtId="170" fontId="3" fillId="0" borderId="2" xfId="5" applyNumberFormat="1" applyBorder="1"/>
    <xf numFmtId="179" fontId="9" fillId="0" borderId="0" xfId="5" applyNumberFormat="1" applyFont="1"/>
    <xf numFmtId="41" fontId="3" fillId="0" borderId="8" xfId="1" applyNumberFormat="1" applyFont="1" applyBorder="1"/>
    <xf numFmtId="164" fontId="3" fillId="0" borderId="3" xfId="1" applyNumberFormat="1" applyFont="1" applyBorder="1" applyAlignment="1">
      <alignment horizontal="right"/>
    </xf>
    <xf numFmtId="164" fontId="7" fillId="0" borderId="5" xfId="1" applyNumberFormat="1" applyFont="1" applyBorder="1" applyAlignment="1">
      <alignment horizontal="right"/>
    </xf>
    <xf numFmtId="169" fontId="9" fillId="0" borderId="2" xfId="1" quotePrefix="1" applyNumberFormat="1" applyFont="1" applyBorder="1" applyAlignment="1">
      <alignment horizontal="right"/>
    </xf>
    <xf numFmtId="171" fontId="7" fillId="0" borderId="0" xfId="1" applyNumberFormat="1" applyFont="1"/>
    <xf numFmtId="41" fontId="7" fillId="0" borderId="0" xfId="1" applyNumberFormat="1" applyFont="1"/>
    <xf numFmtId="169" fontId="26" fillId="2" borderId="12" xfId="10" applyNumberFormat="1"/>
    <xf numFmtId="0" fontId="2" fillId="0" borderId="2" xfId="5" applyFont="1" applyBorder="1"/>
    <xf numFmtId="43" fontId="26" fillId="2" borderId="12" xfId="10" applyNumberFormat="1"/>
    <xf numFmtId="175" fontId="3" fillId="0" borderId="0" xfId="1" applyNumberFormat="1" applyFont="1"/>
    <xf numFmtId="43" fontId="3" fillId="0" borderId="0" xfId="1" applyNumberFormat="1" applyFont="1" applyAlignment="1">
      <alignment horizontal="left"/>
    </xf>
    <xf numFmtId="171" fontId="3" fillId="0" borderId="8" xfId="3" applyNumberFormat="1" applyFont="1" applyBorder="1"/>
    <xf numFmtId="171" fontId="3" fillId="0" borderId="5" xfId="1" applyNumberFormat="1" applyFont="1" applyBorder="1"/>
    <xf numFmtId="171" fontId="3" fillId="0" borderId="4" xfId="1" applyNumberFormat="1" applyFont="1" applyBorder="1"/>
    <xf numFmtId="164" fontId="3" fillId="0" borderId="5" xfId="1" applyNumberFormat="1" applyFont="1" applyBorder="1" applyAlignment="1">
      <alignment horizontal="right"/>
    </xf>
    <xf numFmtId="164" fontId="3" fillId="0" borderId="4" xfId="1" applyNumberFormat="1" applyFont="1" applyBorder="1" applyAlignment="1">
      <alignment horizontal="right"/>
    </xf>
    <xf numFmtId="164" fontId="3" fillId="0" borderId="0" xfId="1" applyNumberFormat="1" applyFont="1" applyAlignment="1">
      <alignment vertical="center"/>
    </xf>
    <xf numFmtId="170" fontId="3" fillId="0" borderId="0" xfId="8" applyNumberFormat="1" applyFont="1" applyFill="1" applyBorder="1"/>
    <xf numFmtId="170" fontId="9" fillId="0" borderId="0" xfId="8" applyNumberFormat="1" applyFont="1" applyFill="1" applyBorder="1"/>
    <xf numFmtId="164" fontId="20" fillId="0" borderId="10" xfId="1" applyNumberFormat="1" applyFont="1" applyBorder="1"/>
    <xf numFmtId="168" fontId="26" fillId="2" borderId="15" xfId="10" applyNumberFormat="1" applyBorder="1"/>
    <xf numFmtId="164" fontId="3" fillId="0" borderId="3" xfId="1" applyNumberFormat="1" applyFont="1" applyBorder="1" applyAlignment="1">
      <alignment horizontal="center" wrapText="1"/>
    </xf>
    <xf numFmtId="171" fontId="6" fillId="0" borderId="7" xfId="3" applyNumberFormat="1" applyFont="1" applyFill="1" applyBorder="1"/>
    <xf numFmtId="180" fontId="25" fillId="0" borderId="7" xfId="1" applyNumberFormat="1" applyFont="1" applyBorder="1"/>
    <xf numFmtId="0" fontId="3" fillId="0" borderId="3" xfId="5" applyBorder="1" applyAlignment="1">
      <alignment horizontal="left" indent="1"/>
    </xf>
    <xf numFmtId="164" fontId="3" fillId="0" borderId="0" xfId="1" applyNumberFormat="1" applyFont="1" applyAlignment="1">
      <alignment horizontal="center"/>
    </xf>
    <xf numFmtId="169" fontId="3" fillId="0" borderId="3" xfId="1" applyNumberFormat="1" applyFont="1" applyBorder="1"/>
    <xf numFmtId="169" fontId="4" fillId="0" borderId="3" xfId="1" applyNumberFormat="1" applyFont="1" applyBorder="1"/>
    <xf numFmtId="171" fontId="7" fillId="0" borderId="11" xfId="1" applyNumberFormat="1" applyFont="1" applyBorder="1"/>
    <xf numFmtId="169" fontId="3" fillId="0" borderId="3" xfId="1" applyNumberFormat="1" applyFont="1" applyBorder="1" applyAlignment="1">
      <alignment horizontal="left"/>
    </xf>
    <xf numFmtId="41" fontId="7" fillId="0" borderId="9" xfId="1" applyNumberFormat="1" applyFont="1" applyBorder="1" applyAlignment="1">
      <alignment horizontal="right"/>
    </xf>
    <xf numFmtId="169" fontId="8" fillId="0" borderId="3" xfId="1" quotePrefix="1" applyNumberFormat="1" applyFont="1" applyBorder="1" applyAlignment="1">
      <alignment horizontal="center"/>
    </xf>
    <xf numFmtId="169" fontId="4" fillId="0" borderId="0" xfId="1" applyNumberFormat="1" applyFont="1" applyAlignment="1">
      <alignment horizontal="center"/>
    </xf>
    <xf numFmtId="169" fontId="4" fillId="0" borderId="2" xfId="1" applyNumberFormat="1" applyFont="1" applyBorder="1" applyAlignment="1">
      <alignment horizontal="center"/>
    </xf>
    <xf numFmtId="169" fontId="9" fillId="0" borderId="3" xfId="1" quotePrefix="1" applyNumberFormat="1" applyFont="1" applyBorder="1" applyAlignment="1">
      <alignment horizontal="right"/>
    </xf>
    <xf numFmtId="41" fontId="3" fillId="0" borderId="7" xfId="1" applyNumberFormat="1" applyFont="1" applyBorder="1"/>
    <xf numFmtId="0" fontId="2" fillId="0" borderId="3" xfId="5" applyFont="1" applyBorder="1"/>
    <xf numFmtId="176" fontId="16" fillId="3" borderId="0" xfId="1" applyNumberFormat="1" applyFont="1" applyFill="1" applyAlignment="1">
      <alignment horizontal="right"/>
    </xf>
    <xf numFmtId="164" fontId="16" fillId="3" borderId="0" xfId="1" applyNumberFormat="1" applyFont="1" applyFill="1" applyAlignment="1">
      <alignment horizontal="right"/>
    </xf>
    <xf numFmtId="164" fontId="7" fillId="3" borderId="0" xfId="1" applyNumberFormat="1" applyFont="1" applyFill="1" applyAlignment="1">
      <alignment horizontal="center"/>
    </xf>
    <xf numFmtId="49" fontId="7" fillId="3" borderId="0" xfId="1" applyNumberFormat="1" applyFont="1" applyFill="1" applyAlignment="1">
      <alignment horizontal="center"/>
    </xf>
    <xf numFmtId="164" fontId="16" fillId="3" borderId="0" xfId="1" applyNumberFormat="1" applyFont="1" applyFill="1"/>
    <xf numFmtId="164" fontId="2" fillId="3" borderId="0" xfId="1" applyNumberFormat="1" applyFont="1" applyFill="1"/>
    <xf numFmtId="43" fontId="8" fillId="3" borderId="0" xfId="1" applyNumberFormat="1" applyFont="1" applyFill="1" applyAlignment="1">
      <alignment horizontal="center"/>
    </xf>
    <xf numFmtId="41" fontId="16" fillId="3" borderId="0" xfId="1" applyNumberFormat="1" applyFont="1" applyFill="1" applyAlignment="1">
      <alignment horizontal="center"/>
    </xf>
    <xf numFmtId="164" fontId="16" fillId="3" borderId="0" xfId="1" applyNumberFormat="1" applyFont="1" applyFill="1" applyAlignment="1">
      <alignment horizontal="center"/>
    </xf>
    <xf numFmtId="43" fontId="24" fillId="3" borderId="0" xfId="1" applyNumberFormat="1" applyFont="1" applyFill="1" applyAlignment="1">
      <alignment horizontal="center"/>
    </xf>
    <xf numFmtId="43" fontId="17" fillId="3" borderId="0" xfId="1" applyNumberFormat="1" applyFont="1" applyFill="1" applyAlignment="1">
      <alignment horizontal="right" wrapText="1"/>
    </xf>
    <xf numFmtId="164" fontId="16" fillId="3" borderId="0" xfId="1" quotePrefix="1" applyNumberFormat="1" applyFont="1" applyFill="1" applyAlignment="1">
      <alignment horizontal="right"/>
    </xf>
    <xf numFmtId="164" fontId="7" fillId="3" borderId="0" xfId="1" applyNumberFormat="1" applyFont="1" applyFill="1" applyAlignment="1">
      <alignment horizontal="right"/>
    </xf>
    <xf numFmtId="171" fontId="3" fillId="3" borderId="0" xfId="1" applyNumberFormat="1" applyFont="1" applyFill="1" applyAlignment="1">
      <alignment horizontal="right"/>
    </xf>
    <xf numFmtId="169" fontId="3" fillId="3" borderId="0" xfId="1" applyNumberFormat="1" applyFont="1" applyFill="1"/>
    <xf numFmtId="164" fontId="3" fillId="3" borderId="0" xfId="1" applyNumberFormat="1" applyFont="1" applyFill="1"/>
    <xf numFmtId="172" fontId="3" fillId="3" borderId="0" xfId="1" applyNumberFormat="1" applyFont="1" applyFill="1" applyAlignment="1">
      <alignment horizontal="center"/>
    </xf>
    <xf numFmtId="164" fontId="3" fillId="3" borderId="0" xfId="1" applyNumberFormat="1" applyFont="1" applyFill="1" applyAlignment="1">
      <alignment horizontal="center"/>
    </xf>
    <xf numFmtId="171" fontId="3" fillId="3" borderId="0" xfId="1" applyNumberFormat="1" applyFont="1" applyFill="1"/>
    <xf numFmtId="42" fontId="3" fillId="3" borderId="0" xfId="1" quotePrefix="1" applyNumberFormat="1" applyFont="1" applyFill="1"/>
    <xf numFmtId="41" fontId="3" fillId="3" borderId="0" xfId="1" quotePrefix="1" applyNumberFormat="1" applyFont="1" applyFill="1"/>
    <xf numFmtId="177" fontId="3" fillId="3" borderId="0" xfId="1" applyNumberFormat="1" applyFont="1" applyFill="1"/>
    <xf numFmtId="171" fontId="3" fillId="3" borderId="0" xfId="1" quotePrefix="1" applyNumberFormat="1" applyFont="1" applyFill="1"/>
    <xf numFmtId="178" fontId="3" fillId="3" borderId="0" xfId="1" applyNumberFormat="1" applyFont="1" applyFill="1"/>
    <xf numFmtId="43" fontId="3" fillId="3" borderId="0" xfId="9" applyFont="1" applyFill="1"/>
    <xf numFmtId="42" fontId="4" fillId="3" borderId="0" xfId="1" quotePrefix="1" applyNumberFormat="1" applyFont="1" applyFill="1"/>
    <xf numFmtId="171" fontId="4" fillId="3" borderId="0" xfId="1" quotePrefix="1" applyNumberFormat="1" applyFont="1" applyFill="1"/>
    <xf numFmtId="42" fontId="3" fillId="3" borderId="0" xfId="1" applyNumberFormat="1" applyFont="1" applyFill="1"/>
    <xf numFmtId="172" fontId="7" fillId="3" borderId="0" xfId="1" applyNumberFormat="1" applyFont="1" applyFill="1"/>
    <xf numFmtId="41" fontId="7" fillId="3" borderId="0" xfId="1" quotePrefix="1" applyNumberFormat="1" applyFont="1" applyFill="1"/>
    <xf numFmtId="41" fontId="8" fillId="3" borderId="0" xfId="1" quotePrefix="1" applyNumberFormat="1" applyFont="1" applyFill="1"/>
    <xf numFmtId="172" fontId="3" fillId="3" borderId="0" xfId="1" applyNumberFormat="1" applyFont="1" applyFill="1"/>
    <xf numFmtId="49" fontId="3" fillId="3" borderId="0" xfId="1" applyNumberFormat="1" applyFont="1" applyFill="1" applyAlignment="1">
      <alignment horizontal="center"/>
    </xf>
    <xf numFmtId="164" fontId="16" fillId="3" borderId="0" xfId="1" applyNumberFormat="1" applyFont="1" applyFill="1" applyAlignment="1">
      <alignment horizontal="center" wrapText="1"/>
    </xf>
    <xf numFmtId="164" fontId="18" fillId="0" borderId="1" xfId="1" applyNumberFormat="1" applyFont="1" applyBorder="1"/>
    <xf numFmtId="41" fontId="4" fillId="0" borderId="0" xfId="1" applyNumberFormat="1" applyFont="1" applyAlignment="1">
      <alignment horizontal="center" wrapText="1"/>
    </xf>
    <xf numFmtId="43" fontId="4" fillId="0" borderId="0" xfId="1" applyNumberFormat="1" applyFont="1" applyAlignment="1">
      <alignment horizontal="center"/>
    </xf>
    <xf numFmtId="49" fontId="27" fillId="0" borderId="0" xfId="1" applyNumberFormat="1" applyFont="1"/>
    <xf numFmtId="170" fontId="26" fillId="2" borderId="13" xfId="10" applyNumberFormat="1" applyBorder="1"/>
    <xf numFmtId="170" fontId="3" fillId="0" borderId="8" xfId="8" applyNumberFormat="1" applyFont="1" applyFill="1" applyBorder="1"/>
    <xf numFmtId="168" fontId="3" fillId="0" borderId="8" xfId="3" applyNumberFormat="1" applyFont="1" applyFill="1" applyBorder="1"/>
    <xf numFmtId="169" fontId="3" fillId="0" borderId="2" xfId="3" applyNumberFormat="1" applyFont="1" applyFill="1" applyBorder="1"/>
    <xf numFmtId="169" fontId="26" fillId="0" borderId="0" xfId="10" applyNumberFormat="1" applyFill="1" applyBorder="1"/>
    <xf numFmtId="169" fontId="3" fillId="4" borderId="0" xfId="1" applyNumberFormat="1" applyFont="1" applyFill="1"/>
    <xf numFmtId="164" fontId="28" fillId="0" borderId="0" xfId="1" applyNumberFormat="1" applyFont="1" applyAlignment="1">
      <alignment horizontal="center" wrapText="1"/>
    </xf>
    <xf numFmtId="166" fontId="28" fillId="0" borderId="0" xfId="3" applyNumberFormat="1" applyFont="1" applyFill="1" applyBorder="1"/>
    <xf numFmtId="166" fontId="3" fillId="0" borderId="0" xfId="1" applyNumberFormat="1" applyFont="1"/>
    <xf numFmtId="43" fontId="4" fillId="0" borderId="0" xfId="1" applyNumberFormat="1" applyFont="1" applyAlignment="1">
      <alignment horizontal="center" wrapText="1"/>
    </xf>
    <xf numFmtId="41" fontId="4" fillId="0" borderId="0" xfId="5" applyNumberFormat="1" applyFont="1" applyAlignment="1">
      <alignment horizontal="center"/>
    </xf>
    <xf numFmtId="169" fontId="8" fillId="4" borderId="3" xfId="1" quotePrefix="1" applyNumberFormat="1" applyFont="1" applyFill="1" applyBorder="1" applyAlignment="1">
      <alignment horizontal="center"/>
    </xf>
    <xf numFmtId="169" fontId="4" fillId="4" borderId="0" xfId="1" quotePrefix="1" applyNumberFormat="1" applyFont="1" applyFill="1" applyAlignment="1">
      <alignment horizontal="center"/>
    </xf>
    <xf numFmtId="169" fontId="4" fillId="4" borderId="2" xfId="1" quotePrefix="1" applyNumberFormat="1" applyFont="1" applyFill="1" applyBorder="1" applyAlignment="1">
      <alignment horizontal="center"/>
    </xf>
    <xf numFmtId="169" fontId="9" fillId="4" borderId="3" xfId="1" quotePrefix="1" applyNumberFormat="1" applyFont="1" applyFill="1" applyBorder="1" applyAlignment="1">
      <alignment horizontal="right"/>
    </xf>
    <xf numFmtId="164" fontId="3" fillId="4" borderId="0" xfId="1" applyNumberFormat="1" applyFont="1" applyFill="1" applyAlignment="1">
      <alignment horizontal="center"/>
    </xf>
    <xf numFmtId="169" fontId="9" fillId="4" borderId="2" xfId="1" quotePrefix="1" applyNumberFormat="1" applyFont="1" applyFill="1" applyBorder="1" applyAlignment="1">
      <alignment horizontal="right"/>
    </xf>
    <xf numFmtId="169" fontId="3" fillId="4" borderId="3" xfId="1" applyNumberFormat="1" applyFont="1" applyFill="1" applyBorder="1"/>
    <xf numFmtId="169" fontId="3" fillId="4" borderId="2" xfId="1" applyNumberFormat="1" applyFont="1" applyFill="1" applyBorder="1"/>
    <xf numFmtId="169" fontId="4" fillId="4" borderId="3" xfId="1" applyNumberFormat="1" applyFont="1" applyFill="1" applyBorder="1"/>
    <xf numFmtId="169" fontId="4" fillId="4" borderId="0" xfId="1" applyNumberFormat="1" applyFont="1" applyFill="1"/>
    <xf numFmtId="169" fontId="4" fillId="4" borderId="2" xfId="1" applyNumberFormat="1" applyFont="1" applyFill="1" applyBorder="1"/>
    <xf numFmtId="171" fontId="7" fillId="4" borderId="11" xfId="1" applyNumberFormat="1" applyFont="1" applyFill="1" applyBorder="1"/>
    <xf numFmtId="171" fontId="3" fillId="4" borderId="5" xfId="1" applyNumberFormat="1" applyFont="1" applyFill="1" applyBorder="1"/>
    <xf numFmtId="171" fontId="3" fillId="4" borderId="4" xfId="1" applyNumberFormat="1" applyFont="1" applyFill="1" applyBorder="1"/>
    <xf numFmtId="169" fontId="3" fillId="4" borderId="3" xfId="1" applyNumberFormat="1" applyFont="1" applyFill="1" applyBorder="1" applyAlignment="1">
      <alignment horizontal="left"/>
    </xf>
    <xf numFmtId="169" fontId="2" fillId="4" borderId="0" xfId="1" applyNumberFormat="1" applyFont="1" applyFill="1"/>
    <xf numFmtId="169" fontId="2" fillId="4" borderId="2" xfId="1" applyNumberFormat="1" applyFont="1" applyFill="1" applyBorder="1"/>
    <xf numFmtId="41" fontId="7" fillId="4" borderId="9" xfId="1" applyNumberFormat="1" applyFont="1" applyFill="1" applyBorder="1" applyAlignment="1">
      <alignment horizontal="right"/>
    </xf>
    <xf numFmtId="41" fontId="3" fillId="4" borderId="8" xfId="1" applyNumberFormat="1" applyFont="1" applyFill="1" applyBorder="1"/>
    <xf numFmtId="41" fontId="3" fillId="4" borderId="7" xfId="1" applyNumberFormat="1" applyFont="1" applyFill="1" applyBorder="1"/>
    <xf numFmtId="43" fontId="8" fillId="4" borderId="3" xfId="1" quotePrefix="1" applyNumberFormat="1" applyFont="1" applyFill="1" applyBorder="1" applyAlignment="1">
      <alignment horizontal="center"/>
    </xf>
    <xf numFmtId="43" fontId="4" fillId="4" borderId="0" xfId="1" quotePrefix="1" applyNumberFormat="1" applyFont="1" applyFill="1" applyAlignment="1">
      <alignment horizontal="center"/>
    </xf>
    <xf numFmtId="43" fontId="4" fillId="4" borderId="2" xfId="1" quotePrefix="1" applyNumberFormat="1" applyFont="1" applyFill="1" applyBorder="1" applyAlignment="1">
      <alignment horizontal="center"/>
    </xf>
    <xf numFmtId="164" fontId="11" fillId="4" borderId="3" xfId="1" quotePrefix="1" applyNumberFormat="1" applyFont="1" applyFill="1" applyBorder="1" applyAlignment="1">
      <alignment horizontal="right"/>
    </xf>
    <xf numFmtId="164" fontId="3" fillId="4" borderId="2" xfId="1" applyNumberFormat="1" applyFont="1" applyFill="1" applyBorder="1" applyAlignment="1">
      <alignment horizontal="center"/>
    </xf>
    <xf numFmtId="169" fontId="3" fillId="4" borderId="9" xfId="1" applyNumberFormat="1" applyFont="1" applyFill="1" applyBorder="1"/>
    <xf numFmtId="169" fontId="3" fillId="4" borderId="7" xfId="1" applyNumberFormat="1" applyFont="1" applyFill="1" applyBorder="1"/>
    <xf numFmtId="169" fontId="2" fillId="4" borderId="10" xfId="1" applyNumberFormat="1" applyFont="1" applyFill="1" applyBorder="1"/>
    <xf numFmtId="41" fontId="7" fillId="4" borderId="8" xfId="1" applyNumberFormat="1" applyFont="1" applyFill="1" applyBorder="1"/>
    <xf numFmtId="171" fontId="6" fillId="0" borderId="2" xfId="3" applyNumberFormat="1" applyFont="1" applyFill="1" applyBorder="1"/>
    <xf numFmtId="181" fontId="2" fillId="0" borderId="2" xfId="9" applyNumberFormat="1" applyFont="1" applyBorder="1"/>
    <xf numFmtId="164" fontId="9" fillId="0" borderId="3" xfId="1" applyNumberFormat="1" applyFont="1" applyBorder="1"/>
    <xf numFmtId="0" fontId="9" fillId="0" borderId="3" xfId="5" applyFont="1" applyBorder="1" applyAlignment="1">
      <alignment horizontal="left"/>
    </xf>
    <xf numFmtId="0" fontId="3" fillId="0" borderId="3" xfId="5" applyBorder="1" applyAlignment="1">
      <alignment horizontal="left"/>
    </xf>
    <xf numFmtId="0" fontId="3" fillId="0" borderId="3" xfId="5" applyBorder="1"/>
    <xf numFmtId="174" fontId="2" fillId="0" borderId="7" xfId="9" applyNumberFormat="1" applyFont="1" applyFill="1" applyBorder="1"/>
    <xf numFmtId="43" fontId="17" fillId="3" borderId="0" xfId="1" applyNumberFormat="1" applyFont="1" applyFill="1" applyAlignment="1">
      <alignment horizontal="center" wrapText="1"/>
    </xf>
    <xf numFmtId="44" fontId="26" fillId="2" borderId="12" xfId="11" applyFont="1" applyFill="1" applyBorder="1"/>
    <xf numFmtId="166" fontId="26" fillId="2" borderId="12" xfId="11" applyNumberFormat="1" applyFont="1" applyFill="1" applyBorder="1"/>
    <xf numFmtId="9" fontId="26" fillId="2" borderId="12" xfId="8" applyFont="1" applyFill="1" applyBorder="1"/>
    <xf numFmtId="182" fontId="3" fillId="0" borderId="0" xfId="1" applyNumberFormat="1" applyFont="1"/>
    <xf numFmtId="43" fontId="3" fillId="0" borderId="0" xfId="9" applyFont="1" applyFill="1" applyBorder="1"/>
    <xf numFmtId="169" fontId="4" fillId="0" borderId="2" xfId="5" applyNumberFormat="1" applyFont="1" applyBorder="1"/>
    <xf numFmtId="168" fontId="3" fillId="0" borderId="7" xfId="3" applyNumberFormat="1" applyFont="1" applyFill="1" applyBorder="1"/>
    <xf numFmtId="169" fontId="26" fillId="5" borderId="12" xfId="10" applyNumberFormat="1" applyFill="1"/>
    <xf numFmtId="169" fontId="26" fillId="4" borderId="16" xfId="10" applyNumberFormat="1" applyFill="1" applyBorder="1" applyAlignment="1" applyProtection="1">
      <protection locked="0"/>
    </xf>
    <xf numFmtId="41" fontId="26" fillId="6" borderId="18" xfId="10" applyNumberFormat="1" applyFill="1" applyBorder="1" applyAlignment="1"/>
    <xf numFmtId="174" fontId="31" fillId="0" borderId="1" xfId="9" applyNumberFormat="1" applyFont="1" applyBorder="1" applyAlignment="1"/>
    <xf numFmtId="170" fontId="26" fillId="4" borderId="12" xfId="10" applyNumberFormat="1" applyFill="1"/>
    <xf numFmtId="170" fontId="26" fillId="4" borderId="13" xfId="10" applyNumberFormat="1" applyFill="1" applyBorder="1"/>
    <xf numFmtId="179" fontId="3" fillId="4" borderId="0" xfId="5" applyNumberFormat="1" applyFill="1"/>
    <xf numFmtId="179" fontId="9" fillId="4" borderId="0" xfId="5" applyNumberFormat="1" applyFont="1" applyFill="1"/>
    <xf numFmtId="166" fontId="30" fillId="2" borderId="12" xfId="11" applyNumberFormat="1" applyFont="1" applyFill="1" applyBorder="1"/>
    <xf numFmtId="183" fontId="2" fillId="0" borderId="0" xfId="9" applyNumberFormat="1" applyFont="1"/>
    <xf numFmtId="164" fontId="2" fillId="4" borderId="6" xfId="1" applyNumberFormat="1" applyFont="1" applyFill="1" applyBorder="1"/>
    <xf numFmtId="164" fontId="2" fillId="4" borderId="3" xfId="1" applyNumberFormat="1" applyFont="1" applyFill="1" applyBorder="1" applyAlignment="1">
      <alignment horizontal="right"/>
    </xf>
    <xf numFmtId="41" fontId="4" fillId="4" borderId="0" xfId="1" applyNumberFormat="1" applyFont="1" applyFill="1" applyAlignment="1">
      <alignment horizontal="center"/>
    </xf>
    <xf numFmtId="41" fontId="4" fillId="4" borderId="2" xfId="1" applyNumberFormat="1" applyFont="1" applyFill="1" applyBorder="1" applyAlignment="1">
      <alignment horizontal="center"/>
    </xf>
    <xf numFmtId="164" fontId="2" fillId="4" borderId="0" xfId="1" applyNumberFormat="1" applyFont="1" applyFill="1" applyAlignment="1">
      <alignment horizontal="right"/>
    </xf>
    <xf numFmtId="164" fontId="3" fillId="4" borderId="0" xfId="1" applyNumberFormat="1" applyFont="1" applyFill="1" applyAlignment="1">
      <alignment horizontal="right"/>
    </xf>
    <xf numFmtId="164" fontId="3" fillId="4" borderId="2" xfId="1" applyNumberFormat="1" applyFont="1" applyFill="1" applyBorder="1" applyAlignment="1">
      <alignment horizontal="right"/>
    </xf>
    <xf numFmtId="164" fontId="3" fillId="4" borderId="3" xfId="1" applyNumberFormat="1" applyFont="1" applyFill="1" applyBorder="1" applyAlignment="1">
      <alignment horizontal="right"/>
    </xf>
    <xf numFmtId="42" fontId="3" fillId="4" borderId="0" xfId="1" applyNumberFormat="1" applyFont="1" applyFill="1"/>
    <xf numFmtId="171" fontId="3" fillId="4" borderId="0" xfId="1" applyNumberFormat="1" applyFont="1" applyFill="1"/>
    <xf numFmtId="171" fontId="3" fillId="4" borderId="2" xfId="1" applyNumberFormat="1" applyFont="1" applyFill="1" applyBorder="1"/>
    <xf numFmtId="164" fontId="3" fillId="4" borderId="3" xfId="1" applyNumberFormat="1" applyFont="1" applyFill="1" applyBorder="1" applyAlignment="1">
      <alignment horizontal="right" wrapText="1"/>
    </xf>
    <xf numFmtId="41" fontId="4" fillId="4" borderId="0" xfId="1" applyNumberFormat="1" applyFont="1" applyFill="1"/>
    <xf numFmtId="42" fontId="6" fillId="4" borderId="0" xfId="1" applyNumberFormat="1" applyFont="1" applyFill="1"/>
    <xf numFmtId="171" fontId="6" fillId="4" borderId="0" xfId="1" applyNumberFormat="1" applyFont="1" applyFill="1"/>
    <xf numFmtId="171" fontId="6" fillId="4" borderId="2" xfId="1" applyNumberFormat="1" applyFont="1" applyFill="1" applyBorder="1"/>
    <xf numFmtId="164" fontId="3" fillId="4" borderId="0" xfId="1" applyNumberFormat="1" applyFont="1" applyFill="1"/>
    <xf numFmtId="41" fontId="3" fillId="4" borderId="0" xfId="1" applyNumberFormat="1" applyFont="1" applyFill="1"/>
    <xf numFmtId="41" fontId="9" fillId="4" borderId="0" xfId="1" applyNumberFormat="1" applyFont="1" applyFill="1"/>
    <xf numFmtId="41" fontId="9" fillId="4" borderId="2" xfId="1" applyNumberFormat="1" applyFont="1" applyFill="1" applyBorder="1"/>
    <xf numFmtId="169" fontId="3" fillId="5" borderId="0" xfId="1" applyNumberFormat="1" applyFont="1" applyFill="1"/>
    <xf numFmtId="43" fontId="3" fillId="5" borderId="0" xfId="9" applyFont="1" applyFill="1" applyBorder="1"/>
    <xf numFmtId="182" fontId="3" fillId="5" borderId="0" xfId="1" applyNumberFormat="1" applyFont="1" applyFill="1"/>
    <xf numFmtId="169" fontId="26" fillId="5" borderId="16" xfId="10" applyNumberFormat="1" applyFill="1" applyBorder="1" applyAlignment="1" applyProtection="1">
      <protection locked="0"/>
    </xf>
    <xf numFmtId="44" fontId="3" fillId="5" borderId="0" xfId="3" applyFont="1" applyFill="1" applyBorder="1"/>
    <xf numFmtId="166" fontId="26" fillId="5" borderId="12" xfId="10" applyNumberFormat="1" applyFill="1"/>
    <xf numFmtId="43" fontId="4" fillId="5" borderId="0" xfId="1" applyNumberFormat="1" applyFont="1" applyFill="1" applyAlignment="1">
      <alignment horizontal="right" wrapText="1"/>
    </xf>
    <xf numFmtId="43" fontId="4" fillId="5" borderId="0" xfId="1" applyNumberFormat="1" applyFont="1" applyFill="1" applyAlignment="1">
      <alignment horizontal="right"/>
    </xf>
    <xf numFmtId="171" fontId="3" fillId="5" borderId="0" xfId="1" quotePrefix="1" applyNumberFormat="1" applyFont="1" applyFill="1" applyAlignment="1">
      <alignment horizontal="center"/>
    </xf>
    <xf numFmtId="169" fontId="2" fillId="5" borderId="0" xfId="1" applyNumberFormat="1" applyFont="1" applyFill="1"/>
    <xf numFmtId="171" fontId="3" fillId="5" borderId="0" xfId="2" applyNumberFormat="1" applyFont="1" applyFill="1" applyBorder="1"/>
    <xf numFmtId="164" fontId="7" fillId="0" borderId="0" xfId="1" applyNumberFormat="1" applyFont="1" applyAlignment="1">
      <alignment horizontal="left" indent="1"/>
    </xf>
    <xf numFmtId="44" fontId="7" fillId="0" borderId="0" xfId="3" applyFont="1" applyFill="1" applyBorder="1"/>
    <xf numFmtId="42" fontId="7" fillId="0" borderId="0" xfId="1" applyNumberFormat="1" applyFont="1"/>
    <xf numFmtId="41" fontId="26" fillId="5" borderId="12" xfId="10" applyNumberFormat="1" applyFill="1" applyAlignment="1">
      <alignment horizontal="center"/>
    </xf>
    <xf numFmtId="164" fontId="2" fillId="5" borderId="0" xfId="1" applyNumberFormat="1" applyFont="1" applyFill="1"/>
    <xf numFmtId="5" fontId="20" fillId="0" borderId="0" xfId="1" applyNumberFormat="1" applyFont="1"/>
    <xf numFmtId="43" fontId="4" fillId="0" borderId="0" xfId="1" applyNumberFormat="1" applyFont="1"/>
    <xf numFmtId="43" fontId="4" fillId="0" borderId="2" xfId="1" applyNumberFormat="1" applyFont="1" applyBorder="1"/>
    <xf numFmtId="0" fontId="0" fillId="7" borderId="2" xfId="0" applyFill="1" applyBorder="1"/>
    <xf numFmtId="164" fontId="0" fillId="0" borderId="3" xfId="0" applyNumberFormat="1" applyBorder="1" applyAlignment="1">
      <alignment horizontal="left"/>
    </xf>
    <xf numFmtId="165" fontId="0" fillId="0" borderId="0" xfId="9" applyNumberFormat="1" applyFont="1" applyBorder="1"/>
    <xf numFmtId="165" fontId="0" fillId="7" borderId="0" xfId="9" applyNumberFormat="1" applyFont="1" applyFill="1" applyBorder="1"/>
    <xf numFmtId="165" fontId="0" fillId="7" borderId="2" xfId="9" applyNumberFormat="1" applyFont="1" applyFill="1" applyBorder="1"/>
    <xf numFmtId="0" fontId="0" fillId="0" borderId="3" xfId="0" applyBorder="1"/>
    <xf numFmtId="9" fontId="0" fillId="0" borderId="0" xfId="8" applyFont="1" applyBorder="1"/>
    <xf numFmtId="9" fontId="0" fillId="7" borderId="0" xfId="8" applyFont="1" applyFill="1" applyBorder="1"/>
    <xf numFmtId="9" fontId="0" fillId="7" borderId="2" xfId="8" applyFont="1" applyFill="1" applyBorder="1"/>
    <xf numFmtId="9" fontId="0" fillId="0" borderId="2" xfId="8" applyFont="1" applyBorder="1"/>
    <xf numFmtId="43" fontId="2" fillId="0" borderId="0" xfId="2" applyFont="1" applyBorder="1"/>
    <xf numFmtId="165" fontId="3" fillId="0" borderId="2" xfId="2" applyNumberFormat="1" applyFont="1" applyFill="1" applyBorder="1"/>
    <xf numFmtId="37" fontId="3" fillId="0" borderId="0" xfId="11" applyNumberFormat="1" applyFont="1" applyFill="1" applyBorder="1"/>
    <xf numFmtId="166" fontId="3" fillId="0" borderId="0" xfId="11" applyNumberFormat="1" applyFont="1" applyBorder="1"/>
    <xf numFmtId="43" fontId="2" fillId="0" borderId="0" xfId="3" applyNumberFormat="1" applyFont="1" applyFill="1" applyBorder="1"/>
    <xf numFmtId="166" fontId="7" fillId="0" borderId="0" xfId="2" applyNumberFormat="1" applyFont="1" applyFill="1" applyBorder="1"/>
    <xf numFmtId="166" fontId="7" fillId="0" borderId="0" xfId="11" applyNumberFormat="1" applyFont="1" applyBorder="1"/>
    <xf numFmtId="166" fontId="7" fillId="0" borderId="2" xfId="2" applyNumberFormat="1" applyFont="1" applyFill="1" applyBorder="1"/>
    <xf numFmtId="164" fontId="3" fillId="0" borderId="3" xfId="1" applyNumberFormat="1" applyFont="1" applyBorder="1" applyAlignment="1">
      <alignment horizontal="left" indent="2"/>
    </xf>
    <xf numFmtId="166" fontId="7" fillId="0" borderId="2" xfId="1" applyNumberFormat="1" applyFont="1" applyBorder="1"/>
    <xf numFmtId="166" fontId="2" fillId="0" borderId="0" xfId="11" applyNumberFormat="1" applyFont="1" applyBorder="1"/>
    <xf numFmtId="166" fontId="3" fillId="8" borderId="0" xfId="11" applyNumberFormat="1" applyFont="1" applyFill="1" applyBorder="1"/>
    <xf numFmtId="166" fontId="2" fillId="8" borderId="0" xfId="11" applyNumberFormat="1" applyFont="1" applyFill="1" applyBorder="1"/>
    <xf numFmtId="170" fontId="3" fillId="0" borderId="1" xfId="1" applyNumberFormat="1" applyFont="1" applyBorder="1"/>
    <xf numFmtId="164" fontId="32" fillId="5" borderId="6" xfId="1" applyNumberFormat="1" applyFont="1" applyFill="1" applyBorder="1"/>
    <xf numFmtId="9" fontId="2" fillId="0" borderId="10" xfId="1" applyNumberFormat="1" applyFont="1" applyBorder="1"/>
    <xf numFmtId="0" fontId="0" fillId="7" borderId="0" xfId="0" applyFill="1"/>
    <xf numFmtId="0" fontId="0" fillId="0" borderId="2" xfId="0" applyBorder="1"/>
    <xf numFmtId="44" fontId="7" fillId="0" borderId="0" xfId="1" applyNumberFormat="1" applyFont="1"/>
    <xf numFmtId="41" fontId="2" fillId="0" borderId="0" xfId="1" applyNumberFormat="1" applyFont="1"/>
    <xf numFmtId="41" fontId="4" fillId="0" borderId="8" xfId="1" applyNumberFormat="1" applyFont="1" applyBorder="1"/>
    <xf numFmtId="43" fontId="3" fillId="0" borderId="8" xfId="3" applyNumberFormat="1" applyFont="1" applyFill="1" applyBorder="1"/>
    <xf numFmtId="41" fontId="4" fillId="0" borderId="8" xfId="2" applyNumberFormat="1" applyFont="1" applyFill="1" applyBorder="1"/>
    <xf numFmtId="166" fontId="2" fillId="8" borderId="8" xfId="11" applyNumberFormat="1" applyFont="1" applyFill="1" applyBorder="1"/>
    <xf numFmtId="165" fontId="0" fillId="0" borderId="0" xfId="9" applyNumberFormat="1" applyFont="1" applyFill="1" applyBorder="1"/>
    <xf numFmtId="164" fontId="2" fillId="7" borderId="2" xfId="1" applyNumberFormat="1" applyFont="1" applyFill="1" applyBorder="1"/>
    <xf numFmtId="169" fontId="4" fillId="4" borderId="0" xfId="1" applyNumberFormat="1" applyFont="1" applyFill="1" applyAlignment="1">
      <alignment horizontal="center"/>
    </xf>
    <xf numFmtId="169" fontId="2" fillId="4" borderId="3" xfId="1" applyNumberFormat="1" applyFont="1" applyFill="1" applyBorder="1"/>
    <xf numFmtId="165" fontId="0" fillId="0" borderId="19" xfId="9" applyNumberFormat="1" applyFont="1" applyBorder="1"/>
    <xf numFmtId="0" fontId="22" fillId="0" borderId="19" xfId="0" applyFont="1" applyBorder="1"/>
    <xf numFmtId="165" fontId="0" fillId="0" borderId="19" xfId="0" applyNumberFormat="1" applyBorder="1"/>
    <xf numFmtId="168" fontId="0" fillId="0" borderId="20" xfId="11" applyNumberFormat="1" applyFont="1" applyBorder="1"/>
    <xf numFmtId="168" fontId="0" fillId="0" borderId="19" xfId="11" applyNumberFormat="1" applyFont="1" applyBorder="1"/>
    <xf numFmtId="0" fontId="22" fillId="0" borderId="11" xfId="0" applyFont="1" applyBorder="1"/>
    <xf numFmtId="164" fontId="3" fillId="0" borderId="21" xfId="1" applyNumberFormat="1" applyFont="1" applyBorder="1" applyAlignment="1">
      <alignment horizontal="left"/>
    </xf>
    <xf numFmtId="164" fontId="3" fillId="0" borderId="22" xfId="1" applyNumberFormat="1" applyFont="1" applyBorder="1" applyAlignment="1">
      <alignment horizontal="left"/>
    </xf>
    <xf numFmtId="166" fontId="34" fillId="0" borderId="0" xfId="3" applyNumberFormat="1" applyFont="1" applyFill="1" applyBorder="1"/>
    <xf numFmtId="166" fontId="33" fillId="0" borderId="0" xfId="3" applyNumberFormat="1" applyFont="1" applyFill="1" applyBorder="1"/>
    <xf numFmtId="166" fontId="7" fillId="0" borderId="0" xfId="3" applyNumberFormat="1" applyFont="1" applyFill="1" applyBorder="1"/>
    <xf numFmtId="184" fontId="7" fillId="0" borderId="0" xfId="1" applyNumberFormat="1" applyFont="1"/>
    <xf numFmtId="185" fontId="7" fillId="0" borderId="0" xfId="1" applyNumberFormat="1" applyFont="1"/>
    <xf numFmtId="169" fontId="35" fillId="5" borderId="16" xfId="10" applyNumberFormat="1" applyFont="1" applyFill="1" applyBorder="1" applyAlignment="1" applyProtection="1">
      <protection locked="0"/>
    </xf>
    <xf numFmtId="165" fontId="21" fillId="0" borderId="19" xfId="9" applyNumberFormat="1" applyFont="1" applyBorder="1"/>
    <xf numFmtId="164" fontId="13" fillId="0" borderId="0" xfId="1" applyNumberFormat="1" applyFont="1" applyAlignment="1">
      <alignment horizontal="center"/>
    </xf>
    <xf numFmtId="43" fontId="8" fillId="3" borderId="0" xfId="1" applyNumberFormat="1" applyFont="1" applyFill="1" applyAlignment="1">
      <alignment horizontal="center" wrapText="1"/>
    </xf>
    <xf numFmtId="164" fontId="29" fillId="3" borderId="0" xfId="1" applyNumberFormat="1" applyFont="1" applyFill="1" applyAlignment="1">
      <alignment horizontal="center"/>
    </xf>
    <xf numFmtId="43" fontId="8" fillId="4" borderId="3" xfId="1" applyNumberFormat="1" applyFont="1" applyFill="1" applyBorder="1" applyAlignment="1">
      <alignment horizontal="center" wrapText="1"/>
    </xf>
    <xf numFmtId="43" fontId="8" fillId="4" borderId="0" xfId="1" applyNumberFormat="1" applyFont="1" applyFill="1" applyAlignment="1">
      <alignment horizontal="center" wrapText="1"/>
    </xf>
    <xf numFmtId="43" fontId="8" fillId="4" borderId="2" xfId="1" applyNumberFormat="1" applyFont="1" applyFill="1" applyBorder="1" applyAlignment="1">
      <alignment horizontal="center" wrapText="1"/>
    </xf>
    <xf numFmtId="41" fontId="4" fillId="4" borderId="1" xfId="1" applyNumberFormat="1" applyFont="1" applyFill="1" applyBorder="1" applyAlignment="1">
      <alignment horizontal="center"/>
    </xf>
    <xf numFmtId="41" fontId="4" fillId="4" borderId="10" xfId="1" applyNumberFormat="1" applyFont="1" applyFill="1" applyBorder="1" applyAlignment="1">
      <alignment horizontal="center"/>
    </xf>
    <xf numFmtId="164" fontId="3" fillId="0" borderId="0" xfId="1" applyNumberFormat="1" applyFont="1" applyAlignment="1">
      <alignment horizontal="center"/>
    </xf>
    <xf numFmtId="164" fontId="3" fillId="0" borderId="2" xfId="1" applyNumberFormat="1" applyFont="1" applyBorder="1" applyAlignment="1">
      <alignment horizontal="center"/>
    </xf>
    <xf numFmtId="43" fontId="4" fillId="0" borderId="0" xfId="1" applyNumberFormat="1" applyFont="1" applyAlignment="1">
      <alignment horizontal="center"/>
    </xf>
    <xf numFmtId="43" fontId="4" fillId="0" borderId="2" xfId="1" applyNumberFormat="1" applyFont="1" applyBorder="1" applyAlignment="1">
      <alignment horizontal="center"/>
    </xf>
    <xf numFmtId="164" fontId="18" fillId="0" borderId="6" xfId="1" applyNumberFormat="1" applyFont="1" applyBorder="1"/>
    <xf numFmtId="164" fontId="18" fillId="0" borderId="1" xfId="1" applyNumberFormat="1" applyFont="1" applyBorder="1"/>
    <xf numFmtId="164" fontId="18" fillId="0" borderId="10" xfId="1" applyNumberFormat="1" applyFont="1" applyBorder="1"/>
    <xf numFmtId="169" fontId="8" fillId="4" borderId="6" xfId="1" applyNumberFormat="1" applyFont="1" applyFill="1" applyBorder="1" applyAlignment="1">
      <alignment horizontal="center" wrapText="1"/>
    </xf>
    <xf numFmtId="169" fontId="8" fillId="4" borderId="1" xfId="1" applyNumberFormat="1" applyFont="1" applyFill="1" applyBorder="1" applyAlignment="1">
      <alignment horizontal="center" wrapText="1"/>
    </xf>
    <xf numFmtId="169" fontId="8" fillId="4" borderId="10" xfId="1" applyNumberFormat="1" applyFont="1" applyFill="1" applyBorder="1" applyAlignment="1">
      <alignment horizontal="center" wrapText="1"/>
    </xf>
    <xf numFmtId="169" fontId="8" fillId="0" borderId="6" xfId="1" applyNumberFormat="1" applyFont="1" applyBorder="1" applyAlignment="1">
      <alignment horizontal="center" wrapText="1"/>
    </xf>
    <xf numFmtId="169" fontId="8" fillId="0" borderId="1" xfId="1" applyNumberFormat="1" applyFont="1" applyBorder="1" applyAlignment="1">
      <alignment horizontal="center" wrapText="1"/>
    </xf>
    <xf numFmtId="169" fontId="8" fillId="0" borderId="10" xfId="1" applyNumberFormat="1" applyFont="1" applyBorder="1" applyAlignment="1">
      <alignment horizontal="center" wrapText="1"/>
    </xf>
    <xf numFmtId="164" fontId="3" fillId="0" borderId="0" xfId="1" applyNumberFormat="1" applyFont="1"/>
    <xf numFmtId="41" fontId="4" fillId="0" borderId="0" xfId="1" applyNumberFormat="1" applyFont="1" applyAlignment="1">
      <alignment horizontal="center"/>
    </xf>
    <xf numFmtId="41" fontId="4" fillId="0" borderId="0" xfId="1" applyNumberFormat="1" applyFont="1" applyAlignment="1">
      <alignment horizontal="center" wrapText="1"/>
    </xf>
    <xf numFmtId="43" fontId="4" fillId="0" borderId="0" xfId="1" applyNumberFormat="1" applyFont="1"/>
    <xf numFmtId="43" fontId="4" fillId="0" borderId="2" xfId="1" applyNumberFormat="1" applyFont="1" applyBorder="1"/>
    <xf numFmtId="41" fontId="4" fillId="0" borderId="3" xfId="1" applyNumberFormat="1" applyFont="1" applyBorder="1"/>
    <xf numFmtId="41" fontId="4" fillId="0" borderId="0" xfId="1" applyNumberFormat="1" applyFont="1"/>
    <xf numFmtId="164" fontId="19" fillId="0" borderId="0" xfId="1" applyNumberFormat="1" applyFont="1"/>
    <xf numFmtId="164" fontId="3" fillId="0" borderId="3" xfId="1" applyNumberFormat="1" applyFont="1" applyBorder="1"/>
    <xf numFmtId="164" fontId="3" fillId="0" borderId="11" xfId="1" applyNumberFormat="1" applyFont="1" applyBorder="1" applyAlignment="1">
      <alignment horizontal="right"/>
    </xf>
    <xf numFmtId="164" fontId="3" fillId="0" borderId="14" xfId="1" applyNumberFormat="1" applyFont="1" applyBorder="1" applyAlignment="1">
      <alignment horizontal="right"/>
    </xf>
    <xf numFmtId="164" fontId="3" fillId="0" borderId="6" xfId="1" applyNumberFormat="1" applyFont="1" applyBorder="1" applyAlignment="1">
      <alignment horizontal="right"/>
    </xf>
    <xf numFmtId="164" fontId="3" fillId="0" borderId="17" xfId="1" applyNumberFormat="1" applyFont="1" applyBorder="1" applyAlignment="1">
      <alignment horizontal="right"/>
    </xf>
    <xf numFmtId="164" fontId="3" fillId="0" borderId="9" xfId="1" applyNumberFormat="1" applyFont="1" applyBorder="1" applyAlignment="1">
      <alignment horizontal="right"/>
    </xf>
    <xf numFmtId="164" fontId="3" fillId="0" borderId="8" xfId="1" applyNumberFormat="1" applyFont="1" applyBorder="1" applyAlignment="1">
      <alignment horizontal="right"/>
    </xf>
    <xf numFmtId="43" fontId="4" fillId="0" borderId="6" xfId="1" applyNumberFormat="1" applyFont="1" applyBorder="1" applyAlignment="1">
      <alignment horizontal="center" wrapText="1"/>
    </xf>
    <xf numFmtId="43" fontId="4" fillId="0" borderId="1" xfId="1" applyNumberFormat="1" applyFont="1" applyBorder="1" applyAlignment="1">
      <alignment horizontal="center" wrapText="1"/>
    </xf>
    <xf numFmtId="43" fontId="4" fillId="0" borderId="10" xfId="1" applyNumberFormat="1" applyFont="1" applyBorder="1" applyAlignment="1">
      <alignment horizontal="center" wrapText="1"/>
    </xf>
    <xf numFmtId="43" fontId="4" fillId="0" borderId="3" xfId="1" applyNumberFormat="1" applyFont="1" applyBorder="1" applyAlignment="1">
      <alignment horizontal="center" wrapText="1"/>
    </xf>
    <xf numFmtId="43" fontId="4" fillId="0" borderId="0" xfId="1" applyNumberFormat="1" applyFont="1" applyAlignment="1">
      <alignment horizontal="center" wrapText="1"/>
    </xf>
    <xf numFmtId="43" fontId="4" fillId="0" borderId="2" xfId="1" applyNumberFormat="1" applyFont="1" applyBorder="1" applyAlignment="1">
      <alignment horizontal="center" wrapText="1"/>
    </xf>
    <xf numFmtId="164" fontId="3" fillId="0" borderId="5" xfId="1" applyNumberFormat="1" applyFont="1" applyBorder="1"/>
    <xf numFmtId="164" fontId="3" fillId="0" borderId="4" xfId="1" applyNumberFormat="1" applyFont="1" applyBorder="1"/>
    <xf numFmtId="164" fontId="2" fillId="0" borderId="0" xfId="1" applyNumberFormat="1" applyFont="1" applyAlignment="1">
      <alignment horizontal="center"/>
    </xf>
  </cellXfs>
  <cellStyles count="12">
    <cellStyle name="Comma" xfId="9" builtinId="3"/>
    <cellStyle name="Comma 2" xfId="2" xr:uid="{00000000-0005-0000-0000-000001000000}"/>
    <cellStyle name="Currency" xfId="11" builtinId="4"/>
    <cellStyle name="Currency 2" xfId="3" xr:uid="{00000000-0005-0000-0000-000003000000}"/>
    <cellStyle name="Currency 3" xfId="4" xr:uid="{00000000-0005-0000-0000-000004000000}"/>
    <cellStyle name="Input" xfId="10" builtinId="20"/>
    <cellStyle name="Normal" xfId="0" builtinId="0"/>
    <cellStyle name="Normal 2" xfId="5" xr:uid="{00000000-0005-0000-0000-000007000000}"/>
    <cellStyle name="Normal 3" xfId="6" xr:uid="{00000000-0005-0000-0000-000008000000}"/>
    <cellStyle name="Normal_STDS97" xfId="1" xr:uid="{00000000-0005-0000-0000-000009000000}"/>
    <cellStyle name="Percent" xfId="8" builtinId="5"/>
    <cellStyle name="Percent 2" xfId="7" xr:uid="{00000000-0005-0000-0000-00000B00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0</xdr:colOff>
      <xdr:row>98</xdr:row>
      <xdr:rowOff>0</xdr:rowOff>
    </xdr:from>
    <xdr:to>
      <xdr:col>36</xdr:col>
      <xdr:colOff>67733</xdr:colOff>
      <xdr:row>117</xdr:row>
      <xdr:rowOff>20201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D13FC9-3FAC-4053-AFEC-F101F7956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32225" y="18078450"/>
          <a:ext cx="2906184" cy="3659809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185</xdr:row>
      <xdr:rowOff>0</xdr:rowOff>
    </xdr:from>
    <xdr:to>
      <xdr:col>36</xdr:col>
      <xdr:colOff>239183</xdr:colOff>
      <xdr:row>197</xdr:row>
      <xdr:rowOff>26722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FE8F67-87D8-45A5-82A5-D2619FCE4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232225" y="33632775"/>
          <a:ext cx="3077634" cy="2550848"/>
        </a:xfrm>
        <a:prstGeom prst="rect">
          <a:avLst/>
        </a:prstGeom>
      </xdr:spPr>
    </xdr:pic>
    <xdr:clientData/>
  </xdr:twoCellAnchor>
  <xdr:twoCellAnchor editAs="oneCell">
    <xdr:from>
      <xdr:col>31</xdr:col>
      <xdr:colOff>457200</xdr:colOff>
      <xdr:row>199</xdr:row>
      <xdr:rowOff>114300</xdr:rowOff>
    </xdr:from>
    <xdr:to>
      <xdr:col>36</xdr:col>
      <xdr:colOff>224366</xdr:colOff>
      <xdr:row>214</xdr:row>
      <xdr:rowOff>133699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DA977C-9492-405A-B59C-A50D5C33C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051250" y="36623625"/>
          <a:ext cx="3243792" cy="2810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0</xdr:colOff>
      <xdr:row>98</xdr:row>
      <xdr:rowOff>0</xdr:rowOff>
    </xdr:from>
    <xdr:to>
      <xdr:col>36</xdr:col>
      <xdr:colOff>486834</xdr:colOff>
      <xdr:row>117</xdr:row>
      <xdr:rowOff>29726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AFF395-89A9-44C7-BF05-C82E8BA44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32225" y="18078450"/>
          <a:ext cx="2906184" cy="3649226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185</xdr:row>
      <xdr:rowOff>0</xdr:rowOff>
    </xdr:from>
    <xdr:to>
      <xdr:col>36</xdr:col>
      <xdr:colOff>763059</xdr:colOff>
      <xdr:row>198</xdr:row>
      <xdr:rowOff>102922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87F4A6-20C5-4A5F-B14B-3DFA4C198F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232225" y="34175700"/>
          <a:ext cx="3077634" cy="2550847"/>
        </a:xfrm>
        <a:prstGeom prst="rect">
          <a:avLst/>
        </a:prstGeom>
      </xdr:spPr>
    </xdr:pic>
    <xdr:clientData/>
  </xdr:twoCellAnchor>
  <xdr:twoCellAnchor editAs="oneCell">
    <xdr:from>
      <xdr:col>31</xdr:col>
      <xdr:colOff>457200</xdr:colOff>
      <xdr:row>199</xdr:row>
      <xdr:rowOff>114300</xdr:rowOff>
    </xdr:from>
    <xdr:to>
      <xdr:col>37</xdr:col>
      <xdr:colOff>33867</xdr:colOff>
      <xdr:row>214</xdr:row>
      <xdr:rowOff>67025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C5D033F-EB4B-4109-A371-7669BD9908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051250" y="37166550"/>
          <a:ext cx="3243792" cy="28102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0</xdr:colOff>
      <xdr:row>98</xdr:row>
      <xdr:rowOff>0</xdr:rowOff>
    </xdr:from>
    <xdr:to>
      <xdr:col>36</xdr:col>
      <xdr:colOff>486834</xdr:colOff>
      <xdr:row>117</xdr:row>
      <xdr:rowOff>29726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CA75E5-D8BF-43F5-8769-8FF3E0748B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32225" y="18078450"/>
          <a:ext cx="2906184" cy="3649226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185</xdr:row>
      <xdr:rowOff>0</xdr:rowOff>
    </xdr:from>
    <xdr:to>
      <xdr:col>36</xdr:col>
      <xdr:colOff>763059</xdr:colOff>
      <xdr:row>198</xdr:row>
      <xdr:rowOff>102922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C3833B-CA6B-4CD7-8A17-2242283A3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232225" y="34175700"/>
          <a:ext cx="3077634" cy="2550847"/>
        </a:xfrm>
        <a:prstGeom prst="rect">
          <a:avLst/>
        </a:prstGeom>
      </xdr:spPr>
    </xdr:pic>
    <xdr:clientData/>
  </xdr:twoCellAnchor>
  <xdr:twoCellAnchor editAs="oneCell">
    <xdr:from>
      <xdr:col>31</xdr:col>
      <xdr:colOff>457200</xdr:colOff>
      <xdr:row>199</xdr:row>
      <xdr:rowOff>114300</xdr:rowOff>
    </xdr:from>
    <xdr:to>
      <xdr:col>37</xdr:col>
      <xdr:colOff>33867</xdr:colOff>
      <xdr:row>214</xdr:row>
      <xdr:rowOff>67025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7B54EE6-D985-4FA4-9D94-2AE349EE2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051250" y="37166550"/>
          <a:ext cx="3243792" cy="28102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0</xdr:colOff>
      <xdr:row>98</xdr:row>
      <xdr:rowOff>0</xdr:rowOff>
    </xdr:from>
    <xdr:to>
      <xdr:col>36</xdr:col>
      <xdr:colOff>486834</xdr:colOff>
      <xdr:row>117</xdr:row>
      <xdr:rowOff>29726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EF66C8-7481-4C2B-9AE3-3F80011060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32225" y="18078450"/>
          <a:ext cx="2906184" cy="3649226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185</xdr:row>
      <xdr:rowOff>0</xdr:rowOff>
    </xdr:from>
    <xdr:to>
      <xdr:col>36</xdr:col>
      <xdr:colOff>763059</xdr:colOff>
      <xdr:row>198</xdr:row>
      <xdr:rowOff>102922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14C476-DCDF-4971-9E91-BB850236C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232225" y="34175700"/>
          <a:ext cx="3077634" cy="2550847"/>
        </a:xfrm>
        <a:prstGeom prst="rect">
          <a:avLst/>
        </a:prstGeom>
      </xdr:spPr>
    </xdr:pic>
    <xdr:clientData/>
  </xdr:twoCellAnchor>
  <xdr:twoCellAnchor editAs="oneCell">
    <xdr:from>
      <xdr:col>31</xdr:col>
      <xdr:colOff>457200</xdr:colOff>
      <xdr:row>199</xdr:row>
      <xdr:rowOff>114300</xdr:rowOff>
    </xdr:from>
    <xdr:to>
      <xdr:col>37</xdr:col>
      <xdr:colOff>33867</xdr:colOff>
      <xdr:row>214</xdr:row>
      <xdr:rowOff>67025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18BB381-3F9B-489C-A1FE-4B15D3A48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051250" y="37166550"/>
          <a:ext cx="3243792" cy="28102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0</xdr:colOff>
      <xdr:row>98</xdr:row>
      <xdr:rowOff>0</xdr:rowOff>
    </xdr:from>
    <xdr:to>
      <xdr:col>37</xdr:col>
      <xdr:colOff>191559</xdr:colOff>
      <xdr:row>117</xdr:row>
      <xdr:rowOff>39251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F254B8-968A-4C98-9698-4517186E8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32225" y="18078450"/>
          <a:ext cx="3325284" cy="3658751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185</xdr:row>
      <xdr:rowOff>0</xdr:rowOff>
    </xdr:from>
    <xdr:to>
      <xdr:col>37</xdr:col>
      <xdr:colOff>467784</xdr:colOff>
      <xdr:row>199</xdr:row>
      <xdr:rowOff>150547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A66BA1-2E3C-47F6-B2E5-29D1F7F19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232225" y="34175700"/>
          <a:ext cx="3601509" cy="2788972"/>
        </a:xfrm>
        <a:prstGeom prst="rect">
          <a:avLst/>
        </a:prstGeom>
      </xdr:spPr>
    </xdr:pic>
    <xdr:clientData/>
  </xdr:twoCellAnchor>
  <xdr:twoCellAnchor editAs="oneCell">
    <xdr:from>
      <xdr:col>31</xdr:col>
      <xdr:colOff>457200</xdr:colOff>
      <xdr:row>199</xdr:row>
      <xdr:rowOff>114300</xdr:rowOff>
    </xdr:from>
    <xdr:to>
      <xdr:col>38</xdr:col>
      <xdr:colOff>5292</xdr:colOff>
      <xdr:row>214</xdr:row>
      <xdr:rowOff>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C2FDB6C-98A4-4718-A171-72ABDBFDF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051250" y="37166550"/>
          <a:ext cx="3872442" cy="27435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0</xdr:colOff>
      <xdr:row>98</xdr:row>
      <xdr:rowOff>0</xdr:rowOff>
    </xdr:from>
    <xdr:to>
      <xdr:col>37</xdr:col>
      <xdr:colOff>191559</xdr:colOff>
      <xdr:row>117</xdr:row>
      <xdr:rowOff>39251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764B5B-32F9-4F12-A8EA-AF724100C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32225" y="18078450"/>
          <a:ext cx="3325284" cy="3658751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185</xdr:row>
      <xdr:rowOff>0</xdr:rowOff>
    </xdr:from>
    <xdr:to>
      <xdr:col>37</xdr:col>
      <xdr:colOff>467784</xdr:colOff>
      <xdr:row>199</xdr:row>
      <xdr:rowOff>150547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20D35A-89D1-40DB-834A-39DDC5639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232225" y="34175700"/>
          <a:ext cx="3601509" cy="2788972"/>
        </a:xfrm>
        <a:prstGeom prst="rect">
          <a:avLst/>
        </a:prstGeom>
      </xdr:spPr>
    </xdr:pic>
    <xdr:clientData/>
  </xdr:twoCellAnchor>
  <xdr:twoCellAnchor editAs="oneCell">
    <xdr:from>
      <xdr:col>31</xdr:col>
      <xdr:colOff>457200</xdr:colOff>
      <xdr:row>199</xdr:row>
      <xdr:rowOff>114300</xdr:rowOff>
    </xdr:from>
    <xdr:to>
      <xdr:col>38</xdr:col>
      <xdr:colOff>5292</xdr:colOff>
      <xdr:row>214</xdr:row>
      <xdr:rowOff>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69A5BCD-B6C7-4212-8304-E53F4565D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051250" y="37166550"/>
          <a:ext cx="3872442" cy="27435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0</xdr:colOff>
      <xdr:row>98</xdr:row>
      <xdr:rowOff>0</xdr:rowOff>
    </xdr:from>
    <xdr:to>
      <xdr:col>37</xdr:col>
      <xdr:colOff>191559</xdr:colOff>
      <xdr:row>117</xdr:row>
      <xdr:rowOff>39251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EEBF92-96DA-4788-92B1-E82E0C2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32225" y="18078450"/>
          <a:ext cx="3325284" cy="3658751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185</xdr:row>
      <xdr:rowOff>0</xdr:rowOff>
    </xdr:from>
    <xdr:to>
      <xdr:col>37</xdr:col>
      <xdr:colOff>467784</xdr:colOff>
      <xdr:row>199</xdr:row>
      <xdr:rowOff>150547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CC6192-B36C-4AB2-9BAC-370188026D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232225" y="34175700"/>
          <a:ext cx="3601509" cy="2788972"/>
        </a:xfrm>
        <a:prstGeom prst="rect">
          <a:avLst/>
        </a:prstGeom>
      </xdr:spPr>
    </xdr:pic>
    <xdr:clientData/>
  </xdr:twoCellAnchor>
  <xdr:twoCellAnchor editAs="oneCell">
    <xdr:from>
      <xdr:col>31</xdr:col>
      <xdr:colOff>457200</xdr:colOff>
      <xdr:row>199</xdr:row>
      <xdr:rowOff>114300</xdr:rowOff>
    </xdr:from>
    <xdr:to>
      <xdr:col>38</xdr:col>
      <xdr:colOff>5292</xdr:colOff>
      <xdr:row>214</xdr:row>
      <xdr:rowOff>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0D39C09-2156-4F30-929B-2C28FA53D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051250" y="37166550"/>
          <a:ext cx="3872442" cy="27435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0</xdr:colOff>
      <xdr:row>98</xdr:row>
      <xdr:rowOff>0</xdr:rowOff>
    </xdr:from>
    <xdr:to>
      <xdr:col>37</xdr:col>
      <xdr:colOff>191559</xdr:colOff>
      <xdr:row>117</xdr:row>
      <xdr:rowOff>39251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58A9D0-2789-4E3F-9D98-36063E1C2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32225" y="18078450"/>
          <a:ext cx="3325284" cy="3658751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185</xdr:row>
      <xdr:rowOff>0</xdr:rowOff>
    </xdr:from>
    <xdr:to>
      <xdr:col>37</xdr:col>
      <xdr:colOff>467784</xdr:colOff>
      <xdr:row>199</xdr:row>
      <xdr:rowOff>150547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D97192C-93B3-497A-9A59-AC75DC488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232225" y="34175700"/>
          <a:ext cx="3601509" cy="2788972"/>
        </a:xfrm>
        <a:prstGeom prst="rect">
          <a:avLst/>
        </a:prstGeom>
      </xdr:spPr>
    </xdr:pic>
    <xdr:clientData/>
  </xdr:twoCellAnchor>
  <xdr:twoCellAnchor editAs="oneCell">
    <xdr:from>
      <xdr:col>31</xdr:col>
      <xdr:colOff>457200</xdr:colOff>
      <xdr:row>199</xdr:row>
      <xdr:rowOff>114300</xdr:rowOff>
    </xdr:from>
    <xdr:to>
      <xdr:col>38</xdr:col>
      <xdr:colOff>5292</xdr:colOff>
      <xdr:row>214</xdr:row>
      <xdr:rowOff>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659C176-AD3E-4FE8-BDB7-F1B58BB879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051250" y="37166550"/>
          <a:ext cx="3872442" cy="27435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0</xdr:colOff>
      <xdr:row>98</xdr:row>
      <xdr:rowOff>0</xdr:rowOff>
    </xdr:from>
    <xdr:to>
      <xdr:col>37</xdr:col>
      <xdr:colOff>191559</xdr:colOff>
      <xdr:row>117</xdr:row>
      <xdr:rowOff>39251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18774E-E2F2-450F-8630-1F74F908A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32225" y="18078450"/>
          <a:ext cx="3325284" cy="3658751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185</xdr:row>
      <xdr:rowOff>0</xdr:rowOff>
    </xdr:from>
    <xdr:to>
      <xdr:col>37</xdr:col>
      <xdr:colOff>467784</xdr:colOff>
      <xdr:row>199</xdr:row>
      <xdr:rowOff>150547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CB25E0-7B69-4DE7-A156-663047FD8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232225" y="34175700"/>
          <a:ext cx="3601509" cy="2788972"/>
        </a:xfrm>
        <a:prstGeom prst="rect">
          <a:avLst/>
        </a:prstGeom>
      </xdr:spPr>
    </xdr:pic>
    <xdr:clientData/>
  </xdr:twoCellAnchor>
  <xdr:twoCellAnchor editAs="oneCell">
    <xdr:from>
      <xdr:col>31</xdr:col>
      <xdr:colOff>457200</xdr:colOff>
      <xdr:row>199</xdr:row>
      <xdr:rowOff>114300</xdr:rowOff>
    </xdr:from>
    <xdr:to>
      <xdr:col>38</xdr:col>
      <xdr:colOff>5292</xdr:colOff>
      <xdr:row>214</xdr:row>
      <xdr:rowOff>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62511B9-DB0C-4A74-8F15-60C4FB124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051250" y="37166550"/>
          <a:ext cx="3872442" cy="27435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0</xdr:colOff>
      <xdr:row>98</xdr:row>
      <xdr:rowOff>0</xdr:rowOff>
    </xdr:from>
    <xdr:to>
      <xdr:col>37</xdr:col>
      <xdr:colOff>191559</xdr:colOff>
      <xdr:row>117</xdr:row>
      <xdr:rowOff>39251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B72850-92CF-424A-A30F-100BFFDB1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32225" y="18078450"/>
          <a:ext cx="3325284" cy="3658751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185</xdr:row>
      <xdr:rowOff>0</xdr:rowOff>
    </xdr:from>
    <xdr:to>
      <xdr:col>37</xdr:col>
      <xdr:colOff>467784</xdr:colOff>
      <xdr:row>199</xdr:row>
      <xdr:rowOff>150547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2957CC-9044-4801-B9E5-98207A08D8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232225" y="34175700"/>
          <a:ext cx="3601509" cy="2788972"/>
        </a:xfrm>
        <a:prstGeom prst="rect">
          <a:avLst/>
        </a:prstGeom>
      </xdr:spPr>
    </xdr:pic>
    <xdr:clientData/>
  </xdr:twoCellAnchor>
  <xdr:twoCellAnchor editAs="oneCell">
    <xdr:from>
      <xdr:col>31</xdr:col>
      <xdr:colOff>457200</xdr:colOff>
      <xdr:row>199</xdr:row>
      <xdr:rowOff>114300</xdr:rowOff>
    </xdr:from>
    <xdr:to>
      <xdr:col>38</xdr:col>
      <xdr:colOff>5292</xdr:colOff>
      <xdr:row>214</xdr:row>
      <xdr:rowOff>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8EAD789-B0A4-4C34-80C6-7DE4A99D5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051250" y="37166550"/>
          <a:ext cx="3872442" cy="27435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0</xdr:colOff>
      <xdr:row>98</xdr:row>
      <xdr:rowOff>0</xdr:rowOff>
    </xdr:from>
    <xdr:to>
      <xdr:col>37</xdr:col>
      <xdr:colOff>191559</xdr:colOff>
      <xdr:row>117</xdr:row>
      <xdr:rowOff>39251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2FF3CC-BC41-4873-97CF-28660A317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32225" y="18078450"/>
          <a:ext cx="3325284" cy="3658751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185</xdr:row>
      <xdr:rowOff>0</xdr:rowOff>
    </xdr:from>
    <xdr:to>
      <xdr:col>37</xdr:col>
      <xdr:colOff>467784</xdr:colOff>
      <xdr:row>199</xdr:row>
      <xdr:rowOff>150547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DDA4FB0-BBA8-4FAF-8253-D0A9E3EFB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232225" y="34175700"/>
          <a:ext cx="3601509" cy="2788972"/>
        </a:xfrm>
        <a:prstGeom prst="rect">
          <a:avLst/>
        </a:prstGeom>
      </xdr:spPr>
    </xdr:pic>
    <xdr:clientData/>
  </xdr:twoCellAnchor>
  <xdr:twoCellAnchor editAs="oneCell">
    <xdr:from>
      <xdr:col>31</xdr:col>
      <xdr:colOff>457200</xdr:colOff>
      <xdr:row>199</xdr:row>
      <xdr:rowOff>114300</xdr:rowOff>
    </xdr:from>
    <xdr:to>
      <xdr:col>38</xdr:col>
      <xdr:colOff>5292</xdr:colOff>
      <xdr:row>214</xdr:row>
      <xdr:rowOff>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098C3A2-0C1A-4F65-83A8-A9A12C18D8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051250" y="37166550"/>
          <a:ext cx="3872442" cy="27435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0</xdr:colOff>
      <xdr:row>98</xdr:row>
      <xdr:rowOff>0</xdr:rowOff>
    </xdr:from>
    <xdr:to>
      <xdr:col>37</xdr:col>
      <xdr:colOff>191559</xdr:colOff>
      <xdr:row>117</xdr:row>
      <xdr:rowOff>39251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8EE2EE-D744-425F-88DB-202CD01B52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32225" y="18078450"/>
          <a:ext cx="3325284" cy="3658751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185</xdr:row>
      <xdr:rowOff>0</xdr:rowOff>
    </xdr:from>
    <xdr:to>
      <xdr:col>37</xdr:col>
      <xdr:colOff>467784</xdr:colOff>
      <xdr:row>199</xdr:row>
      <xdr:rowOff>150547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803986-58FB-4527-919B-B72354821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232225" y="34175700"/>
          <a:ext cx="3601509" cy="2788972"/>
        </a:xfrm>
        <a:prstGeom prst="rect">
          <a:avLst/>
        </a:prstGeom>
      </xdr:spPr>
    </xdr:pic>
    <xdr:clientData/>
  </xdr:twoCellAnchor>
  <xdr:twoCellAnchor editAs="oneCell">
    <xdr:from>
      <xdr:col>31</xdr:col>
      <xdr:colOff>457200</xdr:colOff>
      <xdr:row>199</xdr:row>
      <xdr:rowOff>114300</xdr:rowOff>
    </xdr:from>
    <xdr:to>
      <xdr:col>38</xdr:col>
      <xdr:colOff>5292</xdr:colOff>
      <xdr:row>214</xdr:row>
      <xdr:rowOff>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AACD1BD-F392-47C2-8289-5D2CB9BC0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051250" y="37166550"/>
          <a:ext cx="3872442" cy="2743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5F465-1E29-4FBE-A8E5-5ED5C1BD68DC}">
  <dimension ref="C4:H20"/>
  <sheetViews>
    <sheetView workbookViewId="0">
      <selection activeCell="G7" sqref="G7"/>
    </sheetView>
  </sheetViews>
  <sheetFormatPr defaultRowHeight="15"/>
  <cols>
    <col min="4" max="4" width="10.5703125" bestFit="1" customWidth="1"/>
    <col min="7" max="8" width="22.28515625" customWidth="1"/>
  </cols>
  <sheetData>
    <row r="4" spans="3:8">
      <c r="C4" s="334"/>
      <c r="D4" s="335" t="s">
        <v>95</v>
      </c>
      <c r="E4" s="336" t="s">
        <v>142</v>
      </c>
      <c r="G4" s="335" t="s">
        <v>95</v>
      </c>
      <c r="H4" s="336" t="s">
        <v>142</v>
      </c>
    </row>
    <row r="5" spans="3:8">
      <c r="C5" s="334" t="s">
        <v>147</v>
      </c>
      <c r="D5" s="329">
        <v>0</v>
      </c>
      <c r="E5" s="329"/>
      <c r="G5" s="332" t="e">
        <f>#REF!</f>
        <v>#REF!</v>
      </c>
      <c r="H5" s="333" t="e">
        <f>#REF!</f>
        <v>#REF!</v>
      </c>
    </row>
    <row r="6" spans="3:8">
      <c r="C6" s="334" t="s">
        <v>148</v>
      </c>
      <c r="D6" s="329"/>
      <c r="E6" s="329"/>
      <c r="G6" s="332" t="e">
        <f>#REF!</f>
        <v>#REF!</v>
      </c>
      <c r="H6" s="333" t="e">
        <f>#REF!</f>
        <v>#REF!</v>
      </c>
    </row>
    <row r="7" spans="3:8">
      <c r="C7" s="334" t="s">
        <v>125</v>
      </c>
      <c r="D7" s="329">
        <v>30000</v>
      </c>
      <c r="E7" s="329">
        <v>4900</v>
      </c>
      <c r="G7" s="332">
        <f>Jan!$B$22</f>
        <v>0.13768507003905048</v>
      </c>
      <c r="H7" s="333">
        <f>Jan!$E$45</f>
        <v>0.23615711476986903</v>
      </c>
    </row>
    <row r="8" spans="3:8">
      <c r="C8" s="334" t="s">
        <v>126</v>
      </c>
      <c r="D8" s="343">
        <v>0</v>
      </c>
      <c r="E8" s="329">
        <v>4900</v>
      </c>
      <c r="G8" s="332">
        <f>Feb!$B$22</f>
        <v>0</v>
      </c>
      <c r="H8" s="333">
        <f>Feb!$E$45</f>
        <v>0.25135471651830477</v>
      </c>
    </row>
    <row r="9" spans="3:8">
      <c r="C9" s="334" t="s">
        <v>127</v>
      </c>
      <c r="D9" s="343">
        <v>0</v>
      </c>
      <c r="E9" s="329">
        <v>4900</v>
      </c>
      <c r="G9" s="332">
        <f>Mar!$B$22</f>
        <v>0</v>
      </c>
      <c r="H9" s="333">
        <f>Mar!$E$45</f>
        <v>0.25135471651830477</v>
      </c>
    </row>
    <row r="10" spans="3:8">
      <c r="C10" s="334" t="s">
        <v>128</v>
      </c>
      <c r="D10" s="343">
        <v>30000</v>
      </c>
      <c r="E10" s="329">
        <v>4900</v>
      </c>
      <c r="G10" s="332">
        <f>Apr!$B$22</f>
        <v>0.13768507003905048</v>
      </c>
      <c r="H10" s="333">
        <f>Apr!$E$45</f>
        <v>0.24615711476986904</v>
      </c>
    </row>
    <row r="11" spans="3:8">
      <c r="C11" s="334" t="s">
        <v>129</v>
      </c>
      <c r="D11" s="343"/>
      <c r="E11" s="329">
        <v>4900</v>
      </c>
      <c r="G11" s="332">
        <f>May!$B$22</f>
        <v>0</v>
      </c>
      <c r="H11" s="333">
        <f>May!$E$45</f>
        <v>0.25135471651830477</v>
      </c>
    </row>
    <row r="12" spans="3:8">
      <c r="C12" s="334" t="s">
        <v>130</v>
      </c>
      <c r="D12" s="343">
        <v>0</v>
      </c>
      <c r="E12" s="329">
        <v>4900</v>
      </c>
      <c r="G12" s="332">
        <f>Jun!$B$22</f>
        <v>0</v>
      </c>
      <c r="H12" s="333">
        <f>Jun!$E$45</f>
        <v>0.25135471651830477</v>
      </c>
    </row>
    <row r="13" spans="3:8">
      <c r="C13" s="334" t="s">
        <v>131</v>
      </c>
      <c r="D13" s="343">
        <v>0</v>
      </c>
      <c r="E13" s="329">
        <v>4900</v>
      </c>
      <c r="G13" s="332">
        <f>Jul!$B$22</f>
        <v>0</v>
      </c>
      <c r="H13" s="333">
        <f>Jul!$E$45</f>
        <v>0.25135471651830477</v>
      </c>
    </row>
    <row r="14" spans="3:8">
      <c r="C14" s="334" t="s">
        <v>144</v>
      </c>
      <c r="D14" s="343">
        <v>0</v>
      </c>
      <c r="E14" s="329">
        <v>4900</v>
      </c>
      <c r="G14" s="332">
        <f>Aug!$B$22</f>
        <v>0</v>
      </c>
      <c r="H14" s="333">
        <f>Aug!$E$45</f>
        <v>0.25135471651830477</v>
      </c>
    </row>
    <row r="15" spans="3:8">
      <c r="C15" s="334" t="s">
        <v>145</v>
      </c>
      <c r="D15" s="343">
        <v>0</v>
      </c>
      <c r="E15" s="329">
        <v>4900</v>
      </c>
      <c r="G15" s="332">
        <f>Sep!$B$22</f>
        <v>0</v>
      </c>
      <c r="H15" s="333">
        <f>Sep!$E$45</f>
        <v>0.25135471651830477</v>
      </c>
    </row>
    <row r="16" spans="3:8">
      <c r="C16" s="334" t="s">
        <v>146</v>
      </c>
      <c r="D16" s="329">
        <v>11000</v>
      </c>
      <c r="E16" s="329">
        <v>4900</v>
      </c>
      <c r="G16" s="332">
        <f>Oct!$B$22</f>
        <v>0.19735190710488598</v>
      </c>
      <c r="H16" s="333">
        <f>Oct!$E$45</f>
        <v>0.24717157330819056</v>
      </c>
    </row>
    <row r="17" spans="3:8">
      <c r="C17" s="334" t="s">
        <v>147</v>
      </c>
      <c r="D17" s="329"/>
      <c r="E17" s="329">
        <v>4900</v>
      </c>
      <c r="G17" s="332">
        <f>Nov!$B$22</f>
        <v>0</v>
      </c>
      <c r="H17" s="333">
        <f>Nov!$E$45</f>
        <v>0.25135471651830477</v>
      </c>
    </row>
    <row r="18" spans="3:8">
      <c r="C18" s="334" t="s">
        <v>148</v>
      </c>
      <c r="D18" s="329"/>
      <c r="E18" s="329">
        <v>4900</v>
      </c>
      <c r="G18" s="332">
        <f>Dec!$B$22</f>
        <v>0</v>
      </c>
      <c r="H18" s="333">
        <f>Dec!$E$45</f>
        <v>0.25135471651830477</v>
      </c>
    </row>
    <row r="19" spans="3:8">
      <c r="C19" s="81"/>
      <c r="D19" s="81"/>
    </row>
    <row r="20" spans="3:8">
      <c r="C20" s="330" t="s">
        <v>65</v>
      </c>
      <c r="D20" s="331">
        <f>SUM(D4:D18)</f>
        <v>71000</v>
      </c>
      <c r="E20" s="331">
        <f>SUM(E5:E18)</f>
        <v>58800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213"/>
  <sheetViews>
    <sheetView tabSelected="1" zoomScale="90" zoomScaleNormal="90" workbookViewId="0">
      <pane xSplit="1" ySplit="2" topLeftCell="B3" activePane="bottomRight" state="frozenSplit"/>
      <selection pane="topRight" activeCell="B1" sqref="B1"/>
      <selection pane="bottomLeft" activeCell="A3" sqref="A3"/>
      <selection pane="bottomRight" activeCell="N42" sqref="N42"/>
    </sheetView>
  </sheetViews>
  <sheetFormatPr defaultColWidth="10.7109375" defaultRowHeight="12.75" outlineLevelCol="1"/>
  <cols>
    <col min="1" max="1" width="37.28515625" style="1" bestFit="1" customWidth="1"/>
    <col min="2" max="2" width="16.7109375" style="1" customWidth="1"/>
    <col min="3" max="3" width="13.28515625" style="1" customWidth="1"/>
    <col min="4" max="4" width="13.5703125" style="1" customWidth="1"/>
    <col min="5" max="5" width="12.7109375" style="1" customWidth="1"/>
    <col min="6" max="6" width="12.42578125" style="1" customWidth="1"/>
    <col min="7" max="7" width="14.28515625" style="1" customWidth="1"/>
    <col min="8" max="8" width="12.7109375" style="1" customWidth="1"/>
    <col min="9" max="9" width="10.7109375" style="1" customWidth="1"/>
    <col min="10" max="10" width="13" style="1" customWidth="1"/>
    <col min="11" max="11" width="12.28515625" style="1" customWidth="1"/>
    <col min="12" max="12" width="13.28515625" style="1" bestFit="1" customWidth="1"/>
    <col min="13" max="13" width="21.7109375" style="1" customWidth="1"/>
    <col min="14" max="14" width="13.42578125" style="1" customWidth="1"/>
    <col min="15" max="15" width="10.7109375" style="1" customWidth="1"/>
    <col min="16" max="16" width="12.28515625" style="1" customWidth="1"/>
    <col min="17" max="17" width="9.7109375" style="1" customWidth="1"/>
    <col min="18" max="18" width="2.7109375" style="1" customWidth="1"/>
    <col min="19" max="19" width="12.140625" style="1" bestFit="1" customWidth="1" outlineLevel="1"/>
    <col min="20" max="20" width="11.42578125" style="1" customWidth="1" outlineLevel="1"/>
    <col min="21" max="21" width="17.7109375" style="1" customWidth="1" outlineLevel="1"/>
    <col min="22" max="24" width="15.28515625" style="1" customWidth="1" outlineLevel="1"/>
    <col min="25" max="25" width="14.7109375" style="1" customWidth="1" outlineLevel="1"/>
    <col min="26" max="26" width="12.42578125" style="1" customWidth="1" outlineLevel="1"/>
    <col min="27" max="27" width="15.28515625" style="1" customWidth="1" outlineLevel="1"/>
    <col min="28" max="28" width="12.42578125" style="1" customWidth="1" outlineLevel="1"/>
    <col min="29" max="29" width="9.42578125" style="1" customWidth="1" outlineLevel="1"/>
    <col min="30" max="30" width="13.28515625" style="1" bestFit="1" customWidth="1" outlineLevel="1"/>
    <col min="31" max="31" width="13.28515625" style="1" customWidth="1" outlineLevel="1"/>
    <col min="32" max="32" width="9.5703125" style="1" bestFit="1" customWidth="1" outlineLevel="1"/>
    <col min="33" max="33" width="9.28515625" style="1" customWidth="1" outlineLevel="1"/>
    <col min="34" max="34" width="9.5703125" style="1" bestFit="1" customWidth="1" outlineLevel="1"/>
    <col min="35" max="35" width="12" style="1" customWidth="1" outlineLevel="1"/>
    <col min="36" max="36" width="11.7109375" style="1" customWidth="1" outlineLevel="1"/>
    <col min="37" max="37" width="12.28515625" style="1" customWidth="1" outlineLevel="1"/>
    <col min="38" max="38" width="11.42578125" style="1" customWidth="1" outlineLevel="1"/>
    <col min="39" max="39" width="12.42578125" style="1" customWidth="1" outlineLevel="1"/>
    <col min="40" max="40" width="12.28515625" style="1" customWidth="1" outlineLevel="1"/>
    <col min="41" max="41" width="12.5703125" style="1" customWidth="1" outlineLevel="1"/>
    <col min="42" max="42" width="12.42578125" style="1" customWidth="1" outlineLevel="1"/>
    <col min="43" max="43" width="14.28515625" style="1" customWidth="1" outlineLevel="1"/>
    <col min="44" max="44" width="10.28515625" style="1" customWidth="1" outlineLevel="1"/>
    <col min="45" max="45" width="11.5703125" style="1" customWidth="1" outlineLevel="1"/>
    <col min="46" max="46" width="11.42578125" style="1" customWidth="1" outlineLevel="1"/>
    <col min="47" max="48" width="12.7109375" style="1" customWidth="1" outlineLevel="1"/>
    <col min="49" max="49" width="11" style="1" customWidth="1" outlineLevel="1"/>
    <col min="50" max="50" width="12.7109375" style="1" customWidth="1" outlineLevel="1"/>
    <col min="51" max="250" width="8.7109375" style="1" customWidth="1"/>
    <col min="251" max="16384" width="10.7109375" style="1"/>
  </cols>
  <sheetData>
    <row r="1" spans="1:50" ht="18.75" customHeight="1">
      <c r="A1" s="344" t="s">
        <v>124</v>
      </c>
      <c r="B1" s="344"/>
      <c r="C1" s="344"/>
      <c r="D1" s="344"/>
      <c r="E1" s="344"/>
      <c r="F1" s="344"/>
      <c r="G1" s="344"/>
      <c r="H1" s="344"/>
      <c r="I1" s="344"/>
      <c r="J1" s="344"/>
      <c r="K1" s="91"/>
      <c r="L1" s="91"/>
      <c r="S1" s="345"/>
      <c r="T1" s="345"/>
      <c r="U1" s="345"/>
      <c r="V1" s="345"/>
      <c r="W1" s="345"/>
      <c r="X1" s="345"/>
      <c r="Y1" s="345"/>
      <c r="Z1" s="345"/>
      <c r="AA1" s="345"/>
      <c r="AB1" s="149"/>
      <c r="AC1" s="150"/>
      <c r="AD1" s="150"/>
      <c r="AE1" s="151"/>
      <c r="AF1" s="151"/>
      <c r="AG1" s="151"/>
      <c r="AH1" s="151"/>
      <c r="AI1" s="152"/>
      <c r="AJ1" s="151"/>
      <c r="AK1" s="152"/>
      <c r="AL1" s="346"/>
      <c r="AM1" s="346"/>
      <c r="AN1" s="346"/>
      <c r="AO1" s="346"/>
      <c r="AP1" s="346"/>
      <c r="AQ1" s="346"/>
      <c r="AR1" s="153"/>
      <c r="AS1" s="153"/>
      <c r="AT1" s="154"/>
      <c r="AU1" s="154"/>
      <c r="AV1" s="154"/>
      <c r="AW1" s="154"/>
      <c r="AX1" s="151"/>
    </row>
    <row r="2" spans="1:50" ht="36.6" customHeight="1">
      <c r="A2" s="56" t="s">
        <v>59</v>
      </c>
      <c r="B2" s="186"/>
      <c r="C2" s="56"/>
      <c r="D2" s="56"/>
      <c r="E2" s="56"/>
      <c r="F2" s="56"/>
      <c r="G2" s="56"/>
      <c r="H2" s="84"/>
      <c r="I2" s="92"/>
      <c r="J2" s="92"/>
      <c r="K2" s="92"/>
      <c r="L2" s="92"/>
      <c r="S2" s="155"/>
      <c r="T2" s="155"/>
      <c r="U2" s="155"/>
      <c r="V2" s="155"/>
      <c r="W2" s="155"/>
      <c r="X2" s="155"/>
      <c r="Y2" s="155"/>
      <c r="Z2" s="155"/>
      <c r="AA2" s="156"/>
      <c r="AB2" s="182"/>
      <c r="AC2" s="151"/>
      <c r="AD2" s="150"/>
      <c r="AE2" s="157"/>
      <c r="AF2" s="157"/>
      <c r="AG2" s="157"/>
      <c r="AH2" s="157"/>
      <c r="AI2" s="155"/>
      <c r="AJ2" s="157"/>
      <c r="AK2" s="158"/>
      <c r="AL2" s="159"/>
      <c r="AM2" s="234"/>
      <c r="AN2" s="234"/>
      <c r="AO2" s="155"/>
      <c r="AP2" s="155"/>
      <c r="AQ2" s="155"/>
      <c r="AR2" s="159"/>
      <c r="AS2" s="159"/>
      <c r="AT2" s="159"/>
      <c r="AU2" s="159"/>
      <c r="AV2" s="159"/>
      <c r="AW2" s="159"/>
      <c r="AX2" s="157"/>
    </row>
    <row r="3" spans="1:50" ht="18" customHeight="1">
      <c r="A3" s="64" t="s">
        <v>20</v>
      </c>
      <c r="B3" s="347" t="s">
        <v>91</v>
      </c>
      <c r="C3" s="348"/>
      <c r="D3" s="348"/>
      <c r="E3" s="347" t="s">
        <v>93</v>
      </c>
      <c r="F3" s="348"/>
      <c r="G3" s="348"/>
      <c r="H3" s="347" t="s">
        <v>94</v>
      </c>
      <c r="I3" s="348"/>
      <c r="J3" s="349"/>
      <c r="M3" s="252"/>
      <c r="N3" s="350"/>
      <c r="O3" s="350"/>
      <c r="P3" s="350"/>
      <c r="Q3" s="351"/>
      <c r="S3" s="160"/>
      <c r="T3" s="161"/>
      <c r="U3" s="160"/>
      <c r="V3" s="160"/>
      <c r="W3" s="160"/>
      <c r="X3" s="160"/>
      <c r="Y3" s="160"/>
      <c r="Z3" s="160"/>
      <c r="AA3" s="161"/>
      <c r="AB3" s="151"/>
      <c r="AC3" s="161"/>
      <c r="AD3" s="161"/>
      <c r="AE3" s="160"/>
      <c r="AF3" s="160"/>
      <c r="AG3" s="160"/>
      <c r="AH3" s="160"/>
      <c r="AI3" s="161"/>
      <c r="AJ3" s="160"/>
      <c r="AK3" s="161"/>
      <c r="AL3" s="161"/>
      <c r="AM3" s="161"/>
      <c r="AN3" s="161"/>
      <c r="AO3" s="161"/>
      <c r="AP3" s="161"/>
      <c r="AQ3" s="161"/>
      <c r="AR3" s="161"/>
      <c r="AS3" s="161"/>
      <c r="AT3" s="161"/>
      <c r="AU3" s="161"/>
      <c r="AV3" s="161"/>
      <c r="AW3" s="161"/>
      <c r="AX3" s="161"/>
    </row>
    <row r="4" spans="1:50" s="46" customFormat="1" ht="15">
      <c r="A4" s="66"/>
      <c r="B4" s="218" t="s">
        <v>143</v>
      </c>
      <c r="C4" s="219" t="s">
        <v>114</v>
      </c>
      <c r="D4" s="219" t="s">
        <v>88</v>
      </c>
      <c r="E4" s="218" t="str">
        <f>$B$4</f>
        <v>25 Standard</v>
      </c>
      <c r="F4" s="219" t="str">
        <f>+C4</f>
        <v>23 Actual</v>
      </c>
      <c r="G4" s="219" t="str">
        <f>+D4</f>
        <v>20 Standard</v>
      </c>
      <c r="H4" s="218" t="str">
        <f>+B4</f>
        <v>25 Standard</v>
      </c>
      <c r="I4" s="219" t="str">
        <f>+C4</f>
        <v>23 Actual</v>
      </c>
      <c r="J4" s="220" t="str">
        <f>+D4</f>
        <v>20 Standard</v>
      </c>
      <c r="M4" s="253"/>
      <c r="N4" s="254"/>
      <c r="O4" s="254"/>
      <c r="P4" s="254"/>
      <c r="Q4" s="255"/>
      <c r="S4" s="162"/>
      <c r="T4" s="163"/>
      <c r="U4" s="163"/>
      <c r="V4" s="163"/>
      <c r="W4" s="163"/>
      <c r="X4" s="163"/>
      <c r="Y4" s="163"/>
      <c r="Z4" s="163"/>
      <c r="AA4" s="164"/>
      <c r="AB4" s="165"/>
      <c r="AC4" s="166"/>
      <c r="AD4" s="164"/>
      <c r="AE4" s="164"/>
      <c r="AF4" s="164"/>
      <c r="AG4" s="164"/>
      <c r="AH4" s="164"/>
      <c r="AI4" s="163"/>
      <c r="AJ4" s="164"/>
      <c r="AK4" s="163"/>
      <c r="AL4" s="164"/>
      <c r="AM4" s="164"/>
      <c r="AN4" s="164"/>
      <c r="AO4" s="164"/>
      <c r="AP4" s="164"/>
      <c r="AQ4" s="164"/>
      <c r="AR4" s="164"/>
      <c r="AS4" s="164"/>
      <c r="AT4" s="164"/>
      <c r="AU4" s="164"/>
      <c r="AV4" s="164"/>
      <c r="AW4" s="164"/>
      <c r="AX4" s="164"/>
    </row>
    <row r="5" spans="1:50" s="46" customFormat="1">
      <c r="A5" s="66"/>
      <c r="B5" s="221"/>
      <c r="C5" s="202" t="s">
        <v>89</v>
      </c>
      <c r="D5" s="202"/>
      <c r="E5" s="221"/>
      <c r="F5" s="202" t="s">
        <v>89</v>
      </c>
      <c r="G5" s="202"/>
      <c r="H5" s="221"/>
      <c r="I5" s="202" t="s">
        <v>89</v>
      </c>
      <c r="J5" s="222"/>
      <c r="M5" s="253"/>
      <c r="N5" s="256"/>
      <c r="O5" s="256"/>
      <c r="P5" s="257"/>
      <c r="Q5" s="258"/>
      <c r="S5" s="162"/>
      <c r="T5" s="163"/>
      <c r="U5" s="163"/>
      <c r="V5" s="163"/>
      <c r="W5" s="163"/>
      <c r="X5" s="163"/>
      <c r="Y5" s="163"/>
      <c r="Z5" s="163"/>
      <c r="AA5" s="164"/>
      <c r="AB5" s="165"/>
      <c r="AC5" s="166"/>
      <c r="AD5" s="164"/>
      <c r="AE5" s="164"/>
      <c r="AF5" s="164"/>
      <c r="AG5" s="154"/>
      <c r="AH5" s="164"/>
      <c r="AI5" s="163"/>
      <c r="AJ5" s="164"/>
      <c r="AK5" s="163"/>
      <c r="AL5" s="164"/>
      <c r="AM5" s="164"/>
      <c r="AN5" s="164"/>
      <c r="AO5" s="164"/>
      <c r="AP5" s="164"/>
      <c r="AQ5" s="164"/>
      <c r="AR5" s="164"/>
      <c r="AS5" s="164"/>
      <c r="AT5" s="164"/>
      <c r="AU5" s="164"/>
      <c r="AV5" s="164"/>
      <c r="AW5" s="164"/>
      <c r="AX5" s="164"/>
    </row>
    <row r="6" spans="1:50">
      <c r="A6" s="30" t="s">
        <v>50</v>
      </c>
      <c r="B6" s="192">
        <f>IF(B24&lt;&gt;0,$D$82,0)</f>
        <v>6.5965817666666662E-2</v>
      </c>
      <c r="C6" s="192">
        <v>5.8500000000000003E-2</v>
      </c>
      <c r="D6" s="192">
        <v>4.1565810184720102E-2</v>
      </c>
      <c r="E6" s="204">
        <f>+H82</f>
        <v>0</v>
      </c>
      <c r="F6" s="192">
        <v>0</v>
      </c>
      <c r="G6" s="192">
        <v>0</v>
      </c>
      <c r="H6" s="204">
        <f>+D96</f>
        <v>0</v>
      </c>
      <c r="I6" s="192">
        <v>0</v>
      </c>
      <c r="J6" s="205">
        <v>0</v>
      </c>
      <c r="M6" s="259"/>
      <c r="N6" s="260"/>
      <c r="O6" s="261"/>
      <c r="P6" s="260"/>
      <c r="Q6" s="262"/>
      <c r="S6" s="167"/>
      <c r="T6" s="163"/>
      <c r="U6" s="163"/>
      <c r="V6" s="163"/>
      <c r="W6" s="163"/>
      <c r="X6" s="163"/>
      <c r="Y6" s="163"/>
      <c r="Z6" s="163"/>
      <c r="AA6" s="164"/>
      <c r="AB6" s="165"/>
      <c r="AC6" s="166"/>
      <c r="AD6" s="164"/>
      <c r="AE6" s="164"/>
      <c r="AF6" s="164"/>
      <c r="AG6" s="164"/>
      <c r="AH6" s="164"/>
      <c r="AI6" s="163"/>
      <c r="AJ6" s="164"/>
      <c r="AK6" s="163"/>
      <c r="AL6" s="164"/>
      <c r="AM6" s="164"/>
      <c r="AN6" s="164"/>
      <c r="AO6" s="164"/>
      <c r="AP6" s="164"/>
      <c r="AQ6" s="164"/>
      <c r="AR6" s="164"/>
      <c r="AS6" s="164"/>
      <c r="AT6" s="164"/>
      <c r="AU6" s="164"/>
      <c r="AV6" s="164"/>
      <c r="AW6" s="164"/>
      <c r="AX6" s="164"/>
    </row>
    <row r="7" spans="1:50" ht="15">
      <c r="A7" s="30" t="s">
        <v>27</v>
      </c>
      <c r="B7" s="192">
        <f>IF(B24&lt;&gt;0,$D$163,0)</f>
        <v>1.0128799999999999E-2</v>
      </c>
      <c r="C7" s="192">
        <v>1.0500000000000001E-2</v>
      </c>
      <c r="D7" s="192">
        <v>2.0277328909623641E-2</v>
      </c>
      <c r="E7" s="204">
        <f>G163</f>
        <v>1.983719966453169E-2</v>
      </c>
      <c r="F7" s="192">
        <v>0</v>
      </c>
      <c r="G7" s="192">
        <v>0</v>
      </c>
      <c r="H7" s="204">
        <f>J163</f>
        <v>1.983719966453169E-2</v>
      </c>
      <c r="I7" s="192">
        <v>0</v>
      </c>
      <c r="J7" s="205">
        <v>0</v>
      </c>
      <c r="M7" s="263"/>
      <c r="N7" s="264"/>
      <c r="O7" s="207"/>
      <c r="P7" s="264"/>
      <c r="Q7" s="208"/>
      <c r="S7" s="168"/>
      <c r="T7" s="168"/>
      <c r="U7" s="168"/>
      <c r="V7" s="168"/>
      <c r="W7" s="168"/>
      <c r="X7" s="168"/>
      <c r="Y7" s="168"/>
      <c r="Z7" s="168"/>
      <c r="AA7" s="168"/>
      <c r="AB7" s="165"/>
      <c r="AC7" s="166"/>
      <c r="AD7" s="169"/>
      <c r="AE7" s="170"/>
      <c r="AF7" s="171"/>
      <c r="AG7" s="171"/>
      <c r="AH7" s="171"/>
      <c r="AI7" s="168"/>
      <c r="AJ7" s="170"/>
      <c r="AK7" s="168"/>
      <c r="AL7" s="169"/>
      <c r="AM7" s="169"/>
      <c r="AN7" s="169"/>
      <c r="AO7" s="169"/>
      <c r="AP7" s="169"/>
      <c r="AQ7" s="169"/>
      <c r="AR7" s="172"/>
      <c r="AS7" s="172"/>
      <c r="AT7" s="172"/>
      <c r="AU7" s="172"/>
      <c r="AV7" s="172"/>
      <c r="AW7" s="172"/>
      <c r="AX7" s="173"/>
    </row>
    <row r="8" spans="1:50" ht="15">
      <c r="A8" s="6" t="s">
        <v>49</v>
      </c>
      <c r="B8" s="192">
        <f>IF(B24&lt;&gt;0,$D$164,0)</f>
        <v>2.5999999999999999E-2</v>
      </c>
      <c r="C8" s="192">
        <v>1.5599999999999999E-2</v>
      </c>
      <c r="D8" s="192">
        <v>1.4965000000000001E-2</v>
      </c>
      <c r="E8" s="204">
        <f>G164</f>
        <v>1.7100000000000001E-2</v>
      </c>
      <c r="F8" s="192">
        <v>0</v>
      </c>
      <c r="G8" s="192">
        <v>0</v>
      </c>
      <c r="H8" s="204">
        <f>J164</f>
        <v>1.7100000000000001E-2</v>
      </c>
      <c r="I8" s="192">
        <v>0</v>
      </c>
      <c r="J8" s="205">
        <v>0</v>
      </c>
      <c r="M8" s="263"/>
      <c r="N8" s="265"/>
      <c r="O8" s="266"/>
      <c r="P8" s="265"/>
      <c r="Q8" s="267"/>
      <c r="S8" s="168"/>
      <c r="T8" s="168"/>
      <c r="U8" s="168"/>
      <c r="V8" s="168"/>
      <c r="W8" s="168"/>
      <c r="X8" s="168"/>
      <c r="Y8" s="168"/>
      <c r="Z8" s="168"/>
      <c r="AA8" s="168"/>
      <c r="AB8" s="165"/>
      <c r="AC8" s="166"/>
      <c r="AD8" s="169"/>
      <c r="AE8" s="170"/>
      <c r="AF8" s="171"/>
      <c r="AG8" s="171"/>
      <c r="AH8" s="171"/>
      <c r="AI8" s="168"/>
      <c r="AJ8" s="170"/>
      <c r="AK8" s="168"/>
      <c r="AL8" s="169"/>
      <c r="AM8" s="169"/>
      <c r="AN8" s="169"/>
      <c r="AO8" s="169"/>
      <c r="AP8" s="169"/>
      <c r="AQ8" s="169"/>
      <c r="AR8" s="172"/>
      <c r="AS8" s="172"/>
      <c r="AT8" s="172"/>
      <c r="AU8" s="172"/>
      <c r="AV8" s="172"/>
      <c r="AW8" s="172"/>
      <c r="AX8" s="173"/>
    </row>
    <row r="9" spans="1:50">
      <c r="A9" s="30" t="s">
        <v>48</v>
      </c>
      <c r="B9" s="192">
        <f>IF(B24&lt;&gt;0,$J$177,0)</f>
        <v>1.1766666666666668E-2</v>
      </c>
      <c r="C9" s="192">
        <v>1.9199999999999998E-2</v>
      </c>
      <c r="D9" s="192">
        <v>1.591578947368421E-2</v>
      </c>
      <c r="E9" s="204">
        <f>$H$177</f>
        <v>0.03</v>
      </c>
      <c r="F9" s="192">
        <v>0</v>
      </c>
      <c r="G9" s="192">
        <v>0</v>
      </c>
      <c r="H9" s="204">
        <f>$H$177</f>
        <v>0.03</v>
      </c>
      <c r="I9" s="192">
        <v>0</v>
      </c>
      <c r="J9" s="205">
        <v>0</v>
      </c>
      <c r="M9" s="259"/>
      <c r="N9" s="260"/>
      <c r="O9" s="261"/>
      <c r="P9" s="268"/>
      <c r="Q9" s="262"/>
      <c r="S9" s="168"/>
      <c r="T9" s="168"/>
      <c r="U9" s="168"/>
      <c r="V9" s="168"/>
      <c r="W9" s="168"/>
      <c r="X9" s="168"/>
      <c r="Y9" s="168"/>
      <c r="Z9" s="168"/>
      <c r="AA9" s="168"/>
      <c r="AB9" s="165"/>
      <c r="AC9" s="166"/>
      <c r="AD9" s="169"/>
      <c r="AE9" s="170"/>
      <c r="AF9" s="171"/>
      <c r="AG9" s="171"/>
      <c r="AH9" s="171"/>
      <c r="AI9" s="168"/>
      <c r="AJ9" s="170"/>
      <c r="AK9" s="168"/>
      <c r="AL9" s="169"/>
      <c r="AM9" s="169"/>
      <c r="AN9" s="169"/>
      <c r="AO9" s="169"/>
      <c r="AP9" s="169"/>
      <c r="AQ9" s="169"/>
      <c r="AR9" s="172"/>
      <c r="AS9" s="172"/>
      <c r="AT9" s="172"/>
      <c r="AU9" s="172"/>
      <c r="AV9" s="172"/>
      <c r="AW9" s="172"/>
      <c r="AX9" s="173"/>
    </row>
    <row r="10" spans="1:50">
      <c r="A10" s="30" t="s">
        <v>47</v>
      </c>
      <c r="B10" s="192">
        <f>IF(B24&lt;&gt;0,$J$181,0)</f>
        <v>2.5000000000000001E-3</v>
      </c>
      <c r="C10" s="192">
        <v>8.0000000000000004E-4</v>
      </c>
      <c r="D10" s="192">
        <v>2.6315789473684214E-3</v>
      </c>
      <c r="E10" s="204">
        <f>$H$181</f>
        <v>5.5102040816326532E-3</v>
      </c>
      <c r="F10" s="192">
        <v>0</v>
      </c>
      <c r="G10" s="192">
        <v>0</v>
      </c>
      <c r="H10" s="204">
        <f>$H$181</f>
        <v>5.5102040816326532E-3</v>
      </c>
      <c r="I10" s="192">
        <v>0</v>
      </c>
      <c r="J10" s="205">
        <v>0</v>
      </c>
      <c r="M10" s="263"/>
      <c r="N10" s="260"/>
      <c r="O10" s="261"/>
      <c r="P10" s="260"/>
      <c r="Q10" s="262"/>
      <c r="S10" s="168"/>
      <c r="T10" s="168"/>
      <c r="U10" s="168"/>
      <c r="V10" s="168"/>
      <c r="W10" s="168"/>
      <c r="X10" s="168"/>
      <c r="Y10" s="168"/>
      <c r="Z10" s="168"/>
      <c r="AA10" s="168"/>
      <c r="AB10" s="165"/>
      <c r="AC10" s="166"/>
      <c r="AD10" s="169"/>
      <c r="AE10" s="170"/>
      <c r="AF10" s="171"/>
      <c r="AG10" s="171"/>
      <c r="AH10" s="171"/>
      <c r="AI10" s="168"/>
      <c r="AJ10" s="170"/>
      <c r="AK10" s="168"/>
      <c r="AL10" s="169"/>
      <c r="AM10" s="169"/>
      <c r="AN10" s="169"/>
      <c r="AO10" s="169"/>
      <c r="AP10" s="169"/>
      <c r="AQ10" s="169"/>
      <c r="AR10" s="172"/>
      <c r="AS10" s="172"/>
      <c r="AT10" s="172"/>
      <c r="AU10" s="172"/>
      <c r="AV10" s="172"/>
      <c r="AW10" s="172"/>
      <c r="AX10" s="173"/>
    </row>
    <row r="11" spans="1:50" ht="15">
      <c r="A11" s="30" t="s">
        <v>46</v>
      </c>
      <c r="B11" s="207">
        <f>IF(B24&lt;&gt;0,$J$184,0)</f>
        <v>1.9E-3</v>
      </c>
      <c r="C11" s="207">
        <v>5.7999999999999996E-3</v>
      </c>
      <c r="D11" s="207">
        <v>9.4736842105263147E-3</v>
      </c>
      <c r="E11" s="206">
        <f>$H$184</f>
        <v>1.1224489795918367E-2</v>
      </c>
      <c r="F11" s="207">
        <v>0</v>
      </c>
      <c r="G11" s="207">
        <v>0</v>
      </c>
      <c r="H11" s="206">
        <f>$H$184</f>
        <v>1.1224489795918367E-2</v>
      </c>
      <c r="I11" s="207">
        <v>0</v>
      </c>
      <c r="J11" s="208">
        <v>0</v>
      </c>
      <c r="M11" s="263"/>
      <c r="N11" s="269"/>
      <c r="O11" s="192"/>
      <c r="P11" s="269"/>
      <c r="Q11" s="205"/>
      <c r="S11" s="174"/>
      <c r="T11" s="174"/>
      <c r="U11" s="174"/>
      <c r="V11" s="174"/>
      <c r="W11" s="174"/>
      <c r="X11" s="174"/>
      <c r="Y11" s="174"/>
      <c r="Z11" s="174"/>
      <c r="AA11" s="174"/>
      <c r="AB11" s="165"/>
      <c r="AC11" s="166"/>
      <c r="AD11" s="169"/>
      <c r="AE11" s="170"/>
      <c r="AF11" s="175"/>
      <c r="AG11" s="175"/>
      <c r="AH11" s="175"/>
      <c r="AI11" s="174"/>
      <c r="AJ11" s="170"/>
      <c r="AK11" s="174"/>
      <c r="AL11" s="169"/>
      <c r="AM11" s="169"/>
      <c r="AN11" s="169"/>
      <c r="AO11" s="169"/>
      <c r="AP11" s="169"/>
      <c r="AQ11" s="169"/>
      <c r="AR11" s="172"/>
      <c r="AS11" s="172"/>
      <c r="AT11" s="172"/>
      <c r="AU11" s="172"/>
      <c r="AV11" s="172"/>
      <c r="AW11" s="172"/>
      <c r="AX11" s="173"/>
    </row>
    <row r="12" spans="1:50" ht="15">
      <c r="A12" s="30" t="s">
        <v>45</v>
      </c>
      <c r="B12" s="192">
        <f t="shared" ref="B12:D12" si="0">SUM(B6:B11)</f>
        <v>0.11826128433333331</v>
      </c>
      <c r="C12" s="192">
        <f t="shared" si="0"/>
        <v>0.1104</v>
      </c>
      <c r="D12" s="192">
        <f t="shared" si="0"/>
        <v>0.1048291917259227</v>
      </c>
      <c r="E12" s="204">
        <f>SUM(E6:E11)</f>
        <v>8.3671893542082695E-2</v>
      </c>
      <c r="F12" s="192">
        <f t="shared" ref="F12:G12" si="1">SUM(F6:F11)</f>
        <v>0</v>
      </c>
      <c r="G12" s="192">
        <f t="shared" si="1"/>
        <v>0</v>
      </c>
      <c r="H12" s="204">
        <f>SUM(H6:H11)</f>
        <v>8.3671893542082695E-2</v>
      </c>
      <c r="I12" s="192">
        <f t="shared" ref="I12:J12" si="2">SUM(I6:I11)</f>
        <v>0</v>
      </c>
      <c r="J12" s="205">
        <f t="shared" si="2"/>
        <v>0</v>
      </c>
      <c r="M12" s="263"/>
      <c r="N12" s="264"/>
      <c r="O12" s="207"/>
      <c r="P12" s="264"/>
      <c r="Q12" s="208"/>
      <c r="S12" s="168"/>
      <c r="T12" s="168"/>
      <c r="U12" s="168"/>
      <c r="V12" s="168"/>
      <c r="W12" s="168"/>
      <c r="X12" s="168"/>
      <c r="Y12" s="168"/>
      <c r="Z12" s="168"/>
      <c r="AA12" s="168"/>
      <c r="AB12" s="165"/>
      <c r="AC12" s="166"/>
      <c r="AD12" s="164"/>
      <c r="AE12" s="164"/>
      <c r="AF12" s="171"/>
      <c r="AG12" s="171"/>
      <c r="AH12" s="171"/>
      <c r="AI12" s="168"/>
      <c r="AJ12" s="164"/>
      <c r="AK12" s="168"/>
      <c r="AL12" s="164"/>
      <c r="AM12" s="164"/>
      <c r="AN12" s="164"/>
      <c r="AO12" s="164"/>
      <c r="AP12" s="164"/>
      <c r="AQ12" s="164"/>
      <c r="AR12" s="164"/>
      <c r="AS12" s="164"/>
      <c r="AT12" s="164"/>
      <c r="AU12" s="164"/>
      <c r="AV12" s="164"/>
      <c r="AW12" s="164"/>
      <c r="AX12" s="173"/>
    </row>
    <row r="13" spans="1:50" ht="15">
      <c r="A13" s="30"/>
      <c r="B13" s="204"/>
      <c r="C13" s="192"/>
      <c r="D13" s="192"/>
      <c r="E13" s="204"/>
      <c r="F13" s="192"/>
      <c r="G13" s="192"/>
      <c r="H13" s="204"/>
      <c r="I13" s="192"/>
      <c r="J13" s="205"/>
      <c r="M13" s="263"/>
      <c r="N13" s="265"/>
      <c r="O13" s="266"/>
      <c r="P13" s="265"/>
      <c r="Q13" s="267"/>
      <c r="S13" s="163"/>
      <c r="T13" s="163"/>
      <c r="U13" s="163"/>
      <c r="V13" s="163"/>
      <c r="W13" s="163"/>
      <c r="X13" s="163"/>
      <c r="Y13" s="163"/>
      <c r="Z13" s="163"/>
      <c r="AA13" s="164"/>
      <c r="AB13" s="165"/>
      <c r="AC13" s="166"/>
      <c r="AD13" s="164"/>
      <c r="AE13" s="164"/>
      <c r="AF13" s="167"/>
      <c r="AG13" s="167"/>
      <c r="AH13" s="167"/>
      <c r="AI13" s="163"/>
      <c r="AJ13" s="164"/>
      <c r="AK13" s="163"/>
      <c r="AL13" s="164"/>
      <c r="AM13" s="164"/>
      <c r="AN13" s="164"/>
      <c r="AO13" s="164"/>
      <c r="AP13" s="164"/>
      <c r="AQ13" s="164"/>
      <c r="AR13" s="164"/>
      <c r="AS13" s="164"/>
      <c r="AT13" s="164"/>
      <c r="AU13" s="164"/>
      <c r="AV13" s="164"/>
      <c r="AW13" s="164"/>
      <c r="AX13" s="173"/>
    </row>
    <row r="14" spans="1:50">
      <c r="A14" s="30" t="s">
        <v>31</v>
      </c>
      <c r="B14" s="192">
        <f>IF($B$24&lt;&gt;0,$F$152/B24/1000,0)</f>
        <v>8.496223007246376E-3</v>
      </c>
      <c r="C14" s="192">
        <v>2.46E-2</v>
      </c>
      <c r="D14" s="192">
        <v>7.3599375000000002E-3</v>
      </c>
      <c r="E14" s="204">
        <f>$D$124*$E$108/$B$49/1000</f>
        <v>1.306106392413699E-4</v>
      </c>
      <c r="F14" s="192">
        <v>0</v>
      </c>
      <c r="G14" s="192">
        <v>0</v>
      </c>
      <c r="H14" s="204">
        <f>$D$124*$E$108/$B$49/1000</f>
        <v>1.306106392413699E-4</v>
      </c>
      <c r="I14" s="192">
        <v>0</v>
      </c>
      <c r="J14" s="205">
        <v>0</v>
      </c>
      <c r="M14" s="259"/>
      <c r="N14" s="269"/>
      <c r="O14" s="270"/>
      <c r="P14" s="269"/>
      <c r="Q14" s="271"/>
      <c r="S14" s="168"/>
      <c r="T14" s="168"/>
      <c r="U14" s="168"/>
      <c r="V14" s="168"/>
      <c r="W14" s="168"/>
      <c r="X14" s="168"/>
      <c r="Y14" s="168"/>
      <c r="Z14" s="168"/>
      <c r="AA14" s="168"/>
      <c r="AB14" s="165"/>
      <c r="AC14" s="166"/>
      <c r="AD14" s="169"/>
      <c r="AE14" s="170"/>
      <c r="AF14" s="171"/>
      <c r="AG14" s="171"/>
      <c r="AH14" s="171"/>
      <c r="AI14" s="168"/>
      <c r="AJ14" s="170"/>
      <c r="AK14" s="168"/>
      <c r="AL14" s="169"/>
      <c r="AM14" s="169"/>
      <c r="AN14" s="169"/>
      <c r="AO14" s="169"/>
      <c r="AP14" s="169"/>
      <c r="AQ14" s="169"/>
      <c r="AR14" s="172"/>
      <c r="AS14" s="172"/>
      <c r="AT14" s="172"/>
      <c r="AU14" s="172"/>
      <c r="AV14" s="172"/>
      <c r="AW14" s="172"/>
      <c r="AX14" s="173"/>
    </row>
    <row r="15" spans="1:50">
      <c r="A15" s="30" t="s">
        <v>44</v>
      </c>
      <c r="B15" s="192">
        <f>IF($B$24&lt;&gt;0,$F$153/$B$24/1000,0)</f>
        <v>3.5945558876811588E-3</v>
      </c>
      <c r="C15" s="192">
        <v>8.9999999999999993E-3</v>
      </c>
      <c r="D15" s="192">
        <v>4.2419375E-3</v>
      </c>
      <c r="E15" s="204">
        <f>$H$124*$E$108/$B$49/1000</f>
        <v>0</v>
      </c>
      <c r="F15" s="192">
        <v>0</v>
      </c>
      <c r="G15" s="192">
        <v>0</v>
      </c>
      <c r="H15" s="204">
        <f>$H$124*$E$108/$B$49/1000</f>
        <v>0</v>
      </c>
      <c r="I15" s="192">
        <v>0</v>
      </c>
      <c r="J15" s="205">
        <v>0</v>
      </c>
      <c r="M15" s="263"/>
      <c r="N15" s="269"/>
      <c r="O15" s="268"/>
      <c r="P15" s="269"/>
      <c r="Q15" s="258"/>
      <c r="S15" s="176"/>
      <c r="T15" s="168"/>
      <c r="U15" s="168"/>
      <c r="V15" s="168"/>
      <c r="W15" s="168"/>
      <c r="X15" s="176"/>
      <c r="Y15" s="176"/>
      <c r="Z15" s="176"/>
      <c r="AA15" s="176"/>
      <c r="AB15" s="165"/>
      <c r="AC15" s="166"/>
      <c r="AD15" s="169"/>
      <c r="AE15" s="170"/>
      <c r="AF15" s="167"/>
      <c r="AG15" s="167"/>
      <c r="AH15" s="167"/>
      <c r="AI15" s="176"/>
      <c r="AJ15" s="170"/>
      <c r="AK15" s="176"/>
      <c r="AL15" s="169"/>
      <c r="AM15" s="169"/>
      <c r="AN15" s="169"/>
      <c r="AO15" s="169"/>
      <c r="AP15" s="169"/>
      <c r="AQ15" s="169"/>
      <c r="AR15" s="172"/>
      <c r="AS15" s="172"/>
      <c r="AT15" s="172"/>
      <c r="AU15" s="172"/>
      <c r="AV15" s="172"/>
      <c r="AW15" s="172"/>
      <c r="AX15" s="173"/>
    </row>
    <row r="16" spans="1:50">
      <c r="A16" s="30" t="s">
        <v>43</v>
      </c>
      <c r="B16" s="192">
        <f>IF($B$24&lt;&gt;0,$F$155/$B$24/1000,0)</f>
        <v>3.6987736684782604E-3</v>
      </c>
      <c r="C16" s="192">
        <v>7.9000000000000008E-3</v>
      </c>
      <c r="D16" s="192">
        <v>5.3897125000000002E-3</v>
      </c>
      <c r="E16" s="204">
        <f>$D$131*$E$108/$B$49/1000</f>
        <v>0</v>
      </c>
      <c r="F16" s="192">
        <v>0</v>
      </c>
      <c r="G16" s="192">
        <v>0</v>
      </c>
      <c r="H16" s="204">
        <f>$D$131*$E$108/$B$49/1000</f>
        <v>0</v>
      </c>
      <c r="I16" s="192">
        <v>0</v>
      </c>
      <c r="J16" s="205">
        <v>0</v>
      </c>
      <c r="M16" s="263"/>
      <c r="N16" s="269"/>
      <c r="O16" s="268"/>
      <c r="P16" s="269"/>
      <c r="Q16" s="258"/>
      <c r="S16" s="168"/>
      <c r="T16" s="168"/>
      <c r="U16" s="168"/>
      <c r="V16" s="168"/>
      <c r="W16" s="168"/>
      <c r="X16" s="168"/>
      <c r="Y16" s="168"/>
      <c r="Z16" s="168"/>
      <c r="AA16" s="176"/>
      <c r="AB16" s="165"/>
      <c r="AC16" s="166"/>
      <c r="AD16" s="169"/>
      <c r="AE16" s="170"/>
      <c r="AF16" s="171"/>
      <c r="AG16" s="171"/>
      <c r="AH16" s="171"/>
      <c r="AI16" s="168"/>
      <c r="AJ16" s="170"/>
      <c r="AK16" s="168"/>
      <c r="AL16" s="169"/>
      <c r="AM16" s="169"/>
      <c r="AN16" s="169"/>
      <c r="AO16" s="169"/>
      <c r="AP16" s="169"/>
      <c r="AQ16" s="169"/>
      <c r="AR16" s="172"/>
      <c r="AS16" s="172"/>
      <c r="AT16" s="172"/>
      <c r="AU16" s="172"/>
      <c r="AV16" s="172"/>
      <c r="AW16" s="172"/>
      <c r="AX16" s="173"/>
    </row>
    <row r="17" spans="1:12">
      <c r="A17" s="6" t="s">
        <v>5</v>
      </c>
      <c r="B17" s="192">
        <f>IF($B$24&lt;&gt;0,$F$154/$B$24/1000,0)</f>
        <v>2.3846666666666667E-4</v>
      </c>
      <c r="C17" s="192">
        <v>0</v>
      </c>
      <c r="D17" s="192">
        <v>2.6778947368421052E-3</v>
      </c>
      <c r="E17" s="204">
        <f>$F$194</f>
        <v>0</v>
      </c>
      <c r="F17" s="192">
        <v>0</v>
      </c>
      <c r="G17" s="192">
        <v>0</v>
      </c>
      <c r="H17" s="204">
        <f>$F$194</f>
        <v>0</v>
      </c>
      <c r="I17" s="192">
        <v>0</v>
      </c>
      <c r="J17" s="205">
        <v>0</v>
      </c>
    </row>
    <row r="18" spans="1:12">
      <c r="A18" s="6" t="s">
        <v>3</v>
      </c>
      <c r="B18" s="192">
        <f>IF($B$24&lt;&gt;0,$B$196/$B$49/1000,0)</f>
        <v>6.5364613180515763E-4</v>
      </c>
      <c r="C18" s="192">
        <v>2.7000000000000001E-3</v>
      </c>
      <c r="D18" s="192">
        <v>0.16719999999999999</v>
      </c>
      <c r="E18" s="204">
        <f>$F$196</f>
        <v>7.8437535816618907E-3</v>
      </c>
      <c r="F18" s="192">
        <v>0</v>
      </c>
      <c r="G18" s="192">
        <v>0</v>
      </c>
      <c r="H18" s="204">
        <f>$F$196</f>
        <v>7.8437535816618907E-3</v>
      </c>
      <c r="I18" s="192">
        <v>0</v>
      </c>
      <c r="J18" s="205">
        <v>0</v>
      </c>
    </row>
    <row r="19" spans="1:12" ht="15">
      <c r="A19" s="6" t="s">
        <v>4</v>
      </c>
      <c r="B19" s="207">
        <f>IF($B$24&lt;&gt;0,$B$195/$B$49/1000,0)</f>
        <v>2.7421203438395417E-3</v>
      </c>
      <c r="C19" s="207">
        <v>1.2E-2</v>
      </c>
      <c r="D19" s="207">
        <v>1.2884210526315788E-2</v>
      </c>
      <c r="E19" s="206">
        <f>$F$195</f>
        <v>3.2905444126074497E-2</v>
      </c>
      <c r="F19" s="207">
        <v>0</v>
      </c>
      <c r="G19" s="207">
        <v>0</v>
      </c>
      <c r="H19" s="206">
        <f>$F$195</f>
        <v>3.2905444126074497E-2</v>
      </c>
      <c r="I19" s="207">
        <v>0</v>
      </c>
      <c r="J19" s="208">
        <v>0</v>
      </c>
    </row>
    <row r="20" spans="1:12">
      <c r="A20" s="30" t="s">
        <v>42</v>
      </c>
      <c r="B20" s="192">
        <f t="shared" ref="B20:J20" si="3">SUM(B14:B19)</f>
        <v>1.9423785705717161E-2</v>
      </c>
      <c r="C20" s="192">
        <f t="shared" si="3"/>
        <v>5.62E-2</v>
      </c>
      <c r="D20" s="192">
        <f t="shared" si="3"/>
        <v>0.19975369276315788</v>
      </c>
      <c r="E20" s="204">
        <f t="shared" si="3"/>
        <v>4.0879808346977756E-2</v>
      </c>
      <c r="F20" s="192">
        <f t="shared" ref="F20:G20" si="4">SUM(F14:F19)</f>
        <v>0</v>
      </c>
      <c r="G20" s="192">
        <f t="shared" si="4"/>
        <v>0</v>
      </c>
      <c r="H20" s="204">
        <f t="shared" si="3"/>
        <v>4.0879808346977756E-2</v>
      </c>
      <c r="I20" s="192">
        <f t="shared" si="3"/>
        <v>0</v>
      </c>
      <c r="J20" s="205">
        <f t="shared" si="3"/>
        <v>0</v>
      </c>
    </row>
    <row r="21" spans="1:12">
      <c r="A21" s="6"/>
      <c r="B21" s="204"/>
      <c r="C21" s="192"/>
      <c r="D21" s="192"/>
      <c r="E21" s="204"/>
      <c r="F21" s="192"/>
      <c r="G21" s="192"/>
      <c r="H21" s="223"/>
      <c r="I21" s="192"/>
      <c r="J21" s="224"/>
    </row>
    <row r="22" spans="1:12">
      <c r="A22" s="30" t="s">
        <v>41</v>
      </c>
      <c r="B22" s="209">
        <f t="shared" ref="B22:J22" si="5">B12+B20</f>
        <v>0.13768507003905048</v>
      </c>
      <c r="C22" s="210">
        <f t="shared" si="5"/>
        <v>0.1666</v>
      </c>
      <c r="D22" s="210">
        <f t="shared" si="5"/>
        <v>0.30458288448908055</v>
      </c>
      <c r="E22" s="209">
        <f t="shared" si="5"/>
        <v>0.12455170188906045</v>
      </c>
      <c r="F22" s="210">
        <f t="shared" si="5"/>
        <v>0</v>
      </c>
      <c r="G22" s="210">
        <f t="shared" si="5"/>
        <v>0</v>
      </c>
      <c r="H22" s="209">
        <f t="shared" si="5"/>
        <v>0.12455170188906045</v>
      </c>
      <c r="I22" s="210">
        <f t="shared" si="5"/>
        <v>0</v>
      </c>
      <c r="J22" s="211">
        <f t="shared" si="5"/>
        <v>0</v>
      </c>
    </row>
    <row r="23" spans="1:12">
      <c r="A23" s="6"/>
      <c r="B23" s="212"/>
      <c r="C23" s="213"/>
      <c r="D23" s="213"/>
      <c r="E23" s="212"/>
      <c r="F23" s="213"/>
      <c r="G23" s="213"/>
      <c r="H23" s="212"/>
      <c r="I23" s="213"/>
      <c r="J23" s="225"/>
    </row>
    <row r="24" spans="1:12">
      <c r="A24" s="25" t="s">
        <v>40</v>
      </c>
      <c r="B24" s="215">
        <f>+B54</f>
        <v>30000</v>
      </c>
      <c r="C24" s="226">
        <v>0</v>
      </c>
      <c r="D24" s="226">
        <v>80000</v>
      </c>
      <c r="E24" s="215">
        <f>+B55</f>
        <v>0</v>
      </c>
      <c r="F24" s="226">
        <v>0</v>
      </c>
      <c r="G24" s="216">
        <v>0</v>
      </c>
      <c r="H24" s="215">
        <f>+B56</f>
        <v>0</v>
      </c>
      <c r="I24" s="226">
        <v>0</v>
      </c>
      <c r="J24" s="217">
        <v>0</v>
      </c>
    </row>
    <row r="25" spans="1:12">
      <c r="B25" s="49"/>
      <c r="C25" s="47"/>
      <c r="D25" s="47"/>
      <c r="E25" s="47"/>
      <c r="F25" s="48"/>
      <c r="G25" s="47"/>
      <c r="H25" s="47"/>
      <c r="J25" s="46"/>
    </row>
    <row r="26" spans="1:12" ht="18" customHeight="1">
      <c r="A26" s="64"/>
      <c r="B26" s="359" t="s">
        <v>92</v>
      </c>
      <c r="C26" s="360"/>
      <c r="D26" s="361"/>
      <c r="E26" s="347" t="s">
        <v>90</v>
      </c>
      <c r="F26" s="348"/>
      <c r="G26" s="348"/>
      <c r="H26" s="362" t="s">
        <v>20</v>
      </c>
      <c r="I26" s="363"/>
      <c r="J26" s="364"/>
    </row>
    <row r="27" spans="1:12" s="46" customFormat="1" ht="15">
      <c r="A27" s="66"/>
      <c r="B27" s="198" t="str">
        <f>$B$4</f>
        <v>25 Standard</v>
      </c>
      <c r="C27" s="199" t="str">
        <f>+C4</f>
        <v>23 Actual</v>
      </c>
      <c r="D27" s="200" t="str">
        <f>+D4</f>
        <v>20 Standard</v>
      </c>
      <c r="E27" s="218" t="s">
        <v>113</v>
      </c>
      <c r="F27" s="327" t="s">
        <v>114</v>
      </c>
      <c r="G27" s="219" t="s">
        <v>111</v>
      </c>
      <c r="H27" s="143" t="str">
        <f>+B27</f>
        <v>25 Standard</v>
      </c>
      <c r="I27" s="144" t="str">
        <f>+C27</f>
        <v>23 Actual</v>
      </c>
      <c r="J27" s="145" t="str">
        <f>+D27</f>
        <v>20 Standard</v>
      </c>
    </row>
    <row r="28" spans="1:12" s="46" customFormat="1">
      <c r="A28" s="66"/>
      <c r="B28" s="201"/>
      <c r="C28" s="202" t="s">
        <v>89</v>
      </c>
      <c r="D28" s="203"/>
      <c r="E28" s="201"/>
      <c r="F28" s="202" t="s">
        <v>102</v>
      </c>
      <c r="G28" s="203"/>
      <c r="H28" s="146"/>
      <c r="I28" s="137"/>
      <c r="J28" s="115"/>
    </row>
    <row r="29" spans="1:12">
      <c r="A29" s="30" t="s">
        <v>50</v>
      </c>
      <c r="B29" s="204">
        <f>D82</f>
        <v>6.5965817666666662E-2</v>
      </c>
      <c r="C29" s="192">
        <v>0</v>
      </c>
      <c r="D29" s="205">
        <v>0</v>
      </c>
      <c r="E29" s="192">
        <f>IF(E47&lt;&gt;0,$L$96,0)</f>
        <v>7.0852831853116985E-2</v>
      </c>
      <c r="F29" s="192">
        <v>7.8E-2</v>
      </c>
      <c r="G29" s="205">
        <v>6.0259679999999996E-2</v>
      </c>
      <c r="H29" s="138">
        <v>0</v>
      </c>
      <c r="I29" s="24">
        <v>0</v>
      </c>
      <c r="J29" s="94">
        <v>0</v>
      </c>
      <c r="L29" s="46"/>
    </row>
    <row r="30" spans="1:12">
      <c r="A30" s="30" t="s">
        <v>27</v>
      </c>
      <c r="B30" s="204">
        <f>D169</f>
        <v>0</v>
      </c>
      <c r="C30" s="192">
        <v>0</v>
      </c>
      <c r="D30" s="205">
        <v>0</v>
      </c>
      <c r="E30" s="192">
        <f>IF(E47&lt;&gt;0,$G$169,0)-0.01</f>
        <v>3.3918811483700913E-2</v>
      </c>
      <c r="F30" s="192">
        <v>4.3200000000000002E-2</v>
      </c>
      <c r="G30" s="205">
        <v>2.6879417927194393E-2</v>
      </c>
      <c r="H30" s="138">
        <v>0</v>
      </c>
      <c r="I30" s="24">
        <v>0</v>
      </c>
      <c r="J30" s="94">
        <v>0</v>
      </c>
      <c r="L30" s="46"/>
    </row>
    <row r="31" spans="1:12">
      <c r="A31" s="6" t="s">
        <v>49</v>
      </c>
      <c r="B31" s="204">
        <f>D170</f>
        <v>0</v>
      </c>
      <c r="C31" s="192">
        <v>0</v>
      </c>
      <c r="D31" s="205">
        <v>0</v>
      </c>
      <c r="E31" s="192">
        <f>IF(E47&lt;&gt;0,$G$170,0)</f>
        <v>2.5999999999999999E-2</v>
      </c>
      <c r="F31" s="192">
        <v>1.9E-2</v>
      </c>
      <c r="G31" s="205">
        <v>2.8566999999999999E-2</v>
      </c>
      <c r="H31" s="138">
        <f>J170</f>
        <v>0</v>
      </c>
      <c r="I31" s="24">
        <v>0</v>
      </c>
      <c r="J31" s="94">
        <v>0</v>
      </c>
      <c r="L31" s="46"/>
    </row>
    <row r="32" spans="1:12">
      <c r="A32" s="30" t="s">
        <v>48</v>
      </c>
      <c r="B32" s="204">
        <f>IF($B$47&lt;&gt;0,$H$177,0)</f>
        <v>0</v>
      </c>
      <c r="C32" s="192">
        <v>0</v>
      </c>
      <c r="D32" s="205">
        <v>0</v>
      </c>
      <c r="E32" s="192">
        <f>IF(E47&lt;&gt;0,$H$177,0)</f>
        <v>0.03</v>
      </c>
      <c r="F32" s="192">
        <v>2.98E-2</v>
      </c>
      <c r="G32" s="205">
        <v>2.7777777777777776E-2</v>
      </c>
      <c r="H32" s="138">
        <v>0</v>
      </c>
      <c r="I32" s="24">
        <v>0</v>
      </c>
      <c r="J32" s="94">
        <v>0</v>
      </c>
      <c r="L32" s="46"/>
    </row>
    <row r="33" spans="1:12">
      <c r="A33" s="30" t="s">
        <v>47</v>
      </c>
      <c r="B33" s="204">
        <f>IF($B$47&lt;&gt;0,$H$181,0)</f>
        <v>0</v>
      </c>
      <c r="C33" s="192">
        <v>0</v>
      </c>
      <c r="D33" s="205">
        <v>0</v>
      </c>
      <c r="E33" s="192">
        <f>IF(E47&lt;&gt;0,$H$181,0)</f>
        <v>5.5102040816326532E-3</v>
      </c>
      <c r="F33" s="192">
        <v>1.1999999999999999E-3</v>
      </c>
      <c r="G33" s="205">
        <v>6.9444444444444441E-3</v>
      </c>
      <c r="H33" s="138">
        <v>0</v>
      </c>
      <c r="I33" s="24">
        <v>0</v>
      </c>
      <c r="J33" s="94">
        <v>0</v>
      </c>
      <c r="L33" s="46"/>
    </row>
    <row r="34" spans="1:12" ht="15">
      <c r="A34" s="30" t="s">
        <v>46</v>
      </c>
      <c r="B34" s="206">
        <f>IF($B$47&lt;&gt;0,$H$184,0)</f>
        <v>0</v>
      </c>
      <c r="C34" s="207">
        <v>0</v>
      </c>
      <c r="D34" s="208">
        <v>0</v>
      </c>
      <c r="E34" s="207">
        <f>IF(E47&lt;&gt;0,$H$184,0)</f>
        <v>1.1224489795918367E-2</v>
      </c>
      <c r="F34" s="207">
        <v>1.3899999999999999E-2</v>
      </c>
      <c r="G34" s="208">
        <v>1.2500000000000001E-2</v>
      </c>
      <c r="H34" s="139">
        <v>0</v>
      </c>
      <c r="I34" s="67">
        <v>0</v>
      </c>
      <c r="J34" s="95">
        <v>0</v>
      </c>
      <c r="L34" s="46"/>
    </row>
    <row r="35" spans="1:12">
      <c r="A35" s="30" t="s">
        <v>45</v>
      </c>
      <c r="B35" s="204">
        <f>SUM(B29:B34)</f>
        <v>6.5965817666666662E-2</v>
      </c>
      <c r="C35" s="192">
        <f t="shared" ref="C35:D35" si="6">SUM(C29:C34)</f>
        <v>0</v>
      </c>
      <c r="D35" s="192">
        <f t="shared" si="6"/>
        <v>0</v>
      </c>
      <c r="E35" s="192">
        <f t="shared" ref="E35" si="7">SUM(E29:E34)</f>
        <v>0.17750633721436893</v>
      </c>
      <c r="F35" s="192">
        <f>SUM(F29:F34)</f>
        <v>0.18509999999999999</v>
      </c>
      <c r="G35" s="192">
        <f>SUM(G29:G34)</f>
        <v>0.16292832014941663</v>
      </c>
      <c r="H35" s="138">
        <f>SUM(H29:H34)</f>
        <v>0</v>
      </c>
      <c r="I35" s="24">
        <f t="shared" ref="I35" si="8">SUM(I29:I34)</f>
        <v>0</v>
      </c>
      <c r="J35" s="94">
        <f>SUM(J29:J34)</f>
        <v>0</v>
      </c>
      <c r="L35" s="46"/>
    </row>
    <row r="36" spans="1:12">
      <c r="A36" s="30"/>
      <c r="B36" s="204"/>
      <c r="C36" s="192"/>
      <c r="D36" s="205"/>
      <c r="E36" s="204"/>
      <c r="F36" s="192"/>
      <c r="G36" s="205"/>
      <c r="H36" s="138"/>
      <c r="I36" s="24"/>
      <c r="J36" s="94"/>
      <c r="L36" s="46"/>
    </row>
    <row r="37" spans="1:12">
      <c r="A37" s="30" t="s">
        <v>31</v>
      </c>
      <c r="B37" s="204">
        <f>$D$124*$E$108/$B$49/1000</f>
        <v>1.306106392413699E-4</v>
      </c>
      <c r="C37" s="192">
        <v>0</v>
      </c>
      <c r="D37" s="205">
        <v>0</v>
      </c>
      <c r="E37" s="192">
        <f>IF($E$47&lt;&gt;0,$F$127/$E$47/1000,0)</f>
        <v>4.0001507410106898E-2</v>
      </c>
      <c r="F37" s="192">
        <v>3.5299999999999998E-2</v>
      </c>
      <c r="G37" s="205">
        <v>2.1569210091743118E-2</v>
      </c>
      <c r="H37" s="138">
        <v>0</v>
      </c>
      <c r="I37" s="24">
        <v>0</v>
      </c>
      <c r="J37" s="94">
        <v>0</v>
      </c>
      <c r="L37" s="46"/>
    </row>
    <row r="38" spans="1:12">
      <c r="A38" s="30" t="s">
        <v>44</v>
      </c>
      <c r="B38" s="204">
        <f>$H$124*$E$108/$B$49/1000</f>
        <v>0</v>
      </c>
      <c r="C38" s="192">
        <v>0</v>
      </c>
      <c r="D38" s="205">
        <v>0</v>
      </c>
      <c r="E38" s="192">
        <f>IF($E$47&lt;&gt;0,$F$128/$E$47/1000,0)</f>
        <v>4.806117346938775E-3</v>
      </c>
      <c r="F38" s="192">
        <v>6.7000000000000002E-3</v>
      </c>
      <c r="G38" s="205">
        <v>5.1700857142857144E-3</v>
      </c>
      <c r="H38" s="138">
        <v>0</v>
      </c>
      <c r="I38" s="24">
        <v>0</v>
      </c>
      <c r="J38" s="94">
        <v>0</v>
      </c>
      <c r="L38" s="46"/>
    </row>
    <row r="39" spans="1:12">
      <c r="A39" s="30" t="s">
        <v>43</v>
      </c>
      <c r="B39" s="204">
        <f>$D$131*$E$108/$B$49/1000</f>
        <v>0</v>
      </c>
      <c r="C39" s="192">
        <v>0</v>
      </c>
      <c r="D39" s="205">
        <v>0</v>
      </c>
      <c r="E39" s="192">
        <f>IF($E$47&lt;&gt;0,$F$130/$E$47/1000,0)</f>
        <v>1.2994211179543245E-2</v>
      </c>
      <c r="F39" s="192">
        <v>1.12E-2</v>
      </c>
      <c r="G39" s="205">
        <v>8.0162316187989569E-3</v>
      </c>
      <c r="H39" s="138">
        <v>0</v>
      </c>
      <c r="I39" s="24">
        <v>0</v>
      </c>
      <c r="J39" s="94">
        <v>0</v>
      </c>
      <c r="L39" s="46"/>
    </row>
    <row r="40" spans="1:12">
      <c r="A40" s="6" t="s">
        <v>5</v>
      </c>
      <c r="B40" s="204">
        <f>IF($B$49&lt;&gt;0,$F$194,0)</f>
        <v>0</v>
      </c>
      <c r="C40" s="192">
        <v>0</v>
      </c>
      <c r="D40" s="205">
        <v>0</v>
      </c>
      <c r="E40" s="192">
        <f>IF($E$47&lt;&gt;0,$F$129/$E$47/1000,0)</f>
        <v>0</v>
      </c>
      <c r="F40" s="192">
        <v>0</v>
      </c>
      <c r="G40" s="205">
        <v>4.7638888888888888E-4</v>
      </c>
      <c r="H40" s="138">
        <v>0</v>
      </c>
      <c r="I40" s="24">
        <v>0</v>
      </c>
      <c r="J40" s="94">
        <v>0</v>
      </c>
      <c r="L40" s="46"/>
    </row>
    <row r="41" spans="1:12">
      <c r="A41" s="6" t="s">
        <v>3</v>
      </c>
      <c r="B41" s="204">
        <f>IF($B$49&lt;&gt;0,$F$196,0)</f>
        <v>7.8437535816618907E-3</v>
      </c>
      <c r="C41" s="192">
        <v>0</v>
      </c>
      <c r="D41" s="205">
        <v>0</v>
      </c>
      <c r="E41" s="192">
        <f>IF($E$47&lt;&gt;0,$B$196/$B$49/1000/4,0)</f>
        <v>1.6341153295128941E-4</v>
      </c>
      <c r="F41" s="192">
        <v>8.5000000000000006E-3</v>
      </c>
      <c r="G41" s="205">
        <v>5.6777777777777781E-3</v>
      </c>
      <c r="H41" s="138">
        <v>0</v>
      </c>
      <c r="I41" s="24">
        <v>0</v>
      </c>
      <c r="J41" s="94">
        <v>0</v>
      </c>
      <c r="L41" s="46"/>
    </row>
    <row r="42" spans="1:12" ht="15">
      <c r="A42" s="6" t="s">
        <v>4</v>
      </c>
      <c r="B42" s="206">
        <f>IF($B$49&lt;&gt;0,$F$195,0)</f>
        <v>3.2905444126074497E-2</v>
      </c>
      <c r="C42" s="207">
        <v>0</v>
      </c>
      <c r="D42" s="208">
        <v>0</v>
      </c>
      <c r="E42" s="207">
        <f>IF($E$47&lt;&gt;0,$B$195/$B$49/1000/4,0)</f>
        <v>6.8553008595988543E-4</v>
      </c>
      <c r="F42" s="207">
        <v>3.6200000000000003E-2</v>
      </c>
      <c r="G42" s="208">
        <v>2.5861111111111109E-2</v>
      </c>
      <c r="H42" s="139">
        <v>0</v>
      </c>
      <c r="I42" s="67">
        <v>0</v>
      </c>
      <c r="J42" s="95">
        <v>0</v>
      </c>
      <c r="L42" s="46"/>
    </row>
    <row r="43" spans="1:12">
      <c r="A43" s="30" t="s">
        <v>42</v>
      </c>
      <c r="B43" s="204">
        <f t="shared" ref="B43:J43" si="9">SUM(B37:B42)</f>
        <v>4.0879808346977756E-2</v>
      </c>
      <c r="C43" s="192">
        <f t="shared" si="9"/>
        <v>0</v>
      </c>
      <c r="D43" s="192">
        <f t="shared" si="9"/>
        <v>0</v>
      </c>
      <c r="E43" s="192">
        <f t="shared" ref="E43" si="10">SUM(E37:E42)</f>
        <v>5.8650777555500098E-2</v>
      </c>
      <c r="F43" s="192">
        <f>SUM(F37:F42)</f>
        <v>9.7900000000000001E-2</v>
      </c>
      <c r="G43" s="192">
        <f t="shared" si="9"/>
        <v>6.6770805202605574E-2</v>
      </c>
      <c r="H43" s="138">
        <f t="shared" si="9"/>
        <v>0</v>
      </c>
      <c r="I43" s="24">
        <f t="shared" si="9"/>
        <v>0</v>
      </c>
      <c r="J43" s="94">
        <f t="shared" si="9"/>
        <v>0</v>
      </c>
      <c r="L43" s="46"/>
    </row>
    <row r="44" spans="1:12">
      <c r="A44" s="76" t="s">
        <v>112</v>
      </c>
      <c r="B44" s="204"/>
      <c r="C44" s="192"/>
      <c r="D44" s="205"/>
      <c r="E44" s="328"/>
      <c r="F44" s="328">
        <v>-4.5499999999999999E-2</v>
      </c>
      <c r="G44" s="205"/>
      <c r="H44" s="138"/>
      <c r="I44" s="24"/>
      <c r="J44" s="94"/>
      <c r="L44" s="46"/>
    </row>
    <row r="45" spans="1:12">
      <c r="A45" s="30" t="s">
        <v>41</v>
      </c>
      <c r="B45" s="209">
        <f>B35+B43</f>
        <v>0.10684562601364442</v>
      </c>
      <c r="C45" s="210">
        <f t="shared" ref="C45:J45" si="11">C35+C43</f>
        <v>0</v>
      </c>
      <c r="D45" s="211">
        <v>0.19962945623832437</v>
      </c>
      <c r="E45" s="210">
        <f>E35+E43+E44</f>
        <v>0.23615711476986903</v>
      </c>
      <c r="F45" s="210">
        <f>F35+F43+F44</f>
        <v>0.23749999999999999</v>
      </c>
      <c r="G45" s="211">
        <f>+G35+G43</f>
        <v>0.22969912535202219</v>
      </c>
      <c r="H45" s="140">
        <f t="shared" si="11"/>
        <v>0</v>
      </c>
      <c r="I45" s="124">
        <f t="shared" si="11"/>
        <v>0</v>
      </c>
      <c r="J45" s="125">
        <f t="shared" si="11"/>
        <v>0</v>
      </c>
      <c r="L45" s="46"/>
    </row>
    <row r="46" spans="1:12">
      <c r="A46" s="6"/>
      <c r="B46" s="212"/>
      <c r="C46" s="213"/>
      <c r="D46" s="214"/>
      <c r="E46" s="212"/>
      <c r="F46" s="213"/>
      <c r="G46" s="214"/>
      <c r="H46" s="141"/>
      <c r="I46" s="24"/>
      <c r="J46" s="94"/>
    </row>
    <row r="47" spans="1:12">
      <c r="A47" s="25" t="s">
        <v>40</v>
      </c>
      <c r="B47" s="215">
        <f>+B57</f>
        <v>0</v>
      </c>
      <c r="C47" s="216">
        <v>0</v>
      </c>
      <c r="D47" s="217">
        <v>0</v>
      </c>
      <c r="E47" s="215">
        <f>+B58</f>
        <v>4900</v>
      </c>
      <c r="F47" s="216">
        <v>15776</v>
      </c>
      <c r="G47" s="217">
        <v>36000</v>
      </c>
      <c r="H47" s="142">
        <f>+B59</f>
        <v>0</v>
      </c>
      <c r="I47" s="112">
        <v>0</v>
      </c>
      <c r="J47" s="147">
        <v>0</v>
      </c>
    </row>
    <row r="49" spans="1:12">
      <c r="A49" s="68" t="s">
        <v>39</v>
      </c>
      <c r="B49" s="114">
        <f>B24+E24+H24+B47+E47+H47</f>
        <v>34900</v>
      </c>
      <c r="C49" s="126">
        <f>C24+F24+I24+C47+F47+I47</f>
        <v>15776</v>
      </c>
      <c r="D49" s="127">
        <f>D24+G24+J24+D47+G47+J47</f>
        <v>116000</v>
      </c>
      <c r="E49" s="113"/>
    </row>
    <row r="50" spans="1:12"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>
      <c r="A51" s="54" t="s">
        <v>38</v>
      </c>
      <c r="B51" s="365" t="s">
        <v>37</v>
      </c>
      <c r="C51" s="365"/>
      <c r="D51" s="365"/>
      <c r="E51" s="365"/>
      <c r="F51" s="365"/>
      <c r="G51" s="365"/>
      <c r="H51" s="365"/>
      <c r="I51" s="365"/>
      <c r="J51" s="365"/>
      <c r="K51" s="365"/>
      <c r="L51" s="12"/>
    </row>
    <row r="52" spans="1:12">
      <c r="A52" s="30"/>
      <c r="L52" s="12"/>
    </row>
    <row r="53" spans="1:12" ht="15">
      <c r="A53" s="82" t="s">
        <v>61</v>
      </c>
      <c r="B53" s="45" t="s">
        <v>62</v>
      </c>
      <c r="C53" s="45" t="s">
        <v>64</v>
      </c>
      <c r="D53" s="185"/>
      <c r="E53" s="5"/>
      <c r="F53" s="45"/>
      <c r="G53" s="5"/>
      <c r="H53" s="5"/>
      <c r="L53" s="12"/>
    </row>
    <row r="54" spans="1:12" ht="15">
      <c r="A54" s="30" t="s">
        <v>95</v>
      </c>
      <c r="B54" s="120">
        <f>'2025 Summary'!$D$7</f>
        <v>30000</v>
      </c>
      <c r="C54" s="129">
        <f>B54/$B$60</f>
        <v>0.85959885386819479</v>
      </c>
      <c r="D54" s="32"/>
      <c r="E54" s="5">
        <f>9*400000*7</f>
        <v>25200000</v>
      </c>
      <c r="F54" s="44"/>
      <c r="G54" s="5" t="s">
        <v>20</v>
      </c>
      <c r="H54" s="121"/>
      <c r="L54" s="12"/>
    </row>
    <row r="55" spans="1:12" ht="15">
      <c r="A55" s="30" t="s">
        <v>96</v>
      </c>
      <c r="B55" s="120">
        <v>0</v>
      </c>
      <c r="C55" s="129">
        <f t="shared" ref="C55:C60" si="12">B55/$B$60</f>
        <v>0</v>
      </c>
      <c r="D55" s="32"/>
      <c r="E55" s="5"/>
      <c r="F55" s="44"/>
      <c r="G55" s="5" t="s">
        <v>20</v>
      </c>
      <c r="H55" s="121"/>
      <c r="L55" s="12"/>
    </row>
    <row r="56" spans="1:12" ht="15">
      <c r="A56" s="30" t="s">
        <v>97</v>
      </c>
      <c r="B56" s="120">
        <v>0</v>
      </c>
      <c r="C56" s="129">
        <f t="shared" si="12"/>
        <v>0</v>
      </c>
      <c r="D56" s="32"/>
      <c r="E56" s="5"/>
      <c r="F56" s="5"/>
      <c r="G56" s="5"/>
      <c r="H56" s="5"/>
      <c r="L56" s="12"/>
    </row>
    <row r="57" spans="1:12" ht="15">
      <c r="A57" s="30" t="s">
        <v>92</v>
      </c>
      <c r="B57" s="120">
        <v>0</v>
      </c>
      <c r="C57" s="129">
        <f t="shared" si="12"/>
        <v>0</v>
      </c>
      <c r="D57" s="32"/>
      <c r="E57" s="5"/>
      <c r="F57" s="5"/>
      <c r="G57" s="5"/>
      <c r="H57" s="5"/>
      <c r="L57" s="12"/>
    </row>
    <row r="58" spans="1:12" ht="15">
      <c r="A58" s="30" t="s">
        <v>90</v>
      </c>
      <c r="B58" s="103">
        <f>'2025 Summary'!$E$7</f>
        <v>4900</v>
      </c>
      <c r="C58" s="129">
        <f t="shared" si="12"/>
        <v>0.14040114613180515</v>
      </c>
      <c r="D58" s="32"/>
      <c r="E58" s="5"/>
      <c r="F58" s="5"/>
      <c r="G58" s="5"/>
      <c r="H58" s="5"/>
      <c r="L58" s="12"/>
    </row>
    <row r="59" spans="1:12" ht="15">
      <c r="A59" s="30" t="s">
        <v>20</v>
      </c>
      <c r="B59" s="120">
        <v>0</v>
      </c>
      <c r="C59" s="130">
        <f t="shared" si="12"/>
        <v>0</v>
      </c>
      <c r="D59" s="32"/>
      <c r="E59" s="5"/>
      <c r="F59" s="5"/>
      <c r="G59" s="5"/>
      <c r="H59" s="5"/>
      <c r="L59" s="12"/>
    </row>
    <row r="60" spans="1:12">
      <c r="A60" s="83" t="s">
        <v>65</v>
      </c>
      <c r="B60" s="112">
        <f>SUM(B54:B59)</f>
        <v>34900</v>
      </c>
      <c r="C60" s="188">
        <f t="shared" si="12"/>
        <v>1</v>
      </c>
      <c r="D60" s="75"/>
      <c r="E60" s="53"/>
      <c r="F60" s="53"/>
      <c r="G60" s="53"/>
      <c r="H60" s="53"/>
      <c r="I60" s="10"/>
      <c r="J60" s="10"/>
      <c r="K60" s="10"/>
      <c r="L60" s="9"/>
    </row>
    <row r="61" spans="1:12">
      <c r="A61" s="16"/>
      <c r="B61" s="5"/>
      <c r="C61" s="5"/>
      <c r="D61" s="5"/>
      <c r="E61" s="5"/>
      <c r="F61" s="5"/>
      <c r="G61" s="5"/>
      <c r="H61" s="122"/>
      <c r="L61" s="12"/>
    </row>
    <row r="62" spans="1:12" ht="15" customHeight="1">
      <c r="A62" s="16"/>
      <c r="B62" s="5"/>
      <c r="C62" s="366" t="s">
        <v>35</v>
      </c>
      <c r="D62" s="366"/>
      <c r="E62" s="366"/>
      <c r="F62" s="366"/>
      <c r="G62" s="367" t="s">
        <v>60</v>
      </c>
      <c r="H62" s="367"/>
      <c r="I62" s="367"/>
      <c r="J62" s="367"/>
      <c r="K62" s="367"/>
      <c r="L62" s="233"/>
    </row>
    <row r="63" spans="1:12" s="36" customFormat="1" ht="15">
      <c r="A63" s="229" t="s">
        <v>66</v>
      </c>
      <c r="B63" s="101" t="s">
        <v>36</v>
      </c>
      <c r="C63" s="184" t="s">
        <v>95</v>
      </c>
      <c r="D63" s="197" t="s">
        <v>96</v>
      </c>
      <c r="E63" s="197" t="s">
        <v>97</v>
      </c>
      <c r="F63" s="197" t="s">
        <v>92</v>
      </c>
      <c r="G63" s="197" t="s">
        <v>98</v>
      </c>
      <c r="H63" s="184" t="s">
        <v>95</v>
      </c>
      <c r="I63" s="197" t="s">
        <v>96</v>
      </c>
      <c r="J63" s="197" t="s">
        <v>97</v>
      </c>
      <c r="K63" s="185" t="s">
        <v>92</v>
      </c>
      <c r="L63" s="197" t="s">
        <v>98</v>
      </c>
    </row>
    <row r="64" spans="1:12" s="36" customFormat="1" ht="15">
      <c r="A64" s="136" t="s">
        <v>71</v>
      </c>
      <c r="B64" s="235">
        <f>11.89*2</f>
        <v>23.78</v>
      </c>
      <c r="C64" s="248">
        <f>$C$76*H64</f>
        <v>0</v>
      </c>
      <c r="D64" s="248">
        <f>$C$86*I64</f>
        <v>0</v>
      </c>
      <c r="E64" s="248">
        <f>$G$86*J64</f>
        <v>0</v>
      </c>
      <c r="F64" s="248">
        <f>$K$86*K64</f>
        <v>0</v>
      </c>
      <c r="G64" s="109">
        <f>$K$86*L64</f>
        <v>0</v>
      </c>
      <c r="H64" s="246">
        <v>0</v>
      </c>
      <c r="I64" s="246">
        <v>0</v>
      </c>
      <c r="J64" s="246">
        <v>0</v>
      </c>
      <c r="K64" s="247">
        <v>0</v>
      </c>
      <c r="L64" s="187">
        <v>0</v>
      </c>
    </row>
    <row r="65" spans="1:12" s="36" customFormat="1" ht="15">
      <c r="A65" s="136"/>
      <c r="B65" s="120">
        <v>0</v>
      </c>
      <c r="C65" s="249">
        <f>$C$76*H65</f>
        <v>0</v>
      </c>
      <c r="D65" s="249">
        <f>$C$86*I65</f>
        <v>0</v>
      </c>
      <c r="E65" s="249">
        <f>$G$86*J65</f>
        <v>0</v>
      </c>
      <c r="F65" s="249">
        <f>$K$86*K65</f>
        <v>0</v>
      </c>
      <c r="G65" s="111">
        <f>$K$86*L65</f>
        <v>0</v>
      </c>
      <c r="H65" s="246">
        <v>0</v>
      </c>
      <c r="I65" s="246">
        <v>0</v>
      </c>
      <c r="J65" s="246">
        <v>0</v>
      </c>
      <c r="K65" s="247">
        <v>0</v>
      </c>
      <c r="L65" s="187">
        <v>0</v>
      </c>
    </row>
    <row r="66" spans="1:12" s="36" customFormat="1">
      <c r="A66" s="136"/>
      <c r="B66" s="42"/>
      <c r="C66" s="109">
        <f>SUM(C64:C65)</f>
        <v>0</v>
      </c>
      <c r="D66" s="109">
        <f>SUM(D64:D65)</f>
        <v>0</v>
      </c>
      <c r="E66" s="109">
        <f>SUM(E64:E65)</f>
        <v>0</v>
      </c>
      <c r="F66" s="109">
        <f>SUM(F64:F65)</f>
        <v>0</v>
      </c>
      <c r="G66" s="109">
        <f>SUM(G64:G65)</f>
        <v>0</v>
      </c>
      <c r="H66" s="80"/>
      <c r="I66" s="80"/>
      <c r="J66" s="80"/>
      <c r="K66" s="110"/>
      <c r="L66" s="110"/>
    </row>
    <row r="67" spans="1:12" s="36" customFormat="1">
      <c r="A67" s="230" t="s">
        <v>70</v>
      </c>
      <c r="B67" s="42"/>
      <c r="C67" s="109"/>
      <c r="D67" s="109"/>
      <c r="E67" s="109"/>
      <c r="F67" s="109"/>
      <c r="G67" s="109"/>
      <c r="H67" s="80"/>
      <c r="I67" s="80"/>
      <c r="J67" s="80"/>
      <c r="K67" s="110"/>
      <c r="L67" s="110"/>
    </row>
    <row r="68" spans="1:12" s="36" customFormat="1" ht="15">
      <c r="A68" s="136" t="s">
        <v>99</v>
      </c>
      <c r="B68" s="235">
        <v>0</v>
      </c>
      <c r="C68" s="248">
        <f>$C$77*H68</f>
        <v>0</v>
      </c>
      <c r="D68" s="248">
        <f>$C$87*I68</f>
        <v>0</v>
      </c>
      <c r="E68" s="248">
        <f>$G$87*J68</f>
        <v>0</v>
      </c>
      <c r="F68" s="248">
        <f t="shared" ref="F68:G71" si="13">$K$87*K68</f>
        <v>0</v>
      </c>
      <c r="G68" s="109">
        <f t="shared" si="13"/>
        <v>0</v>
      </c>
      <c r="H68" s="246">
        <v>0</v>
      </c>
      <c r="I68" s="246">
        <v>0</v>
      </c>
      <c r="J68" s="246">
        <v>0</v>
      </c>
      <c r="K68" s="247">
        <v>0</v>
      </c>
      <c r="L68" s="187">
        <v>0</v>
      </c>
    </row>
    <row r="69" spans="1:12" s="36" customFormat="1" ht="15">
      <c r="A69" s="136" t="s">
        <v>100</v>
      </c>
      <c r="B69" s="235">
        <f>116.72*2</f>
        <v>233.44</v>
      </c>
      <c r="C69" s="248">
        <f>$C$77*H69</f>
        <v>0</v>
      </c>
      <c r="D69" s="248">
        <f>$C$87*I69</f>
        <v>0</v>
      </c>
      <c r="E69" s="248">
        <f>$G$87*J69</f>
        <v>0</v>
      </c>
      <c r="F69" s="248">
        <f t="shared" si="13"/>
        <v>0</v>
      </c>
      <c r="G69" s="109">
        <f t="shared" si="13"/>
        <v>0</v>
      </c>
      <c r="H69" s="246">
        <v>0</v>
      </c>
      <c r="I69" s="246">
        <v>0</v>
      </c>
      <c r="J69" s="246">
        <v>0</v>
      </c>
      <c r="K69" s="247">
        <v>0</v>
      </c>
      <c r="L69" s="187">
        <v>0</v>
      </c>
    </row>
    <row r="70" spans="1:12" s="36" customFormat="1" ht="15">
      <c r="A70" s="136" t="s">
        <v>20</v>
      </c>
      <c r="B70" s="120">
        <v>0</v>
      </c>
      <c r="C70" s="248">
        <v>0</v>
      </c>
      <c r="D70" s="248">
        <f>$C$87*I70</f>
        <v>0</v>
      </c>
      <c r="E70" s="248">
        <f>$G$87*J70</f>
        <v>0</v>
      </c>
      <c r="F70" s="248">
        <f t="shared" si="13"/>
        <v>0</v>
      </c>
      <c r="G70" s="109">
        <f t="shared" si="13"/>
        <v>0</v>
      </c>
      <c r="H70" s="246">
        <v>0</v>
      </c>
      <c r="I70" s="246">
        <v>0</v>
      </c>
      <c r="J70" s="246">
        <v>0</v>
      </c>
      <c r="K70" s="247">
        <v>0</v>
      </c>
      <c r="L70" s="187">
        <v>0</v>
      </c>
    </row>
    <row r="71" spans="1:12" s="36" customFormat="1" ht="15">
      <c r="A71" s="136"/>
      <c r="B71" s="120">
        <v>0</v>
      </c>
      <c r="C71" s="249">
        <v>0</v>
      </c>
      <c r="D71" s="249">
        <f>$C$87*I71</f>
        <v>0</v>
      </c>
      <c r="E71" s="249">
        <f>$G$87*J71</f>
        <v>0</v>
      </c>
      <c r="F71" s="249">
        <f t="shared" si="13"/>
        <v>0</v>
      </c>
      <c r="G71" s="111">
        <f t="shared" si="13"/>
        <v>0</v>
      </c>
      <c r="H71" s="246">
        <v>0</v>
      </c>
      <c r="I71" s="246">
        <v>0</v>
      </c>
      <c r="J71" s="246">
        <v>0</v>
      </c>
      <c r="K71" s="247">
        <v>0</v>
      </c>
      <c r="L71" s="187">
        <v>0</v>
      </c>
    </row>
    <row r="72" spans="1:12" s="36" customFormat="1">
      <c r="A72" s="148"/>
      <c r="B72" s="42"/>
      <c r="C72" s="109">
        <f>SUM(C68:C71)</f>
        <v>0</v>
      </c>
      <c r="D72" s="109">
        <f>SUM(D68:D71)</f>
        <v>0</v>
      </c>
      <c r="E72" s="109">
        <f>SUM(E68:E71)</f>
        <v>0</v>
      </c>
      <c r="F72" s="109">
        <f>SUM(F68:F71)</f>
        <v>0</v>
      </c>
      <c r="G72" s="109">
        <f>SUM(G68:G71)</f>
        <v>0</v>
      </c>
      <c r="H72" s="80"/>
      <c r="I72" s="80"/>
      <c r="L72" s="119"/>
    </row>
    <row r="73" spans="1:12" s="36" customFormat="1">
      <c r="A73" s="148"/>
      <c r="B73" s="42"/>
      <c r="C73" s="109"/>
      <c r="D73" s="109"/>
      <c r="E73" s="109"/>
      <c r="F73" s="80"/>
      <c r="G73" s="80"/>
      <c r="H73" s="80"/>
      <c r="I73" s="80"/>
      <c r="L73" s="119"/>
    </row>
    <row r="74" spans="1:12" s="36" customFormat="1" ht="15">
      <c r="A74" s="6"/>
      <c r="B74" s="354" t="s">
        <v>95</v>
      </c>
      <c r="C74" s="354"/>
      <c r="D74" s="354"/>
      <c r="E74" s="37"/>
      <c r="F74" s="354" t="s">
        <v>96</v>
      </c>
      <c r="G74" s="354"/>
      <c r="H74" s="354"/>
      <c r="I74" s="185"/>
      <c r="L74" s="119"/>
    </row>
    <row r="75" spans="1:12" s="36" customFormat="1" ht="15" customHeight="1">
      <c r="A75" s="229"/>
      <c r="B75" s="278" t="s">
        <v>34</v>
      </c>
      <c r="C75" s="279" t="s">
        <v>35</v>
      </c>
      <c r="D75" s="35" t="s">
        <v>63</v>
      </c>
      <c r="E75" s="37"/>
      <c r="F75" s="35" t="s">
        <v>34</v>
      </c>
      <c r="G75" s="41" t="s">
        <v>35</v>
      </c>
      <c r="H75" s="35" t="s">
        <v>63</v>
      </c>
      <c r="I75" s="35"/>
      <c r="L75" s="119"/>
    </row>
    <row r="76" spans="1:12" s="36" customFormat="1" ht="15">
      <c r="A76" s="30" t="s">
        <v>66</v>
      </c>
      <c r="B76" s="280">
        <f>0.011</f>
        <v>1.0999999999999999E-2</v>
      </c>
      <c r="C76" s="242">
        <f>AVERAGE(3.6826,3.5997, 2.6808)</f>
        <v>3.3210333333333328</v>
      </c>
      <c r="D76" s="33">
        <f>B76*C76</f>
        <v>3.6531366666666662E-2</v>
      </c>
      <c r="F76" s="73">
        <v>0</v>
      </c>
      <c r="G76" s="118">
        <v>0</v>
      </c>
      <c r="H76" s="33">
        <f>F76*G76</f>
        <v>0</v>
      </c>
      <c r="I76" s="33"/>
      <c r="L76" s="119"/>
    </row>
    <row r="77" spans="1:12" s="36" customFormat="1" ht="15">
      <c r="A77" s="231" t="s">
        <v>69</v>
      </c>
      <c r="B77" s="272">
        <f>($B$68*$H$68+$B$69*$H$69+$B$70*$H$70+$B$71*$H$71)/2000</f>
        <v>0</v>
      </c>
      <c r="C77" s="242">
        <v>0</v>
      </c>
      <c r="D77" s="52">
        <f>B77*C77</f>
        <v>0</v>
      </c>
      <c r="F77" s="24">
        <f>($B$68*$L$68+$B$69*$L$69+$B$70*$L$70+$B$71*$L$71)/2000</f>
        <v>0</v>
      </c>
      <c r="G77" s="118">
        <v>0</v>
      </c>
      <c r="H77" s="52">
        <f>F77*G77</f>
        <v>0</v>
      </c>
      <c r="I77" s="52"/>
      <c r="L77" s="228"/>
    </row>
    <row r="78" spans="1:12" s="36" customFormat="1" ht="15">
      <c r="A78" s="30" t="s">
        <v>104</v>
      </c>
      <c r="B78" s="281">
        <v>1.8380000000000001</v>
      </c>
      <c r="C78" s="242">
        <v>8.0999999999999996E-3</v>
      </c>
      <c r="D78" s="52">
        <f>B78*C78</f>
        <v>1.48878E-2</v>
      </c>
      <c r="F78" s="24">
        <f>+B78</f>
        <v>1.8380000000000001</v>
      </c>
      <c r="G78" s="118">
        <v>0</v>
      </c>
      <c r="H78" s="52">
        <f>F78*G78</f>
        <v>0</v>
      </c>
      <c r="I78" s="52"/>
      <c r="L78" s="119"/>
    </row>
    <row r="79" spans="1:12" s="36" customFormat="1" ht="15">
      <c r="A79" s="30" t="s">
        <v>105</v>
      </c>
      <c r="B79" s="272">
        <f>750/1000</f>
        <v>0.75</v>
      </c>
      <c r="C79" s="242">
        <v>1.61E-2</v>
      </c>
      <c r="D79" s="52">
        <f t="shared" ref="D79:D80" si="14">B79*C79</f>
        <v>1.2074999999999999E-2</v>
      </c>
      <c r="F79" s="24">
        <f>+B79</f>
        <v>0.75</v>
      </c>
      <c r="G79" s="118">
        <v>0</v>
      </c>
      <c r="H79" s="52"/>
      <c r="I79" s="52"/>
      <c r="L79" s="119"/>
    </row>
    <row r="80" spans="1:12" s="36" customFormat="1" ht="16.5">
      <c r="A80" s="30" t="s">
        <v>103</v>
      </c>
      <c r="B80" s="272">
        <f>157.43/1000</f>
        <v>0.15743000000000001</v>
      </c>
      <c r="C80" s="242">
        <v>1.5699999999999999E-2</v>
      </c>
      <c r="D80" s="52">
        <f t="shared" si="14"/>
        <v>2.4716510000000001E-3</v>
      </c>
      <c r="F80" s="24">
        <f>+B80</f>
        <v>0.15743000000000001</v>
      </c>
      <c r="G80" s="118">
        <v>0</v>
      </c>
      <c r="H80" s="40">
        <v>0</v>
      </c>
      <c r="I80" s="40"/>
      <c r="L80" s="119"/>
    </row>
    <row r="82" spans="1:12" s="36" customFormat="1">
      <c r="A82" s="76" t="s">
        <v>67</v>
      </c>
      <c r="B82" s="74"/>
      <c r="C82" s="39"/>
      <c r="D82" s="38">
        <f>SUM(D76:D80)</f>
        <v>6.5965817666666662E-2</v>
      </c>
      <c r="F82" s="74"/>
      <c r="G82" s="39"/>
      <c r="H82" s="38">
        <f>SUM(H76:H80)</f>
        <v>0</v>
      </c>
      <c r="I82" s="38"/>
      <c r="L82" s="119"/>
    </row>
    <row r="83" spans="1:12" s="36" customFormat="1">
      <c r="A83" s="30"/>
      <c r="E83" s="37"/>
      <c r="F83" s="43"/>
      <c r="G83" s="42"/>
      <c r="H83" s="42"/>
      <c r="I83" s="42"/>
      <c r="L83" s="119"/>
    </row>
    <row r="84" spans="1:12" ht="15">
      <c r="A84" s="6"/>
      <c r="B84" s="354" t="s">
        <v>97</v>
      </c>
      <c r="C84" s="354"/>
      <c r="D84" s="354"/>
      <c r="E84" s="5"/>
      <c r="F84" s="354" t="s">
        <v>92</v>
      </c>
      <c r="G84" s="354"/>
      <c r="H84" s="354"/>
      <c r="I84" s="185"/>
      <c r="J84" s="354" t="s">
        <v>98</v>
      </c>
      <c r="K84" s="354"/>
      <c r="L84" s="355"/>
    </row>
    <row r="85" spans="1:12" ht="28.9" customHeight="1">
      <c r="A85" s="6"/>
      <c r="B85" s="35" t="s">
        <v>34</v>
      </c>
      <c r="C85" s="196" t="s">
        <v>101</v>
      </c>
      <c r="D85" s="35" t="s">
        <v>63</v>
      </c>
      <c r="F85" s="35" t="s">
        <v>34</v>
      </c>
      <c r="G85" s="41" t="s">
        <v>35</v>
      </c>
      <c r="H85" s="35" t="s">
        <v>63</v>
      </c>
      <c r="I85" s="35"/>
      <c r="J85" s="35" t="s">
        <v>34</v>
      </c>
      <c r="K85" s="41" t="s">
        <v>35</v>
      </c>
      <c r="L85" s="34" t="s">
        <v>63</v>
      </c>
    </row>
    <row r="86" spans="1:12" ht="15">
      <c r="A86" s="232" t="s">
        <v>68</v>
      </c>
      <c r="B86" s="73">
        <f>($B$64*$I$64+$B$65*$I$65)/2000</f>
        <v>0</v>
      </c>
      <c r="C86" s="118">
        <v>0</v>
      </c>
      <c r="D86" s="33">
        <f>B86*C86</f>
        <v>0</v>
      </c>
      <c r="F86" s="73">
        <f>($B$64*$J$64+$B$65*$J$65)/2000</f>
        <v>0</v>
      </c>
      <c r="G86" s="118">
        <v>0</v>
      </c>
      <c r="H86" s="89">
        <f>F86*G86</f>
        <v>0</v>
      </c>
      <c r="I86" s="89"/>
      <c r="J86" s="73">
        <f>($B$64*$K$64+$B$65*$K$65)/2000</f>
        <v>0</v>
      </c>
      <c r="K86" s="118">
        <v>0</v>
      </c>
      <c r="L86" s="50">
        <f>J86*K86</f>
        <v>0</v>
      </c>
    </row>
    <row r="87" spans="1:12" ht="15">
      <c r="A87" s="6" t="s">
        <v>69</v>
      </c>
      <c r="B87" s="24">
        <f>($B$68*$I$68+$B$69*$I$69+$B$70*$I$70+$B$71*$I$71)/2000</f>
        <v>0</v>
      </c>
      <c r="C87" s="118">
        <v>0</v>
      </c>
      <c r="D87" s="13">
        <f t="shared" ref="D87:D92" si="15">B87*C87</f>
        <v>0</v>
      </c>
      <c r="F87" s="24">
        <f>($B$68*$J$68+$B$69*$J$69+$B$70*$J$70+$B$71*$J$71)/2000</f>
        <v>0</v>
      </c>
      <c r="G87" s="118">
        <v>0</v>
      </c>
      <c r="H87" s="100">
        <f t="shared" ref="H87:H92" si="16">F87*G87</f>
        <v>0</v>
      </c>
      <c r="I87" s="13"/>
      <c r="J87" s="24">
        <f>($B$68*$K$68+$B$69*$K$69+$B$70*$K$70+$B$71*$K$71)/2000</f>
        <v>0</v>
      </c>
      <c r="K87" s="118">
        <v>0</v>
      </c>
      <c r="L87" s="31">
        <f t="shared" ref="L87:L94" si="17">J87*K87</f>
        <v>0</v>
      </c>
    </row>
    <row r="88" spans="1:12" ht="16.5">
      <c r="A88" s="30" t="s">
        <v>104</v>
      </c>
      <c r="B88" s="47">
        <v>2.54</v>
      </c>
      <c r="C88" s="118">
        <v>0</v>
      </c>
      <c r="D88" s="13">
        <f t="shared" si="15"/>
        <v>0</v>
      </c>
      <c r="F88" s="24">
        <f>+B88</f>
        <v>2.54</v>
      </c>
      <c r="G88" s="118">
        <v>0</v>
      </c>
      <c r="H88" s="100">
        <f t="shared" si="16"/>
        <v>0</v>
      </c>
      <c r="I88" s="88"/>
      <c r="J88" s="272">
        <v>1.964</v>
      </c>
      <c r="K88" s="118">
        <v>2.0848163962425278E-2</v>
      </c>
      <c r="L88" s="190">
        <f t="shared" si="17"/>
        <v>4.0945794022203247E-2</v>
      </c>
    </row>
    <row r="89" spans="1:12" ht="16.5">
      <c r="A89" s="30" t="s">
        <v>105</v>
      </c>
      <c r="B89" s="24">
        <f>750/1000</f>
        <v>0.75</v>
      </c>
      <c r="C89" s="118">
        <v>0</v>
      </c>
      <c r="D89" s="13">
        <f t="shared" si="15"/>
        <v>0</v>
      </c>
      <c r="F89" s="24">
        <f>+B89</f>
        <v>0.75</v>
      </c>
      <c r="G89" s="118">
        <v>0</v>
      </c>
      <c r="H89" s="100">
        <f t="shared" si="16"/>
        <v>0</v>
      </c>
      <c r="I89" s="88"/>
      <c r="J89" s="272">
        <v>0.59099999999999997</v>
      </c>
      <c r="K89" s="118">
        <v>3.101451750640478E-3</v>
      </c>
      <c r="L89" s="190">
        <f t="shared" si="17"/>
        <v>1.8329579846285225E-3</v>
      </c>
    </row>
    <row r="90" spans="1:12" ht="16.5">
      <c r="A90" s="30" t="s">
        <v>103</v>
      </c>
      <c r="B90" s="24">
        <f>157.43/1000</f>
        <v>0.15743000000000001</v>
      </c>
      <c r="C90" s="118">
        <v>0</v>
      </c>
      <c r="D90" s="13">
        <f t="shared" si="15"/>
        <v>0</v>
      </c>
      <c r="F90" s="24">
        <f>+B90</f>
        <v>0.15743000000000001</v>
      </c>
      <c r="G90" s="118">
        <v>0</v>
      </c>
      <c r="H90" s="100">
        <f t="shared" si="16"/>
        <v>0</v>
      </c>
      <c r="I90" s="88"/>
      <c r="J90" s="272">
        <v>0.105</v>
      </c>
      <c r="K90" s="118">
        <v>0.1</v>
      </c>
      <c r="L90" s="190">
        <f t="shared" si="17"/>
        <v>1.0500000000000001E-2</v>
      </c>
    </row>
    <row r="91" spans="1:12" ht="16.5">
      <c r="A91" s="30" t="s">
        <v>106</v>
      </c>
      <c r="B91" s="24"/>
      <c r="C91" s="118">
        <v>0</v>
      </c>
      <c r="D91" s="13">
        <f t="shared" si="15"/>
        <v>0</v>
      </c>
      <c r="F91" s="24">
        <f>+B91</f>
        <v>0</v>
      </c>
      <c r="G91" s="118">
        <v>0</v>
      </c>
      <c r="H91" s="100">
        <f t="shared" si="16"/>
        <v>0</v>
      </c>
      <c r="I91" s="88"/>
      <c r="J91" s="272">
        <v>1.0269999999999999</v>
      </c>
      <c r="K91" s="118">
        <v>2.1752348420153713E-3</v>
      </c>
      <c r="L91" s="190">
        <f t="shared" si="17"/>
        <v>2.2339661827497862E-3</v>
      </c>
    </row>
    <row r="92" spans="1:12" ht="16.5">
      <c r="A92" s="30" t="s">
        <v>107</v>
      </c>
      <c r="B92" s="24"/>
      <c r="C92" s="118">
        <v>0</v>
      </c>
      <c r="D92" s="13">
        <f t="shared" si="15"/>
        <v>0</v>
      </c>
      <c r="F92" s="24">
        <f>+B92</f>
        <v>0</v>
      </c>
      <c r="G92" s="118">
        <v>0</v>
      </c>
      <c r="H92" s="100">
        <f t="shared" si="16"/>
        <v>0</v>
      </c>
      <c r="I92" s="88"/>
      <c r="J92" s="272">
        <v>1.389</v>
      </c>
      <c r="K92" s="118">
        <v>2.3312553373185311E-3</v>
      </c>
      <c r="L92" s="190">
        <f t="shared" si="17"/>
        <v>3.2381136635354396E-3</v>
      </c>
    </row>
    <row r="93" spans="1:12" ht="16.5">
      <c r="A93" s="30" t="s">
        <v>108</v>
      </c>
      <c r="B93" s="239"/>
      <c r="C93" s="118"/>
      <c r="D93" s="13"/>
      <c r="F93" s="24"/>
      <c r="G93" s="118"/>
      <c r="H93" s="100"/>
      <c r="I93" s="88"/>
      <c r="J93" s="273">
        <v>18.84</v>
      </c>
      <c r="K93" s="118">
        <v>5.9999999999999995E-4</v>
      </c>
      <c r="L93" s="190">
        <f t="shared" si="17"/>
        <v>1.1303999999999998E-2</v>
      </c>
    </row>
    <row r="94" spans="1:12" ht="16.5">
      <c r="A94" s="30" t="s">
        <v>109</v>
      </c>
      <c r="B94" s="238"/>
      <c r="C94" s="118"/>
      <c r="D94" s="13"/>
      <c r="F94" s="24"/>
      <c r="G94" s="118"/>
      <c r="H94" s="100"/>
      <c r="I94" s="88"/>
      <c r="J94" s="274">
        <v>1.33</v>
      </c>
      <c r="K94" s="118">
        <v>5.9999999999999995E-4</v>
      </c>
      <c r="L94" s="190">
        <f t="shared" si="17"/>
        <v>7.9799999999999999E-4</v>
      </c>
    </row>
    <row r="95" spans="1:12" ht="16.5">
      <c r="A95" s="30"/>
      <c r="B95" s="191"/>
      <c r="C95" s="191"/>
      <c r="D95" s="40">
        <v>0</v>
      </c>
      <c r="F95" s="191"/>
      <c r="G95" s="191"/>
      <c r="H95" s="40">
        <v>0</v>
      </c>
      <c r="I95" s="88"/>
      <c r="J95" s="191"/>
      <c r="K95" s="191"/>
      <c r="L95" s="240">
        <v>0</v>
      </c>
    </row>
    <row r="96" spans="1:12">
      <c r="A96" s="83" t="s">
        <v>67</v>
      </c>
      <c r="B96" s="53"/>
      <c r="C96" s="75"/>
      <c r="D96" s="189">
        <f>SUM(D86:D95)</f>
        <v>0</v>
      </c>
      <c r="E96" s="53"/>
      <c r="F96" s="53"/>
      <c r="G96" s="75"/>
      <c r="H96" s="189">
        <f>SUM(H86:H95)</f>
        <v>0</v>
      </c>
      <c r="I96" s="123"/>
      <c r="J96" s="53"/>
      <c r="K96" s="75"/>
      <c r="L96" s="241">
        <f>SUM(L86:L95)</f>
        <v>7.0852831853116985E-2</v>
      </c>
    </row>
    <row r="98" spans="1:9">
      <c r="A98" s="356" t="s">
        <v>33</v>
      </c>
      <c r="B98" s="357"/>
      <c r="C98" s="357"/>
      <c r="D98" s="357"/>
      <c r="E98" s="357"/>
      <c r="F98" s="357"/>
      <c r="G98" s="357"/>
      <c r="H98" s="358"/>
    </row>
    <row r="99" spans="1:9" ht="14.65" customHeight="1">
      <c r="A99" s="71"/>
      <c r="B99" s="72"/>
      <c r="C99" s="72"/>
      <c r="D99" s="72"/>
      <c r="E99" s="72"/>
      <c r="F99" s="368" t="s">
        <v>53</v>
      </c>
      <c r="G99" s="368"/>
      <c r="H99" s="369"/>
    </row>
    <row r="100" spans="1:9" ht="15">
      <c r="A100" s="370" t="s">
        <v>55</v>
      </c>
      <c r="B100" s="371"/>
      <c r="C100" s="371"/>
      <c r="D100" s="371"/>
      <c r="E100" s="371"/>
      <c r="F100" s="368"/>
      <c r="G100" s="368"/>
      <c r="H100" s="369"/>
    </row>
    <row r="101" spans="1:9" ht="16.5">
      <c r="A101" s="16"/>
      <c r="B101" s="185" t="s">
        <v>56</v>
      </c>
      <c r="C101" s="185" t="s">
        <v>85</v>
      </c>
      <c r="D101" s="185" t="s">
        <v>32</v>
      </c>
      <c r="E101" s="185" t="s">
        <v>54</v>
      </c>
      <c r="F101" s="103">
        <v>1</v>
      </c>
      <c r="G101" s="128" t="s">
        <v>58</v>
      </c>
      <c r="H101" s="85">
        <f>(F101*C202*C204)+((F101*C202*C204*D113))</f>
        <v>345498296</v>
      </c>
    </row>
    <row r="102" spans="1:9" ht="15">
      <c r="A102" s="30" t="s">
        <v>95</v>
      </c>
      <c r="B102" s="28">
        <f>B54</f>
        <v>30000</v>
      </c>
      <c r="C102" s="286">
        <v>550</v>
      </c>
      <c r="D102" s="28">
        <f>B102/C102</f>
        <v>54.545454545454547</v>
      </c>
      <c r="E102" s="21">
        <f t="shared" ref="E102:E108" si="18">D102/D$108</f>
        <v>0.55045871559633031</v>
      </c>
      <c r="F102" s="86">
        <f>(F101*C202*C204*C116)+((F101*C202*C204*D113)*C118)</f>
        <v>18643340.973099794</v>
      </c>
      <c r="G102" s="5" t="s">
        <v>29</v>
      </c>
      <c r="H102" s="87">
        <f>F102/$H$101</f>
        <v>5.3960732046851527E-2</v>
      </c>
      <c r="I102" s="287" t="s">
        <v>120</v>
      </c>
    </row>
    <row r="103" spans="1:9" ht="15">
      <c r="A103" s="30" t="s">
        <v>96</v>
      </c>
      <c r="B103" s="43">
        <f t="shared" ref="B103:B107" si="19">B55</f>
        <v>0</v>
      </c>
      <c r="C103" s="108">
        <v>0</v>
      </c>
      <c r="D103" s="28">
        <v>0</v>
      </c>
      <c r="E103" s="21">
        <f t="shared" si="18"/>
        <v>0</v>
      </c>
      <c r="F103" s="195">
        <f>F102*C206</f>
        <v>5593002.2919299379</v>
      </c>
      <c r="G103" s="5" t="s">
        <v>28</v>
      </c>
      <c r="H103" s="87">
        <f>F103/$H$101</f>
        <v>1.6188219614055456E-2</v>
      </c>
    </row>
    <row r="104" spans="1:9" ht="15">
      <c r="A104" s="30" t="s">
        <v>97</v>
      </c>
      <c r="B104" s="43">
        <f t="shared" si="19"/>
        <v>0</v>
      </c>
      <c r="C104" s="108">
        <v>0</v>
      </c>
      <c r="D104" s="28">
        <v>0</v>
      </c>
      <c r="E104" s="21">
        <f t="shared" si="18"/>
        <v>0</v>
      </c>
      <c r="F104" s="86"/>
      <c r="G104" s="5"/>
      <c r="H104" s="87"/>
    </row>
    <row r="105" spans="1:9" ht="15">
      <c r="A105" s="30" t="s">
        <v>92</v>
      </c>
      <c r="B105" s="43">
        <f t="shared" si="19"/>
        <v>0</v>
      </c>
      <c r="C105" s="108">
        <v>0</v>
      </c>
      <c r="D105" s="28">
        <v>0</v>
      </c>
      <c r="E105" s="21">
        <f t="shared" si="18"/>
        <v>0</v>
      </c>
      <c r="F105" s="86"/>
      <c r="G105" s="5"/>
      <c r="H105" s="87"/>
    </row>
    <row r="106" spans="1:9" ht="15">
      <c r="A106" s="30" t="s">
        <v>90</v>
      </c>
      <c r="B106" s="43">
        <f t="shared" si="19"/>
        <v>4900</v>
      </c>
      <c r="C106" s="286">
        <v>110</v>
      </c>
      <c r="D106" s="28">
        <f t="shared" ref="D106" si="20">B106/C106</f>
        <v>44.545454545454547</v>
      </c>
      <c r="E106" s="21">
        <f>D106/D$108</f>
        <v>0.44954128440366975</v>
      </c>
      <c r="F106" s="86"/>
      <c r="G106" s="5"/>
      <c r="H106" s="87"/>
      <c r="I106" s="287" t="s">
        <v>119</v>
      </c>
    </row>
    <row r="107" spans="1:9" ht="15">
      <c r="A107" s="83" t="s">
        <v>20</v>
      </c>
      <c r="B107" s="112">
        <f t="shared" si="19"/>
        <v>0</v>
      </c>
      <c r="C107" s="108">
        <v>0</v>
      </c>
      <c r="D107" s="106">
        <v>0</v>
      </c>
      <c r="E107" s="107">
        <f t="shared" si="18"/>
        <v>0</v>
      </c>
      <c r="H107" s="12"/>
    </row>
    <row r="108" spans="1:9">
      <c r="A108" s="96"/>
      <c r="B108" s="69">
        <f>SUM(B102:B107)</f>
        <v>34900</v>
      </c>
      <c r="C108" s="70">
        <f>B108/D108</f>
        <v>352.20183486238534</v>
      </c>
      <c r="D108" s="70">
        <f>SUM(D102:D107)</f>
        <v>99.090909090909093</v>
      </c>
      <c r="E108" s="314">
        <f t="shared" si="18"/>
        <v>1</v>
      </c>
      <c r="H108" s="27"/>
    </row>
    <row r="109" spans="1:9">
      <c r="A109" s="315" t="s">
        <v>115</v>
      </c>
      <c r="B109" s="69"/>
      <c r="C109" s="70"/>
      <c r="D109" s="70"/>
      <c r="E109" s="314"/>
      <c r="F109" s="4"/>
      <c r="G109" s="4"/>
      <c r="H109" s="316"/>
    </row>
    <row r="110" spans="1:9" ht="15">
      <c r="A110" s="6"/>
      <c r="B110" s="289"/>
      <c r="C110" s="289"/>
      <c r="D110" s="289"/>
      <c r="E110" s="289"/>
      <c r="F110" s="289"/>
      <c r="G110" s="289"/>
      <c r="H110" s="290"/>
    </row>
    <row r="111" spans="1:9">
      <c r="A111" s="6"/>
      <c r="B111" s="352"/>
      <c r="C111" s="352"/>
      <c r="D111" s="352"/>
      <c r="F111" s="352"/>
      <c r="G111" s="352"/>
      <c r="H111" s="353"/>
    </row>
    <row r="112" spans="1:9" ht="15">
      <c r="A112" s="6"/>
      <c r="B112" t="s">
        <v>125</v>
      </c>
      <c r="C112" t="s">
        <v>126</v>
      </c>
      <c r="D112" t="s">
        <v>127</v>
      </c>
      <c r="E112" t="s">
        <v>128</v>
      </c>
      <c r="F112" s="317" t="s">
        <v>129</v>
      </c>
      <c r="G112" s="317" t="s">
        <v>130</v>
      </c>
      <c r="H112" s="291" t="s">
        <v>131</v>
      </c>
    </row>
    <row r="113" spans="1:30" ht="15">
      <c r="A113" s="292" t="s">
        <v>31</v>
      </c>
      <c r="B113" s="293">
        <v>119702.77</v>
      </c>
      <c r="C113" s="293">
        <v>140371.43</v>
      </c>
      <c r="D113" s="293">
        <v>166103.95000000001</v>
      </c>
      <c r="E113" s="293">
        <v>166766.85999999999</v>
      </c>
      <c r="F113" s="294">
        <v>105842.43</v>
      </c>
      <c r="G113" s="294">
        <v>147383.65</v>
      </c>
      <c r="H113" s="295">
        <v>163283.07</v>
      </c>
      <c r="U113" s="178"/>
      <c r="V113" s="178"/>
      <c r="W113" s="178"/>
      <c r="X113" s="178"/>
      <c r="Z113" s="178"/>
      <c r="AA113" s="166"/>
      <c r="AB113" s="180"/>
      <c r="AC113" s="152"/>
      <c r="AD113" s="93"/>
    </row>
    <row r="114" spans="1:30" ht="15">
      <c r="A114" s="292" t="s">
        <v>30</v>
      </c>
      <c r="B114" s="293">
        <v>15222.93</v>
      </c>
      <c r="C114" s="293">
        <v>23913.55</v>
      </c>
      <c r="D114" s="293">
        <v>19670.79</v>
      </c>
      <c r="E114" s="293">
        <v>41336.57</v>
      </c>
      <c r="F114" s="294">
        <v>23672.31</v>
      </c>
      <c r="G114" s="294">
        <v>9419.99</v>
      </c>
      <c r="H114" s="295">
        <v>18308.82</v>
      </c>
      <c r="U114" s="178"/>
      <c r="V114" s="178"/>
      <c r="W114" s="178"/>
      <c r="X114" s="178"/>
      <c r="Z114" s="178"/>
      <c r="AA114" s="166"/>
      <c r="AB114" s="180"/>
      <c r="AC114" s="152"/>
      <c r="AD114" s="93"/>
    </row>
    <row r="115" spans="1:30" ht="15">
      <c r="A115" s="292" t="s">
        <v>28</v>
      </c>
      <c r="B115" s="293">
        <v>11228.99</v>
      </c>
      <c r="C115" s="293">
        <v>10794.51</v>
      </c>
      <c r="D115" s="293">
        <v>10146.4</v>
      </c>
      <c r="E115" s="293">
        <v>8112.73</v>
      </c>
      <c r="F115" s="294">
        <v>-1917.2</v>
      </c>
      <c r="G115" s="294">
        <v>49379.56</v>
      </c>
      <c r="H115" s="295">
        <v>50660.85</v>
      </c>
      <c r="U115" s="178"/>
      <c r="V115" s="178"/>
      <c r="W115" s="178"/>
      <c r="X115" s="178"/>
      <c r="Z115" s="178"/>
      <c r="AA115" s="166"/>
      <c r="AB115" s="180"/>
      <c r="AC115" s="152"/>
      <c r="AD115" s="93"/>
    </row>
    <row r="116" spans="1:30" ht="16.5">
      <c r="A116" s="296" t="s">
        <v>5</v>
      </c>
      <c r="B116" s="293">
        <v>3928.57</v>
      </c>
      <c r="C116" s="293">
        <v>-3928.57</v>
      </c>
      <c r="D116" s="293">
        <v>0</v>
      </c>
      <c r="E116" s="293">
        <v>-1311.46</v>
      </c>
      <c r="F116" s="294">
        <v>841.1</v>
      </c>
      <c r="G116" s="294">
        <v>0</v>
      </c>
      <c r="H116" s="295">
        <v>0</v>
      </c>
      <c r="I116" s="62"/>
      <c r="U116" s="179"/>
      <c r="V116" s="179"/>
      <c r="W116" s="179"/>
      <c r="X116" s="179"/>
      <c r="Z116" s="179"/>
      <c r="AA116" s="166"/>
      <c r="AB116" s="180"/>
      <c r="AC116" s="152"/>
      <c r="AD116" s="93"/>
    </row>
    <row r="117" spans="1:30" ht="16.5">
      <c r="A117" s="296" t="s">
        <v>132</v>
      </c>
      <c r="B117">
        <v>37953</v>
      </c>
      <c r="C117">
        <v>21274</v>
      </c>
      <c r="D117">
        <v>55365</v>
      </c>
      <c r="E117">
        <v>3960</v>
      </c>
      <c r="F117">
        <v>26641</v>
      </c>
      <c r="G117">
        <v>11698</v>
      </c>
      <c r="H117" s="318">
        <v>35168</v>
      </c>
      <c r="I117" s="62"/>
      <c r="U117" s="179"/>
      <c r="V117" s="179"/>
      <c r="W117" s="179"/>
      <c r="X117" s="179"/>
      <c r="Z117" s="179"/>
      <c r="AA117" s="166"/>
      <c r="AB117" s="180"/>
      <c r="AC117" s="152"/>
      <c r="AD117" s="93"/>
    </row>
    <row r="118" spans="1:30" ht="15">
      <c r="A118" s="296" t="s">
        <v>133</v>
      </c>
      <c r="B118" s="297">
        <f>B115/(B113+B114+B116-B117)</f>
        <v>0.11128690451567158</v>
      </c>
      <c r="C118" s="297">
        <f t="shared" ref="C118:H118" si="21">C115/(C113+C114+C116-C117)</f>
        <v>7.7612330703789228E-2</v>
      </c>
      <c r="D118" s="297">
        <f t="shared" si="21"/>
        <v>7.7804004516840525E-2</v>
      </c>
      <c r="E118" s="297">
        <f t="shared" si="21"/>
        <v>3.9997294312134321E-2</v>
      </c>
      <c r="F118" s="297">
        <f t="shared" si="21"/>
        <v>-1.848530065707087E-2</v>
      </c>
      <c r="G118" s="297">
        <f t="shared" si="21"/>
        <v>0.34030076294760153</v>
      </c>
      <c r="H118" s="300">
        <f t="shared" si="21"/>
        <v>0.34598759806203749</v>
      </c>
      <c r="U118" s="168"/>
      <c r="V118" s="168"/>
      <c r="W118" s="168"/>
      <c r="X118" s="168"/>
      <c r="Z118" s="168"/>
      <c r="AA118" s="151"/>
      <c r="AB118" s="177"/>
      <c r="AC118" s="181"/>
      <c r="AD118" s="5"/>
    </row>
    <row r="119" spans="1:30" ht="15">
      <c r="A119" s="296"/>
      <c r="B119" s="297"/>
      <c r="C119" s="297"/>
      <c r="D119" s="297"/>
      <c r="E119" s="297"/>
      <c r="F119" s="297"/>
      <c r="G119" s="297"/>
      <c r="H119" s="300"/>
    </row>
    <row r="120" spans="1:30">
      <c r="A120" s="6"/>
      <c r="B120" s="43"/>
      <c r="C120" s="301"/>
      <c r="D120" s="15" t="s">
        <v>134</v>
      </c>
      <c r="E120" s="63"/>
      <c r="F120" s="43" t="s">
        <v>135</v>
      </c>
      <c r="G120" s="301"/>
      <c r="H120" s="302"/>
    </row>
    <row r="121" spans="1:30" ht="15">
      <c r="A121" s="292" t="s">
        <v>136</v>
      </c>
      <c r="B121" s="303">
        <v>28</v>
      </c>
      <c r="C121" s="29"/>
      <c r="D121" s="26">
        <f>(AVERAGE((C113-C117),(G113-G117),(H113-H117)))/B121</f>
        <v>4558.3113095238095</v>
      </c>
      <c r="E121" s="63"/>
      <c r="F121" s="304">
        <f>D121*B121</f>
        <v>127632.71666666667</v>
      </c>
      <c r="G121" s="29"/>
      <c r="H121" s="12"/>
      <c r="S121" s="57"/>
      <c r="T121" s="372"/>
      <c r="U121" s="372"/>
      <c r="V121" s="372"/>
      <c r="W121" s="372"/>
      <c r="X121" s="372"/>
      <c r="Y121" s="372"/>
      <c r="Z121" s="372"/>
      <c r="AA121" s="372"/>
      <c r="AB121" s="372"/>
      <c r="AC121" s="372"/>
      <c r="AD121" s="372"/>
    </row>
    <row r="122" spans="1:30" ht="15">
      <c r="A122" s="292" t="s">
        <v>137</v>
      </c>
      <c r="B122" s="303">
        <v>2</v>
      </c>
      <c r="C122" s="78"/>
      <c r="D122" s="26">
        <f>AVERAGE(G114)/B122</f>
        <v>4709.9949999999999</v>
      </c>
      <c r="E122" s="63"/>
      <c r="F122" s="304">
        <f>D122*B122</f>
        <v>9419.99</v>
      </c>
      <c r="G122" s="305"/>
      <c r="H122" s="12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</row>
    <row r="123" spans="1:30">
      <c r="A123" s="76"/>
      <c r="B123" s="117"/>
      <c r="C123" s="284"/>
      <c r="D123" s="306"/>
      <c r="E123" s="63"/>
      <c r="F123" s="307"/>
      <c r="G123" s="319"/>
      <c r="H123" s="308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</row>
    <row r="124" spans="1:30">
      <c r="A124" s="309" t="s">
        <v>138</v>
      </c>
      <c r="B124" s="117">
        <v>15</v>
      </c>
      <c r="C124" s="284"/>
      <c r="D124" s="26">
        <f>D121</f>
        <v>4558.3113095238095</v>
      </c>
      <c r="E124" s="63"/>
      <c r="F124" s="304">
        <f>D124*B124</f>
        <v>68374.669642857145</v>
      </c>
      <c r="G124" s="91"/>
      <c r="H124" s="308"/>
      <c r="I124" s="63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</row>
    <row r="125" spans="1:30">
      <c r="A125" s="309" t="s">
        <v>139</v>
      </c>
      <c r="B125" s="117">
        <v>3</v>
      </c>
      <c r="C125" s="284"/>
      <c r="D125" s="26">
        <f>D122</f>
        <v>4709.9949999999999</v>
      </c>
      <c r="E125" s="63"/>
      <c r="F125" s="304">
        <f>D125*B125</f>
        <v>14129.985000000001</v>
      </c>
      <c r="G125" s="319"/>
      <c r="H125" s="310"/>
      <c r="I125" s="63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</row>
    <row r="126" spans="1:30">
      <c r="A126" s="6"/>
      <c r="B126" s="320"/>
      <c r="F126" s="311"/>
      <c r="H126" s="12"/>
      <c r="I126" s="63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</row>
    <row r="127" spans="1:30">
      <c r="A127" s="6" t="s">
        <v>140</v>
      </c>
      <c r="B127" s="43">
        <f>B121+B124</f>
        <v>43</v>
      </c>
      <c r="C127" s="29"/>
      <c r="D127" s="26">
        <f>D124</f>
        <v>4558.3113095238095</v>
      </c>
      <c r="F127" s="312">
        <f>D127*B127</f>
        <v>196007.3863095238</v>
      </c>
      <c r="H127" s="12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</row>
    <row r="128" spans="1:30">
      <c r="A128" s="6" t="s">
        <v>141</v>
      </c>
      <c r="B128" s="43">
        <f>B122+B125</f>
        <v>5</v>
      </c>
      <c r="C128" s="78"/>
      <c r="D128" s="26">
        <f>D125</f>
        <v>4709.9949999999999</v>
      </c>
      <c r="F128" s="312">
        <f>D128*B128</f>
        <v>23549.974999999999</v>
      </c>
      <c r="H128" s="12"/>
      <c r="S128" s="58"/>
      <c r="T128" s="58"/>
      <c r="U128" s="58"/>
      <c r="V128" s="58"/>
      <c r="W128" s="58"/>
      <c r="X128" s="58"/>
      <c r="Y128" s="58"/>
      <c r="Z128" s="58"/>
      <c r="AA128" s="58"/>
      <c r="AB128" s="59"/>
      <c r="AC128" s="58"/>
      <c r="AD128" s="58"/>
    </row>
    <row r="129" spans="1:8">
      <c r="A129" s="76" t="s">
        <v>132</v>
      </c>
      <c r="B129" s="43"/>
      <c r="C129" s="29"/>
      <c r="D129" s="77"/>
      <c r="F129" s="313">
        <v>0</v>
      </c>
      <c r="H129" s="12"/>
    </row>
    <row r="130" spans="1:8" ht="16.5" customHeight="1">
      <c r="A130" s="83" t="s">
        <v>28</v>
      </c>
      <c r="B130" s="321"/>
      <c r="C130" s="322"/>
      <c r="D130" s="323"/>
      <c r="E130" s="10"/>
      <c r="F130" s="324">
        <f>(F127+F128)*0.29</f>
        <v>63671.634779761902</v>
      </c>
      <c r="G130" s="10"/>
      <c r="H130" s="9"/>
    </row>
    <row r="131" spans="1:8">
      <c r="A131" s="283"/>
      <c r="B131" s="117"/>
      <c r="C131" s="284"/>
      <c r="D131" s="285"/>
      <c r="E131" s="63"/>
    </row>
    <row r="132" spans="1:8">
      <c r="A132" s="283"/>
      <c r="B132" s="117"/>
      <c r="C132" s="284"/>
      <c r="D132" s="285"/>
      <c r="E132" s="63"/>
    </row>
    <row r="133" spans="1:8">
      <c r="A133" s="283"/>
      <c r="B133" s="117"/>
      <c r="C133" s="284"/>
      <c r="D133" s="285"/>
      <c r="E133" s="63"/>
    </row>
    <row r="134" spans="1:8">
      <c r="A134" s="315" t="s">
        <v>116</v>
      </c>
      <c r="B134" s="69"/>
      <c r="C134" s="70"/>
      <c r="D134" s="70"/>
      <c r="E134" s="314"/>
      <c r="F134" s="4"/>
      <c r="G134" s="4"/>
      <c r="H134" s="316"/>
    </row>
    <row r="135" spans="1:8" ht="15">
      <c r="A135" s="6"/>
      <c r="B135" s="289">
        <f>SUM(B138:B142)</f>
        <v>480831.68000000005</v>
      </c>
      <c r="C135" s="289">
        <f>SUM(C138:C142)</f>
        <v>518902.68</v>
      </c>
      <c r="D135" s="289"/>
      <c r="E135" s="289"/>
      <c r="F135" s="289"/>
      <c r="G135" s="289">
        <f>SUM(G138:G142)</f>
        <v>519322.26</v>
      </c>
      <c r="H135" s="289">
        <f>SUM(H138:H142)</f>
        <v>474380.55</v>
      </c>
    </row>
    <row r="136" spans="1:8">
      <c r="A136" s="6"/>
      <c r="B136" s="352"/>
      <c r="C136" s="352"/>
      <c r="D136" s="352"/>
      <c r="F136" s="352"/>
      <c r="G136" s="352"/>
      <c r="H136" s="353"/>
    </row>
    <row r="137" spans="1:8" ht="15">
      <c r="A137" s="6"/>
      <c r="B137" t="s">
        <v>125</v>
      </c>
      <c r="C137" t="s">
        <v>126</v>
      </c>
      <c r="D137" t="s">
        <v>127</v>
      </c>
      <c r="E137" t="s">
        <v>128</v>
      </c>
      <c r="F137" t="s">
        <v>129</v>
      </c>
      <c r="G137" s="317" t="s">
        <v>130</v>
      </c>
      <c r="H137" s="291" t="s">
        <v>131</v>
      </c>
    </row>
    <row r="138" spans="1:8" ht="15">
      <c r="A138" s="292" t="s">
        <v>31</v>
      </c>
      <c r="B138" s="294">
        <v>268968.01</v>
      </c>
      <c r="C138" s="294">
        <v>288390.24</v>
      </c>
      <c r="D138" s="293">
        <v>154345.41</v>
      </c>
      <c r="E138" s="293">
        <v>13412.75</v>
      </c>
      <c r="F138" s="325">
        <v>229529.76</v>
      </c>
      <c r="G138" s="294">
        <v>274156.28999999998</v>
      </c>
      <c r="H138" s="295">
        <v>267092.21000000002</v>
      </c>
    </row>
    <row r="139" spans="1:8" ht="15">
      <c r="A139" s="292" t="s">
        <v>30</v>
      </c>
      <c r="B139" s="294">
        <v>67812.91</v>
      </c>
      <c r="C139" s="294">
        <v>64354.51</v>
      </c>
      <c r="D139" s="293">
        <v>40616.39</v>
      </c>
      <c r="E139" s="293">
        <v>14950.76</v>
      </c>
      <c r="F139" s="325">
        <v>74301.16</v>
      </c>
      <c r="G139" s="294">
        <v>85619.44</v>
      </c>
      <c r="H139" s="295">
        <v>74393.95</v>
      </c>
    </row>
    <row r="140" spans="1:8" ht="15">
      <c r="A140" s="292" t="s">
        <v>28</v>
      </c>
      <c r="B140" s="294">
        <v>102162.56</v>
      </c>
      <c r="C140" s="294">
        <v>97023.8</v>
      </c>
      <c r="D140" s="293">
        <v>87771.29</v>
      </c>
      <c r="E140" s="293">
        <v>18740.91</v>
      </c>
      <c r="F140" s="325">
        <v>135347.70000000001</v>
      </c>
      <c r="G140" s="294">
        <v>89284.14</v>
      </c>
      <c r="H140" s="295">
        <v>88862.54</v>
      </c>
    </row>
    <row r="141" spans="1:8" ht="15">
      <c r="A141" s="292" t="s">
        <v>5</v>
      </c>
      <c r="B141" s="294">
        <v>6248.2</v>
      </c>
      <c r="C141" s="294">
        <v>7823.13</v>
      </c>
      <c r="D141" s="293">
        <v>4541.8500000000004</v>
      </c>
      <c r="E141" s="293">
        <v>10625.36</v>
      </c>
      <c r="F141" s="325">
        <v>11684.3</v>
      </c>
      <c r="G141" s="294">
        <v>7724.39</v>
      </c>
      <c r="H141" s="295">
        <v>6820.85</v>
      </c>
    </row>
    <row r="142" spans="1:8" ht="15">
      <c r="A142" s="296" t="s">
        <v>132</v>
      </c>
      <c r="B142" s="317">
        <v>35640</v>
      </c>
      <c r="C142" s="317">
        <v>61311</v>
      </c>
      <c r="D142">
        <v>50554</v>
      </c>
      <c r="E142"/>
      <c r="F142">
        <v>65416</v>
      </c>
      <c r="G142">
        <v>62538</v>
      </c>
      <c r="H142" s="318">
        <v>37211</v>
      </c>
    </row>
    <row r="143" spans="1:8" ht="15">
      <c r="A143" s="296" t="s">
        <v>133</v>
      </c>
      <c r="B143" s="298">
        <f>B140/(B138+B139-B142+B141)</f>
        <v>0.3323558101210608</v>
      </c>
      <c r="C143" s="298">
        <f t="shared" ref="C143:H143" si="22">C140/(C138+C139-C142+C141)</f>
        <v>0.3242157707451872</v>
      </c>
      <c r="D143" s="298">
        <f t="shared" si="22"/>
        <v>0.58926818559157401</v>
      </c>
      <c r="E143" s="298">
        <f t="shared" si="22"/>
        <v>0.48067333061973838</v>
      </c>
      <c r="F143" s="298">
        <f t="shared" si="22"/>
        <v>0.54117601806195159</v>
      </c>
      <c r="G143" s="298">
        <f t="shared" si="22"/>
        <v>0.29277124647480807</v>
      </c>
      <c r="H143" s="299">
        <f t="shared" si="22"/>
        <v>0.28564345778655276</v>
      </c>
    </row>
    <row r="145" spans="1:10">
      <c r="A145" s="6"/>
      <c r="B145" s="43"/>
      <c r="C145" s="301"/>
      <c r="D145" s="15" t="s">
        <v>134</v>
      </c>
      <c r="E145" s="63"/>
      <c r="F145" s="43" t="s">
        <v>135</v>
      </c>
      <c r="G145" s="301"/>
      <c r="H145" s="302"/>
      <c r="J145" s="283"/>
    </row>
    <row r="146" spans="1:10" ht="15">
      <c r="A146" s="292" t="s">
        <v>136</v>
      </c>
      <c r="B146" s="303">
        <v>46</v>
      </c>
      <c r="C146" s="29"/>
      <c r="D146" s="26">
        <f>(AVERAGE((B138-B142),(C138-C142),(G138-G142),(H138-H142)))/B146</f>
        <v>4901.667119565217</v>
      </c>
      <c r="E146" s="63"/>
      <c r="F146" s="304">
        <f>D146*B146</f>
        <v>225476.68749999997</v>
      </c>
      <c r="G146" s="29"/>
      <c r="H146" s="326"/>
      <c r="J146" s="283"/>
    </row>
    <row r="147" spans="1:10" ht="15">
      <c r="A147" s="292" t="s">
        <v>137</v>
      </c>
      <c r="B147" s="303">
        <v>16</v>
      </c>
      <c r="C147" s="78"/>
      <c r="D147" s="26">
        <f>AVERAGE($G$99:$H$99,B139:C139)/B147</f>
        <v>4130.2318750000004</v>
      </c>
      <c r="E147" s="63"/>
      <c r="F147" s="304">
        <f>D147*B147</f>
        <v>66083.710000000006</v>
      </c>
      <c r="G147" s="305"/>
      <c r="H147" s="12"/>
      <c r="J147" s="283"/>
    </row>
    <row r="148" spans="1:10">
      <c r="A148" s="76"/>
      <c r="B148" s="117"/>
      <c r="C148" s="284"/>
      <c r="D148" s="306"/>
      <c r="E148" s="63"/>
      <c r="F148" s="307"/>
      <c r="G148" s="319"/>
      <c r="H148" s="308"/>
      <c r="J148" s="283"/>
    </row>
    <row r="149" spans="1:10">
      <c r="A149" s="309" t="s">
        <v>138</v>
      </c>
      <c r="B149" s="117">
        <v>6</v>
      </c>
      <c r="C149" s="284"/>
      <c r="D149" s="26">
        <f>D146</f>
        <v>4901.667119565217</v>
      </c>
      <c r="E149" s="63"/>
      <c r="F149" s="304">
        <f>D149*B149</f>
        <v>29410.002717391304</v>
      </c>
      <c r="G149" s="91"/>
      <c r="H149" s="308"/>
      <c r="J149" s="283"/>
    </row>
    <row r="150" spans="1:10">
      <c r="A150" s="309" t="s">
        <v>139</v>
      </c>
      <c r="B150" s="117">
        <v>6</v>
      </c>
      <c r="C150" s="284"/>
      <c r="D150" s="26">
        <f>D147</f>
        <v>4130.2318750000004</v>
      </c>
      <c r="E150" s="63"/>
      <c r="F150" s="304">
        <f>D150*B150</f>
        <v>24781.391250000001</v>
      </c>
      <c r="G150" s="319"/>
      <c r="H150" s="310"/>
      <c r="J150" s="283"/>
    </row>
    <row r="151" spans="1:10">
      <c r="A151" s="6"/>
      <c r="B151" s="320"/>
      <c r="F151" s="311"/>
      <c r="H151" s="12"/>
      <c r="J151" s="283"/>
    </row>
    <row r="152" spans="1:10">
      <c r="A152" s="6" t="s">
        <v>140</v>
      </c>
      <c r="B152" s="43">
        <f>B146+B149</f>
        <v>52</v>
      </c>
      <c r="C152" s="29"/>
      <c r="D152" s="26">
        <f>D146</f>
        <v>4901.667119565217</v>
      </c>
      <c r="F152" s="312">
        <f>D152*B152</f>
        <v>254886.6902173913</v>
      </c>
      <c r="H152" s="12"/>
      <c r="J152" s="283"/>
    </row>
    <row r="153" spans="1:10">
      <c r="A153" s="6" t="s">
        <v>141</v>
      </c>
      <c r="B153" s="43">
        <f>B147+B150</f>
        <v>22</v>
      </c>
      <c r="C153" s="78"/>
      <c r="D153" s="26">
        <f>D146</f>
        <v>4901.667119565217</v>
      </c>
      <c r="F153" s="312">
        <f>D153*B153</f>
        <v>107836.67663043477</v>
      </c>
      <c r="H153" s="12"/>
      <c r="J153" s="283"/>
    </row>
    <row r="154" spans="1:10">
      <c r="A154" s="76" t="s">
        <v>5</v>
      </c>
      <c r="B154" s="43"/>
      <c r="C154" s="29"/>
      <c r="D154" s="77"/>
      <c r="F154" s="313">
        <v>7154</v>
      </c>
      <c r="H154" s="12"/>
      <c r="J154" s="283"/>
    </row>
    <row r="155" spans="1:10" ht="15">
      <c r="A155" s="83" t="s">
        <v>28</v>
      </c>
      <c r="B155" s="321"/>
      <c r="C155" s="322"/>
      <c r="D155" s="323"/>
      <c r="E155" s="10"/>
      <c r="F155" s="324">
        <f>(F152+F153+F154)*0.3</f>
        <v>110963.21005434782</v>
      </c>
      <c r="G155" s="10"/>
      <c r="H155" s="9"/>
      <c r="J155" s="283"/>
    </row>
    <row r="156" spans="1:10">
      <c r="A156" s="283"/>
      <c r="B156" s="117"/>
      <c r="C156" s="284"/>
      <c r="D156" s="285"/>
      <c r="E156" s="63"/>
      <c r="J156" s="283"/>
    </row>
    <row r="157" spans="1:10" ht="12.75" customHeight="1">
      <c r="J157" s="57"/>
    </row>
    <row r="158" spans="1:10" ht="15">
      <c r="A158" s="55" t="s">
        <v>26</v>
      </c>
      <c r="B158" s="183"/>
      <c r="C158" s="183"/>
      <c r="D158" s="132">
        <v>4.5</v>
      </c>
      <c r="E158" s="183"/>
      <c r="F158" s="183"/>
      <c r="G158" s="245"/>
      <c r="H158" s="183"/>
      <c r="I158" s="4"/>
      <c r="J158" s="131"/>
    </row>
    <row r="159" spans="1:10" ht="15">
      <c r="A159" s="6"/>
      <c r="B159" s="374" t="s">
        <v>25</v>
      </c>
      <c r="C159" s="375"/>
      <c r="D159" s="132">
        <v>4.5</v>
      </c>
      <c r="E159" s="374" t="s">
        <v>24</v>
      </c>
      <c r="F159" s="375"/>
      <c r="G159" s="132">
        <f>762256/10182780</f>
        <v>7.4857357224647883E-2</v>
      </c>
      <c r="H159" s="376" t="s">
        <v>86</v>
      </c>
      <c r="I159" s="377"/>
      <c r="J159" s="244">
        <f>30000*365</f>
        <v>10950000</v>
      </c>
    </row>
    <row r="160" spans="1:10">
      <c r="A160" s="6"/>
      <c r="B160" s="5"/>
      <c r="C160" s="5"/>
      <c r="D160" s="5"/>
      <c r="E160" s="5"/>
      <c r="F160" s="5"/>
      <c r="G160" s="5"/>
      <c r="H160" s="378" t="s">
        <v>87</v>
      </c>
      <c r="I160" s="379"/>
      <c r="J160" s="135">
        <f>ROUND(J159/B49/1000,3)</f>
        <v>0.314</v>
      </c>
    </row>
    <row r="161" spans="1:10" ht="15" customHeight="1">
      <c r="A161" s="6"/>
      <c r="B161" s="380" t="s">
        <v>95</v>
      </c>
      <c r="C161" s="381"/>
      <c r="D161" s="382"/>
      <c r="E161" s="380" t="s">
        <v>96</v>
      </c>
      <c r="F161" s="381"/>
      <c r="G161" s="382"/>
      <c r="H161" s="380" t="s">
        <v>97</v>
      </c>
      <c r="I161" s="381"/>
      <c r="J161" s="382"/>
    </row>
    <row r="162" spans="1:10" ht="25.5">
      <c r="A162" s="6"/>
      <c r="B162" s="133" t="s">
        <v>79</v>
      </c>
      <c r="C162" s="61" t="s">
        <v>80</v>
      </c>
      <c r="D162" s="22" t="s">
        <v>81</v>
      </c>
      <c r="E162" s="133" t="s">
        <v>79</v>
      </c>
      <c r="F162" s="61" t="s">
        <v>80</v>
      </c>
      <c r="G162" s="22" t="s">
        <v>81</v>
      </c>
      <c r="H162" s="133" t="s">
        <v>79</v>
      </c>
      <c r="I162" s="61" t="s">
        <v>80</v>
      </c>
      <c r="J162" s="22" t="s">
        <v>81</v>
      </c>
    </row>
    <row r="163" spans="1:10" ht="15">
      <c r="A163" s="6" t="s">
        <v>23</v>
      </c>
      <c r="B163" s="275">
        <v>0.11509999999999999</v>
      </c>
      <c r="C163" s="282">
        <v>8.7999999999999995E-2</v>
      </c>
      <c r="D163" s="90">
        <f>B163*C163</f>
        <v>1.0128799999999999E-2</v>
      </c>
      <c r="E163" s="243">
        <v>0.26500000000000001</v>
      </c>
      <c r="F163" s="60">
        <f>G159</f>
        <v>7.4857357224647883E-2</v>
      </c>
      <c r="G163" s="90">
        <f>E163*F163</f>
        <v>1.983719966453169E-2</v>
      </c>
      <c r="H163" s="243">
        <v>0.26500000000000001</v>
      </c>
      <c r="I163" s="60">
        <f>$G$159</f>
        <v>7.4857357224647883E-2</v>
      </c>
      <c r="J163" s="90">
        <f>H163*I163</f>
        <v>1.983719966453169E-2</v>
      </c>
    </row>
    <row r="164" spans="1:10" ht="16.5">
      <c r="A164" s="6" t="s">
        <v>22</v>
      </c>
      <c r="B164" s="275">
        <v>6.4999999999999997E-3</v>
      </c>
      <c r="C164" s="276">
        <v>4</v>
      </c>
      <c r="D164" s="51">
        <f>B164*C164</f>
        <v>2.5999999999999999E-2</v>
      </c>
      <c r="E164" s="243">
        <v>3.8E-3</v>
      </c>
      <c r="F164" s="29">
        <f>$D$159</f>
        <v>4.5</v>
      </c>
      <c r="G164" s="51">
        <f>E164*F164</f>
        <v>1.7100000000000001E-2</v>
      </c>
      <c r="H164" s="243">
        <v>3.8E-3</v>
      </c>
      <c r="I164" s="29">
        <f>$D$159</f>
        <v>4.5</v>
      </c>
      <c r="J164" s="51">
        <f>H164*I164</f>
        <v>1.7100000000000001E-2</v>
      </c>
    </row>
    <row r="165" spans="1:10" ht="15">
      <c r="A165" s="6" t="s">
        <v>21</v>
      </c>
      <c r="B165" s="6"/>
      <c r="C165" s="5"/>
      <c r="D165" s="227">
        <f>SUM(D163:D164)</f>
        <v>3.6128799999999996E-2</v>
      </c>
      <c r="E165" s="6"/>
      <c r="F165" s="5"/>
      <c r="G165" s="227">
        <f>SUM(G163:G164)</f>
        <v>3.6937199664531691E-2</v>
      </c>
      <c r="H165" s="6"/>
      <c r="I165" s="5"/>
      <c r="J165" s="227">
        <f>SUM(J163:J164)</f>
        <v>3.6937199664531691E-2</v>
      </c>
    </row>
    <row r="166" spans="1:10">
      <c r="A166" s="16"/>
      <c r="B166" s="16"/>
      <c r="D166" s="12"/>
      <c r="E166" s="16"/>
      <c r="G166" s="12"/>
      <c r="H166" s="16"/>
      <c r="J166" s="12"/>
    </row>
    <row r="167" spans="1:10" ht="15" customHeight="1">
      <c r="A167" s="6"/>
      <c r="B167" s="383" t="s">
        <v>92</v>
      </c>
      <c r="C167" s="384"/>
      <c r="D167" s="385"/>
      <c r="E167" s="383" t="s">
        <v>90</v>
      </c>
      <c r="F167" s="384"/>
      <c r="G167" s="385"/>
      <c r="H167" s="383" t="s">
        <v>92</v>
      </c>
      <c r="I167" s="384"/>
      <c r="J167" s="385"/>
    </row>
    <row r="168" spans="1:10" ht="25.5">
      <c r="A168" s="6"/>
      <c r="B168" s="133" t="s">
        <v>79</v>
      </c>
      <c r="C168" s="61" t="s">
        <v>80</v>
      </c>
      <c r="D168" s="22" t="s">
        <v>81</v>
      </c>
      <c r="E168" s="133" t="s">
        <v>79</v>
      </c>
      <c r="F168" s="61" t="s">
        <v>80</v>
      </c>
      <c r="G168" s="22" t="s">
        <v>81</v>
      </c>
      <c r="H168" s="133" t="s">
        <v>79</v>
      </c>
      <c r="I168" s="61" t="s">
        <v>80</v>
      </c>
      <c r="J168" s="22" t="s">
        <v>81</v>
      </c>
    </row>
    <row r="169" spans="1:10" ht="15">
      <c r="A169" s="6" t="s">
        <v>23</v>
      </c>
      <c r="B169" s="275"/>
      <c r="C169" s="282"/>
      <c r="D169" s="90">
        <f>B169*C169</f>
        <v>0</v>
      </c>
      <c r="E169" s="275">
        <v>0.5867</v>
      </c>
      <c r="F169" s="60">
        <f>G159</f>
        <v>7.4857357224647883E-2</v>
      </c>
      <c r="G169" s="90">
        <f>E169*F169</f>
        <v>4.3918811483700915E-2</v>
      </c>
      <c r="H169" s="243">
        <v>0</v>
      </c>
      <c r="I169" s="60">
        <f>$G$159</f>
        <v>7.4857357224647883E-2</v>
      </c>
      <c r="J169" s="90">
        <f>H169*I169</f>
        <v>0</v>
      </c>
    </row>
    <row r="170" spans="1:10" ht="16.5">
      <c r="A170" s="6" t="s">
        <v>22</v>
      </c>
      <c r="B170" s="275"/>
      <c r="C170" s="276"/>
      <c r="D170" s="51">
        <f>B170*C170</f>
        <v>0</v>
      </c>
      <c r="E170" s="275">
        <v>6.4999999999999997E-3</v>
      </c>
      <c r="F170" s="276">
        <v>4</v>
      </c>
      <c r="G170" s="51">
        <f>E170*F170</f>
        <v>2.5999999999999999E-2</v>
      </c>
      <c r="H170" s="243">
        <v>0</v>
      </c>
      <c r="I170" s="29">
        <f>$D$159</f>
        <v>4.5</v>
      </c>
      <c r="J170" s="51">
        <f>H170*I170</f>
        <v>0</v>
      </c>
    </row>
    <row r="171" spans="1:10" ht="15">
      <c r="A171" s="25" t="s">
        <v>21</v>
      </c>
      <c r="B171" s="25"/>
      <c r="C171" s="53"/>
      <c r="D171" s="134">
        <f>SUM(D169:D170)</f>
        <v>0</v>
      </c>
      <c r="E171" s="25"/>
      <c r="F171" s="53"/>
      <c r="G171" s="134">
        <f>SUM(G169:G170)</f>
        <v>6.991881148370091E-2</v>
      </c>
      <c r="H171" s="25"/>
      <c r="I171" s="53"/>
      <c r="J171" s="134">
        <f>SUM(J169:J170)</f>
        <v>0</v>
      </c>
    </row>
    <row r="172" spans="1:10">
      <c r="J172" s="58"/>
    </row>
    <row r="173" spans="1:10">
      <c r="J173" s="58"/>
    </row>
    <row r="174" spans="1:10">
      <c r="A174" s="356" t="s">
        <v>19</v>
      </c>
      <c r="B174" s="357"/>
      <c r="C174" s="357"/>
      <c r="D174" s="357"/>
      <c r="E174" s="357"/>
      <c r="F174" s="357"/>
      <c r="G174" s="357"/>
      <c r="H174" s="358"/>
      <c r="J174" s="58"/>
    </row>
    <row r="175" spans="1:10" ht="25.5">
      <c r="A175" s="6" t="s">
        <v>18</v>
      </c>
      <c r="B175" s="98">
        <v>256000000</v>
      </c>
      <c r="C175" s="5"/>
      <c r="D175" s="5"/>
      <c r="E175" s="5"/>
      <c r="F175" s="5"/>
      <c r="G175" s="23" t="s">
        <v>17</v>
      </c>
      <c r="H175" s="22" t="s">
        <v>57</v>
      </c>
      <c r="J175" s="58"/>
    </row>
    <row r="176" spans="1:10">
      <c r="A176" s="6" t="s">
        <v>16</v>
      </c>
      <c r="B176" s="21">
        <f>G177/B175</f>
        <v>5.7421874999999997E-4</v>
      </c>
      <c r="C176" s="5"/>
      <c r="D176" s="5"/>
      <c r="E176" s="5"/>
      <c r="F176" s="5"/>
      <c r="G176" s="5" t="s">
        <v>142</v>
      </c>
      <c r="H176" s="5" t="s">
        <v>142</v>
      </c>
      <c r="I176" s="1" t="s">
        <v>95</v>
      </c>
      <c r="J176" s="1" t="s">
        <v>95</v>
      </c>
    </row>
    <row r="177" spans="1:10" ht="16.5">
      <c r="A177" s="6" t="s">
        <v>15</v>
      </c>
      <c r="B177" s="5"/>
      <c r="C177" s="5"/>
      <c r="D177" s="5"/>
      <c r="E177" s="5"/>
      <c r="F177" s="5"/>
      <c r="G177" s="277">
        <v>147000</v>
      </c>
      <c r="H177" s="20">
        <f>G177/(E$47*1000)</f>
        <v>0.03</v>
      </c>
      <c r="I177" s="277">
        <v>353000</v>
      </c>
      <c r="J177" s="20">
        <f>I177/B24/1000</f>
        <v>1.1766666666666668E-2</v>
      </c>
    </row>
    <row r="178" spans="1:10">
      <c r="A178" s="16"/>
      <c r="H178" s="12"/>
      <c r="J178" s="12"/>
    </row>
    <row r="179" spans="1:10">
      <c r="A179" s="16"/>
      <c r="F179" s="2"/>
      <c r="G179" s="63"/>
      <c r="H179" s="12"/>
      <c r="I179" s="63"/>
      <c r="J179" s="12"/>
    </row>
    <row r="180" spans="1:10">
      <c r="A180" s="373" t="s">
        <v>51</v>
      </c>
      <c r="B180" s="365"/>
      <c r="C180" s="5"/>
      <c r="D180" s="5"/>
      <c r="E180" s="5"/>
      <c r="F180" s="5"/>
      <c r="G180" s="5" t="s">
        <v>142</v>
      </c>
      <c r="H180" s="5" t="s">
        <v>142</v>
      </c>
      <c r="I180" s="5"/>
      <c r="J180" s="5"/>
    </row>
    <row r="181" spans="1:10" ht="16.5">
      <c r="A181" s="6" t="s">
        <v>14</v>
      </c>
      <c r="B181" s="5"/>
      <c r="C181" s="5"/>
      <c r="D181" s="5"/>
      <c r="E181" s="5"/>
      <c r="F181" s="5"/>
      <c r="G181" s="102">
        <v>27000</v>
      </c>
      <c r="H181" s="20">
        <f>G181/(E$47*1000)</f>
        <v>5.5102040816326532E-3</v>
      </c>
      <c r="I181" s="102">
        <v>75000</v>
      </c>
      <c r="J181" s="20">
        <f>I181/B24/1000</f>
        <v>2.5000000000000001E-3</v>
      </c>
    </row>
    <row r="182" spans="1:10">
      <c r="A182" s="6"/>
      <c r="B182" s="5"/>
      <c r="C182" s="5"/>
      <c r="D182" s="5"/>
      <c r="E182" s="5"/>
      <c r="F182" s="5"/>
      <c r="G182" s="5"/>
      <c r="H182" s="8"/>
      <c r="I182" s="5"/>
      <c r="J182" s="8"/>
    </row>
    <row r="183" spans="1:10">
      <c r="A183" s="373" t="s">
        <v>13</v>
      </c>
      <c r="B183" s="365"/>
      <c r="C183" s="5"/>
      <c r="D183" s="5"/>
      <c r="E183" s="5"/>
      <c r="F183" s="5"/>
      <c r="G183" s="5" t="s">
        <v>142</v>
      </c>
      <c r="H183" s="5" t="s">
        <v>142</v>
      </c>
      <c r="I183" s="5"/>
      <c r="J183" s="5"/>
    </row>
    <row r="184" spans="1:10" ht="16.5">
      <c r="A184" s="6" t="s">
        <v>12</v>
      </c>
      <c r="B184" s="5"/>
      <c r="C184" s="5"/>
      <c r="D184" s="5"/>
      <c r="E184" s="5"/>
      <c r="F184" s="5"/>
      <c r="G184" s="277">
        <v>55000</v>
      </c>
      <c r="H184" s="20">
        <f>G184/(E$47*1000)</f>
        <v>1.1224489795918367E-2</v>
      </c>
      <c r="I184" s="277">
        <v>57000</v>
      </c>
      <c r="J184" s="20">
        <f>I184/B24/1000</f>
        <v>1.9E-3</v>
      </c>
    </row>
    <row r="185" spans="1:10">
      <c r="A185" s="11"/>
      <c r="B185" s="10"/>
      <c r="C185" s="19"/>
      <c r="D185" s="10"/>
      <c r="E185" s="10"/>
      <c r="F185" s="10"/>
      <c r="G185" s="10"/>
      <c r="H185" s="9"/>
      <c r="J185" s="58"/>
    </row>
    <row r="186" spans="1:10">
      <c r="C186" s="18"/>
      <c r="J186" s="58"/>
    </row>
    <row r="187" spans="1:10">
      <c r="J187" s="58"/>
    </row>
    <row r="188" spans="1:10">
      <c r="A188" s="55" t="s">
        <v>11</v>
      </c>
      <c r="B188" s="386" t="s">
        <v>10</v>
      </c>
      <c r="C188" s="386"/>
      <c r="D188" s="386"/>
      <c r="E188" s="386"/>
      <c r="F188" s="386"/>
      <c r="G188" s="386"/>
      <c r="H188" s="387"/>
      <c r="J188" s="58"/>
    </row>
    <row r="189" spans="1:10">
      <c r="A189" s="16"/>
      <c r="H189" s="12"/>
      <c r="J189" s="58"/>
    </row>
    <row r="190" spans="1:10">
      <c r="A190" s="16"/>
      <c r="B190" s="365" t="s">
        <v>9</v>
      </c>
      <c r="C190" s="365"/>
      <c r="D190" s="15">
        <f>B49</f>
        <v>34900</v>
      </c>
      <c r="E190" s="5"/>
      <c r="F190" s="365" t="s">
        <v>8</v>
      </c>
      <c r="G190" s="365"/>
      <c r="H190" s="17">
        <f>D190/D191</f>
        <v>3.49E-2</v>
      </c>
      <c r="J190" s="58"/>
    </row>
    <row r="191" spans="1:10">
      <c r="A191" s="16"/>
      <c r="B191" s="365" t="s">
        <v>7</v>
      </c>
      <c r="C191" s="365"/>
      <c r="D191" s="15">
        <v>1000000</v>
      </c>
      <c r="E191" s="5"/>
      <c r="F191" s="5"/>
      <c r="G191" s="5"/>
      <c r="H191" s="14"/>
      <c r="J191" s="58"/>
    </row>
    <row r="192" spans="1:10">
      <c r="A192" s="16"/>
      <c r="B192" s="5"/>
      <c r="C192" s="5"/>
      <c r="D192" s="15"/>
      <c r="E192" s="5"/>
      <c r="F192" s="5"/>
      <c r="G192" s="5"/>
      <c r="H192" s="14"/>
      <c r="J192" s="58"/>
    </row>
    <row r="193" spans="1:12" ht="33" customHeight="1">
      <c r="A193" s="6"/>
      <c r="B193" s="61" t="s">
        <v>82</v>
      </c>
      <c r="C193" s="61" t="s">
        <v>6</v>
      </c>
      <c r="D193" s="61" t="s">
        <v>75</v>
      </c>
      <c r="E193" s="193" t="s">
        <v>76</v>
      </c>
      <c r="F193" s="61" t="s">
        <v>63</v>
      </c>
      <c r="G193" s="61" t="s">
        <v>77</v>
      </c>
      <c r="H193" s="97" t="s">
        <v>78</v>
      </c>
      <c r="J193" s="58"/>
      <c r="K193" s="58"/>
      <c r="L193" s="58"/>
    </row>
    <row r="194" spans="1:12" ht="15">
      <c r="A194" s="6" t="s">
        <v>5</v>
      </c>
      <c r="B194" s="3">
        <f>C194/12</f>
        <v>0</v>
      </c>
      <c r="C194" s="250">
        <v>0</v>
      </c>
      <c r="D194" s="98">
        <f>ROUND($C$202/($C$202+$C$203)*12,0)*$B194</f>
        <v>0</v>
      </c>
      <c r="E194" s="194">
        <f>ROUND($C$203/($C$202+$C$203)*12,0)*$B194</f>
        <v>0</v>
      </c>
      <c r="F194" s="89">
        <f>$D194/$D$190/1000</f>
        <v>0</v>
      </c>
      <c r="G194" s="89">
        <f>$E194/$D$190/1000</f>
        <v>0</v>
      </c>
      <c r="H194" s="99">
        <f>SUM(F194:G194)</f>
        <v>0</v>
      </c>
      <c r="J194" s="58"/>
      <c r="K194" s="58"/>
      <c r="L194" s="58"/>
    </row>
    <row r="195" spans="1:12" ht="15">
      <c r="A195" s="6" t="s">
        <v>4</v>
      </c>
      <c r="B195" s="98">
        <f>C195/12</f>
        <v>95700</v>
      </c>
      <c r="C195" s="236">
        <f>+(95700*12)</f>
        <v>1148400</v>
      </c>
      <c r="D195" s="98">
        <f>ROUND($C$202/($C$202+$C$203)*12,0)*$B195</f>
        <v>1148400</v>
      </c>
      <c r="E195" s="194">
        <f>ROUND($C$203/($C$202+$C$203)*12,0)*$B195</f>
        <v>0</v>
      </c>
      <c r="F195" s="100">
        <f>$D195/D$190/1000</f>
        <v>3.2905444126074497E-2</v>
      </c>
      <c r="G195" s="100">
        <f>$E195/$D$190/1000</f>
        <v>0</v>
      </c>
      <c r="H195" s="94">
        <f t="shared" ref="H195:H196" si="23">SUM(F195:G195)</f>
        <v>3.2905444126074497E-2</v>
      </c>
      <c r="J195" s="58"/>
      <c r="K195" s="58"/>
      <c r="L195" s="58"/>
    </row>
    <row r="196" spans="1:12" ht="16.5">
      <c r="A196" s="6" t="s">
        <v>3</v>
      </c>
      <c r="B196" s="98">
        <f>C196/12</f>
        <v>22812.25</v>
      </c>
      <c r="C196" s="236">
        <f>(273747/12*12)</f>
        <v>273747</v>
      </c>
      <c r="D196" s="98">
        <f>ROUND($C$202/($C$202+$C$203)*12,0)*$B196</f>
        <v>273747</v>
      </c>
      <c r="E196" s="194">
        <f>ROUND($C$203/($C$202+$C$203)*12,0)*$B196</f>
        <v>0</v>
      </c>
      <c r="F196" s="88">
        <f>$D196/D$190/1000</f>
        <v>7.8437535816618907E-3</v>
      </c>
      <c r="G196" s="88">
        <f>$E196/$D$190/1000</f>
        <v>0</v>
      </c>
      <c r="H196" s="95">
        <f t="shared" si="23"/>
        <v>7.8437535816618907E-3</v>
      </c>
      <c r="J196" s="58"/>
      <c r="K196" s="58"/>
      <c r="L196" s="58"/>
    </row>
    <row r="197" spans="1:12">
      <c r="A197" s="6" t="s">
        <v>2</v>
      </c>
      <c r="F197" s="89">
        <f>SUM(F194:F196)</f>
        <v>4.0749197707736384E-2</v>
      </c>
      <c r="G197" s="89">
        <f>SUM(G194:G196)</f>
        <v>0</v>
      </c>
      <c r="H197" s="99">
        <f>SUM(H194:H196)</f>
        <v>4.0749197707736384E-2</v>
      </c>
      <c r="J197" s="58"/>
      <c r="K197" s="58"/>
      <c r="L197" s="58"/>
    </row>
    <row r="198" spans="1:12">
      <c r="A198" s="11"/>
      <c r="B198" s="10"/>
      <c r="C198" s="10"/>
      <c r="D198" s="10"/>
      <c r="E198" s="10"/>
      <c r="F198" s="10"/>
      <c r="G198" s="10"/>
      <c r="H198" s="9"/>
      <c r="J198" s="58"/>
      <c r="K198" s="58"/>
      <c r="L198" s="58"/>
    </row>
    <row r="199" spans="1:12">
      <c r="J199" s="58"/>
      <c r="K199" s="58"/>
      <c r="L199" s="58"/>
    </row>
    <row r="200" spans="1:12">
      <c r="J200" s="58"/>
      <c r="K200" s="58"/>
      <c r="L200" s="58"/>
    </row>
    <row r="201" spans="1:12">
      <c r="A201" s="356" t="s">
        <v>117</v>
      </c>
      <c r="B201" s="357"/>
      <c r="C201" s="357"/>
      <c r="D201" s="357"/>
      <c r="E201" s="357"/>
      <c r="F201" s="357"/>
      <c r="G201" s="357"/>
      <c r="H201" s="358"/>
      <c r="J201" s="58"/>
      <c r="K201" s="58"/>
      <c r="L201" s="58"/>
    </row>
    <row r="202" spans="1:12" ht="15">
      <c r="A202" s="6"/>
      <c r="B202" s="5" t="s">
        <v>73</v>
      </c>
      <c r="C202" s="104">
        <v>52</v>
      </c>
      <c r="D202" s="43" t="s">
        <v>110</v>
      </c>
      <c r="E202" s="237">
        <v>0.04</v>
      </c>
      <c r="F202" s="5" t="s">
        <v>83</v>
      </c>
      <c r="G202" s="5"/>
      <c r="H202" s="8"/>
      <c r="J202" s="58"/>
      <c r="K202" s="58"/>
      <c r="L202" s="58"/>
    </row>
    <row r="203" spans="1:12" ht="15">
      <c r="A203" s="6"/>
      <c r="B203" s="5" t="s">
        <v>72</v>
      </c>
      <c r="C203" s="104">
        <v>0</v>
      </c>
      <c r="E203" s="5"/>
      <c r="F203" s="5" t="s">
        <v>84</v>
      </c>
      <c r="G203" s="5"/>
      <c r="H203" s="8"/>
      <c r="J203" s="58"/>
      <c r="K203" s="58"/>
      <c r="L203" s="58"/>
    </row>
    <row r="204" spans="1:12" ht="15">
      <c r="A204" s="6"/>
      <c r="B204" s="5" t="s">
        <v>74</v>
      </c>
      <c r="C204" s="104">
        <v>40</v>
      </c>
      <c r="E204" s="5"/>
      <c r="F204" s="5" t="s">
        <v>0</v>
      </c>
      <c r="G204" s="5"/>
      <c r="H204" s="8"/>
      <c r="J204" s="58"/>
      <c r="K204" s="58"/>
      <c r="L204" s="58"/>
    </row>
    <row r="205" spans="1:12" ht="15">
      <c r="A205" s="6"/>
      <c r="B205" s="5" t="s">
        <v>1</v>
      </c>
      <c r="C205" s="105">
        <v>1.5</v>
      </c>
      <c r="E205" s="5"/>
      <c r="G205" s="5"/>
      <c r="H205" s="7"/>
      <c r="J205" s="58"/>
      <c r="K205" s="58"/>
      <c r="L205" s="58"/>
    </row>
    <row r="206" spans="1:12" ht="15">
      <c r="A206" s="25"/>
      <c r="B206" s="79" t="s">
        <v>52</v>
      </c>
      <c r="C206" s="237">
        <v>0.3</v>
      </c>
      <c r="D206" s="10"/>
      <c r="E206" s="53"/>
      <c r="F206" s="53"/>
      <c r="G206" s="53"/>
      <c r="H206" s="65"/>
      <c r="J206" s="58"/>
      <c r="K206" s="58"/>
      <c r="L206" s="58"/>
    </row>
    <row r="207" spans="1:12">
      <c r="B207" s="388"/>
      <c r="C207" s="388"/>
      <c r="D207" s="388"/>
      <c r="J207" s="58"/>
      <c r="K207" s="58" t="s">
        <v>121</v>
      </c>
      <c r="L207" s="58"/>
    </row>
    <row r="208" spans="1:12">
      <c r="A208" s="356" t="s">
        <v>118</v>
      </c>
      <c r="B208" s="357"/>
      <c r="C208" s="357"/>
      <c r="D208" s="357"/>
      <c r="E208" s="357"/>
      <c r="F208" s="357"/>
      <c r="G208" s="357"/>
      <c r="H208" s="358"/>
      <c r="J208" s="58"/>
      <c r="K208" s="58" t="s">
        <v>122</v>
      </c>
      <c r="L208" s="58">
        <f>52-C209</f>
        <v>43</v>
      </c>
    </row>
    <row r="209" spans="1:12" ht="15">
      <c r="A209" s="6"/>
      <c r="B209" s="5" t="s">
        <v>73</v>
      </c>
      <c r="C209" s="104">
        <v>9</v>
      </c>
      <c r="D209" s="43" t="s">
        <v>110</v>
      </c>
      <c r="E209" s="237">
        <v>0.04</v>
      </c>
      <c r="F209" s="5" t="s">
        <v>83</v>
      </c>
      <c r="G209" s="5"/>
      <c r="H209" s="8"/>
      <c r="J209" s="58"/>
      <c r="K209" s="58" t="s">
        <v>75</v>
      </c>
      <c r="L209" s="58">
        <f>E47*1000/52*L208</f>
        <v>4051923.076923077</v>
      </c>
    </row>
    <row r="210" spans="1:12" ht="15">
      <c r="A210" s="6"/>
      <c r="B210" s="5" t="s">
        <v>72</v>
      </c>
      <c r="C210" s="104">
        <v>0</v>
      </c>
      <c r="E210" s="5"/>
      <c r="F210" s="5" t="s">
        <v>84</v>
      </c>
      <c r="G210" s="5"/>
      <c r="H210" s="8"/>
      <c r="J210" s="58"/>
      <c r="K210" s="58" t="s">
        <v>123</v>
      </c>
      <c r="L210" s="288">
        <f>0.0315*L209</f>
        <v>127635.57692307692</v>
      </c>
    </row>
    <row r="211" spans="1:12" ht="15">
      <c r="A211" s="6"/>
      <c r="B211" s="5" t="s">
        <v>74</v>
      </c>
      <c r="C211" s="104">
        <v>40</v>
      </c>
      <c r="E211" s="5"/>
      <c r="F211" s="5" t="s">
        <v>0</v>
      </c>
      <c r="G211" s="5"/>
      <c r="H211" s="8"/>
      <c r="J211" s="58"/>
      <c r="K211" s="58"/>
      <c r="L211" s="58"/>
    </row>
    <row r="212" spans="1:12" ht="15">
      <c r="A212" s="6"/>
      <c r="B212" s="5" t="s">
        <v>1</v>
      </c>
      <c r="C212" s="105">
        <v>1.5</v>
      </c>
      <c r="E212" s="5"/>
      <c r="G212" s="5"/>
      <c r="H212" s="7"/>
      <c r="J212" s="58"/>
      <c r="K212" s="58"/>
      <c r="L212" s="58"/>
    </row>
    <row r="213" spans="1:12" ht="15">
      <c r="A213" s="25"/>
      <c r="B213" s="79" t="s">
        <v>52</v>
      </c>
      <c r="C213" s="237">
        <v>0.3</v>
      </c>
      <c r="D213" s="10"/>
      <c r="E213" s="53"/>
      <c r="F213" s="53"/>
      <c r="G213" s="53"/>
      <c r="H213" s="65"/>
      <c r="J213" s="58"/>
      <c r="K213" s="58"/>
      <c r="L213" s="58"/>
    </row>
  </sheetData>
  <mergeCells count="47">
    <mergeCell ref="A1:J1"/>
    <mergeCell ref="S1:AA1"/>
    <mergeCell ref="AL1:AQ1"/>
    <mergeCell ref="B3:D3"/>
    <mergeCell ref="E3:G3"/>
    <mergeCell ref="H3:J3"/>
    <mergeCell ref="N3:O3"/>
    <mergeCell ref="P3:Q3"/>
    <mergeCell ref="A98:H98"/>
    <mergeCell ref="B26:D26"/>
    <mergeCell ref="E26:G26"/>
    <mergeCell ref="H26:J26"/>
    <mergeCell ref="B51:K51"/>
    <mergeCell ref="C62:F62"/>
    <mergeCell ref="G62:K62"/>
    <mergeCell ref="B74:D74"/>
    <mergeCell ref="F74:H74"/>
    <mergeCell ref="B84:D84"/>
    <mergeCell ref="F84:H84"/>
    <mergeCell ref="J84:L84"/>
    <mergeCell ref="F99:H100"/>
    <mergeCell ref="A100:E100"/>
    <mergeCell ref="B111:D111"/>
    <mergeCell ref="F111:H111"/>
    <mergeCell ref="T121:AD121"/>
    <mergeCell ref="B136:D136"/>
    <mergeCell ref="F136:H136"/>
    <mergeCell ref="B159:C159"/>
    <mergeCell ref="E159:F159"/>
    <mergeCell ref="H159:I159"/>
    <mergeCell ref="H160:I160"/>
    <mergeCell ref="B161:D161"/>
    <mergeCell ref="E161:G161"/>
    <mergeCell ref="H161:J161"/>
    <mergeCell ref="B167:D167"/>
    <mergeCell ref="E167:G167"/>
    <mergeCell ref="H167:J167"/>
    <mergeCell ref="B191:C191"/>
    <mergeCell ref="A201:H201"/>
    <mergeCell ref="B207:D207"/>
    <mergeCell ref="A208:H208"/>
    <mergeCell ref="A174:H174"/>
    <mergeCell ref="A180:B180"/>
    <mergeCell ref="A183:B183"/>
    <mergeCell ref="B188:H188"/>
    <mergeCell ref="B190:C190"/>
    <mergeCell ref="F190:G190"/>
  </mergeCells>
  <printOptions horizontalCentered="1"/>
  <pageMargins left="0.25" right="0.25" top="0.75" bottom="0.5" header="0.25" footer="0"/>
  <pageSetup scale="65" fitToHeight="0" orientation="landscape" r:id="rId1"/>
  <headerFooter alignWithMargins="0">
    <oddHeader>&amp;F</oddHeader>
    <oddFooter>Page &amp;P of &amp;N</oddFooter>
  </headerFooter>
  <rowBreaks count="3" manualBreakCount="3">
    <brk id="49" max="10" man="1"/>
    <brk id="97" max="10" man="1"/>
    <brk id="157" max="10" man="1"/>
  </row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F0DB5-B357-463E-B101-DE3B623C2AB2}">
  <dimension ref="A1:AX213"/>
  <sheetViews>
    <sheetView topLeftCell="A21" workbookViewId="0">
      <selection activeCell="L43" sqref="L43"/>
    </sheetView>
  </sheetViews>
  <sheetFormatPr defaultColWidth="10.7109375" defaultRowHeight="12.75" outlineLevelCol="1"/>
  <cols>
    <col min="1" max="1" width="37.28515625" style="1" bestFit="1" customWidth="1"/>
    <col min="2" max="2" width="16.7109375" style="1" customWidth="1"/>
    <col min="3" max="3" width="13.28515625" style="1" customWidth="1"/>
    <col min="4" max="4" width="13.5703125" style="1" customWidth="1"/>
    <col min="5" max="5" width="12.7109375" style="1" customWidth="1"/>
    <col min="6" max="6" width="12.42578125" style="1" customWidth="1"/>
    <col min="7" max="7" width="14.28515625" style="1" customWidth="1"/>
    <col min="8" max="8" width="12.7109375" style="1" customWidth="1"/>
    <col min="9" max="9" width="10.7109375" style="1"/>
    <col min="10" max="10" width="13" style="1" customWidth="1"/>
    <col min="11" max="11" width="12.28515625" style="1" customWidth="1"/>
    <col min="12" max="12" width="11.28515625" style="1" customWidth="1"/>
    <col min="13" max="13" width="21.7109375" style="1" customWidth="1"/>
    <col min="14" max="14" width="13.42578125" style="1" customWidth="1"/>
    <col min="15" max="15" width="10.7109375" style="1"/>
    <col min="16" max="16" width="12.28515625" style="1" customWidth="1"/>
    <col min="17" max="17" width="9.7109375" style="1" customWidth="1"/>
    <col min="18" max="18" width="2.7109375" style="1" customWidth="1"/>
    <col min="19" max="19" width="12.140625" style="1" bestFit="1" customWidth="1" outlineLevel="1"/>
    <col min="20" max="20" width="11.42578125" style="1" customWidth="1" outlineLevel="1"/>
    <col min="21" max="21" width="17.7109375" style="1" customWidth="1" outlineLevel="1"/>
    <col min="22" max="24" width="15.28515625" style="1" customWidth="1" outlineLevel="1"/>
    <col min="25" max="25" width="14.7109375" style="1" customWidth="1" outlineLevel="1"/>
    <col min="26" max="26" width="12.42578125" style="1" customWidth="1" outlineLevel="1"/>
    <col min="27" max="27" width="15.28515625" style="1" customWidth="1" outlineLevel="1"/>
    <col min="28" max="28" width="12.42578125" style="1" customWidth="1" outlineLevel="1"/>
    <col min="29" max="29" width="9.42578125" style="1" customWidth="1" outlineLevel="1"/>
    <col min="30" max="30" width="13.28515625" style="1" bestFit="1" customWidth="1" outlineLevel="1"/>
    <col min="31" max="31" width="13.28515625" style="1" customWidth="1" outlineLevel="1"/>
    <col min="32" max="32" width="9.5703125" style="1" bestFit="1" customWidth="1" outlineLevel="1"/>
    <col min="33" max="33" width="9.28515625" style="1" customWidth="1" outlineLevel="1"/>
    <col min="34" max="34" width="9.5703125" style="1" bestFit="1" customWidth="1" outlineLevel="1"/>
    <col min="35" max="35" width="12" style="1" customWidth="1" outlineLevel="1"/>
    <col min="36" max="36" width="11.7109375" style="1" customWidth="1" outlineLevel="1"/>
    <col min="37" max="37" width="12.28515625" style="1" customWidth="1" outlineLevel="1"/>
    <col min="38" max="38" width="11.42578125" style="1" customWidth="1" outlineLevel="1"/>
    <col min="39" max="39" width="12.42578125" style="1" customWidth="1" outlineLevel="1"/>
    <col min="40" max="40" width="12.28515625" style="1" customWidth="1" outlineLevel="1"/>
    <col min="41" max="41" width="12.5703125" style="1" customWidth="1" outlineLevel="1"/>
    <col min="42" max="42" width="12.42578125" style="1" customWidth="1" outlineLevel="1"/>
    <col min="43" max="43" width="14.28515625" style="1" customWidth="1" outlineLevel="1"/>
    <col min="44" max="44" width="10.28515625" style="1" customWidth="1" outlineLevel="1"/>
    <col min="45" max="45" width="11.5703125" style="1" customWidth="1" outlineLevel="1"/>
    <col min="46" max="46" width="11.42578125" style="1" customWidth="1" outlineLevel="1"/>
    <col min="47" max="48" width="12.7109375" style="1" customWidth="1" outlineLevel="1"/>
    <col min="49" max="49" width="11" style="1" customWidth="1" outlineLevel="1"/>
    <col min="50" max="50" width="12.7109375" style="1" customWidth="1" outlineLevel="1"/>
    <col min="51" max="250" width="8.7109375" style="1" customWidth="1"/>
    <col min="251" max="16384" width="10.7109375" style="1"/>
  </cols>
  <sheetData>
    <row r="1" spans="1:43" ht="18.75" customHeight="1">
      <c r="A1" s="344" t="s">
        <v>124</v>
      </c>
      <c r="B1" s="344"/>
      <c r="C1" s="344"/>
      <c r="D1" s="344"/>
      <c r="E1" s="344"/>
      <c r="F1" s="344"/>
      <c r="G1" s="344"/>
      <c r="H1" s="344"/>
      <c r="I1" s="344"/>
      <c r="J1" s="344"/>
      <c r="K1" s="91"/>
      <c r="L1" s="91"/>
      <c r="S1" s="345"/>
      <c r="T1" s="345"/>
      <c r="U1" s="345"/>
      <c r="V1" s="345"/>
      <c r="W1" s="345"/>
      <c r="X1" s="345"/>
      <c r="Y1" s="345"/>
      <c r="Z1" s="345"/>
      <c r="AA1" s="345"/>
      <c r="AB1" s="149"/>
      <c r="AC1" s="150"/>
      <c r="AD1" s="150"/>
      <c r="AE1" s="151"/>
      <c r="AF1" s="151"/>
      <c r="AG1" s="151"/>
      <c r="AH1" s="151"/>
      <c r="AI1" s="152"/>
      <c r="AJ1" s="151"/>
      <c r="AK1" s="152"/>
      <c r="AL1" s="346"/>
      <c r="AM1" s="346"/>
      <c r="AN1" s="346"/>
      <c r="AO1" s="346"/>
      <c r="AP1" s="346"/>
      <c r="AQ1" s="346"/>
    </row>
    <row r="2" spans="1:43" ht="36.6" customHeight="1">
      <c r="A2" s="56" t="s">
        <v>59</v>
      </c>
      <c r="B2" s="186"/>
      <c r="C2" s="56"/>
      <c r="D2" s="56"/>
      <c r="E2" s="56"/>
      <c r="F2" s="56"/>
      <c r="G2" s="56"/>
      <c r="H2" s="84"/>
      <c r="I2" s="92"/>
      <c r="J2" s="92"/>
      <c r="K2" s="92"/>
      <c r="L2" s="92"/>
      <c r="S2" s="155"/>
      <c r="T2" s="155"/>
      <c r="U2" s="155"/>
      <c r="V2" s="155"/>
      <c r="W2" s="155"/>
      <c r="X2" s="155"/>
      <c r="Y2" s="155"/>
      <c r="Z2" s="155"/>
      <c r="AA2" s="156"/>
      <c r="AB2" s="182"/>
      <c r="AC2" s="151"/>
      <c r="AD2" s="150"/>
      <c r="AE2" s="157"/>
      <c r="AF2" s="157"/>
      <c r="AG2" s="157"/>
      <c r="AH2" s="157"/>
      <c r="AI2" s="155"/>
      <c r="AJ2" s="157"/>
      <c r="AK2" s="158"/>
      <c r="AL2" s="159"/>
      <c r="AM2" s="234"/>
      <c r="AN2" s="234"/>
      <c r="AO2" s="155"/>
      <c r="AP2" s="155"/>
      <c r="AQ2" s="155"/>
    </row>
    <row r="3" spans="1:43" ht="18" customHeight="1">
      <c r="A3" s="64" t="s">
        <v>20</v>
      </c>
      <c r="B3" s="347" t="s">
        <v>91</v>
      </c>
      <c r="C3" s="348"/>
      <c r="D3" s="348"/>
      <c r="E3" s="347" t="s">
        <v>93</v>
      </c>
      <c r="F3" s="348"/>
      <c r="G3" s="348"/>
      <c r="H3" s="347" t="s">
        <v>94</v>
      </c>
      <c r="I3" s="348"/>
      <c r="J3" s="349"/>
      <c r="M3" s="252"/>
      <c r="N3" s="350"/>
      <c r="O3" s="350"/>
      <c r="P3" s="350"/>
      <c r="Q3" s="351"/>
      <c r="S3" s="160"/>
      <c r="T3" s="161"/>
      <c r="U3" s="160"/>
      <c r="V3" s="160"/>
      <c r="W3" s="160"/>
      <c r="X3" s="160"/>
      <c r="Y3" s="160"/>
      <c r="Z3" s="160"/>
      <c r="AA3" s="161"/>
      <c r="AB3" s="151"/>
      <c r="AC3" s="161"/>
      <c r="AD3" s="161"/>
      <c r="AE3" s="160"/>
      <c r="AF3" s="160"/>
      <c r="AG3" s="160"/>
      <c r="AH3" s="160"/>
      <c r="AI3" s="161"/>
      <c r="AJ3" s="160"/>
      <c r="AK3" s="161"/>
      <c r="AL3" s="161"/>
      <c r="AM3" s="161"/>
      <c r="AN3" s="161"/>
      <c r="AO3" s="161"/>
      <c r="AP3" s="161"/>
      <c r="AQ3" s="161"/>
    </row>
    <row r="4" spans="1:43" s="46" customFormat="1" ht="15">
      <c r="A4" s="66"/>
      <c r="B4" s="218" t="s">
        <v>143</v>
      </c>
      <c r="C4" s="219" t="s">
        <v>114</v>
      </c>
      <c r="D4" s="219" t="s">
        <v>88</v>
      </c>
      <c r="E4" s="218" t="str">
        <f>$B$4</f>
        <v>25 Standard</v>
      </c>
      <c r="F4" s="219" t="str">
        <f>+C4</f>
        <v>23 Actual</v>
      </c>
      <c r="G4" s="219" t="str">
        <f>+D4</f>
        <v>20 Standard</v>
      </c>
      <c r="H4" s="218" t="str">
        <f>+B4</f>
        <v>25 Standard</v>
      </c>
      <c r="I4" s="219" t="str">
        <f>+C4</f>
        <v>23 Actual</v>
      </c>
      <c r="J4" s="220" t="str">
        <f>+D4</f>
        <v>20 Standard</v>
      </c>
      <c r="M4" s="253"/>
      <c r="N4" s="254"/>
      <c r="O4" s="254"/>
      <c r="P4" s="254"/>
      <c r="Q4" s="255"/>
      <c r="S4" s="162"/>
      <c r="T4" s="163"/>
      <c r="U4" s="163"/>
      <c r="V4" s="163"/>
      <c r="W4" s="163"/>
      <c r="X4" s="163"/>
      <c r="Y4" s="163"/>
      <c r="Z4" s="163"/>
      <c r="AA4" s="164"/>
      <c r="AB4" s="165"/>
      <c r="AC4" s="166"/>
      <c r="AD4" s="164"/>
      <c r="AE4" s="164"/>
      <c r="AF4" s="164"/>
      <c r="AG4" s="164"/>
      <c r="AH4" s="164"/>
      <c r="AI4" s="163"/>
      <c r="AJ4" s="164"/>
      <c r="AK4" s="163"/>
      <c r="AL4" s="164"/>
      <c r="AM4" s="164"/>
      <c r="AN4" s="164"/>
      <c r="AO4" s="164"/>
      <c r="AP4" s="164"/>
      <c r="AQ4" s="164"/>
    </row>
    <row r="5" spans="1:43" s="46" customFormat="1">
      <c r="A5" s="66"/>
      <c r="B5" s="221"/>
      <c r="C5" s="202" t="s">
        <v>89</v>
      </c>
      <c r="D5" s="202"/>
      <c r="E5" s="221"/>
      <c r="F5" s="202" t="s">
        <v>89</v>
      </c>
      <c r="G5" s="202"/>
      <c r="H5" s="221"/>
      <c r="I5" s="202" t="s">
        <v>89</v>
      </c>
      <c r="J5" s="222"/>
      <c r="M5" s="253"/>
      <c r="N5" s="256"/>
      <c r="O5" s="256"/>
      <c r="P5" s="257"/>
      <c r="Q5" s="258"/>
      <c r="S5" s="162"/>
      <c r="T5" s="163"/>
      <c r="U5" s="163"/>
      <c r="V5" s="163"/>
      <c r="W5" s="163"/>
      <c r="X5" s="163"/>
      <c r="Y5" s="163"/>
      <c r="Z5" s="163"/>
      <c r="AA5" s="164"/>
      <c r="AB5" s="165"/>
      <c r="AC5" s="166"/>
      <c r="AD5" s="164"/>
      <c r="AE5" s="164"/>
      <c r="AF5" s="164"/>
      <c r="AG5" s="154"/>
      <c r="AH5" s="164"/>
      <c r="AI5" s="163"/>
      <c r="AJ5" s="164"/>
      <c r="AK5" s="163"/>
      <c r="AL5" s="164"/>
      <c r="AM5" s="164"/>
      <c r="AN5" s="164"/>
      <c r="AO5" s="164"/>
      <c r="AP5" s="164"/>
      <c r="AQ5" s="164"/>
    </row>
    <row r="6" spans="1:43">
      <c r="A6" s="30" t="s">
        <v>50</v>
      </c>
      <c r="B6" s="192">
        <f>IF(B24&lt;&gt;0,$D$82,0)</f>
        <v>0</v>
      </c>
      <c r="C6" s="192">
        <v>5.8500000000000003E-2</v>
      </c>
      <c r="D6" s="192">
        <v>4.1565810184720102E-2</v>
      </c>
      <c r="E6" s="204">
        <f>+H82</f>
        <v>0</v>
      </c>
      <c r="F6" s="192">
        <v>0</v>
      </c>
      <c r="G6" s="192">
        <v>0</v>
      </c>
      <c r="H6" s="204">
        <f>+D96</f>
        <v>0</v>
      </c>
      <c r="I6" s="192">
        <v>0</v>
      </c>
      <c r="J6" s="205">
        <v>0</v>
      </c>
      <c r="M6" s="259"/>
      <c r="N6" s="260"/>
      <c r="O6" s="261"/>
      <c r="P6" s="260"/>
      <c r="Q6" s="262"/>
      <c r="S6" s="167"/>
      <c r="T6" s="163"/>
      <c r="U6" s="163"/>
      <c r="V6" s="163"/>
      <c r="W6" s="163"/>
      <c r="X6" s="163"/>
      <c r="Y6" s="163"/>
      <c r="Z6" s="163"/>
      <c r="AA6" s="164"/>
      <c r="AB6" s="165"/>
      <c r="AC6" s="166"/>
      <c r="AD6" s="164"/>
      <c r="AE6" s="164"/>
      <c r="AF6" s="164"/>
      <c r="AG6" s="164"/>
      <c r="AH6" s="164"/>
      <c r="AI6" s="163"/>
      <c r="AJ6" s="164"/>
      <c r="AK6" s="163"/>
      <c r="AL6" s="164"/>
      <c r="AM6" s="164"/>
      <c r="AN6" s="164"/>
      <c r="AO6" s="164"/>
      <c r="AP6" s="164"/>
      <c r="AQ6" s="164"/>
    </row>
    <row r="7" spans="1:43" ht="15">
      <c r="A7" s="30" t="s">
        <v>27</v>
      </c>
      <c r="B7" s="192">
        <f>IF(B24&lt;&gt;0,$D$163,0)</f>
        <v>0</v>
      </c>
      <c r="C7" s="192">
        <v>1.0500000000000001E-2</v>
      </c>
      <c r="D7" s="192">
        <v>2.0277328909623641E-2</v>
      </c>
      <c r="E7" s="204">
        <f>G163</f>
        <v>1.983719966453169E-2</v>
      </c>
      <c r="F7" s="192">
        <v>0</v>
      </c>
      <c r="G7" s="192">
        <v>0</v>
      </c>
      <c r="H7" s="204">
        <f>J163</f>
        <v>1.983719966453169E-2</v>
      </c>
      <c r="I7" s="192">
        <v>0</v>
      </c>
      <c r="J7" s="205">
        <v>0</v>
      </c>
      <c r="M7" s="263"/>
      <c r="N7" s="264"/>
      <c r="O7" s="207"/>
      <c r="P7" s="264"/>
      <c r="Q7" s="208"/>
      <c r="S7" s="168"/>
      <c r="T7" s="168"/>
      <c r="U7" s="168"/>
      <c r="V7" s="168"/>
      <c r="W7" s="168"/>
      <c r="X7" s="168"/>
      <c r="Y7" s="168"/>
      <c r="Z7" s="168"/>
      <c r="AA7" s="168"/>
      <c r="AB7" s="165"/>
      <c r="AC7" s="166"/>
      <c r="AD7" s="169"/>
      <c r="AE7" s="170"/>
      <c r="AF7" s="171"/>
      <c r="AG7" s="171"/>
      <c r="AH7" s="171"/>
      <c r="AI7" s="168"/>
      <c r="AJ7" s="170"/>
      <c r="AK7" s="168"/>
      <c r="AL7" s="169"/>
      <c r="AM7" s="169"/>
      <c r="AN7" s="169"/>
      <c r="AO7" s="169"/>
      <c r="AP7" s="169"/>
      <c r="AQ7" s="169"/>
    </row>
    <row r="8" spans="1:43" ht="15">
      <c r="A8" s="6" t="s">
        <v>49</v>
      </c>
      <c r="B8" s="192">
        <f>IF(B24&lt;&gt;0,$D$164,0)</f>
        <v>0</v>
      </c>
      <c r="C8" s="192">
        <v>1.5599999999999999E-2</v>
      </c>
      <c r="D8" s="192">
        <v>1.4965000000000001E-2</v>
      </c>
      <c r="E8" s="204">
        <f>G164</f>
        <v>1.7100000000000001E-2</v>
      </c>
      <c r="F8" s="192">
        <v>0</v>
      </c>
      <c r="G8" s="192">
        <v>0</v>
      </c>
      <c r="H8" s="204">
        <f>J164</f>
        <v>1.7100000000000001E-2</v>
      </c>
      <c r="I8" s="192">
        <v>0</v>
      </c>
      <c r="J8" s="205">
        <v>0</v>
      </c>
      <c r="M8" s="263"/>
      <c r="N8" s="265"/>
      <c r="O8" s="266"/>
      <c r="P8" s="265"/>
      <c r="Q8" s="267"/>
      <c r="S8" s="168"/>
      <c r="T8" s="168"/>
      <c r="U8" s="168"/>
      <c r="V8" s="168"/>
      <c r="W8" s="168"/>
      <c r="X8" s="168"/>
      <c r="Y8" s="168"/>
      <c r="Z8" s="168"/>
      <c r="AA8" s="168"/>
      <c r="AB8" s="165"/>
      <c r="AC8" s="166"/>
      <c r="AD8" s="169"/>
      <c r="AE8" s="170"/>
      <c r="AF8" s="171"/>
      <c r="AG8" s="171"/>
      <c r="AH8" s="171"/>
      <c r="AI8" s="168"/>
      <c r="AJ8" s="170"/>
      <c r="AK8" s="168"/>
      <c r="AL8" s="169"/>
      <c r="AM8" s="169"/>
      <c r="AN8" s="169"/>
      <c r="AO8" s="169"/>
      <c r="AP8" s="169"/>
      <c r="AQ8" s="169"/>
    </row>
    <row r="9" spans="1:43">
      <c r="A9" s="30" t="s">
        <v>48</v>
      </c>
      <c r="B9" s="192">
        <f>IF(B24&lt;&gt;0,$J$177,0)</f>
        <v>0</v>
      </c>
      <c r="C9" s="192">
        <v>1.9199999999999998E-2</v>
      </c>
      <c r="D9" s="192">
        <v>1.591578947368421E-2</v>
      </c>
      <c r="E9" s="204">
        <f>$H$177</f>
        <v>0.03</v>
      </c>
      <c r="F9" s="192">
        <v>0</v>
      </c>
      <c r="G9" s="192">
        <v>0</v>
      </c>
      <c r="H9" s="204">
        <f>$H$177</f>
        <v>0.03</v>
      </c>
      <c r="I9" s="192">
        <v>0</v>
      </c>
      <c r="J9" s="205">
        <v>0</v>
      </c>
      <c r="M9" s="259"/>
      <c r="N9" s="260"/>
      <c r="O9" s="261"/>
      <c r="P9" s="268"/>
      <c r="Q9" s="262"/>
      <c r="S9" s="168"/>
      <c r="T9" s="168"/>
      <c r="U9" s="168"/>
      <c r="V9" s="168"/>
      <c r="W9" s="168"/>
      <c r="X9" s="168"/>
      <c r="Y9" s="168"/>
      <c r="Z9" s="168"/>
      <c r="AA9" s="168"/>
      <c r="AB9" s="165"/>
      <c r="AC9" s="166"/>
      <c r="AD9" s="169"/>
      <c r="AE9" s="170"/>
      <c r="AF9" s="171"/>
      <c r="AG9" s="171"/>
      <c r="AH9" s="171"/>
      <c r="AI9" s="168"/>
      <c r="AJ9" s="170"/>
      <c r="AK9" s="168"/>
      <c r="AL9" s="169"/>
      <c r="AM9" s="169"/>
      <c r="AN9" s="169"/>
      <c r="AO9" s="169"/>
      <c r="AP9" s="169"/>
      <c r="AQ9" s="169"/>
    </row>
    <row r="10" spans="1:43">
      <c r="A10" s="30" t="s">
        <v>47</v>
      </c>
      <c r="B10" s="192">
        <f>IF(B24&lt;&gt;0,$J$181,0)</f>
        <v>0</v>
      </c>
      <c r="C10" s="192">
        <v>8.0000000000000004E-4</v>
      </c>
      <c r="D10" s="192">
        <v>2.6315789473684214E-3</v>
      </c>
      <c r="E10" s="204">
        <f>$H$181</f>
        <v>5.5102040816326532E-3</v>
      </c>
      <c r="F10" s="192">
        <v>0</v>
      </c>
      <c r="G10" s="192">
        <v>0</v>
      </c>
      <c r="H10" s="204">
        <f>$H$181</f>
        <v>5.5102040816326532E-3</v>
      </c>
      <c r="I10" s="192">
        <v>0</v>
      </c>
      <c r="J10" s="205">
        <v>0</v>
      </c>
      <c r="M10" s="263"/>
      <c r="N10" s="260"/>
      <c r="O10" s="261"/>
      <c r="P10" s="260"/>
      <c r="Q10" s="262"/>
      <c r="S10" s="168"/>
      <c r="T10" s="168"/>
      <c r="U10" s="168"/>
      <c r="V10" s="168"/>
      <c r="W10" s="168"/>
      <c r="X10" s="168"/>
      <c r="Y10" s="168"/>
      <c r="Z10" s="168"/>
      <c r="AA10" s="168"/>
      <c r="AB10" s="165"/>
      <c r="AC10" s="166"/>
      <c r="AD10" s="169"/>
      <c r="AE10" s="170"/>
      <c r="AF10" s="171"/>
      <c r="AG10" s="171"/>
      <c r="AH10" s="171"/>
      <c r="AI10" s="168"/>
      <c r="AJ10" s="170"/>
      <c r="AK10" s="168"/>
      <c r="AL10" s="169"/>
      <c r="AM10" s="169"/>
      <c r="AN10" s="169"/>
      <c r="AO10" s="169"/>
      <c r="AP10" s="169"/>
      <c r="AQ10" s="169"/>
    </row>
    <row r="11" spans="1:43" ht="15">
      <c r="A11" s="30" t="s">
        <v>46</v>
      </c>
      <c r="B11" s="207">
        <f>IF(B24&lt;&gt;0,$J$184,0)</f>
        <v>0</v>
      </c>
      <c r="C11" s="207">
        <v>5.7999999999999996E-3</v>
      </c>
      <c r="D11" s="207">
        <v>9.4736842105263147E-3</v>
      </c>
      <c r="E11" s="206">
        <f>$H$184</f>
        <v>1.1224489795918367E-2</v>
      </c>
      <c r="F11" s="207">
        <v>0</v>
      </c>
      <c r="G11" s="207">
        <v>0</v>
      </c>
      <c r="H11" s="206">
        <f>$H$184</f>
        <v>1.1224489795918367E-2</v>
      </c>
      <c r="I11" s="207">
        <v>0</v>
      </c>
      <c r="J11" s="208">
        <v>0</v>
      </c>
      <c r="M11" s="263"/>
      <c r="N11" s="269"/>
      <c r="O11" s="192"/>
      <c r="P11" s="269"/>
      <c r="Q11" s="205"/>
      <c r="S11" s="174"/>
      <c r="T11" s="174"/>
      <c r="U11" s="174"/>
      <c r="V11" s="174"/>
      <c r="W11" s="174"/>
      <c r="X11" s="174"/>
      <c r="Y11" s="174"/>
      <c r="Z11" s="174"/>
      <c r="AA11" s="174"/>
      <c r="AB11" s="165"/>
      <c r="AC11" s="166"/>
      <c r="AD11" s="169"/>
      <c r="AE11" s="170"/>
      <c r="AF11" s="175"/>
      <c r="AG11" s="175"/>
      <c r="AH11" s="175"/>
      <c r="AI11" s="174"/>
      <c r="AJ11" s="170"/>
      <c r="AK11" s="174"/>
      <c r="AL11" s="169"/>
      <c r="AM11" s="169"/>
      <c r="AN11" s="169"/>
      <c r="AO11" s="169"/>
      <c r="AP11" s="169"/>
      <c r="AQ11" s="169"/>
    </row>
    <row r="12" spans="1:43" ht="15">
      <c r="A12" s="30" t="s">
        <v>45</v>
      </c>
      <c r="B12" s="192">
        <f t="shared" ref="B12:D12" si="0">SUM(B6:B11)</f>
        <v>0</v>
      </c>
      <c r="C12" s="192">
        <f t="shared" si="0"/>
        <v>0.1104</v>
      </c>
      <c r="D12" s="192">
        <f t="shared" si="0"/>
        <v>0.1048291917259227</v>
      </c>
      <c r="E12" s="204">
        <f>SUM(E6:E11)</f>
        <v>8.3671893542082695E-2</v>
      </c>
      <c r="F12" s="192">
        <f t="shared" ref="F12:G12" si="1">SUM(F6:F11)</f>
        <v>0</v>
      </c>
      <c r="G12" s="192">
        <f t="shared" si="1"/>
        <v>0</v>
      </c>
      <c r="H12" s="204">
        <f>SUM(H6:H11)</f>
        <v>8.3671893542082695E-2</v>
      </c>
      <c r="I12" s="192">
        <f t="shared" ref="I12:J12" si="2">SUM(I6:I11)</f>
        <v>0</v>
      </c>
      <c r="J12" s="205">
        <f t="shared" si="2"/>
        <v>0</v>
      </c>
      <c r="M12" s="263"/>
      <c r="N12" s="264"/>
      <c r="O12" s="207"/>
      <c r="P12" s="264"/>
      <c r="Q12" s="208"/>
      <c r="S12" s="168"/>
      <c r="T12" s="168"/>
      <c r="U12" s="168"/>
      <c r="V12" s="168"/>
      <c r="W12" s="168"/>
      <c r="X12" s="168"/>
      <c r="Y12" s="168"/>
      <c r="Z12" s="168"/>
      <c r="AA12" s="168"/>
      <c r="AB12" s="165"/>
      <c r="AC12" s="166"/>
      <c r="AD12" s="164"/>
      <c r="AE12" s="164"/>
      <c r="AF12" s="171"/>
      <c r="AG12" s="171"/>
      <c r="AH12" s="171"/>
      <c r="AI12" s="168"/>
      <c r="AJ12" s="164"/>
      <c r="AK12" s="168"/>
      <c r="AL12" s="164"/>
      <c r="AM12" s="164"/>
      <c r="AN12" s="164"/>
      <c r="AO12" s="164"/>
      <c r="AP12" s="164"/>
      <c r="AQ12" s="164"/>
    </row>
    <row r="13" spans="1:43" ht="15">
      <c r="A13" s="30"/>
      <c r="B13" s="204"/>
      <c r="C13" s="192"/>
      <c r="D13" s="192"/>
      <c r="E13" s="204"/>
      <c r="F13" s="192"/>
      <c r="G13" s="192"/>
      <c r="H13" s="204"/>
      <c r="I13" s="192"/>
      <c r="J13" s="205"/>
      <c r="M13" s="263"/>
      <c r="N13" s="265"/>
      <c r="O13" s="266"/>
      <c r="P13" s="265"/>
      <c r="Q13" s="267"/>
      <c r="S13" s="163"/>
      <c r="T13" s="163"/>
      <c r="U13" s="163"/>
      <c r="V13" s="163"/>
      <c r="W13" s="163"/>
      <c r="X13" s="163"/>
      <c r="Y13" s="163"/>
      <c r="Z13" s="163"/>
      <c r="AA13" s="164"/>
      <c r="AB13" s="165"/>
      <c r="AC13" s="166"/>
      <c r="AD13" s="164"/>
      <c r="AE13" s="164"/>
      <c r="AF13" s="167"/>
      <c r="AG13" s="167"/>
      <c r="AH13" s="167"/>
      <c r="AI13" s="163"/>
      <c r="AJ13" s="164"/>
      <c r="AK13" s="163"/>
      <c r="AL13" s="164"/>
      <c r="AM13" s="164"/>
      <c r="AN13" s="164"/>
      <c r="AO13" s="164"/>
      <c r="AP13" s="164"/>
      <c r="AQ13" s="164"/>
    </row>
    <row r="14" spans="1:43">
      <c r="A14" s="30" t="s">
        <v>31</v>
      </c>
      <c r="B14" s="192">
        <f>IF($B$24&lt;&gt;0,$F$152/B24/1000,0)</f>
        <v>0</v>
      </c>
      <c r="C14" s="192">
        <v>2.46E-2</v>
      </c>
      <c r="D14" s="192">
        <v>7.3599375000000002E-3</v>
      </c>
      <c r="E14" s="204">
        <f>$D$124*$E$108/$B$49/1000</f>
        <v>9.3026761418853253E-4</v>
      </c>
      <c r="F14" s="192">
        <v>0</v>
      </c>
      <c r="G14" s="192">
        <v>0</v>
      </c>
      <c r="H14" s="204">
        <f>$D$124*$E$108/$B$49/1000</f>
        <v>9.3026761418853253E-4</v>
      </c>
      <c r="I14" s="192">
        <v>0</v>
      </c>
      <c r="J14" s="205">
        <v>0</v>
      </c>
      <c r="M14" s="259"/>
      <c r="N14" s="269"/>
      <c r="O14" s="270"/>
      <c r="P14" s="269"/>
      <c r="Q14" s="271"/>
      <c r="S14" s="168"/>
      <c r="T14" s="168"/>
      <c r="U14" s="168"/>
      <c r="V14" s="168"/>
      <c r="W14" s="168"/>
      <c r="X14" s="168"/>
      <c r="Y14" s="168"/>
      <c r="Z14" s="168"/>
      <c r="AA14" s="168"/>
      <c r="AB14" s="165"/>
      <c r="AC14" s="166"/>
      <c r="AD14" s="169"/>
      <c r="AE14" s="170"/>
      <c r="AF14" s="171"/>
      <c r="AG14" s="171"/>
      <c r="AH14" s="171"/>
      <c r="AI14" s="168"/>
      <c r="AJ14" s="170"/>
      <c r="AK14" s="168"/>
      <c r="AL14" s="169"/>
      <c r="AM14" s="169"/>
      <c r="AN14" s="169"/>
      <c r="AO14" s="169"/>
      <c r="AP14" s="169"/>
      <c r="AQ14" s="169"/>
    </row>
    <row r="15" spans="1:43">
      <c r="A15" s="30" t="s">
        <v>44</v>
      </c>
      <c r="B15" s="192">
        <f>IF($B$24&lt;&gt;0,$F$153/$B$24/1000,0)</f>
        <v>0</v>
      </c>
      <c r="C15" s="192">
        <v>8.9999999999999993E-3</v>
      </c>
      <c r="D15" s="192">
        <v>4.2419375E-3</v>
      </c>
      <c r="E15" s="204">
        <f>$H$124*$E$108/$B$49/1000</f>
        <v>0</v>
      </c>
      <c r="F15" s="192">
        <v>0</v>
      </c>
      <c r="G15" s="192">
        <v>0</v>
      </c>
      <c r="H15" s="204">
        <f>$H$124*$E$108/$B$49/1000</f>
        <v>0</v>
      </c>
      <c r="I15" s="192">
        <v>0</v>
      </c>
      <c r="J15" s="205">
        <v>0</v>
      </c>
      <c r="M15" s="263"/>
      <c r="N15" s="269"/>
      <c r="O15" s="268"/>
      <c r="P15" s="269"/>
      <c r="Q15" s="258"/>
      <c r="S15" s="176"/>
      <c r="T15" s="168"/>
      <c r="U15" s="168"/>
      <c r="V15" s="168"/>
      <c r="W15" s="168"/>
      <c r="X15" s="176"/>
      <c r="Y15" s="176"/>
      <c r="Z15" s="176"/>
      <c r="AA15" s="176"/>
      <c r="AB15" s="165"/>
      <c r="AC15" s="166"/>
      <c r="AD15" s="169"/>
      <c r="AE15" s="170"/>
      <c r="AF15" s="167"/>
      <c r="AG15" s="167"/>
      <c r="AH15" s="167"/>
      <c r="AI15" s="176"/>
      <c r="AJ15" s="170"/>
      <c r="AK15" s="176"/>
      <c r="AL15" s="169"/>
      <c r="AM15" s="169"/>
      <c r="AN15" s="169"/>
      <c r="AO15" s="169"/>
      <c r="AP15" s="169"/>
      <c r="AQ15" s="169"/>
    </row>
    <row r="16" spans="1:43">
      <c r="A16" s="30" t="s">
        <v>43</v>
      </c>
      <c r="B16" s="192">
        <f>IF($B$24&lt;&gt;0,$F$155/$B$24/1000,0)</f>
        <v>0</v>
      </c>
      <c r="C16" s="192">
        <v>7.9000000000000008E-3</v>
      </c>
      <c r="D16" s="192">
        <v>5.3897125000000002E-3</v>
      </c>
      <c r="E16" s="204">
        <f>$D$131*$E$108/$B$49/1000</f>
        <v>0</v>
      </c>
      <c r="F16" s="192">
        <v>0</v>
      </c>
      <c r="G16" s="192">
        <v>0</v>
      </c>
      <c r="H16" s="204">
        <f>$D$131*$E$108/$B$49/1000</f>
        <v>0</v>
      </c>
      <c r="I16" s="192">
        <v>0</v>
      </c>
      <c r="J16" s="205">
        <v>0</v>
      </c>
      <c r="M16" s="263"/>
      <c r="N16" s="269"/>
      <c r="O16" s="268"/>
      <c r="P16" s="269"/>
      <c r="Q16" s="258"/>
      <c r="S16" s="168"/>
      <c r="T16" s="168"/>
      <c r="U16" s="168"/>
      <c r="V16" s="168"/>
      <c r="W16" s="168"/>
      <c r="X16" s="168"/>
      <c r="Y16" s="168"/>
      <c r="Z16" s="168"/>
      <c r="AA16" s="176"/>
      <c r="AB16" s="165"/>
      <c r="AC16" s="166"/>
      <c r="AD16" s="169"/>
      <c r="AE16" s="170"/>
      <c r="AF16" s="171"/>
      <c r="AG16" s="171"/>
      <c r="AH16" s="171"/>
      <c r="AI16" s="168"/>
      <c r="AJ16" s="170"/>
      <c r="AK16" s="168"/>
      <c r="AL16" s="169"/>
      <c r="AM16" s="169"/>
      <c r="AN16" s="169"/>
      <c r="AO16" s="169"/>
      <c r="AP16" s="169"/>
      <c r="AQ16" s="169"/>
    </row>
    <row r="17" spans="1:12">
      <c r="A17" s="6" t="s">
        <v>5</v>
      </c>
      <c r="B17" s="192">
        <f>IF($B$24&lt;&gt;0,$F$154/$B$24/1000,0)</f>
        <v>0</v>
      </c>
      <c r="C17" s="192">
        <v>0</v>
      </c>
      <c r="D17" s="192">
        <v>2.6778947368421052E-3</v>
      </c>
      <c r="E17" s="204">
        <f>$F$194</f>
        <v>0</v>
      </c>
      <c r="F17" s="192">
        <v>0</v>
      </c>
      <c r="G17" s="192">
        <v>0</v>
      </c>
      <c r="H17" s="204">
        <f>$F$194</f>
        <v>0</v>
      </c>
      <c r="I17" s="192">
        <v>0</v>
      </c>
      <c r="J17" s="205">
        <v>0</v>
      </c>
    </row>
    <row r="18" spans="1:12">
      <c r="A18" s="6" t="s">
        <v>3</v>
      </c>
      <c r="B18" s="192">
        <f>IF($B$24&lt;&gt;0,$B$196/$B$49/1000,0)</f>
        <v>0</v>
      </c>
      <c r="C18" s="192">
        <v>2.7000000000000001E-3</v>
      </c>
      <c r="D18" s="192">
        <v>0.16719999999999999</v>
      </c>
      <c r="E18" s="204">
        <f>$F$196</f>
        <v>5.5866734693877554E-2</v>
      </c>
      <c r="F18" s="192">
        <v>0</v>
      </c>
      <c r="G18" s="192">
        <v>0</v>
      </c>
      <c r="H18" s="204">
        <f>$F$196</f>
        <v>5.5866734693877554E-2</v>
      </c>
      <c r="I18" s="192">
        <v>0</v>
      </c>
      <c r="J18" s="205">
        <v>0</v>
      </c>
    </row>
    <row r="19" spans="1:12" ht="15">
      <c r="A19" s="6" t="s">
        <v>4</v>
      </c>
      <c r="B19" s="207">
        <f>IF($B$24&lt;&gt;0,$B$195/$B$49/1000,0)</f>
        <v>0</v>
      </c>
      <c r="C19" s="207">
        <v>1.2E-2</v>
      </c>
      <c r="D19" s="207">
        <v>1.2884210526315788E-2</v>
      </c>
      <c r="E19" s="206">
        <f>$F$195</f>
        <v>0.23436734693877551</v>
      </c>
      <c r="F19" s="207">
        <v>0</v>
      </c>
      <c r="G19" s="207">
        <v>0</v>
      </c>
      <c r="H19" s="206">
        <f>$F$195</f>
        <v>0.23436734693877551</v>
      </c>
      <c r="I19" s="207">
        <v>0</v>
      </c>
      <c r="J19" s="208">
        <v>0</v>
      </c>
    </row>
    <row r="20" spans="1:12">
      <c r="A20" s="30" t="s">
        <v>42</v>
      </c>
      <c r="B20" s="192">
        <f t="shared" ref="B20:J20" si="3">SUM(B14:B19)</f>
        <v>0</v>
      </c>
      <c r="C20" s="192">
        <f t="shared" si="3"/>
        <v>5.62E-2</v>
      </c>
      <c r="D20" s="192">
        <f t="shared" si="3"/>
        <v>0.19975369276315788</v>
      </c>
      <c r="E20" s="204">
        <f t="shared" si="3"/>
        <v>0.29116434924684159</v>
      </c>
      <c r="F20" s="192">
        <f t="shared" ref="F20:G20" si="4">SUM(F14:F19)</f>
        <v>0</v>
      </c>
      <c r="G20" s="192">
        <f t="shared" si="4"/>
        <v>0</v>
      </c>
      <c r="H20" s="204">
        <f t="shared" si="3"/>
        <v>0.29116434924684159</v>
      </c>
      <c r="I20" s="192">
        <f t="shared" si="3"/>
        <v>0</v>
      </c>
      <c r="J20" s="205">
        <f t="shared" si="3"/>
        <v>0</v>
      </c>
    </row>
    <row r="21" spans="1:12">
      <c r="A21" s="6"/>
      <c r="B21" s="204"/>
      <c r="C21" s="192"/>
      <c r="D21" s="192"/>
      <c r="E21" s="204"/>
      <c r="F21" s="192"/>
      <c r="G21" s="192"/>
      <c r="H21" s="223"/>
      <c r="I21" s="192"/>
      <c r="J21" s="224"/>
    </row>
    <row r="22" spans="1:12">
      <c r="A22" s="30" t="s">
        <v>41</v>
      </c>
      <c r="B22" s="209">
        <f t="shared" ref="B22:J22" si="5">B12+B20</f>
        <v>0</v>
      </c>
      <c r="C22" s="210">
        <f t="shared" si="5"/>
        <v>0.1666</v>
      </c>
      <c r="D22" s="210">
        <f t="shared" si="5"/>
        <v>0.30458288448908055</v>
      </c>
      <c r="E22" s="209">
        <f t="shared" si="5"/>
        <v>0.3748362427889243</v>
      </c>
      <c r="F22" s="210">
        <f t="shared" si="5"/>
        <v>0</v>
      </c>
      <c r="G22" s="210">
        <f t="shared" si="5"/>
        <v>0</v>
      </c>
      <c r="H22" s="209">
        <f t="shared" si="5"/>
        <v>0.3748362427889243</v>
      </c>
      <c r="I22" s="210">
        <f t="shared" si="5"/>
        <v>0</v>
      </c>
      <c r="J22" s="211">
        <f t="shared" si="5"/>
        <v>0</v>
      </c>
    </row>
    <row r="23" spans="1:12">
      <c r="A23" s="6"/>
      <c r="B23" s="212"/>
      <c r="C23" s="213"/>
      <c r="D23" s="213"/>
      <c r="E23" s="212"/>
      <c r="F23" s="213"/>
      <c r="G23" s="213"/>
      <c r="H23" s="212"/>
      <c r="I23" s="213"/>
      <c r="J23" s="225"/>
    </row>
    <row r="24" spans="1:12">
      <c r="A24" s="25" t="s">
        <v>40</v>
      </c>
      <c r="B24" s="215">
        <f>+B54</f>
        <v>0</v>
      </c>
      <c r="C24" s="226">
        <v>0</v>
      </c>
      <c r="D24" s="226">
        <v>80000</v>
      </c>
      <c r="E24" s="215">
        <f>+B55</f>
        <v>0</v>
      </c>
      <c r="F24" s="226">
        <v>0</v>
      </c>
      <c r="G24" s="216">
        <v>0</v>
      </c>
      <c r="H24" s="215">
        <f>+B56</f>
        <v>0</v>
      </c>
      <c r="I24" s="226">
        <v>0</v>
      </c>
      <c r="J24" s="217">
        <v>0</v>
      </c>
    </row>
    <row r="25" spans="1:12">
      <c r="B25" s="49"/>
      <c r="C25" s="47"/>
      <c r="D25" s="47"/>
      <c r="E25" s="47"/>
      <c r="F25" s="48"/>
      <c r="G25" s="47"/>
      <c r="H25" s="47"/>
      <c r="J25" s="46"/>
    </row>
    <row r="26" spans="1:12" ht="18" customHeight="1">
      <c r="A26" s="64"/>
      <c r="B26" s="359" t="s">
        <v>92</v>
      </c>
      <c r="C26" s="360"/>
      <c r="D26" s="361"/>
      <c r="E26" s="347" t="s">
        <v>90</v>
      </c>
      <c r="F26" s="348"/>
      <c r="G26" s="348"/>
      <c r="H26" s="362" t="s">
        <v>20</v>
      </c>
      <c r="I26" s="363"/>
      <c r="J26" s="364"/>
    </row>
    <row r="27" spans="1:12" s="46" customFormat="1" ht="15">
      <c r="A27" s="66"/>
      <c r="B27" s="198" t="str">
        <f>$B$4</f>
        <v>25 Standard</v>
      </c>
      <c r="C27" s="199" t="str">
        <f>+C4</f>
        <v>23 Actual</v>
      </c>
      <c r="D27" s="200" t="str">
        <f>+D4</f>
        <v>20 Standard</v>
      </c>
      <c r="E27" s="218" t="s">
        <v>113</v>
      </c>
      <c r="F27" s="327" t="s">
        <v>114</v>
      </c>
      <c r="G27" s="219" t="s">
        <v>111</v>
      </c>
      <c r="H27" s="143" t="str">
        <f>+B27</f>
        <v>25 Standard</v>
      </c>
      <c r="I27" s="144" t="str">
        <f>+C27</f>
        <v>23 Actual</v>
      </c>
      <c r="J27" s="145" t="str">
        <f>+D27</f>
        <v>20 Standard</v>
      </c>
    </row>
    <row r="28" spans="1:12" s="46" customFormat="1">
      <c r="A28" s="66"/>
      <c r="B28" s="201"/>
      <c r="C28" s="202" t="s">
        <v>89</v>
      </c>
      <c r="D28" s="203"/>
      <c r="E28" s="201"/>
      <c r="F28" s="202" t="s">
        <v>102</v>
      </c>
      <c r="G28" s="203"/>
      <c r="H28" s="146"/>
      <c r="I28" s="137"/>
      <c r="J28" s="115"/>
    </row>
    <row r="29" spans="1:12">
      <c r="A29" s="30" t="s">
        <v>50</v>
      </c>
      <c r="B29" s="204">
        <f>D82</f>
        <v>6.5965817666666662E-2</v>
      </c>
      <c r="C29" s="192">
        <v>0</v>
      </c>
      <c r="D29" s="205">
        <v>0</v>
      </c>
      <c r="E29" s="192">
        <f>IF(E47&lt;&gt;0,$L$96,0)</f>
        <v>7.0852831853116985E-2</v>
      </c>
      <c r="F29" s="192">
        <v>7.8E-2</v>
      </c>
      <c r="G29" s="205">
        <v>6.0259679999999996E-2</v>
      </c>
      <c r="H29" s="138">
        <v>0</v>
      </c>
      <c r="I29" s="24">
        <v>0</v>
      </c>
      <c r="J29" s="94">
        <v>0</v>
      </c>
      <c r="L29" s="46"/>
    </row>
    <row r="30" spans="1:12">
      <c r="A30" s="30" t="s">
        <v>27</v>
      </c>
      <c r="B30" s="204">
        <f>D169</f>
        <v>0</v>
      </c>
      <c r="C30" s="192">
        <v>0</v>
      </c>
      <c r="D30" s="205">
        <v>0</v>
      </c>
      <c r="E30" s="192">
        <f>IF(E47&lt;&gt;0,$G$169,0)</f>
        <v>4.3918811483700915E-2</v>
      </c>
      <c r="F30" s="192">
        <v>4.3200000000000002E-2</v>
      </c>
      <c r="G30" s="205">
        <v>2.6879417927194393E-2</v>
      </c>
      <c r="H30" s="138">
        <v>0</v>
      </c>
      <c r="I30" s="24">
        <v>0</v>
      </c>
      <c r="J30" s="94">
        <v>0</v>
      </c>
      <c r="L30" s="46"/>
    </row>
    <row r="31" spans="1:12">
      <c r="A31" s="6" t="s">
        <v>49</v>
      </c>
      <c r="B31" s="204">
        <f>D170</f>
        <v>0</v>
      </c>
      <c r="C31" s="192">
        <v>0</v>
      </c>
      <c r="D31" s="205">
        <v>0</v>
      </c>
      <c r="E31" s="192">
        <f>IF(E47&lt;&gt;0,$G$170,0)</f>
        <v>2.5999999999999999E-2</v>
      </c>
      <c r="F31" s="192">
        <v>1.9E-2</v>
      </c>
      <c r="G31" s="205">
        <v>2.8566999999999999E-2</v>
      </c>
      <c r="H31" s="138">
        <f>J170</f>
        <v>0</v>
      </c>
      <c r="I31" s="24">
        <v>0</v>
      </c>
      <c r="J31" s="94">
        <v>0</v>
      </c>
      <c r="L31" s="46"/>
    </row>
    <row r="32" spans="1:12">
      <c r="A32" s="30" t="s">
        <v>48</v>
      </c>
      <c r="B32" s="204">
        <f>IF($B$47&lt;&gt;0,$H$177,0)</f>
        <v>0</v>
      </c>
      <c r="C32" s="192">
        <v>0</v>
      </c>
      <c r="D32" s="205">
        <v>0</v>
      </c>
      <c r="E32" s="192">
        <f>IF(E47&lt;&gt;0,$H$177,0)</f>
        <v>0.03</v>
      </c>
      <c r="F32" s="192">
        <v>2.98E-2</v>
      </c>
      <c r="G32" s="205">
        <v>2.7777777777777776E-2</v>
      </c>
      <c r="H32" s="138">
        <v>0</v>
      </c>
      <c r="I32" s="24">
        <v>0</v>
      </c>
      <c r="J32" s="94">
        <v>0</v>
      </c>
      <c r="L32" s="46"/>
    </row>
    <row r="33" spans="1:12">
      <c r="A33" s="30" t="s">
        <v>47</v>
      </c>
      <c r="B33" s="204">
        <f>IF($B$47&lt;&gt;0,$H$181,0)</f>
        <v>0</v>
      </c>
      <c r="C33" s="192">
        <v>0</v>
      </c>
      <c r="D33" s="205">
        <v>0</v>
      </c>
      <c r="E33" s="192">
        <f>IF(E47&lt;&gt;0,$H$181,0)</f>
        <v>5.5102040816326532E-3</v>
      </c>
      <c r="F33" s="192">
        <v>1.1999999999999999E-3</v>
      </c>
      <c r="G33" s="205">
        <v>6.9444444444444441E-3</v>
      </c>
      <c r="H33" s="138">
        <v>0</v>
      </c>
      <c r="I33" s="24">
        <v>0</v>
      </c>
      <c r="J33" s="94">
        <v>0</v>
      </c>
      <c r="K33" s="24"/>
      <c r="L33" s="46"/>
    </row>
    <row r="34" spans="1:12" ht="15">
      <c r="A34" s="30" t="s">
        <v>46</v>
      </c>
      <c r="B34" s="206">
        <f>IF($B$47&lt;&gt;0,$H$184,0)</f>
        <v>0</v>
      </c>
      <c r="C34" s="207">
        <v>0</v>
      </c>
      <c r="D34" s="208">
        <v>0</v>
      </c>
      <c r="E34" s="207">
        <f>IF(E47&lt;&gt;0,$H$184,0)</f>
        <v>1.1224489795918367E-2</v>
      </c>
      <c r="F34" s="207">
        <v>1.3899999999999999E-2</v>
      </c>
      <c r="G34" s="208">
        <v>1.2500000000000001E-2</v>
      </c>
      <c r="H34" s="139">
        <v>0</v>
      </c>
      <c r="I34" s="67">
        <v>0</v>
      </c>
      <c r="J34" s="95">
        <v>0</v>
      </c>
      <c r="K34" s="67"/>
      <c r="L34" s="46"/>
    </row>
    <row r="35" spans="1:12">
      <c r="A35" s="30" t="s">
        <v>45</v>
      </c>
      <c r="B35" s="204">
        <f>SUM(B29:B34)</f>
        <v>6.5965817666666662E-2</v>
      </c>
      <c r="C35" s="192">
        <f t="shared" ref="C35:D35" si="6">SUM(C29:C34)</f>
        <v>0</v>
      </c>
      <c r="D35" s="192">
        <f t="shared" si="6"/>
        <v>0</v>
      </c>
      <c r="E35" s="192">
        <f t="shared" ref="E35" si="7">SUM(E29:E34)</f>
        <v>0.18750633721436893</v>
      </c>
      <c r="F35" s="192">
        <f>SUM(F29:F34)</f>
        <v>0.18509999999999999</v>
      </c>
      <c r="G35" s="192">
        <f>SUM(G29:G34)</f>
        <v>0.16292832014941663</v>
      </c>
      <c r="H35" s="138">
        <f>SUM(H29:H34)</f>
        <v>0</v>
      </c>
      <c r="I35" s="24">
        <f t="shared" ref="I35" si="8">SUM(I29:I34)</f>
        <v>0</v>
      </c>
      <c r="J35" s="94">
        <f>SUM(J29:J34)</f>
        <v>0</v>
      </c>
      <c r="K35" s="24"/>
      <c r="L35" s="46"/>
    </row>
    <row r="36" spans="1:12">
      <c r="A36" s="30"/>
      <c r="B36" s="204"/>
      <c r="C36" s="192"/>
      <c r="D36" s="205"/>
      <c r="E36" s="204"/>
      <c r="F36" s="192"/>
      <c r="G36" s="205"/>
      <c r="H36" s="138"/>
      <c r="I36" s="24"/>
      <c r="J36" s="94"/>
      <c r="K36" s="24"/>
      <c r="L36" s="46"/>
    </row>
    <row r="37" spans="1:12">
      <c r="A37" s="30" t="s">
        <v>31</v>
      </c>
      <c r="B37" s="204">
        <f>$D$124*$E$108/$B$49/1000</f>
        <v>9.3026761418853253E-4</v>
      </c>
      <c r="C37" s="192">
        <v>0</v>
      </c>
      <c r="D37" s="205">
        <v>0</v>
      </c>
      <c r="E37" s="192">
        <f>IF($E$47&lt;&gt;0,$F$127/$E$47/1000,0)</f>
        <v>4.0001507410106898E-2</v>
      </c>
      <c r="F37" s="192">
        <v>3.5299999999999998E-2</v>
      </c>
      <c r="G37" s="205">
        <v>2.1569210091743118E-2</v>
      </c>
      <c r="H37" s="138">
        <v>0</v>
      </c>
      <c r="I37" s="24">
        <v>0</v>
      </c>
      <c r="J37" s="94">
        <v>0</v>
      </c>
      <c r="K37" s="24"/>
      <c r="L37" s="46"/>
    </row>
    <row r="38" spans="1:12">
      <c r="A38" s="30" t="s">
        <v>44</v>
      </c>
      <c r="B38" s="204">
        <f>$H$124*$E$108/$B$49/1000</f>
        <v>0</v>
      </c>
      <c r="C38" s="192">
        <v>0</v>
      </c>
      <c r="D38" s="205">
        <v>0</v>
      </c>
      <c r="E38" s="192">
        <f>IF($E$47&lt;&gt;0,$F$128/$E$47/1000,0)</f>
        <v>4.806117346938775E-3</v>
      </c>
      <c r="F38" s="192">
        <v>6.7000000000000002E-3</v>
      </c>
      <c r="G38" s="205">
        <v>5.1700857142857144E-3</v>
      </c>
      <c r="H38" s="138">
        <v>0</v>
      </c>
      <c r="I38" s="24">
        <v>0</v>
      </c>
      <c r="J38" s="94">
        <v>0</v>
      </c>
      <c r="K38" s="24"/>
      <c r="L38" s="46"/>
    </row>
    <row r="39" spans="1:12">
      <c r="A39" s="30" t="s">
        <v>43</v>
      </c>
      <c r="B39" s="204">
        <f>$D$131*$E$108/$B$49/1000</f>
        <v>0</v>
      </c>
      <c r="C39" s="192">
        <v>0</v>
      </c>
      <c r="D39" s="205">
        <v>0</v>
      </c>
      <c r="E39" s="192">
        <f>IF($E$47&lt;&gt;0,$F$130/$E$47/1000,0)</f>
        <v>1.2994211179543245E-2</v>
      </c>
      <c r="F39" s="192">
        <v>1.12E-2</v>
      </c>
      <c r="G39" s="205">
        <v>8.0162316187989569E-3</v>
      </c>
      <c r="H39" s="138">
        <v>0</v>
      </c>
      <c r="I39" s="24">
        <v>0</v>
      </c>
      <c r="J39" s="94">
        <v>0</v>
      </c>
      <c r="K39" s="24"/>
      <c r="L39" s="46"/>
    </row>
    <row r="40" spans="1:12">
      <c r="A40" s="6" t="s">
        <v>5</v>
      </c>
      <c r="B40" s="204">
        <f>IF($B$49&lt;&gt;0,$F$194,0)</f>
        <v>0</v>
      </c>
      <c r="C40" s="192">
        <v>0</v>
      </c>
      <c r="D40" s="205">
        <v>0</v>
      </c>
      <c r="E40" s="192">
        <f>IF($E$47&lt;&gt;0,$F$129/$E$47/1000,0)</f>
        <v>0</v>
      </c>
      <c r="F40" s="192">
        <v>0</v>
      </c>
      <c r="G40" s="205">
        <v>4.7638888888888888E-4</v>
      </c>
      <c r="H40" s="138">
        <v>0</v>
      </c>
      <c r="I40" s="24">
        <v>0</v>
      </c>
      <c r="J40" s="94">
        <v>0</v>
      </c>
      <c r="K40" s="24"/>
      <c r="L40" s="46"/>
    </row>
    <row r="41" spans="1:12" ht="15">
      <c r="A41" s="6" t="s">
        <v>3</v>
      </c>
      <c r="B41" s="204">
        <f>IF($B$49&lt;&gt;0,$F$196,0)</f>
        <v>5.5866734693877554E-2</v>
      </c>
      <c r="C41" s="192">
        <v>0</v>
      </c>
      <c r="D41" s="205">
        <v>0</v>
      </c>
      <c r="E41" s="192">
        <f>IF($E$47&lt;&gt;0,$B$196/$B$49/1000/4,0)</f>
        <v>1.1638903061224491E-3</v>
      </c>
      <c r="F41" s="192">
        <v>8.5000000000000006E-3</v>
      </c>
      <c r="G41" s="205">
        <v>5.6777777777777781E-3</v>
      </c>
      <c r="H41" s="138">
        <v>0</v>
      </c>
      <c r="I41" s="24">
        <v>0</v>
      </c>
      <c r="J41" s="94">
        <v>0</v>
      </c>
      <c r="K41" s="67"/>
      <c r="L41" s="46"/>
    </row>
    <row r="42" spans="1:12" ht="15">
      <c r="A42" s="6" t="s">
        <v>4</v>
      </c>
      <c r="B42" s="206">
        <f>IF($B$49&lt;&gt;0,$F$195,0)</f>
        <v>0.23436734693877551</v>
      </c>
      <c r="C42" s="207">
        <v>0</v>
      </c>
      <c r="D42" s="208">
        <v>0</v>
      </c>
      <c r="E42" s="207">
        <f>IF($E$47&lt;&gt;0,$B$195/$B$49/1000/4,0)</f>
        <v>4.8826530612244897E-3</v>
      </c>
      <c r="F42" s="207">
        <v>3.6200000000000003E-2</v>
      </c>
      <c r="G42" s="208">
        <v>2.5861111111111109E-2</v>
      </c>
      <c r="H42" s="139">
        <v>0</v>
      </c>
      <c r="I42" s="67">
        <v>0</v>
      </c>
      <c r="J42" s="95">
        <v>0</v>
      </c>
      <c r="K42" s="24"/>
      <c r="L42" s="46"/>
    </row>
    <row r="43" spans="1:12">
      <c r="A43" s="30" t="s">
        <v>42</v>
      </c>
      <c r="B43" s="204">
        <f t="shared" ref="B43:J43" si="9">SUM(B37:B42)</f>
        <v>0.29116434924684159</v>
      </c>
      <c r="C43" s="192">
        <f t="shared" si="9"/>
        <v>0</v>
      </c>
      <c r="D43" s="192">
        <f t="shared" si="9"/>
        <v>0</v>
      </c>
      <c r="E43" s="192">
        <f t="shared" ref="E43" si="10">SUM(E37:E42)</f>
        <v>6.3848379303935859E-2</v>
      </c>
      <c r="F43" s="192">
        <f>SUM(F37:F42)</f>
        <v>9.7900000000000001E-2</v>
      </c>
      <c r="G43" s="192">
        <f t="shared" si="9"/>
        <v>6.6770805202605574E-2</v>
      </c>
      <c r="H43" s="138">
        <f t="shared" si="9"/>
        <v>0</v>
      </c>
      <c r="I43" s="24">
        <f t="shared" si="9"/>
        <v>0</v>
      </c>
      <c r="J43" s="94">
        <f t="shared" si="9"/>
        <v>0</v>
      </c>
      <c r="K43" s="24"/>
      <c r="L43" s="46"/>
    </row>
    <row r="44" spans="1:12">
      <c r="A44" s="76" t="s">
        <v>112</v>
      </c>
      <c r="B44" s="204"/>
      <c r="C44" s="192"/>
      <c r="D44" s="205"/>
      <c r="E44" s="328"/>
      <c r="F44" s="328">
        <v>-4.5499999999999999E-2</v>
      </c>
      <c r="G44" s="205"/>
      <c r="H44" s="138"/>
      <c r="I44" s="24"/>
      <c r="J44" s="94"/>
      <c r="K44" s="24"/>
      <c r="L44" s="46"/>
    </row>
    <row r="45" spans="1:12">
      <c r="A45" s="30" t="s">
        <v>41</v>
      </c>
      <c r="B45" s="209">
        <f>B35+B43</f>
        <v>0.35713016691350824</v>
      </c>
      <c r="C45" s="210">
        <f t="shared" ref="C45:J45" si="11">C35+C43</f>
        <v>0</v>
      </c>
      <c r="D45" s="211">
        <v>0.19962945623832437</v>
      </c>
      <c r="E45" s="210">
        <f>E35+E43+E44</f>
        <v>0.25135471651830477</v>
      </c>
      <c r="F45" s="210">
        <f>F35+F43+F44</f>
        <v>0.23749999999999999</v>
      </c>
      <c r="G45" s="211">
        <f>+G35+G43</f>
        <v>0.22969912535202219</v>
      </c>
      <c r="H45" s="140">
        <f t="shared" si="11"/>
        <v>0</v>
      </c>
      <c r="I45" s="124">
        <f t="shared" si="11"/>
        <v>0</v>
      </c>
      <c r="J45" s="125">
        <f t="shared" si="11"/>
        <v>0</v>
      </c>
      <c r="K45" s="116"/>
      <c r="L45" s="46"/>
    </row>
    <row r="46" spans="1:12">
      <c r="A46" s="6"/>
      <c r="B46" s="212"/>
      <c r="C46" s="213"/>
      <c r="D46" s="214"/>
      <c r="E46" s="212"/>
      <c r="F46" s="213"/>
      <c r="G46" s="214"/>
      <c r="H46" s="141"/>
      <c r="I46" s="24"/>
      <c r="J46" s="94"/>
      <c r="K46" s="47"/>
      <c r="L46" s="47"/>
    </row>
    <row r="47" spans="1:12">
      <c r="A47" s="25" t="s">
        <v>40</v>
      </c>
      <c r="B47" s="215">
        <f>+B57</f>
        <v>0</v>
      </c>
      <c r="C47" s="216">
        <v>0</v>
      </c>
      <c r="D47" s="217">
        <v>0</v>
      </c>
      <c r="E47" s="215">
        <f>+B58</f>
        <v>4900</v>
      </c>
      <c r="F47" s="216">
        <v>15776</v>
      </c>
      <c r="G47" s="217">
        <v>36000</v>
      </c>
      <c r="H47" s="142">
        <f>+B59</f>
        <v>0</v>
      </c>
      <c r="I47" s="112">
        <v>0</v>
      </c>
      <c r="J47" s="147">
        <v>0</v>
      </c>
      <c r="K47" s="117"/>
      <c r="L47" s="117"/>
    </row>
    <row r="49" spans="1:12">
      <c r="A49" s="68" t="s">
        <v>39</v>
      </c>
      <c r="B49" s="114">
        <f>B24+E24+H24+B47+E47+H47</f>
        <v>4900</v>
      </c>
      <c r="C49" s="126">
        <f>C24+F24+I24+C47+F47+I47</f>
        <v>15776</v>
      </c>
      <c r="D49" s="127">
        <f>D24+G24+J24+D47+G47+J47</f>
        <v>116000</v>
      </c>
      <c r="E49" s="113"/>
    </row>
    <row r="50" spans="1:12"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>
      <c r="A51" s="54" t="s">
        <v>38</v>
      </c>
      <c r="B51" s="365" t="s">
        <v>37</v>
      </c>
      <c r="C51" s="365"/>
      <c r="D51" s="365"/>
      <c r="E51" s="365"/>
      <c r="F51" s="365"/>
      <c r="G51" s="365"/>
      <c r="H51" s="365"/>
      <c r="I51" s="365"/>
      <c r="J51" s="365"/>
      <c r="K51" s="365"/>
      <c r="L51" s="12"/>
    </row>
    <row r="52" spans="1:12">
      <c r="A52" s="30"/>
      <c r="L52" s="12"/>
    </row>
    <row r="53" spans="1:12" ht="15">
      <c r="A53" s="82" t="s">
        <v>61</v>
      </c>
      <c r="B53" s="45" t="s">
        <v>62</v>
      </c>
      <c r="C53" s="45" t="s">
        <v>64</v>
      </c>
      <c r="D53" s="185"/>
      <c r="E53" s="5"/>
      <c r="F53" s="45"/>
      <c r="G53" s="5"/>
      <c r="H53" s="5"/>
      <c r="L53" s="12"/>
    </row>
    <row r="54" spans="1:12" ht="15">
      <c r="A54" s="30" t="s">
        <v>95</v>
      </c>
      <c r="B54" s="120">
        <f>'2025 Summary'!$D$8</f>
        <v>0</v>
      </c>
      <c r="C54" s="129">
        <f>B54/$B$60</f>
        <v>0</v>
      </c>
      <c r="D54" s="32"/>
      <c r="E54" s="5">
        <f>9*400000*7</f>
        <v>25200000</v>
      </c>
      <c r="F54" s="44"/>
      <c r="G54" s="5" t="s">
        <v>20</v>
      </c>
      <c r="H54" s="121"/>
      <c r="L54" s="12"/>
    </row>
    <row r="55" spans="1:12" ht="15">
      <c r="A55" s="30" t="s">
        <v>96</v>
      </c>
      <c r="B55" s="120">
        <v>0</v>
      </c>
      <c r="C55" s="129">
        <f t="shared" ref="C55:C60" si="12">B55/$B$60</f>
        <v>0</v>
      </c>
      <c r="D55" s="32"/>
      <c r="E55" s="5"/>
      <c r="F55" s="44"/>
      <c r="G55" s="5" t="s">
        <v>20</v>
      </c>
      <c r="H55" s="121"/>
      <c r="L55" s="12"/>
    </row>
    <row r="56" spans="1:12" ht="15">
      <c r="A56" s="30" t="s">
        <v>97</v>
      </c>
      <c r="B56" s="120">
        <v>0</v>
      </c>
      <c r="C56" s="129">
        <f t="shared" si="12"/>
        <v>0</v>
      </c>
      <c r="D56" s="32"/>
      <c r="E56" s="5"/>
      <c r="F56" s="5"/>
      <c r="G56" s="5"/>
      <c r="H56" s="5"/>
      <c r="L56" s="12"/>
    </row>
    <row r="57" spans="1:12" ht="15">
      <c r="A57" s="30" t="s">
        <v>92</v>
      </c>
      <c r="B57" s="120">
        <v>0</v>
      </c>
      <c r="C57" s="129">
        <f t="shared" si="12"/>
        <v>0</v>
      </c>
      <c r="D57" s="32"/>
      <c r="E57" s="5"/>
      <c r="F57" s="5"/>
      <c r="G57" s="5"/>
      <c r="H57" s="5"/>
      <c r="L57" s="12"/>
    </row>
    <row r="58" spans="1:12" ht="15">
      <c r="A58" s="30" t="s">
        <v>90</v>
      </c>
      <c r="B58" s="103">
        <f>'2025 Summary'!$E$8</f>
        <v>4900</v>
      </c>
      <c r="C58" s="129">
        <f t="shared" si="12"/>
        <v>1</v>
      </c>
      <c r="D58" s="32"/>
      <c r="E58" s="5"/>
      <c r="F58" s="5"/>
      <c r="G58" s="5"/>
      <c r="H58" s="5"/>
      <c r="L58" s="12"/>
    </row>
    <row r="59" spans="1:12" ht="15">
      <c r="A59" s="30" t="s">
        <v>20</v>
      </c>
      <c r="B59" s="120">
        <v>0</v>
      </c>
      <c r="C59" s="130">
        <f t="shared" si="12"/>
        <v>0</v>
      </c>
      <c r="D59" s="32"/>
      <c r="E59" s="5"/>
      <c r="F59" s="5"/>
      <c r="G59" s="5"/>
      <c r="H59" s="5"/>
      <c r="L59" s="12"/>
    </row>
    <row r="60" spans="1:12">
      <c r="A60" s="83" t="s">
        <v>65</v>
      </c>
      <c r="B60" s="112">
        <f>SUM(B54:B59)</f>
        <v>4900</v>
      </c>
      <c r="C60" s="188">
        <f t="shared" si="12"/>
        <v>1</v>
      </c>
      <c r="D60" s="75"/>
      <c r="E60" s="53"/>
      <c r="F60" s="53"/>
      <c r="G60" s="53"/>
      <c r="H60" s="53"/>
      <c r="I60" s="10"/>
      <c r="J60" s="10"/>
      <c r="K60" s="10"/>
      <c r="L60" s="9"/>
    </row>
    <row r="61" spans="1:12">
      <c r="A61" s="16"/>
      <c r="B61" s="5"/>
      <c r="C61" s="5"/>
      <c r="D61" s="5"/>
      <c r="E61" s="5"/>
      <c r="F61" s="5"/>
      <c r="G61" s="5"/>
      <c r="H61" s="122"/>
      <c r="L61" s="12"/>
    </row>
    <row r="62" spans="1:12" ht="15" customHeight="1">
      <c r="A62" s="16"/>
      <c r="B62" s="5"/>
      <c r="C62" s="366" t="s">
        <v>35</v>
      </c>
      <c r="D62" s="366"/>
      <c r="E62" s="366"/>
      <c r="F62" s="366"/>
      <c r="G62" s="367" t="s">
        <v>60</v>
      </c>
      <c r="H62" s="367"/>
      <c r="I62" s="367"/>
      <c r="J62" s="367"/>
      <c r="K62" s="367"/>
      <c r="L62" s="233"/>
    </row>
    <row r="63" spans="1:12" s="36" customFormat="1" ht="15">
      <c r="A63" s="229" t="s">
        <v>66</v>
      </c>
      <c r="B63" s="101" t="s">
        <v>36</v>
      </c>
      <c r="C63" s="184" t="s">
        <v>95</v>
      </c>
      <c r="D63" s="197" t="s">
        <v>96</v>
      </c>
      <c r="E63" s="197" t="s">
        <v>97</v>
      </c>
      <c r="F63" s="197" t="s">
        <v>92</v>
      </c>
      <c r="G63" s="197" t="s">
        <v>98</v>
      </c>
      <c r="H63" s="184" t="s">
        <v>95</v>
      </c>
      <c r="I63" s="197" t="s">
        <v>96</v>
      </c>
      <c r="J63" s="197" t="s">
        <v>97</v>
      </c>
      <c r="K63" s="185" t="s">
        <v>92</v>
      </c>
      <c r="L63" s="197" t="s">
        <v>98</v>
      </c>
    </row>
    <row r="64" spans="1:12" s="36" customFormat="1" ht="15">
      <c r="A64" s="136" t="s">
        <v>71</v>
      </c>
      <c r="B64" s="235">
        <f>11.89*2</f>
        <v>23.78</v>
      </c>
      <c r="C64" s="248">
        <f>$C$76*H64</f>
        <v>0</v>
      </c>
      <c r="D64" s="248">
        <f>$C$86*I64</f>
        <v>0</v>
      </c>
      <c r="E64" s="248">
        <f>$G$86*J64</f>
        <v>0</v>
      </c>
      <c r="F64" s="248">
        <f>$K$86*K64</f>
        <v>0</v>
      </c>
      <c r="G64" s="109">
        <f>$K$86*L64</f>
        <v>0</v>
      </c>
      <c r="H64" s="246">
        <v>0</v>
      </c>
      <c r="I64" s="246">
        <v>0</v>
      </c>
      <c r="J64" s="246">
        <v>0</v>
      </c>
      <c r="K64" s="247">
        <v>0</v>
      </c>
      <c r="L64" s="187">
        <v>0</v>
      </c>
    </row>
    <row r="65" spans="1:12" s="36" customFormat="1" ht="15">
      <c r="A65" s="136"/>
      <c r="B65" s="120">
        <v>0</v>
      </c>
      <c r="C65" s="249">
        <f>$C$76*H65</f>
        <v>0</v>
      </c>
      <c r="D65" s="249">
        <f>$C$86*I65</f>
        <v>0</v>
      </c>
      <c r="E65" s="249">
        <f>$G$86*J65</f>
        <v>0</v>
      </c>
      <c r="F65" s="249">
        <f>$K$86*K65</f>
        <v>0</v>
      </c>
      <c r="G65" s="111">
        <f>$K$86*L65</f>
        <v>0</v>
      </c>
      <c r="H65" s="246">
        <v>0</v>
      </c>
      <c r="I65" s="246">
        <v>0</v>
      </c>
      <c r="J65" s="246">
        <v>0</v>
      </c>
      <c r="K65" s="247">
        <v>0</v>
      </c>
      <c r="L65" s="187">
        <v>0</v>
      </c>
    </row>
    <row r="66" spans="1:12" s="36" customFormat="1">
      <c r="A66" s="136"/>
      <c r="B66" s="42"/>
      <c r="C66" s="109">
        <f>SUM(C64:C65)</f>
        <v>0</v>
      </c>
      <c r="D66" s="109">
        <f>SUM(D64:D65)</f>
        <v>0</v>
      </c>
      <c r="E66" s="109">
        <f>SUM(E64:E65)</f>
        <v>0</v>
      </c>
      <c r="F66" s="109">
        <f>SUM(F64:F65)</f>
        <v>0</v>
      </c>
      <c r="G66" s="109">
        <f>SUM(G64:G65)</f>
        <v>0</v>
      </c>
      <c r="H66" s="80"/>
      <c r="I66" s="80"/>
      <c r="J66" s="80"/>
      <c r="K66" s="110"/>
      <c r="L66" s="110"/>
    </row>
    <row r="67" spans="1:12" s="36" customFormat="1">
      <c r="A67" s="230" t="s">
        <v>70</v>
      </c>
      <c r="B67" s="42"/>
      <c r="C67" s="109"/>
      <c r="D67" s="109"/>
      <c r="E67" s="109"/>
      <c r="F67" s="109"/>
      <c r="G67" s="109"/>
      <c r="H67" s="80"/>
      <c r="I67" s="80"/>
      <c r="J67" s="80"/>
      <c r="K67" s="110"/>
      <c r="L67" s="110"/>
    </row>
    <row r="68" spans="1:12" s="36" customFormat="1" ht="15">
      <c r="A68" s="136" t="s">
        <v>99</v>
      </c>
      <c r="B68" s="235">
        <v>0</v>
      </c>
      <c r="C68" s="248">
        <f>$C$77*H68</f>
        <v>0</v>
      </c>
      <c r="D68" s="248">
        <f>$C$87*I68</f>
        <v>0</v>
      </c>
      <c r="E68" s="248">
        <f>$G$87*J68</f>
        <v>0</v>
      </c>
      <c r="F68" s="248">
        <f t="shared" ref="F68:G71" si="13">$K$87*K68</f>
        <v>0</v>
      </c>
      <c r="G68" s="109">
        <f t="shared" si="13"/>
        <v>0</v>
      </c>
      <c r="H68" s="246">
        <v>0</v>
      </c>
      <c r="I68" s="246">
        <v>0</v>
      </c>
      <c r="J68" s="246">
        <v>0</v>
      </c>
      <c r="K68" s="247">
        <v>0</v>
      </c>
      <c r="L68" s="187">
        <v>0</v>
      </c>
    </row>
    <row r="69" spans="1:12" s="36" customFormat="1" ht="15">
      <c r="A69" s="136" t="s">
        <v>100</v>
      </c>
      <c r="B69" s="235">
        <f>116.72*2</f>
        <v>233.44</v>
      </c>
      <c r="C69" s="248">
        <f>$C$77*H69</f>
        <v>0</v>
      </c>
      <c r="D69" s="248">
        <f>$C$87*I69</f>
        <v>0</v>
      </c>
      <c r="E69" s="248">
        <f>$G$87*J69</f>
        <v>0</v>
      </c>
      <c r="F69" s="248">
        <f t="shared" si="13"/>
        <v>0</v>
      </c>
      <c r="G69" s="109">
        <f t="shared" si="13"/>
        <v>0</v>
      </c>
      <c r="H69" s="246">
        <v>0</v>
      </c>
      <c r="I69" s="246">
        <v>0</v>
      </c>
      <c r="J69" s="246">
        <v>0</v>
      </c>
      <c r="K69" s="247">
        <v>0</v>
      </c>
      <c r="L69" s="187">
        <v>0</v>
      </c>
    </row>
    <row r="70" spans="1:12" s="36" customFormat="1" ht="15">
      <c r="A70" s="136" t="s">
        <v>20</v>
      </c>
      <c r="B70" s="120">
        <v>0</v>
      </c>
      <c r="C70" s="248">
        <v>0</v>
      </c>
      <c r="D70" s="248">
        <f>$C$87*I70</f>
        <v>0</v>
      </c>
      <c r="E70" s="248">
        <f>$G$87*J70</f>
        <v>0</v>
      </c>
      <c r="F70" s="248">
        <f t="shared" si="13"/>
        <v>0</v>
      </c>
      <c r="G70" s="109">
        <f t="shared" si="13"/>
        <v>0</v>
      </c>
      <c r="H70" s="246">
        <v>0</v>
      </c>
      <c r="I70" s="246">
        <v>0</v>
      </c>
      <c r="J70" s="246">
        <v>0</v>
      </c>
      <c r="K70" s="247">
        <v>0</v>
      </c>
      <c r="L70" s="187">
        <v>0</v>
      </c>
    </row>
    <row r="71" spans="1:12" s="36" customFormat="1" ht="15">
      <c r="A71" s="136"/>
      <c r="B71" s="120">
        <v>0</v>
      </c>
      <c r="C71" s="249">
        <v>0</v>
      </c>
      <c r="D71" s="249">
        <f>$C$87*I71</f>
        <v>0</v>
      </c>
      <c r="E71" s="249">
        <f>$G$87*J71</f>
        <v>0</v>
      </c>
      <c r="F71" s="249">
        <f t="shared" si="13"/>
        <v>0</v>
      </c>
      <c r="G71" s="111">
        <f t="shared" si="13"/>
        <v>0</v>
      </c>
      <c r="H71" s="246">
        <v>0</v>
      </c>
      <c r="I71" s="246">
        <v>0</v>
      </c>
      <c r="J71" s="246">
        <v>0</v>
      </c>
      <c r="K71" s="247">
        <v>0</v>
      </c>
      <c r="L71" s="187">
        <v>0</v>
      </c>
    </row>
    <row r="72" spans="1:12" s="36" customFormat="1">
      <c r="A72" s="148"/>
      <c r="B72" s="42"/>
      <c r="C72" s="109">
        <f>SUM(C68:C71)</f>
        <v>0</v>
      </c>
      <c r="D72" s="109">
        <f>SUM(D68:D71)</f>
        <v>0</v>
      </c>
      <c r="E72" s="109">
        <f>SUM(E68:E71)</f>
        <v>0</v>
      </c>
      <c r="F72" s="109">
        <f>SUM(F68:F71)</f>
        <v>0</v>
      </c>
      <c r="G72" s="109">
        <f>SUM(G68:G71)</f>
        <v>0</v>
      </c>
      <c r="H72" s="80"/>
      <c r="I72" s="80"/>
      <c r="L72" s="119"/>
    </row>
    <row r="73" spans="1:12" s="36" customFormat="1">
      <c r="A73" s="148"/>
      <c r="B73" s="42"/>
      <c r="C73" s="109"/>
      <c r="D73" s="109"/>
      <c r="E73" s="109"/>
      <c r="F73" s="80"/>
      <c r="G73" s="80"/>
      <c r="H73" s="80"/>
      <c r="I73" s="80"/>
      <c r="L73" s="119"/>
    </row>
    <row r="74" spans="1:12" s="36" customFormat="1" ht="15">
      <c r="A74" s="6"/>
      <c r="B74" s="354" t="s">
        <v>95</v>
      </c>
      <c r="C74" s="354"/>
      <c r="D74" s="354"/>
      <c r="E74" s="37"/>
      <c r="F74" s="354" t="s">
        <v>96</v>
      </c>
      <c r="G74" s="354"/>
      <c r="H74" s="354"/>
      <c r="I74" s="185"/>
      <c r="L74" s="119"/>
    </row>
    <row r="75" spans="1:12" s="36" customFormat="1" ht="15" customHeight="1">
      <c r="A75" s="229"/>
      <c r="B75" s="278" t="s">
        <v>34</v>
      </c>
      <c r="C75" s="279" t="s">
        <v>35</v>
      </c>
      <c r="D75" s="35" t="s">
        <v>63</v>
      </c>
      <c r="E75" s="37"/>
      <c r="F75" s="35" t="s">
        <v>34</v>
      </c>
      <c r="G75" s="41" t="s">
        <v>35</v>
      </c>
      <c r="H75" s="35" t="s">
        <v>63</v>
      </c>
      <c r="I75" s="35"/>
      <c r="L75" s="119"/>
    </row>
    <row r="76" spans="1:12" s="36" customFormat="1" ht="15">
      <c r="A76" s="30" t="s">
        <v>66</v>
      </c>
      <c r="B76" s="280">
        <f>0.011</f>
        <v>1.0999999999999999E-2</v>
      </c>
      <c r="C76" s="242">
        <f>AVERAGE(3.6826,3.5997, 2.6808)</f>
        <v>3.3210333333333328</v>
      </c>
      <c r="D76" s="33">
        <f>B76*C76</f>
        <v>3.6531366666666662E-2</v>
      </c>
      <c r="F76" s="73">
        <v>0</v>
      </c>
      <c r="G76" s="118">
        <v>0</v>
      </c>
      <c r="H76" s="33">
        <f>F76*G76</f>
        <v>0</v>
      </c>
      <c r="I76" s="33"/>
      <c r="L76" s="119"/>
    </row>
    <row r="77" spans="1:12" s="36" customFormat="1" ht="15">
      <c r="A77" s="231" t="s">
        <v>69</v>
      </c>
      <c r="B77" s="272">
        <f>($B$68*$H$68+$B$69*$H$69+$B$70*$H$70+$B$71*$H$71)/2000</f>
        <v>0</v>
      </c>
      <c r="C77" s="242">
        <v>0</v>
      </c>
      <c r="D77" s="52">
        <f>B77*C77</f>
        <v>0</v>
      </c>
      <c r="F77" s="24">
        <f>($B$68*$L$68+$B$69*$L$69+$B$70*$L$70+$B$71*$L$71)/2000</f>
        <v>0</v>
      </c>
      <c r="G77" s="118">
        <v>0</v>
      </c>
      <c r="H77" s="52">
        <f>F77*G77</f>
        <v>0</v>
      </c>
      <c r="I77" s="52"/>
      <c r="L77" s="228"/>
    </row>
    <row r="78" spans="1:12" s="36" customFormat="1" ht="15">
      <c r="A78" s="30" t="s">
        <v>104</v>
      </c>
      <c r="B78" s="281">
        <v>1.8380000000000001</v>
      </c>
      <c r="C78" s="242">
        <v>8.0999999999999996E-3</v>
      </c>
      <c r="D78" s="52">
        <f>B78*C78</f>
        <v>1.48878E-2</v>
      </c>
      <c r="F78" s="24">
        <f>+B78</f>
        <v>1.8380000000000001</v>
      </c>
      <c r="G78" s="118">
        <v>0</v>
      </c>
      <c r="H78" s="52">
        <f>F78*G78</f>
        <v>0</v>
      </c>
      <c r="I78" s="52"/>
      <c r="L78" s="119"/>
    </row>
    <row r="79" spans="1:12" s="36" customFormat="1" ht="15">
      <c r="A79" s="30" t="s">
        <v>105</v>
      </c>
      <c r="B79" s="272">
        <f>750/1000</f>
        <v>0.75</v>
      </c>
      <c r="C79" s="242">
        <v>1.61E-2</v>
      </c>
      <c r="D79" s="52">
        <f t="shared" ref="D79:D80" si="14">B79*C79</f>
        <v>1.2074999999999999E-2</v>
      </c>
      <c r="F79" s="24">
        <f>+B79</f>
        <v>0.75</v>
      </c>
      <c r="G79" s="118">
        <v>0</v>
      </c>
      <c r="H79" s="52"/>
      <c r="I79" s="52"/>
      <c r="L79" s="119"/>
    </row>
    <row r="80" spans="1:12" s="36" customFormat="1" ht="16.5">
      <c r="A80" s="30" t="s">
        <v>103</v>
      </c>
      <c r="B80" s="272">
        <f>157.43/1000</f>
        <v>0.15743000000000001</v>
      </c>
      <c r="C80" s="242">
        <v>1.5699999999999999E-2</v>
      </c>
      <c r="D80" s="52">
        <f t="shared" si="14"/>
        <v>2.4716510000000001E-3</v>
      </c>
      <c r="F80" s="24">
        <f>+B80</f>
        <v>0.15743000000000001</v>
      </c>
      <c r="G80" s="118">
        <v>0</v>
      </c>
      <c r="H80" s="40">
        <v>0</v>
      </c>
      <c r="I80" s="40"/>
      <c r="L80" s="119"/>
    </row>
    <row r="82" spans="1:12" s="36" customFormat="1">
      <c r="A82" s="76" t="s">
        <v>67</v>
      </c>
      <c r="B82" s="74"/>
      <c r="C82" s="39"/>
      <c r="D82" s="38">
        <f>SUM(D76:D80)</f>
        <v>6.5965817666666662E-2</v>
      </c>
      <c r="F82" s="74"/>
      <c r="G82" s="39"/>
      <c r="H82" s="38">
        <f>SUM(H76:H80)</f>
        <v>0</v>
      </c>
      <c r="I82" s="38"/>
      <c r="L82" s="119"/>
    </row>
    <row r="83" spans="1:12" s="36" customFormat="1">
      <c r="A83" s="30"/>
      <c r="E83" s="37"/>
      <c r="F83" s="43"/>
      <c r="G83" s="42"/>
      <c r="H83" s="42"/>
      <c r="I83" s="42"/>
      <c r="L83" s="119"/>
    </row>
    <row r="84" spans="1:12" ht="15">
      <c r="A84" s="6"/>
      <c r="B84" s="354" t="s">
        <v>97</v>
      </c>
      <c r="C84" s="354"/>
      <c r="D84" s="354"/>
      <c r="E84" s="5"/>
      <c r="F84" s="354" t="s">
        <v>92</v>
      </c>
      <c r="G84" s="354"/>
      <c r="H84" s="354"/>
      <c r="I84" s="185"/>
      <c r="J84" s="354" t="s">
        <v>98</v>
      </c>
      <c r="K84" s="354"/>
      <c r="L84" s="355"/>
    </row>
    <row r="85" spans="1:12" ht="28.9" customHeight="1">
      <c r="A85" s="6"/>
      <c r="B85" s="35" t="s">
        <v>34</v>
      </c>
      <c r="C85" s="196" t="s">
        <v>101</v>
      </c>
      <c r="D85" s="35" t="s">
        <v>63</v>
      </c>
      <c r="F85" s="35" t="s">
        <v>34</v>
      </c>
      <c r="G85" s="41" t="s">
        <v>35</v>
      </c>
      <c r="H85" s="35" t="s">
        <v>63</v>
      </c>
      <c r="I85" s="35"/>
      <c r="J85" s="35" t="s">
        <v>34</v>
      </c>
      <c r="K85" s="41" t="s">
        <v>35</v>
      </c>
      <c r="L85" s="34" t="s">
        <v>63</v>
      </c>
    </row>
    <row r="86" spans="1:12" ht="15">
      <c r="A86" s="232" t="s">
        <v>68</v>
      </c>
      <c r="B86" s="73">
        <f>($B$64*$I$64+$B$65*$I$65)/2000</f>
        <v>0</v>
      </c>
      <c r="C86" s="118">
        <v>0</v>
      </c>
      <c r="D86" s="33">
        <f>B86*C86</f>
        <v>0</v>
      </c>
      <c r="F86" s="73">
        <f>($B$64*$J$64+$B$65*$J$65)/2000</f>
        <v>0</v>
      </c>
      <c r="G86" s="118">
        <v>0</v>
      </c>
      <c r="H86" s="89">
        <f>F86*G86</f>
        <v>0</v>
      </c>
      <c r="I86" s="89"/>
      <c r="J86" s="73">
        <f>($B$64*$K$64+$B$65*$K$65)/2000</f>
        <v>0</v>
      </c>
      <c r="K86" s="118">
        <v>0</v>
      </c>
      <c r="L86" s="50">
        <f>J86*K86</f>
        <v>0</v>
      </c>
    </row>
    <row r="87" spans="1:12" ht="15">
      <c r="A87" s="6" t="s">
        <v>69</v>
      </c>
      <c r="B87" s="24">
        <f>($B$68*$I$68+$B$69*$I$69+$B$70*$I$70+$B$71*$I$71)/2000</f>
        <v>0</v>
      </c>
      <c r="C87" s="118">
        <v>0</v>
      </c>
      <c r="D87" s="13">
        <f t="shared" ref="D87:D92" si="15">B87*C87</f>
        <v>0</v>
      </c>
      <c r="F87" s="24">
        <f>($B$68*$J$68+$B$69*$J$69+$B$70*$J$70+$B$71*$J$71)/2000</f>
        <v>0</v>
      </c>
      <c r="G87" s="118">
        <v>0</v>
      </c>
      <c r="H87" s="100">
        <f t="shared" ref="H87:H92" si="16">F87*G87</f>
        <v>0</v>
      </c>
      <c r="I87" s="13"/>
      <c r="J87" s="24">
        <f>($B$68*$K$68+$B$69*$K$69+$B$70*$K$70+$B$71*$K$71)/2000</f>
        <v>0</v>
      </c>
      <c r="K87" s="118">
        <v>0</v>
      </c>
      <c r="L87" s="31">
        <f t="shared" ref="L87:L94" si="17">J87*K87</f>
        <v>0</v>
      </c>
    </row>
    <row r="88" spans="1:12" ht="16.5">
      <c r="A88" s="30" t="s">
        <v>104</v>
      </c>
      <c r="B88" s="47">
        <v>2.54</v>
      </c>
      <c r="C88" s="118">
        <v>0</v>
      </c>
      <c r="D88" s="13">
        <f t="shared" si="15"/>
        <v>0</v>
      </c>
      <c r="F88" s="24">
        <f>+B88</f>
        <v>2.54</v>
      </c>
      <c r="G88" s="118">
        <v>0</v>
      </c>
      <c r="H88" s="100">
        <f t="shared" si="16"/>
        <v>0</v>
      </c>
      <c r="I88" s="88"/>
      <c r="J88" s="272">
        <v>1.964</v>
      </c>
      <c r="K88" s="118">
        <v>2.0848163962425278E-2</v>
      </c>
      <c r="L88" s="190">
        <f t="shared" si="17"/>
        <v>4.0945794022203247E-2</v>
      </c>
    </row>
    <row r="89" spans="1:12" ht="16.5">
      <c r="A89" s="30" t="s">
        <v>105</v>
      </c>
      <c r="B89" s="24">
        <f>750/1000</f>
        <v>0.75</v>
      </c>
      <c r="C89" s="118">
        <v>0</v>
      </c>
      <c r="D89" s="13">
        <f t="shared" si="15"/>
        <v>0</v>
      </c>
      <c r="F89" s="24">
        <f>+B89</f>
        <v>0.75</v>
      </c>
      <c r="G89" s="118">
        <v>0</v>
      </c>
      <c r="H89" s="100">
        <f t="shared" si="16"/>
        <v>0</v>
      </c>
      <c r="I89" s="88"/>
      <c r="J89" s="272">
        <v>0.59099999999999997</v>
      </c>
      <c r="K89" s="118">
        <v>3.101451750640478E-3</v>
      </c>
      <c r="L89" s="190">
        <f t="shared" si="17"/>
        <v>1.8329579846285225E-3</v>
      </c>
    </row>
    <row r="90" spans="1:12" ht="16.5">
      <c r="A90" s="30" t="s">
        <v>103</v>
      </c>
      <c r="B90" s="24">
        <f>157.43/1000</f>
        <v>0.15743000000000001</v>
      </c>
      <c r="C90" s="118">
        <v>0</v>
      </c>
      <c r="D90" s="13">
        <f t="shared" si="15"/>
        <v>0</v>
      </c>
      <c r="F90" s="24">
        <f>+B90</f>
        <v>0.15743000000000001</v>
      </c>
      <c r="G90" s="118">
        <v>0</v>
      </c>
      <c r="H90" s="100">
        <f t="shared" si="16"/>
        <v>0</v>
      </c>
      <c r="I90" s="88"/>
      <c r="J90" s="272">
        <v>0.105</v>
      </c>
      <c r="K90" s="118">
        <v>0.1</v>
      </c>
      <c r="L90" s="190">
        <f t="shared" si="17"/>
        <v>1.0500000000000001E-2</v>
      </c>
    </row>
    <row r="91" spans="1:12" ht="16.5">
      <c r="A91" s="30" t="s">
        <v>106</v>
      </c>
      <c r="B91" s="24"/>
      <c r="C91" s="118">
        <v>0</v>
      </c>
      <c r="D91" s="13">
        <f t="shared" si="15"/>
        <v>0</v>
      </c>
      <c r="F91" s="24">
        <f>+B91</f>
        <v>0</v>
      </c>
      <c r="G91" s="118">
        <v>0</v>
      </c>
      <c r="H91" s="100">
        <f t="shared" si="16"/>
        <v>0</v>
      </c>
      <c r="I91" s="88"/>
      <c r="J91" s="272">
        <v>1.0269999999999999</v>
      </c>
      <c r="K91" s="118">
        <v>2.1752348420153713E-3</v>
      </c>
      <c r="L91" s="190">
        <f t="shared" si="17"/>
        <v>2.2339661827497862E-3</v>
      </c>
    </row>
    <row r="92" spans="1:12" ht="16.5">
      <c r="A92" s="30" t="s">
        <v>107</v>
      </c>
      <c r="B92" s="24"/>
      <c r="C92" s="118">
        <v>0</v>
      </c>
      <c r="D92" s="13">
        <f t="shared" si="15"/>
        <v>0</v>
      </c>
      <c r="F92" s="24">
        <f>+B92</f>
        <v>0</v>
      </c>
      <c r="G92" s="118">
        <v>0</v>
      </c>
      <c r="H92" s="100">
        <f t="shared" si="16"/>
        <v>0</v>
      </c>
      <c r="I92" s="88"/>
      <c r="J92" s="272">
        <v>1.389</v>
      </c>
      <c r="K92" s="118">
        <v>2.3312553373185311E-3</v>
      </c>
      <c r="L92" s="190">
        <f t="shared" si="17"/>
        <v>3.2381136635354396E-3</v>
      </c>
    </row>
    <row r="93" spans="1:12" ht="16.5">
      <c r="A93" s="30" t="s">
        <v>108</v>
      </c>
      <c r="B93" s="239"/>
      <c r="C93" s="118"/>
      <c r="D93" s="13"/>
      <c r="F93" s="24"/>
      <c r="G93" s="118"/>
      <c r="H93" s="100"/>
      <c r="I93" s="88"/>
      <c r="J93" s="273">
        <v>18.84</v>
      </c>
      <c r="K93" s="118">
        <v>5.9999999999999995E-4</v>
      </c>
      <c r="L93" s="190">
        <f t="shared" si="17"/>
        <v>1.1303999999999998E-2</v>
      </c>
    </row>
    <row r="94" spans="1:12" ht="16.5">
      <c r="A94" s="30" t="s">
        <v>109</v>
      </c>
      <c r="B94" s="238"/>
      <c r="C94" s="118"/>
      <c r="D94" s="13"/>
      <c r="F94" s="24"/>
      <c r="G94" s="118"/>
      <c r="H94" s="100"/>
      <c r="I94" s="88"/>
      <c r="J94" s="274">
        <v>1.33</v>
      </c>
      <c r="K94" s="118">
        <v>5.9999999999999995E-4</v>
      </c>
      <c r="L94" s="190">
        <f t="shared" si="17"/>
        <v>7.9799999999999999E-4</v>
      </c>
    </row>
    <row r="95" spans="1:12" ht="16.5">
      <c r="A95" s="30"/>
      <c r="B95" s="191"/>
      <c r="C95" s="191"/>
      <c r="D95" s="40">
        <v>0</v>
      </c>
      <c r="F95" s="191"/>
      <c r="G95" s="191"/>
      <c r="H95" s="40">
        <v>0</v>
      </c>
      <c r="I95" s="88"/>
      <c r="J95" s="191"/>
      <c r="K95" s="191"/>
      <c r="L95" s="240">
        <v>0</v>
      </c>
    </row>
    <row r="96" spans="1:12">
      <c r="A96" s="83" t="s">
        <v>67</v>
      </c>
      <c r="B96" s="53"/>
      <c r="C96" s="75"/>
      <c r="D96" s="189">
        <f>SUM(D86:D95)</f>
        <v>0</v>
      </c>
      <c r="E96" s="53"/>
      <c r="F96" s="53"/>
      <c r="G96" s="75"/>
      <c r="H96" s="189">
        <f>SUM(H86:H95)</f>
        <v>0</v>
      </c>
      <c r="I96" s="123"/>
      <c r="J96" s="53"/>
      <c r="K96" s="75"/>
      <c r="L96" s="241">
        <f>SUM(L86:L95)</f>
        <v>7.0852831853116985E-2</v>
      </c>
    </row>
    <row r="98" spans="1:9">
      <c r="A98" s="356" t="s">
        <v>33</v>
      </c>
      <c r="B98" s="357"/>
      <c r="C98" s="357"/>
      <c r="D98" s="357"/>
      <c r="E98" s="357"/>
      <c r="F98" s="357"/>
      <c r="G98" s="357"/>
      <c r="H98" s="358"/>
    </row>
    <row r="99" spans="1:9" ht="14.65" customHeight="1">
      <c r="A99" s="71"/>
      <c r="B99" s="72"/>
      <c r="C99" s="72"/>
      <c r="D99" s="72"/>
      <c r="E99" s="72"/>
      <c r="F99" s="368" t="s">
        <v>53</v>
      </c>
      <c r="G99" s="368"/>
      <c r="H99" s="369"/>
    </row>
    <row r="100" spans="1:9" ht="15">
      <c r="A100" s="370" t="s">
        <v>55</v>
      </c>
      <c r="B100" s="371"/>
      <c r="C100" s="371"/>
      <c r="D100" s="371"/>
      <c r="E100" s="371"/>
      <c r="F100" s="368"/>
      <c r="G100" s="368"/>
      <c r="H100" s="369"/>
    </row>
    <row r="101" spans="1:9" ht="16.5">
      <c r="A101" s="16"/>
      <c r="B101" s="185" t="s">
        <v>56</v>
      </c>
      <c r="C101" s="185" t="s">
        <v>85</v>
      </c>
      <c r="D101" s="185" t="s">
        <v>32</v>
      </c>
      <c r="E101" s="185" t="s">
        <v>54</v>
      </c>
      <c r="F101" s="103">
        <v>1</v>
      </c>
      <c r="G101" s="128" t="s">
        <v>58</v>
      </c>
      <c r="H101" s="85">
        <f>(F101*C202*C204)+((F101*C202*C204*D113))</f>
        <v>345498296</v>
      </c>
    </row>
    <row r="102" spans="1:9" ht="15">
      <c r="A102" s="30" t="s">
        <v>95</v>
      </c>
      <c r="B102" s="28">
        <f>B54</f>
        <v>0</v>
      </c>
      <c r="C102" s="286">
        <v>550</v>
      </c>
      <c r="D102" s="28">
        <f>B102/C102</f>
        <v>0</v>
      </c>
      <c r="E102" s="21">
        <f t="shared" ref="E102:E108" si="18">D102/D$108</f>
        <v>0</v>
      </c>
      <c r="F102" s="86">
        <f>(F101*C202*C204*C116)+((F101*C202*C204*D113)*C118)</f>
        <v>18643340.973099794</v>
      </c>
      <c r="G102" s="5" t="s">
        <v>29</v>
      </c>
      <c r="H102" s="87">
        <f>F102/$H$101</f>
        <v>5.3960732046851527E-2</v>
      </c>
      <c r="I102" s="287" t="s">
        <v>120</v>
      </c>
    </row>
    <row r="103" spans="1:9" ht="15">
      <c r="A103" s="30" t="s">
        <v>96</v>
      </c>
      <c r="B103" s="43">
        <f t="shared" ref="B103:B107" si="19">B55</f>
        <v>0</v>
      </c>
      <c r="C103" s="108">
        <v>0</v>
      </c>
      <c r="D103" s="28">
        <v>0</v>
      </c>
      <c r="E103" s="21">
        <f t="shared" si="18"/>
        <v>0</v>
      </c>
      <c r="F103" s="195">
        <f>F102*C206</f>
        <v>5593002.2919299379</v>
      </c>
      <c r="G103" s="5" t="s">
        <v>28</v>
      </c>
      <c r="H103" s="87">
        <f>F103/$H$101</f>
        <v>1.6188219614055456E-2</v>
      </c>
    </row>
    <row r="104" spans="1:9" ht="15">
      <c r="A104" s="30" t="s">
        <v>97</v>
      </c>
      <c r="B104" s="43">
        <f t="shared" si="19"/>
        <v>0</v>
      </c>
      <c r="C104" s="108">
        <v>0</v>
      </c>
      <c r="D104" s="28">
        <v>0</v>
      </c>
      <c r="E104" s="21">
        <f t="shared" si="18"/>
        <v>0</v>
      </c>
      <c r="F104" s="86"/>
      <c r="G104" s="5"/>
      <c r="H104" s="87"/>
    </row>
    <row r="105" spans="1:9" ht="15">
      <c r="A105" s="30" t="s">
        <v>92</v>
      </c>
      <c r="B105" s="43">
        <f t="shared" si="19"/>
        <v>0</v>
      </c>
      <c r="C105" s="108">
        <v>0</v>
      </c>
      <c r="D105" s="28">
        <v>0</v>
      </c>
      <c r="E105" s="21">
        <f t="shared" si="18"/>
        <v>0</v>
      </c>
      <c r="F105" s="86"/>
      <c r="G105" s="5"/>
      <c r="H105" s="87"/>
    </row>
    <row r="106" spans="1:9" ht="15">
      <c r="A106" s="30" t="s">
        <v>90</v>
      </c>
      <c r="B106" s="43">
        <f t="shared" si="19"/>
        <v>4900</v>
      </c>
      <c r="C106" s="286">
        <v>110</v>
      </c>
      <c r="D106" s="28">
        <f t="shared" ref="D106" si="20">B106/C106</f>
        <v>44.545454545454547</v>
      </c>
      <c r="E106" s="21">
        <f>D106/D$108</f>
        <v>1</v>
      </c>
      <c r="F106" s="86"/>
      <c r="G106" s="5"/>
      <c r="H106" s="87"/>
      <c r="I106" s="287" t="s">
        <v>119</v>
      </c>
    </row>
    <row r="107" spans="1:9" ht="15">
      <c r="A107" s="83" t="s">
        <v>20</v>
      </c>
      <c r="B107" s="112">
        <f t="shared" si="19"/>
        <v>0</v>
      </c>
      <c r="C107" s="108">
        <v>0</v>
      </c>
      <c r="D107" s="106">
        <v>0</v>
      </c>
      <c r="E107" s="107">
        <f t="shared" si="18"/>
        <v>0</v>
      </c>
      <c r="H107" s="12"/>
    </row>
    <row r="108" spans="1:9">
      <c r="A108" s="96"/>
      <c r="B108" s="69">
        <f>SUM(B102:B107)</f>
        <v>4900</v>
      </c>
      <c r="C108" s="70">
        <f>B108/D108</f>
        <v>110</v>
      </c>
      <c r="D108" s="70">
        <f>SUM(D102:D107)</f>
        <v>44.545454545454547</v>
      </c>
      <c r="E108" s="314">
        <f t="shared" si="18"/>
        <v>1</v>
      </c>
      <c r="H108" s="27"/>
    </row>
    <row r="109" spans="1:9">
      <c r="A109" s="315" t="s">
        <v>115</v>
      </c>
      <c r="B109" s="69"/>
      <c r="C109" s="70"/>
      <c r="D109" s="70"/>
      <c r="E109" s="314"/>
      <c r="F109" s="4"/>
      <c r="G109" s="4"/>
      <c r="H109" s="316"/>
    </row>
    <row r="110" spans="1:9" ht="15">
      <c r="A110" s="6"/>
      <c r="B110" s="289"/>
      <c r="C110" s="289"/>
      <c r="D110" s="289"/>
      <c r="E110" s="289"/>
      <c r="F110" s="289"/>
      <c r="G110" s="289"/>
      <c r="H110" s="290"/>
    </row>
    <row r="111" spans="1:9">
      <c r="A111" s="6"/>
      <c r="B111" s="352"/>
      <c r="C111" s="352"/>
      <c r="D111" s="352"/>
      <c r="F111" s="352"/>
      <c r="G111" s="352"/>
      <c r="H111" s="353"/>
    </row>
    <row r="112" spans="1:9" ht="15">
      <c r="A112" s="6"/>
      <c r="B112" t="s">
        <v>125</v>
      </c>
      <c r="C112" s="317" t="s">
        <v>126</v>
      </c>
      <c r="D112" t="s">
        <v>127</v>
      </c>
      <c r="E112" t="s">
        <v>128</v>
      </c>
      <c r="F112" t="s">
        <v>129</v>
      </c>
      <c r="G112" s="317" t="s">
        <v>130</v>
      </c>
      <c r="H112" s="291" t="s">
        <v>131</v>
      </c>
    </row>
    <row r="113" spans="1:30" ht="15">
      <c r="A113" s="292" t="s">
        <v>31</v>
      </c>
      <c r="B113" s="293">
        <v>119702.77</v>
      </c>
      <c r="C113" s="294">
        <v>140371.43</v>
      </c>
      <c r="D113" s="293">
        <v>166103.95000000001</v>
      </c>
      <c r="E113" s="293">
        <v>166766.85999999999</v>
      </c>
      <c r="F113" s="293">
        <v>105842.43</v>
      </c>
      <c r="G113" s="294">
        <v>147383.65</v>
      </c>
      <c r="H113" s="295">
        <v>163283.07</v>
      </c>
      <c r="U113" s="178"/>
      <c r="V113" s="178"/>
      <c r="W113" s="178"/>
      <c r="X113" s="178"/>
      <c r="Z113" s="178"/>
      <c r="AA113" s="166"/>
      <c r="AB113" s="180"/>
      <c r="AC113" s="152"/>
      <c r="AD113" s="93"/>
    </row>
    <row r="114" spans="1:30" ht="15">
      <c r="A114" s="292" t="s">
        <v>30</v>
      </c>
      <c r="B114" s="293">
        <v>15222.93</v>
      </c>
      <c r="C114" s="294">
        <v>23913.55</v>
      </c>
      <c r="D114" s="293">
        <v>19670.79</v>
      </c>
      <c r="E114" s="293">
        <v>41336.57</v>
      </c>
      <c r="F114" s="293">
        <v>23672.31</v>
      </c>
      <c r="G114" s="294">
        <v>9419.99</v>
      </c>
      <c r="H114" s="295">
        <v>18308.82</v>
      </c>
      <c r="U114" s="178"/>
      <c r="V114" s="178"/>
      <c r="W114" s="178"/>
      <c r="X114" s="178"/>
      <c r="Z114" s="178"/>
      <c r="AA114" s="166"/>
      <c r="AB114" s="180"/>
      <c r="AC114" s="152"/>
      <c r="AD114" s="93"/>
    </row>
    <row r="115" spans="1:30" ht="15">
      <c r="A115" s="292" t="s">
        <v>28</v>
      </c>
      <c r="B115" s="293">
        <v>11228.99</v>
      </c>
      <c r="C115" s="294">
        <v>10794.51</v>
      </c>
      <c r="D115" s="293">
        <v>10146.4</v>
      </c>
      <c r="E115" s="293">
        <v>8112.73</v>
      </c>
      <c r="F115" s="293">
        <v>-1917.2</v>
      </c>
      <c r="G115" s="294">
        <v>49379.56</v>
      </c>
      <c r="H115" s="295">
        <v>50660.85</v>
      </c>
      <c r="U115" s="178"/>
      <c r="V115" s="178"/>
      <c r="W115" s="178"/>
      <c r="X115" s="178"/>
      <c r="Z115" s="178"/>
      <c r="AA115" s="166"/>
      <c r="AB115" s="180"/>
      <c r="AC115" s="152"/>
      <c r="AD115" s="93"/>
    </row>
    <row r="116" spans="1:30" ht="16.5">
      <c r="A116" s="296" t="s">
        <v>5</v>
      </c>
      <c r="B116" s="293">
        <v>3928.57</v>
      </c>
      <c r="C116" s="294">
        <v>-3928.57</v>
      </c>
      <c r="D116" s="293">
        <v>0</v>
      </c>
      <c r="E116" s="293">
        <v>-1311.46</v>
      </c>
      <c r="F116" s="293">
        <v>841.1</v>
      </c>
      <c r="G116" s="294">
        <v>0</v>
      </c>
      <c r="H116" s="295">
        <v>0</v>
      </c>
      <c r="I116" s="62"/>
      <c r="U116" s="179"/>
      <c r="V116" s="179"/>
      <c r="W116" s="179"/>
      <c r="X116" s="179"/>
      <c r="Z116" s="179"/>
      <c r="AA116" s="166"/>
      <c r="AB116" s="180"/>
      <c r="AC116" s="152"/>
      <c r="AD116" s="93"/>
    </row>
    <row r="117" spans="1:30" ht="16.5">
      <c r="A117" s="296" t="s">
        <v>132</v>
      </c>
      <c r="B117">
        <v>37953</v>
      </c>
      <c r="C117">
        <v>21274</v>
      </c>
      <c r="D117">
        <v>55365</v>
      </c>
      <c r="E117">
        <v>3960</v>
      </c>
      <c r="F117">
        <v>26641</v>
      </c>
      <c r="G117">
        <v>11698</v>
      </c>
      <c r="H117" s="318">
        <v>35168</v>
      </c>
      <c r="I117" s="62"/>
      <c r="U117" s="179"/>
      <c r="V117" s="179"/>
      <c r="W117" s="179"/>
      <c r="X117" s="179"/>
      <c r="Z117" s="179"/>
      <c r="AA117" s="166"/>
      <c r="AB117" s="180"/>
      <c r="AC117" s="152"/>
      <c r="AD117" s="93"/>
    </row>
    <row r="118" spans="1:30" ht="15">
      <c r="A118" s="296" t="s">
        <v>133</v>
      </c>
      <c r="B118" s="297">
        <f>B115/(B113+B114+B116-B117)</f>
        <v>0.11128690451567158</v>
      </c>
      <c r="C118" s="297">
        <f t="shared" ref="C118:H118" si="21">C115/(C113+C114+C116-C117)</f>
        <v>7.7612330703789228E-2</v>
      </c>
      <c r="D118" s="297">
        <f t="shared" si="21"/>
        <v>7.7804004516840525E-2</v>
      </c>
      <c r="E118" s="297">
        <f t="shared" si="21"/>
        <v>3.9997294312134321E-2</v>
      </c>
      <c r="F118" s="297">
        <f t="shared" si="21"/>
        <v>-1.848530065707087E-2</v>
      </c>
      <c r="G118" s="297">
        <f t="shared" si="21"/>
        <v>0.34030076294760153</v>
      </c>
      <c r="H118" s="300">
        <f t="shared" si="21"/>
        <v>0.34598759806203749</v>
      </c>
      <c r="U118" s="168"/>
      <c r="V118" s="168"/>
      <c r="W118" s="168"/>
      <c r="X118" s="168"/>
      <c r="Z118" s="168"/>
      <c r="AA118" s="151"/>
      <c r="AB118" s="177"/>
      <c r="AC118" s="181"/>
      <c r="AD118" s="5"/>
    </row>
    <row r="119" spans="1:30" ht="15">
      <c r="A119" s="296"/>
      <c r="B119" s="297"/>
      <c r="C119" s="297"/>
      <c r="D119" s="297"/>
      <c r="E119" s="297"/>
      <c r="F119" s="297"/>
      <c r="G119" s="297"/>
      <c r="H119" s="300"/>
    </row>
    <row r="120" spans="1:30">
      <c r="A120" s="6"/>
      <c r="B120" s="43"/>
      <c r="C120" s="301"/>
      <c r="D120" s="15" t="s">
        <v>134</v>
      </c>
      <c r="E120" s="63"/>
      <c r="F120" s="43" t="s">
        <v>135</v>
      </c>
      <c r="G120" s="301"/>
      <c r="H120" s="302"/>
    </row>
    <row r="121" spans="1:30" ht="15">
      <c r="A121" s="292" t="s">
        <v>136</v>
      </c>
      <c r="B121" s="303">
        <v>28</v>
      </c>
      <c r="C121" s="29"/>
      <c r="D121" s="26">
        <f>(AVERAGE((C113-C117),(G113-G117),(H113-H117)))/B121</f>
        <v>4558.3113095238095</v>
      </c>
      <c r="E121" s="63"/>
      <c r="F121" s="304">
        <f>D121*B121</f>
        <v>127632.71666666667</v>
      </c>
      <c r="G121" s="29"/>
      <c r="H121" s="12"/>
      <c r="S121" s="57"/>
      <c r="T121" s="372"/>
      <c r="U121" s="372"/>
      <c r="V121" s="372"/>
      <c r="W121" s="372"/>
      <c r="X121" s="372"/>
      <c r="Y121" s="372"/>
      <c r="Z121" s="372"/>
      <c r="AA121" s="372"/>
      <c r="AB121" s="372"/>
      <c r="AC121" s="372"/>
      <c r="AD121" s="372"/>
    </row>
    <row r="122" spans="1:30" ht="15">
      <c r="A122" s="292" t="s">
        <v>137</v>
      </c>
      <c r="B122" s="303">
        <v>2</v>
      </c>
      <c r="C122" s="78"/>
      <c r="D122" s="26">
        <f>AVERAGE(G114)/B122</f>
        <v>4709.9949999999999</v>
      </c>
      <c r="E122" s="63"/>
      <c r="F122" s="304">
        <f>D122*B122</f>
        <v>9419.99</v>
      </c>
      <c r="G122" s="305"/>
      <c r="H122" s="12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</row>
    <row r="123" spans="1:30">
      <c r="A123" s="76"/>
      <c r="B123" s="117"/>
      <c r="C123" s="284"/>
      <c r="D123" s="306"/>
      <c r="E123" s="63"/>
      <c r="F123" s="307"/>
      <c r="G123" s="319"/>
      <c r="H123" s="308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</row>
    <row r="124" spans="1:30">
      <c r="A124" s="309" t="s">
        <v>138</v>
      </c>
      <c r="B124" s="117">
        <v>15</v>
      </c>
      <c r="C124" s="284"/>
      <c r="D124" s="26">
        <f>D121</f>
        <v>4558.3113095238095</v>
      </c>
      <c r="E124" s="63"/>
      <c r="F124" s="304">
        <f>D124*B124</f>
        <v>68374.669642857145</v>
      </c>
      <c r="G124" s="91"/>
      <c r="H124" s="308"/>
      <c r="I124" s="63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</row>
    <row r="125" spans="1:30">
      <c r="A125" s="309" t="s">
        <v>139</v>
      </c>
      <c r="B125" s="117">
        <v>3</v>
      </c>
      <c r="C125" s="284"/>
      <c r="D125" s="26">
        <f>D122</f>
        <v>4709.9949999999999</v>
      </c>
      <c r="E125" s="63"/>
      <c r="F125" s="304">
        <f>D125*B125</f>
        <v>14129.985000000001</v>
      </c>
      <c r="G125" s="319"/>
      <c r="H125" s="310"/>
      <c r="I125" s="63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</row>
    <row r="126" spans="1:30">
      <c r="A126" s="6"/>
      <c r="B126" s="320"/>
      <c r="F126" s="311"/>
      <c r="H126" s="12"/>
      <c r="I126" s="63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</row>
    <row r="127" spans="1:30">
      <c r="A127" s="6" t="s">
        <v>140</v>
      </c>
      <c r="B127" s="43">
        <f>B121+B124</f>
        <v>43</v>
      </c>
      <c r="C127" s="29"/>
      <c r="D127" s="26">
        <f>D124</f>
        <v>4558.3113095238095</v>
      </c>
      <c r="F127" s="312">
        <f>D127*B127</f>
        <v>196007.3863095238</v>
      </c>
      <c r="H127" s="12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</row>
    <row r="128" spans="1:30">
      <c r="A128" s="6" t="s">
        <v>141</v>
      </c>
      <c r="B128" s="43">
        <f>B122+B125</f>
        <v>5</v>
      </c>
      <c r="C128" s="78"/>
      <c r="D128" s="26">
        <f>D125</f>
        <v>4709.9949999999999</v>
      </c>
      <c r="F128" s="312">
        <f>D128*B128</f>
        <v>23549.974999999999</v>
      </c>
      <c r="H128" s="12"/>
      <c r="S128" s="58"/>
      <c r="T128" s="58"/>
      <c r="U128" s="58"/>
      <c r="V128" s="58"/>
      <c r="W128" s="58"/>
      <c r="X128" s="58"/>
      <c r="Y128" s="58"/>
      <c r="Z128" s="58"/>
      <c r="AA128" s="58"/>
      <c r="AB128" s="59"/>
      <c r="AC128" s="58"/>
      <c r="AD128" s="58"/>
    </row>
    <row r="129" spans="1:8">
      <c r="A129" s="76" t="s">
        <v>132</v>
      </c>
      <c r="B129" s="43"/>
      <c r="C129" s="29"/>
      <c r="D129" s="77"/>
      <c r="F129" s="313">
        <v>0</v>
      </c>
      <c r="H129" s="12"/>
    </row>
    <row r="130" spans="1:8" ht="16.5" customHeight="1">
      <c r="A130" s="83" t="s">
        <v>28</v>
      </c>
      <c r="B130" s="321"/>
      <c r="C130" s="322"/>
      <c r="D130" s="323"/>
      <c r="E130" s="10"/>
      <c r="F130" s="324">
        <f>(F127+F128)*0.29</f>
        <v>63671.634779761902</v>
      </c>
      <c r="G130" s="10"/>
      <c r="H130" s="9"/>
    </row>
    <row r="131" spans="1:8">
      <c r="A131" s="283"/>
      <c r="B131" s="117"/>
      <c r="C131" s="284"/>
      <c r="D131" s="285"/>
      <c r="E131" s="63"/>
    </row>
    <row r="132" spans="1:8">
      <c r="A132" s="283"/>
      <c r="B132" s="117"/>
      <c r="C132" s="284"/>
      <c r="D132" s="285"/>
      <c r="E132" s="63"/>
    </row>
    <row r="133" spans="1:8">
      <c r="A133" s="283"/>
      <c r="B133" s="117"/>
      <c r="C133" s="284"/>
      <c r="D133" s="285"/>
      <c r="E133" s="63"/>
    </row>
    <row r="134" spans="1:8">
      <c r="A134" s="315" t="s">
        <v>116</v>
      </c>
      <c r="B134" s="69"/>
      <c r="C134" s="70"/>
      <c r="D134" s="70"/>
      <c r="E134" s="314"/>
      <c r="F134" s="4"/>
      <c r="G134" s="4"/>
      <c r="H134" s="316"/>
    </row>
    <row r="135" spans="1:8" ht="15">
      <c r="A135" s="6"/>
      <c r="B135" s="289"/>
      <c r="C135" s="289"/>
      <c r="D135" s="289"/>
      <c r="E135" s="289"/>
      <c r="F135" s="289"/>
      <c r="G135" s="289"/>
      <c r="H135" s="290"/>
    </row>
    <row r="136" spans="1:8">
      <c r="A136" s="6"/>
      <c r="B136" s="352"/>
      <c r="C136" s="352"/>
      <c r="D136" s="352"/>
      <c r="F136" s="352"/>
      <c r="G136" s="352"/>
      <c r="H136" s="353"/>
    </row>
    <row r="137" spans="1:8" ht="15">
      <c r="A137" s="6"/>
      <c r="B137" t="s">
        <v>125</v>
      </c>
      <c r="C137" t="s">
        <v>126</v>
      </c>
      <c r="D137" t="s">
        <v>127</v>
      </c>
      <c r="E137" t="s">
        <v>128</v>
      </c>
      <c r="F137" t="s">
        <v>129</v>
      </c>
      <c r="G137" s="317" t="s">
        <v>130</v>
      </c>
      <c r="H137" s="291" t="s">
        <v>131</v>
      </c>
    </row>
    <row r="138" spans="1:8" ht="15">
      <c r="A138" s="292" t="s">
        <v>31</v>
      </c>
      <c r="B138" s="294">
        <v>268968.01</v>
      </c>
      <c r="C138" s="294">
        <v>288390.24</v>
      </c>
      <c r="D138" s="293">
        <v>154345.41</v>
      </c>
      <c r="E138" s="293">
        <v>13412.75</v>
      </c>
      <c r="F138" s="325">
        <v>229529.76</v>
      </c>
      <c r="G138" s="294">
        <v>274156.28999999998</v>
      </c>
      <c r="H138" s="295">
        <v>267092.21000000002</v>
      </c>
    </row>
    <row r="139" spans="1:8" ht="15">
      <c r="A139" s="292" t="s">
        <v>30</v>
      </c>
      <c r="B139" s="294">
        <v>67812.91</v>
      </c>
      <c r="C139" s="294">
        <v>64354.51</v>
      </c>
      <c r="D139" s="293">
        <v>40616.39</v>
      </c>
      <c r="E139" s="293">
        <v>14950.76</v>
      </c>
      <c r="F139" s="325">
        <v>74301.16</v>
      </c>
      <c r="G139" s="294">
        <v>85619.44</v>
      </c>
      <c r="H139" s="295">
        <v>74393.95</v>
      </c>
    </row>
    <row r="140" spans="1:8" ht="15">
      <c r="A140" s="292" t="s">
        <v>28</v>
      </c>
      <c r="B140" s="294">
        <v>102162.56</v>
      </c>
      <c r="C140" s="294">
        <v>97023.8</v>
      </c>
      <c r="D140" s="293">
        <v>87771.29</v>
      </c>
      <c r="E140" s="293">
        <v>18740.91</v>
      </c>
      <c r="F140" s="325">
        <v>135347.70000000001</v>
      </c>
      <c r="G140" s="294">
        <v>89284.14</v>
      </c>
      <c r="H140" s="295">
        <v>88862.54</v>
      </c>
    </row>
    <row r="141" spans="1:8" ht="15">
      <c r="A141" s="292" t="s">
        <v>5</v>
      </c>
      <c r="B141" s="294">
        <v>6248.2</v>
      </c>
      <c r="C141" s="294">
        <v>7823.13</v>
      </c>
      <c r="D141" s="293">
        <v>4541.8500000000004</v>
      </c>
      <c r="E141" s="293">
        <v>10625.36</v>
      </c>
      <c r="F141" s="325">
        <v>11684.3</v>
      </c>
      <c r="G141" s="294">
        <v>7724.39</v>
      </c>
      <c r="H141" s="295">
        <v>6820.85</v>
      </c>
    </row>
    <row r="142" spans="1:8" ht="15">
      <c r="A142" s="296" t="s">
        <v>132</v>
      </c>
      <c r="B142" s="317">
        <v>35640</v>
      </c>
      <c r="C142" s="317">
        <v>61311</v>
      </c>
      <c r="D142">
        <v>50554</v>
      </c>
      <c r="E142"/>
      <c r="F142">
        <v>65416</v>
      </c>
      <c r="G142">
        <v>62538</v>
      </c>
      <c r="H142" s="318">
        <v>37211</v>
      </c>
    </row>
    <row r="143" spans="1:8" ht="15">
      <c r="A143" s="296" t="s">
        <v>133</v>
      </c>
      <c r="B143" s="298">
        <f>B140/(B138+B139-B142+B141)</f>
        <v>0.3323558101210608</v>
      </c>
      <c r="C143" s="298">
        <f t="shared" ref="C143:H143" si="22">C140/(C138+C139-C142+C141)</f>
        <v>0.3242157707451872</v>
      </c>
      <c r="D143" s="298">
        <f t="shared" si="22"/>
        <v>0.58926818559157401</v>
      </c>
      <c r="E143" s="298">
        <f t="shared" si="22"/>
        <v>0.48067333061973838</v>
      </c>
      <c r="F143" s="298">
        <f t="shared" si="22"/>
        <v>0.54117601806195159</v>
      </c>
      <c r="G143" s="298">
        <f t="shared" si="22"/>
        <v>0.29277124647480807</v>
      </c>
      <c r="H143" s="299">
        <f t="shared" si="22"/>
        <v>0.28564345778655276</v>
      </c>
    </row>
    <row r="145" spans="1:10">
      <c r="A145" s="6"/>
      <c r="B145" s="43"/>
      <c r="C145" s="301"/>
      <c r="D145" s="15" t="s">
        <v>134</v>
      </c>
      <c r="E145" s="63"/>
      <c r="F145" s="43" t="s">
        <v>135</v>
      </c>
      <c r="G145" s="301"/>
      <c r="H145" s="302"/>
      <c r="J145" s="283"/>
    </row>
    <row r="146" spans="1:10" ht="15">
      <c r="A146" s="292" t="s">
        <v>136</v>
      </c>
      <c r="B146" s="303">
        <v>46</v>
      </c>
      <c r="C146" s="29"/>
      <c r="D146" s="26">
        <f>(AVERAGE((B138-B142),(C138-C142),(G138-G142),(H138-H142)))/B146</f>
        <v>4901.667119565217</v>
      </c>
      <c r="E146" s="63"/>
      <c r="F146" s="304">
        <f>D146*B146</f>
        <v>225476.68749999997</v>
      </c>
      <c r="G146" s="29"/>
      <c r="H146" s="326"/>
      <c r="J146" s="283"/>
    </row>
    <row r="147" spans="1:10" ht="15">
      <c r="A147" s="292" t="s">
        <v>137</v>
      </c>
      <c r="B147" s="303">
        <v>16</v>
      </c>
      <c r="C147" s="78"/>
      <c r="D147" s="26">
        <f>AVERAGE($G$99:$H$99,B139:C139)/B147</f>
        <v>4130.2318750000004</v>
      </c>
      <c r="E147" s="63"/>
      <c r="F147" s="304">
        <f>D147*B147</f>
        <v>66083.710000000006</v>
      </c>
      <c r="G147" s="305"/>
      <c r="H147" s="12"/>
      <c r="J147" s="283"/>
    </row>
    <row r="148" spans="1:10">
      <c r="A148" s="76"/>
      <c r="B148" s="117"/>
      <c r="C148" s="284"/>
      <c r="D148" s="306"/>
      <c r="E148" s="63"/>
      <c r="F148" s="307"/>
      <c r="G148" s="319"/>
      <c r="H148" s="308"/>
      <c r="J148" s="283"/>
    </row>
    <row r="149" spans="1:10">
      <c r="A149" s="309" t="s">
        <v>138</v>
      </c>
      <c r="B149" s="117">
        <v>6</v>
      </c>
      <c r="C149" s="284"/>
      <c r="D149" s="26">
        <f>D146</f>
        <v>4901.667119565217</v>
      </c>
      <c r="E149" s="63"/>
      <c r="F149" s="304">
        <f>D149*B149</f>
        <v>29410.002717391304</v>
      </c>
      <c r="G149" s="91"/>
      <c r="H149" s="308"/>
      <c r="J149" s="283"/>
    </row>
    <row r="150" spans="1:10">
      <c r="A150" s="309" t="s">
        <v>139</v>
      </c>
      <c r="B150" s="117">
        <v>6</v>
      </c>
      <c r="C150" s="284"/>
      <c r="D150" s="26">
        <f>D147</f>
        <v>4130.2318750000004</v>
      </c>
      <c r="E150" s="63"/>
      <c r="F150" s="304">
        <f>D150*B150</f>
        <v>24781.391250000001</v>
      </c>
      <c r="G150" s="319"/>
      <c r="H150" s="310"/>
      <c r="J150" s="283"/>
    </row>
    <row r="151" spans="1:10">
      <c r="A151" s="6"/>
      <c r="B151" s="320"/>
      <c r="F151" s="311"/>
      <c r="H151" s="12"/>
      <c r="J151" s="283"/>
    </row>
    <row r="152" spans="1:10">
      <c r="A152" s="6" t="s">
        <v>140</v>
      </c>
      <c r="B152" s="43">
        <f>B146+B149</f>
        <v>52</v>
      </c>
      <c r="C152" s="29"/>
      <c r="D152" s="26">
        <f>D146</f>
        <v>4901.667119565217</v>
      </c>
      <c r="F152" s="312">
        <f>D152*B152</f>
        <v>254886.6902173913</v>
      </c>
      <c r="H152" s="12"/>
      <c r="J152" s="283"/>
    </row>
    <row r="153" spans="1:10">
      <c r="A153" s="6" t="s">
        <v>141</v>
      </c>
      <c r="B153" s="43">
        <f>B147+B150</f>
        <v>22</v>
      </c>
      <c r="C153" s="78"/>
      <c r="D153" s="26">
        <f>D146</f>
        <v>4901.667119565217</v>
      </c>
      <c r="F153" s="312">
        <f>D153*B153</f>
        <v>107836.67663043477</v>
      </c>
      <c r="H153" s="12"/>
      <c r="J153" s="283"/>
    </row>
    <row r="154" spans="1:10">
      <c r="A154" s="76" t="s">
        <v>5</v>
      </c>
      <c r="B154" s="43"/>
      <c r="C154" s="29"/>
      <c r="D154" s="77"/>
      <c r="F154" s="313">
        <v>7154</v>
      </c>
      <c r="H154" s="12"/>
      <c r="J154" s="283"/>
    </row>
    <row r="155" spans="1:10" ht="15">
      <c r="A155" s="83" t="s">
        <v>28</v>
      </c>
      <c r="B155" s="321"/>
      <c r="C155" s="322"/>
      <c r="D155" s="323"/>
      <c r="E155" s="10"/>
      <c r="F155" s="324">
        <f>(F152+F153+F154)*0.3</f>
        <v>110963.21005434782</v>
      </c>
      <c r="G155" s="10"/>
      <c r="H155" s="9"/>
      <c r="J155" s="283"/>
    </row>
    <row r="156" spans="1:10">
      <c r="A156" s="283"/>
      <c r="B156" s="117"/>
      <c r="C156" s="284"/>
      <c r="D156" s="285"/>
      <c r="E156" s="63"/>
      <c r="J156" s="283"/>
    </row>
    <row r="157" spans="1:10" ht="12.75" customHeight="1">
      <c r="J157" s="57"/>
    </row>
    <row r="158" spans="1:10" ht="15">
      <c r="A158" s="55" t="s">
        <v>26</v>
      </c>
      <c r="B158" s="183"/>
      <c r="C158" s="183"/>
      <c r="D158" s="132">
        <v>4.5</v>
      </c>
      <c r="E158" s="183"/>
      <c r="F158" s="183"/>
      <c r="G158" s="245"/>
      <c r="H158" s="183"/>
      <c r="I158" s="4"/>
      <c r="J158" s="131"/>
    </row>
    <row r="159" spans="1:10" ht="15">
      <c r="A159" s="6"/>
      <c r="B159" s="374" t="s">
        <v>25</v>
      </c>
      <c r="C159" s="375"/>
      <c r="D159" s="132">
        <v>4.5</v>
      </c>
      <c r="E159" s="374" t="s">
        <v>24</v>
      </c>
      <c r="F159" s="375"/>
      <c r="G159" s="132">
        <f>762256/10182780</f>
        <v>7.4857357224647883E-2</v>
      </c>
      <c r="H159" s="376" t="s">
        <v>86</v>
      </c>
      <c r="I159" s="377"/>
      <c r="J159" s="244">
        <f>30000*365</f>
        <v>10950000</v>
      </c>
    </row>
    <row r="160" spans="1:10">
      <c r="A160" s="6"/>
      <c r="B160" s="5"/>
      <c r="C160" s="5"/>
      <c r="D160" s="5"/>
      <c r="E160" s="5"/>
      <c r="F160" s="5"/>
      <c r="G160" s="5"/>
      <c r="H160" s="378" t="s">
        <v>87</v>
      </c>
      <c r="I160" s="379"/>
      <c r="J160" s="135">
        <f>ROUND(J159/B49/1000,3)</f>
        <v>2.2349999999999999</v>
      </c>
    </row>
    <row r="161" spans="1:10" ht="15" customHeight="1">
      <c r="A161" s="6"/>
      <c r="B161" s="380" t="s">
        <v>95</v>
      </c>
      <c r="C161" s="381"/>
      <c r="D161" s="382"/>
      <c r="E161" s="380" t="s">
        <v>96</v>
      </c>
      <c r="F161" s="381"/>
      <c r="G161" s="382"/>
      <c r="H161" s="380" t="s">
        <v>97</v>
      </c>
      <c r="I161" s="381"/>
      <c r="J161" s="382"/>
    </row>
    <row r="162" spans="1:10" ht="25.5">
      <c r="A162" s="6"/>
      <c r="B162" s="133" t="s">
        <v>79</v>
      </c>
      <c r="C162" s="61" t="s">
        <v>80</v>
      </c>
      <c r="D162" s="22" t="s">
        <v>81</v>
      </c>
      <c r="E162" s="133" t="s">
        <v>79</v>
      </c>
      <c r="F162" s="61" t="s">
        <v>80</v>
      </c>
      <c r="G162" s="22" t="s">
        <v>81</v>
      </c>
      <c r="H162" s="133" t="s">
        <v>79</v>
      </c>
      <c r="I162" s="61" t="s">
        <v>80</v>
      </c>
      <c r="J162" s="22" t="s">
        <v>81</v>
      </c>
    </row>
    <row r="163" spans="1:10" ht="15">
      <c r="A163" s="6" t="s">
        <v>23</v>
      </c>
      <c r="B163" s="275">
        <v>0.11509999999999999</v>
      </c>
      <c r="C163" s="282">
        <v>8.7999999999999995E-2</v>
      </c>
      <c r="D163" s="90">
        <f>B163*C163</f>
        <v>1.0128799999999999E-2</v>
      </c>
      <c r="E163" s="243">
        <v>0.26500000000000001</v>
      </c>
      <c r="F163" s="60">
        <f>G159</f>
        <v>7.4857357224647883E-2</v>
      </c>
      <c r="G163" s="90">
        <f>E163*F163</f>
        <v>1.983719966453169E-2</v>
      </c>
      <c r="H163" s="243">
        <v>0.26500000000000001</v>
      </c>
      <c r="I163" s="60">
        <f>$G$159</f>
        <v>7.4857357224647883E-2</v>
      </c>
      <c r="J163" s="90">
        <f>H163*I163</f>
        <v>1.983719966453169E-2</v>
      </c>
    </row>
    <row r="164" spans="1:10" ht="16.5">
      <c r="A164" s="6" t="s">
        <v>22</v>
      </c>
      <c r="B164" s="275">
        <v>6.4999999999999997E-3</v>
      </c>
      <c r="C164" s="276">
        <v>4</v>
      </c>
      <c r="D164" s="51">
        <f>B164*C164</f>
        <v>2.5999999999999999E-2</v>
      </c>
      <c r="E164" s="243">
        <v>3.8E-3</v>
      </c>
      <c r="F164" s="29">
        <f>$D$159</f>
        <v>4.5</v>
      </c>
      <c r="G164" s="51">
        <f>E164*F164</f>
        <v>1.7100000000000001E-2</v>
      </c>
      <c r="H164" s="243">
        <v>3.8E-3</v>
      </c>
      <c r="I164" s="29">
        <f>$D$159</f>
        <v>4.5</v>
      </c>
      <c r="J164" s="51">
        <f>H164*I164</f>
        <v>1.7100000000000001E-2</v>
      </c>
    </row>
    <row r="165" spans="1:10" ht="15">
      <c r="A165" s="6" t="s">
        <v>21</v>
      </c>
      <c r="B165" s="6"/>
      <c r="C165" s="5"/>
      <c r="D165" s="227">
        <f>SUM(D163:D164)</f>
        <v>3.6128799999999996E-2</v>
      </c>
      <c r="E165" s="6"/>
      <c r="F165" s="5"/>
      <c r="G165" s="227">
        <f>SUM(G163:G164)</f>
        <v>3.6937199664531691E-2</v>
      </c>
      <c r="H165" s="6"/>
      <c r="I165" s="5"/>
      <c r="J165" s="227">
        <f>SUM(J163:J164)</f>
        <v>3.6937199664531691E-2</v>
      </c>
    </row>
    <row r="166" spans="1:10">
      <c r="A166" s="16"/>
      <c r="B166" s="16"/>
      <c r="D166" s="12"/>
      <c r="E166" s="16"/>
      <c r="G166" s="12"/>
      <c r="H166" s="16"/>
      <c r="J166" s="12"/>
    </row>
    <row r="167" spans="1:10" ht="15" customHeight="1">
      <c r="A167" s="6"/>
      <c r="B167" s="383" t="s">
        <v>92</v>
      </c>
      <c r="C167" s="384"/>
      <c r="D167" s="385"/>
      <c r="E167" s="383" t="s">
        <v>90</v>
      </c>
      <c r="F167" s="384"/>
      <c r="G167" s="385"/>
      <c r="H167" s="383" t="s">
        <v>92</v>
      </c>
      <c r="I167" s="384"/>
      <c r="J167" s="385"/>
    </row>
    <row r="168" spans="1:10" ht="25.5">
      <c r="A168" s="6"/>
      <c r="B168" s="133" t="s">
        <v>79</v>
      </c>
      <c r="C168" s="61" t="s">
        <v>80</v>
      </c>
      <c r="D168" s="22" t="s">
        <v>81</v>
      </c>
      <c r="E168" s="133" t="s">
        <v>79</v>
      </c>
      <c r="F168" s="61" t="s">
        <v>80</v>
      </c>
      <c r="G168" s="22" t="s">
        <v>81</v>
      </c>
      <c r="H168" s="133" t="s">
        <v>79</v>
      </c>
      <c r="I168" s="61" t="s">
        <v>80</v>
      </c>
      <c r="J168" s="22" t="s">
        <v>81</v>
      </c>
    </row>
    <row r="169" spans="1:10" ht="15">
      <c r="A169" s="6" t="s">
        <v>23</v>
      </c>
      <c r="B169" s="275"/>
      <c r="C169" s="282"/>
      <c r="D169" s="90">
        <f>B169*C169</f>
        <v>0</v>
      </c>
      <c r="E169" s="275">
        <v>0.5867</v>
      </c>
      <c r="F169" s="60">
        <f>G159</f>
        <v>7.4857357224647883E-2</v>
      </c>
      <c r="G169" s="90">
        <f>E169*F169</f>
        <v>4.3918811483700915E-2</v>
      </c>
      <c r="H169" s="243">
        <v>0</v>
      </c>
      <c r="I169" s="60">
        <f>$G$159</f>
        <v>7.4857357224647883E-2</v>
      </c>
      <c r="J169" s="90">
        <f>H169*I169</f>
        <v>0</v>
      </c>
    </row>
    <row r="170" spans="1:10" ht="16.5">
      <c r="A170" s="6" t="s">
        <v>22</v>
      </c>
      <c r="B170" s="275"/>
      <c r="C170" s="276"/>
      <c r="D170" s="51">
        <f>B170*C170</f>
        <v>0</v>
      </c>
      <c r="E170" s="275">
        <v>6.4999999999999997E-3</v>
      </c>
      <c r="F170" s="276">
        <v>4</v>
      </c>
      <c r="G170" s="51">
        <f>E170*F170</f>
        <v>2.5999999999999999E-2</v>
      </c>
      <c r="H170" s="243">
        <v>0</v>
      </c>
      <c r="I170" s="29">
        <f>$D$159</f>
        <v>4.5</v>
      </c>
      <c r="J170" s="51">
        <f>H170*I170</f>
        <v>0</v>
      </c>
    </row>
    <row r="171" spans="1:10" ht="15">
      <c r="A171" s="25" t="s">
        <v>21</v>
      </c>
      <c r="B171" s="25"/>
      <c r="C171" s="53"/>
      <c r="D171" s="134">
        <f>SUM(D169:D170)</f>
        <v>0</v>
      </c>
      <c r="E171" s="25"/>
      <c r="F171" s="53"/>
      <c r="G171" s="134">
        <f>SUM(G169:G170)</f>
        <v>6.991881148370091E-2</v>
      </c>
      <c r="H171" s="25"/>
      <c r="I171" s="53"/>
      <c r="J171" s="134">
        <f>SUM(J169:J170)</f>
        <v>0</v>
      </c>
    </row>
    <row r="172" spans="1:10">
      <c r="J172" s="58"/>
    </row>
    <row r="173" spans="1:10">
      <c r="J173" s="58"/>
    </row>
    <row r="174" spans="1:10">
      <c r="A174" s="356" t="s">
        <v>19</v>
      </c>
      <c r="B174" s="357"/>
      <c r="C174" s="357"/>
      <c r="D174" s="357"/>
      <c r="E174" s="357"/>
      <c r="F174" s="357"/>
      <c r="G174" s="357"/>
      <c r="H174" s="358"/>
      <c r="J174" s="58"/>
    </row>
    <row r="175" spans="1:10" ht="25.5">
      <c r="A175" s="6" t="s">
        <v>18</v>
      </c>
      <c r="B175" s="98">
        <v>256000000</v>
      </c>
      <c r="C175" s="5"/>
      <c r="D175" s="5"/>
      <c r="E175" s="5"/>
      <c r="F175" s="5"/>
      <c r="G175" s="23" t="s">
        <v>17</v>
      </c>
      <c r="H175" s="22" t="s">
        <v>57</v>
      </c>
      <c r="J175" s="58"/>
    </row>
    <row r="176" spans="1:10">
      <c r="A176" s="6" t="s">
        <v>16</v>
      </c>
      <c r="B176" s="21">
        <f>G177/B175</f>
        <v>5.7421874999999997E-4</v>
      </c>
      <c r="C176" s="5"/>
      <c r="D176" s="5"/>
      <c r="E176" s="5"/>
      <c r="F176" s="5"/>
      <c r="G176" s="5" t="s">
        <v>142</v>
      </c>
      <c r="H176" s="5" t="s">
        <v>142</v>
      </c>
      <c r="I176" s="1" t="s">
        <v>95</v>
      </c>
      <c r="J176" s="1" t="s">
        <v>95</v>
      </c>
    </row>
    <row r="177" spans="1:10" ht="16.5">
      <c r="A177" s="6" t="s">
        <v>15</v>
      </c>
      <c r="B177" s="5"/>
      <c r="C177" s="5"/>
      <c r="D177" s="5"/>
      <c r="E177" s="5"/>
      <c r="F177" s="5"/>
      <c r="G177" s="277">
        <v>147000</v>
      </c>
      <c r="H177" s="20">
        <f>G177/(E$47*1000)</f>
        <v>0.03</v>
      </c>
      <c r="I177" s="277">
        <v>353000</v>
      </c>
      <c r="J177" s="20" t="e">
        <f>I177/B24/1000</f>
        <v>#DIV/0!</v>
      </c>
    </row>
    <row r="178" spans="1:10">
      <c r="A178" s="16"/>
      <c r="H178" s="12"/>
      <c r="J178" s="12"/>
    </row>
    <row r="179" spans="1:10">
      <c r="A179" s="16"/>
      <c r="F179" s="2"/>
      <c r="G179" s="63"/>
      <c r="H179" s="12"/>
      <c r="I179" s="63"/>
      <c r="J179" s="12"/>
    </row>
    <row r="180" spans="1:10">
      <c r="A180" s="373" t="s">
        <v>51</v>
      </c>
      <c r="B180" s="365"/>
      <c r="C180" s="5"/>
      <c r="D180" s="5"/>
      <c r="E180" s="5"/>
      <c r="F180" s="5"/>
      <c r="G180" s="5" t="s">
        <v>142</v>
      </c>
      <c r="H180" s="5" t="s">
        <v>142</v>
      </c>
      <c r="I180" s="5"/>
      <c r="J180" s="5"/>
    </row>
    <row r="181" spans="1:10" ht="16.5">
      <c r="A181" s="6" t="s">
        <v>14</v>
      </c>
      <c r="B181" s="5"/>
      <c r="C181" s="5"/>
      <c r="D181" s="5"/>
      <c r="E181" s="5"/>
      <c r="F181" s="5"/>
      <c r="G181" s="102">
        <v>27000</v>
      </c>
      <c r="H181" s="20">
        <f>G181/(E$47*1000)</f>
        <v>5.5102040816326532E-3</v>
      </c>
      <c r="I181" s="102">
        <v>75000</v>
      </c>
      <c r="J181" s="20" t="e">
        <f>I181/B24/1000</f>
        <v>#DIV/0!</v>
      </c>
    </row>
    <row r="182" spans="1:10">
      <c r="A182" s="6"/>
      <c r="B182" s="5"/>
      <c r="C182" s="5"/>
      <c r="D182" s="5"/>
      <c r="E182" s="5"/>
      <c r="F182" s="5"/>
      <c r="G182" s="5"/>
      <c r="H182" s="8"/>
      <c r="I182" s="5"/>
      <c r="J182" s="8"/>
    </row>
    <row r="183" spans="1:10">
      <c r="A183" s="373" t="s">
        <v>13</v>
      </c>
      <c r="B183" s="365"/>
      <c r="C183" s="5"/>
      <c r="D183" s="5"/>
      <c r="E183" s="5"/>
      <c r="F183" s="5"/>
      <c r="G183" s="5" t="s">
        <v>142</v>
      </c>
      <c r="H183" s="5" t="s">
        <v>142</v>
      </c>
      <c r="I183" s="5"/>
      <c r="J183" s="5"/>
    </row>
    <row r="184" spans="1:10" ht="16.5">
      <c r="A184" s="6" t="s">
        <v>12</v>
      </c>
      <c r="B184" s="5"/>
      <c r="C184" s="5"/>
      <c r="D184" s="5"/>
      <c r="E184" s="5"/>
      <c r="F184" s="5"/>
      <c r="G184" s="277">
        <v>55000</v>
      </c>
      <c r="H184" s="20">
        <f>G184/(E$47*1000)</f>
        <v>1.1224489795918367E-2</v>
      </c>
      <c r="I184" s="277">
        <v>57000</v>
      </c>
      <c r="J184" s="20" t="e">
        <f>I184/B24/1000</f>
        <v>#DIV/0!</v>
      </c>
    </row>
    <row r="185" spans="1:10">
      <c r="A185" s="11"/>
      <c r="B185" s="10"/>
      <c r="C185" s="19"/>
      <c r="D185" s="10"/>
      <c r="E185" s="10"/>
      <c r="F185" s="10"/>
      <c r="G185" s="10"/>
      <c r="H185" s="9"/>
      <c r="J185" s="58"/>
    </row>
    <row r="186" spans="1:10">
      <c r="C186" s="18"/>
      <c r="J186" s="58"/>
    </row>
    <row r="187" spans="1:10">
      <c r="J187" s="58"/>
    </row>
    <row r="188" spans="1:10">
      <c r="A188" s="55" t="s">
        <v>11</v>
      </c>
      <c r="B188" s="386" t="s">
        <v>10</v>
      </c>
      <c r="C188" s="386"/>
      <c r="D188" s="386"/>
      <c r="E188" s="386"/>
      <c r="F188" s="386"/>
      <c r="G188" s="386"/>
      <c r="H188" s="387"/>
      <c r="J188" s="58"/>
    </row>
    <row r="189" spans="1:10">
      <c r="A189" s="16"/>
      <c r="H189" s="12"/>
      <c r="J189" s="58"/>
    </row>
    <row r="190" spans="1:10">
      <c r="A190" s="16"/>
      <c r="B190" s="365" t="s">
        <v>9</v>
      </c>
      <c r="C190" s="365"/>
      <c r="D190" s="15">
        <f>B49</f>
        <v>4900</v>
      </c>
      <c r="E190" s="5"/>
      <c r="F190" s="365" t="s">
        <v>8</v>
      </c>
      <c r="G190" s="365"/>
      <c r="H190" s="17">
        <f>D190/D191</f>
        <v>4.8999999999999998E-3</v>
      </c>
      <c r="J190" s="58"/>
    </row>
    <row r="191" spans="1:10">
      <c r="A191" s="16"/>
      <c r="B191" s="365" t="s">
        <v>7</v>
      </c>
      <c r="C191" s="365"/>
      <c r="D191" s="15">
        <v>1000000</v>
      </c>
      <c r="E191" s="5"/>
      <c r="F191" s="5"/>
      <c r="G191" s="5"/>
      <c r="H191" s="14"/>
      <c r="J191" s="58"/>
    </row>
    <row r="193" spans="1:12" ht="33" customHeight="1">
      <c r="A193" s="6"/>
      <c r="B193" s="61" t="s">
        <v>82</v>
      </c>
      <c r="C193" s="61" t="s">
        <v>6</v>
      </c>
      <c r="D193" s="61" t="s">
        <v>75</v>
      </c>
      <c r="E193" s="193" t="s">
        <v>76</v>
      </c>
      <c r="F193" s="61" t="s">
        <v>63</v>
      </c>
      <c r="G193" s="61" t="s">
        <v>77</v>
      </c>
      <c r="H193" s="97" t="s">
        <v>78</v>
      </c>
      <c r="J193" s="58"/>
      <c r="K193" s="58"/>
      <c r="L193" s="58"/>
    </row>
    <row r="194" spans="1:12" ht="15">
      <c r="A194" s="6" t="s">
        <v>5</v>
      </c>
      <c r="B194" s="3">
        <f>C194/12</f>
        <v>0</v>
      </c>
      <c r="C194" s="250">
        <v>0</v>
      </c>
      <c r="D194" s="98">
        <f>ROUND($C$202/($C$202+$C$203)*12,0)*$B194</f>
        <v>0</v>
      </c>
      <c r="E194" s="194">
        <f>ROUND($C$203/($C$202+$C$203)*12,0)*$B194</f>
        <v>0</v>
      </c>
      <c r="F194" s="89">
        <f>$D194/$D$190/1000</f>
        <v>0</v>
      </c>
      <c r="G194" s="89">
        <f>$E194/$D$190/1000</f>
        <v>0</v>
      </c>
      <c r="H194" s="99">
        <f>SUM(F194:G194)</f>
        <v>0</v>
      </c>
      <c r="J194" s="58"/>
      <c r="K194" s="58"/>
      <c r="L194" s="58"/>
    </row>
    <row r="195" spans="1:12" ht="15">
      <c r="A195" s="6" t="s">
        <v>4</v>
      </c>
      <c r="B195" s="98">
        <f>C195/12</f>
        <v>95700</v>
      </c>
      <c r="C195" s="236">
        <f>+(95700*12)</f>
        <v>1148400</v>
      </c>
      <c r="D195" s="98">
        <f>ROUND($C$202/($C$202+$C$203)*12,0)*$B195</f>
        <v>1148400</v>
      </c>
      <c r="E195" s="194">
        <f>ROUND($C$203/($C$202+$C$203)*12,0)*$B195</f>
        <v>0</v>
      </c>
      <c r="F195" s="100">
        <f>$D195/D$190/1000</f>
        <v>0.23436734693877551</v>
      </c>
      <c r="G195" s="100">
        <f>$E195/$D$190/1000</f>
        <v>0</v>
      </c>
      <c r="H195" s="94">
        <f t="shared" ref="H195:H196" si="23">SUM(F195:G195)</f>
        <v>0.23436734693877551</v>
      </c>
      <c r="J195" s="58"/>
      <c r="K195" s="58"/>
      <c r="L195" s="58"/>
    </row>
    <row r="196" spans="1:12" ht="16.5">
      <c r="A196" s="6" t="s">
        <v>3</v>
      </c>
      <c r="B196" s="98">
        <f>C196/12</f>
        <v>22812.25</v>
      </c>
      <c r="C196" s="236">
        <f>(273747/12*12)</f>
        <v>273747</v>
      </c>
      <c r="D196" s="98">
        <f>ROUND($C$202/($C$202+$C$203)*12,0)*$B196</f>
        <v>273747</v>
      </c>
      <c r="E196" s="194">
        <f>ROUND($C$203/($C$202+$C$203)*12,0)*$B196</f>
        <v>0</v>
      </c>
      <c r="F196" s="88">
        <f>$D196/D$190/1000</f>
        <v>5.5866734693877554E-2</v>
      </c>
      <c r="G196" s="88">
        <f>$E196/$D$190/1000</f>
        <v>0</v>
      </c>
      <c r="H196" s="95">
        <f t="shared" si="23"/>
        <v>5.5866734693877554E-2</v>
      </c>
      <c r="J196" s="58"/>
      <c r="K196" s="58"/>
      <c r="L196" s="58"/>
    </row>
    <row r="197" spans="1:12">
      <c r="A197" s="6" t="s">
        <v>2</v>
      </c>
      <c r="F197" s="89">
        <f>SUM(F194:F196)</f>
        <v>0.29023408163265307</v>
      </c>
      <c r="G197" s="89">
        <f>SUM(G194:G196)</f>
        <v>0</v>
      </c>
      <c r="H197" s="99">
        <f>SUM(H194:H196)</f>
        <v>0.29023408163265307</v>
      </c>
      <c r="J197" s="58"/>
      <c r="K197" s="58"/>
      <c r="L197" s="58"/>
    </row>
    <row r="198" spans="1:12">
      <c r="A198" s="11"/>
      <c r="B198" s="10"/>
      <c r="C198" s="10"/>
      <c r="D198" s="10"/>
      <c r="E198" s="10"/>
      <c r="F198" s="10"/>
      <c r="G198" s="10"/>
      <c r="H198" s="9"/>
      <c r="J198" s="58"/>
      <c r="K198" s="58"/>
      <c r="L198" s="58"/>
    </row>
    <row r="199" spans="1:12">
      <c r="J199" s="58"/>
      <c r="K199" s="58"/>
      <c r="L199" s="58"/>
    </row>
    <row r="200" spans="1:12">
      <c r="J200" s="58"/>
      <c r="K200" s="58"/>
      <c r="L200" s="58"/>
    </row>
    <row r="201" spans="1:12">
      <c r="A201" s="356" t="s">
        <v>117</v>
      </c>
      <c r="B201" s="357"/>
      <c r="C201" s="357"/>
      <c r="D201" s="357"/>
      <c r="E201" s="357"/>
      <c r="F201" s="357"/>
      <c r="G201" s="357"/>
      <c r="H201" s="358"/>
      <c r="J201" s="58"/>
      <c r="K201" s="58"/>
      <c r="L201" s="58"/>
    </row>
    <row r="202" spans="1:12" ht="15">
      <c r="A202" s="6"/>
      <c r="B202" s="5" t="s">
        <v>73</v>
      </c>
      <c r="C202" s="104">
        <v>52</v>
      </c>
      <c r="D202" s="43" t="s">
        <v>110</v>
      </c>
      <c r="E202" s="237">
        <v>0.04</v>
      </c>
      <c r="F202" s="5" t="s">
        <v>83</v>
      </c>
      <c r="G202" s="5"/>
      <c r="H202" s="8"/>
      <c r="J202" s="58"/>
      <c r="K202" s="58"/>
      <c r="L202" s="58"/>
    </row>
    <row r="203" spans="1:12" ht="15">
      <c r="A203" s="6"/>
      <c r="B203" s="5" t="s">
        <v>72</v>
      </c>
      <c r="C203" s="104">
        <v>0</v>
      </c>
      <c r="E203" s="5"/>
      <c r="F203" s="5" t="s">
        <v>84</v>
      </c>
      <c r="G203" s="5"/>
      <c r="H203" s="8"/>
      <c r="J203" s="58"/>
      <c r="K203" s="58"/>
      <c r="L203" s="58"/>
    </row>
    <row r="204" spans="1:12" ht="15">
      <c r="A204" s="6"/>
      <c r="B204" s="5" t="s">
        <v>74</v>
      </c>
      <c r="C204" s="104">
        <v>40</v>
      </c>
      <c r="E204" s="5"/>
      <c r="F204" s="5" t="s">
        <v>0</v>
      </c>
      <c r="G204" s="5"/>
      <c r="H204" s="8"/>
      <c r="J204" s="58"/>
      <c r="K204" s="58"/>
      <c r="L204" s="58"/>
    </row>
    <row r="205" spans="1:12" ht="15">
      <c r="A205" s="6"/>
      <c r="B205" s="5" t="s">
        <v>1</v>
      </c>
      <c r="C205" s="105">
        <v>1.5</v>
      </c>
      <c r="E205" s="5"/>
      <c r="G205" s="5"/>
      <c r="H205" s="7"/>
      <c r="J205" s="58"/>
      <c r="K205" s="58"/>
      <c r="L205" s="58"/>
    </row>
    <row r="206" spans="1:12" ht="15">
      <c r="A206" s="25"/>
      <c r="B206" s="79" t="s">
        <v>52</v>
      </c>
      <c r="C206" s="237">
        <v>0.3</v>
      </c>
      <c r="D206" s="10"/>
      <c r="E206" s="53"/>
      <c r="F206" s="53"/>
      <c r="G206" s="53"/>
      <c r="H206" s="65"/>
      <c r="J206" s="58"/>
      <c r="K206" s="58"/>
      <c r="L206" s="58"/>
    </row>
    <row r="207" spans="1:12">
      <c r="B207" s="388"/>
      <c r="C207" s="388"/>
      <c r="D207" s="388"/>
      <c r="J207" s="58"/>
      <c r="K207" s="58" t="s">
        <v>121</v>
      </c>
      <c r="L207" s="58"/>
    </row>
    <row r="208" spans="1:12">
      <c r="A208" s="356" t="s">
        <v>118</v>
      </c>
      <c r="B208" s="357"/>
      <c r="C208" s="357"/>
      <c r="D208" s="357"/>
      <c r="E208" s="357"/>
      <c r="F208" s="357"/>
      <c r="G208" s="357"/>
      <c r="H208" s="358"/>
      <c r="J208" s="58"/>
      <c r="K208" s="58" t="s">
        <v>122</v>
      </c>
      <c r="L208" s="58">
        <f>52-C209</f>
        <v>43</v>
      </c>
    </row>
    <row r="209" spans="1:12" ht="15">
      <c r="A209" s="6"/>
      <c r="B209" s="5" t="s">
        <v>73</v>
      </c>
      <c r="C209" s="104">
        <v>9</v>
      </c>
      <c r="D209" s="43" t="s">
        <v>110</v>
      </c>
      <c r="E209" s="237">
        <v>0.04</v>
      </c>
      <c r="F209" s="5" t="s">
        <v>83</v>
      </c>
      <c r="G209" s="5"/>
      <c r="H209" s="8"/>
      <c r="J209" s="58"/>
      <c r="K209" s="58" t="s">
        <v>75</v>
      </c>
      <c r="L209" s="58">
        <f>E47*1000/52*L208</f>
        <v>4051923.076923077</v>
      </c>
    </row>
    <row r="210" spans="1:12" ht="15">
      <c r="A210" s="6"/>
      <c r="B210" s="5" t="s">
        <v>72</v>
      </c>
      <c r="C210" s="104">
        <v>0</v>
      </c>
      <c r="E210" s="5"/>
      <c r="F210" s="5" t="s">
        <v>84</v>
      </c>
      <c r="G210" s="5"/>
      <c r="H210" s="8"/>
      <c r="J210" s="58"/>
      <c r="K210" s="58" t="s">
        <v>123</v>
      </c>
      <c r="L210" s="288">
        <f>0.0315*L209</f>
        <v>127635.57692307692</v>
      </c>
    </row>
    <row r="211" spans="1:12" ht="15">
      <c r="A211" s="6"/>
      <c r="B211" s="5" t="s">
        <v>74</v>
      </c>
      <c r="C211" s="104">
        <v>40</v>
      </c>
      <c r="E211" s="5"/>
      <c r="F211" s="5" t="s">
        <v>0</v>
      </c>
      <c r="G211" s="5"/>
      <c r="H211" s="8"/>
      <c r="J211" s="58"/>
      <c r="K211" s="58"/>
      <c r="L211" s="58"/>
    </row>
    <row r="212" spans="1:12" ht="15">
      <c r="A212" s="6"/>
      <c r="B212" s="5" t="s">
        <v>1</v>
      </c>
      <c r="C212" s="105">
        <v>1.5</v>
      </c>
      <c r="E212" s="5"/>
      <c r="G212" s="5"/>
      <c r="H212" s="7"/>
      <c r="J212" s="58"/>
      <c r="K212" s="58"/>
      <c r="L212" s="58"/>
    </row>
    <row r="213" spans="1:12" ht="15">
      <c r="A213" s="25"/>
      <c r="B213" s="79" t="s">
        <v>52</v>
      </c>
      <c r="C213" s="237">
        <v>0.3</v>
      </c>
      <c r="D213" s="10"/>
      <c r="E213" s="53"/>
      <c r="F213" s="53"/>
      <c r="G213" s="53"/>
      <c r="H213" s="65"/>
      <c r="J213" s="58"/>
      <c r="K213" s="58"/>
      <c r="L213" s="58"/>
    </row>
  </sheetData>
  <mergeCells count="47">
    <mergeCell ref="A208:H208"/>
    <mergeCell ref="B188:H188"/>
    <mergeCell ref="B190:C190"/>
    <mergeCell ref="F190:G190"/>
    <mergeCell ref="B191:C191"/>
    <mergeCell ref="A201:H201"/>
    <mergeCell ref="B207:D207"/>
    <mergeCell ref="T121:AD121"/>
    <mergeCell ref="A183:B183"/>
    <mergeCell ref="B159:C159"/>
    <mergeCell ref="E159:F159"/>
    <mergeCell ref="H159:I159"/>
    <mergeCell ref="H160:I160"/>
    <mergeCell ref="B161:D161"/>
    <mergeCell ref="E161:G161"/>
    <mergeCell ref="H161:J161"/>
    <mergeCell ref="B167:D167"/>
    <mergeCell ref="E167:G167"/>
    <mergeCell ref="H167:J167"/>
    <mergeCell ref="A174:H174"/>
    <mergeCell ref="A180:B180"/>
    <mergeCell ref="B136:D136"/>
    <mergeCell ref="F136:H136"/>
    <mergeCell ref="B111:D111"/>
    <mergeCell ref="F111:H111"/>
    <mergeCell ref="J84:L84"/>
    <mergeCell ref="A98:H98"/>
    <mergeCell ref="B26:D26"/>
    <mergeCell ref="E26:G26"/>
    <mergeCell ref="H26:J26"/>
    <mergeCell ref="B51:K51"/>
    <mergeCell ref="C62:F62"/>
    <mergeCell ref="G62:K62"/>
    <mergeCell ref="B74:D74"/>
    <mergeCell ref="F74:H74"/>
    <mergeCell ref="B84:D84"/>
    <mergeCell ref="F84:H84"/>
    <mergeCell ref="F99:H100"/>
    <mergeCell ref="A100:E100"/>
    <mergeCell ref="A1:J1"/>
    <mergeCell ref="S1:AA1"/>
    <mergeCell ref="AL1:AQ1"/>
    <mergeCell ref="B3:D3"/>
    <mergeCell ref="E3:G3"/>
    <mergeCell ref="H3:J3"/>
    <mergeCell ref="N3:O3"/>
    <mergeCell ref="P3:Q3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55739-7F45-4F30-8DD5-75D1F1A10AB9}">
  <dimension ref="A1:AX213"/>
  <sheetViews>
    <sheetView topLeftCell="A21" workbookViewId="0">
      <selection activeCell="E43" sqref="E43"/>
    </sheetView>
  </sheetViews>
  <sheetFormatPr defaultColWidth="10.7109375" defaultRowHeight="12.75" outlineLevelCol="1"/>
  <cols>
    <col min="1" max="1" width="37.28515625" style="1" bestFit="1" customWidth="1"/>
    <col min="2" max="2" width="16.7109375" style="1" customWidth="1"/>
    <col min="3" max="3" width="13.28515625" style="1" customWidth="1"/>
    <col min="4" max="4" width="13.5703125" style="1" customWidth="1"/>
    <col min="5" max="5" width="12.7109375" style="1" customWidth="1"/>
    <col min="6" max="6" width="12.42578125" style="1" customWidth="1"/>
    <col min="7" max="7" width="14.28515625" style="1" customWidth="1"/>
    <col min="8" max="8" width="12.7109375" style="1" customWidth="1"/>
    <col min="9" max="9" width="10.7109375" style="1"/>
    <col min="10" max="10" width="13" style="1" customWidth="1"/>
    <col min="11" max="11" width="12.28515625" style="1" customWidth="1"/>
    <col min="12" max="12" width="11.28515625" style="1" customWidth="1"/>
    <col min="13" max="13" width="21.7109375" style="1" customWidth="1"/>
    <col min="14" max="14" width="13.42578125" style="1" customWidth="1"/>
    <col min="15" max="15" width="10.7109375" style="1"/>
    <col min="16" max="16" width="12.28515625" style="1" customWidth="1"/>
    <col min="17" max="17" width="9.7109375" style="1" customWidth="1"/>
    <col min="18" max="18" width="2.7109375" style="1" customWidth="1"/>
    <col min="19" max="19" width="12.140625" style="1" bestFit="1" customWidth="1" outlineLevel="1"/>
    <col min="20" max="20" width="11.42578125" style="1" customWidth="1" outlineLevel="1"/>
    <col min="21" max="21" width="17.7109375" style="1" customWidth="1" outlineLevel="1"/>
    <col min="22" max="24" width="15.28515625" style="1" customWidth="1" outlineLevel="1"/>
    <col min="25" max="25" width="14.7109375" style="1" customWidth="1" outlineLevel="1"/>
    <col min="26" max="26" width="12.42578125" style="1" customWidth="1" outlineLevel="1"/>
    <col min="27" max="27" width="15.28515625" style="1" customWidth="1" outlineLevel="1"/>
    <col min="28" max="28" width="12.42578125" style="1" customWidth="1" outlineLevel="1"/>
    <col min="29" max="29" width="9.42578125" style="1" customWidth="1" outlineLevel="1"/>
    <col min="30" max="30" width="13.28515625" style="1" bestFit="1" customWidth="1" outlineLevel="1"/>
    <col min="31" max="31" width="13.28515625" style="1" customWidth="1" outlineLevel="1"/>
    <col min="32" max="32" width="9.5703125" style="1" bestFit="1" customWidth="1" outlineLevel="1"/>
    <col min="33" max="33" width="9.28515625" style="1" customWidth="1" outlineLevel="1"/>
    <col min="34" max="34" width="9.5703125" style="1" bestFit="1" customWidth="1" outlineLevel="1"/>
    <col min="35" max="35" width="12" style="1" customWidth="1" outlineLevel="1"/>
    <col min="36" max="36" width="11.7109375" style="1" customWidth="1" outlineLevel="1"/>
    <col min="37" max="37" width="12.28515625" style="1" customWidth="1" outlineLevel="1"/>
    <col min="38" max="38" width="11.42578125" style="1" customWidth="1" outlineLevel="1"/>
    <col min="39" max="39" width="12.42578125" style="1" customWidth="1" outlineLevel="1"/>
    <col min="40" max="40" width="12.28515625" style="1" customWidth="1" outlineLevel="1"/>
    <col min="41" max="41" width="12.5703125" style="1" customWidth="1" outlineLevel="1"/>
    <col min="42" max="42" width="12.42578125" style="1" customWidth="1" outlineLevel="1"/>
    <col min="43" max="43" width="14.28515625" style="1" customWidth="1" outlineLevel="1"/>
    <col min="44" max="44" width="10.28515625" style="1" customWidth="1" outlineLevel="1"/>
    <col min="45" max="45" width="11.5703125" style="1" customWidth="1" outlineLevel="1"/>
    <col min="46" max="46" width="11.42578125" style="1" customWidth="1" outlineLevel="1"/>
    <col min="47" max="48" width="12.7109375" style="1" customWidth="1" outlineLevel="1"/>
    <col min="49" max="49" width="11" style="1" customWidth="1" outlineLevel="1"/>
    <col min="50" max="50" width="12.7109375" style="1" customWidth="1" outlineLevel="1"/>
    <col min="51" max="250" width="8.7109375" style="1" customWidth="1"/>
    <col min="251" max="16384" width="10.7109375" style="1"/>
  </cols>
  <sheetData>
    <row r="1" spans="1:43" ht="18.75" customHeight="1">
      <c r="A1" s="344" t="s">
        <v>124</v>
      </c>
      <c r="B1" s="344"/>
      <c r="C1" s="344"/>
      <c r="D1" s="344"/>
      <c r="E1" s="344"/>
      <c r="F1" s="344"/>
      <c r="G1" s="344"/>
      <c r="H1" s="344"/>
      <c r="I1" s="344"/>
      <c r="J1" s="344"/>
      <c r="K1" s="91"/>
      <c r="L1" s="91"/>
      <c r="S1" s="345"/>
      <c r="T1" s="345"/>
      <c r="U1" s="345"/>
      <c r="V1" s="345"/>
      <c r="W1" s="345"/>
      <c r="X1" s="345"/>
      <c r="Y1" s="345"/>
      <c r="Z1" s="345"/>
      <c r="AA1" s="345"/>
      <c r="AB1" s="149"/>
      <c r="AC1" s="150"/>
      <c r="AD1" s="150"/>
      <c r="AE1" s="151"/>
      <c r="AF1" s="151"/>
      <c r="AG1" s="151"/>
      <c r="AH1" s="151"/>
      <c r="AI1" s="152"/>
      <c r="AJ1" s="151"/>
      <c r="AK1" s="152"/>
      <c r="AL1" s="346"/>
      <c r="AM1" s="346"/>
      <c r="AN1" s="346"/>
      <c r="AO1" s="346"/>
      <c r="AP1" s="346"/>
      <c r="AQ1" s="346"/>
    </row>
    <row r="2" spans="1:43" ht="36.6" customHeight="1">
      <c r="A2" s="56" t="s">
        <v>59</v>
      </c>
      <c r="B2" s="186"/>
      <c r="C2" s="56"/>
      <c r="D2" s="56"/>
      <c r="E2" s="56"/>
      <c r="F2" s="56"/>
      <c r="G2" s="56"/>
      <c r="H2" s="84"/>
      <c r="I2" s="92"/>
      <c r="J2" s="92"/>
      <c r="K2" s="92"/>
      <c r="L2" s="92"/>
      <c r="S2" s="155"/>
      <c r="T2" s="155"/>
      <c r="U2" s="155"/>
      <c r="V2" s="155"/>
      <c r="W2" s="155"/>
      <c r="X2" s="155"/>
      <c r="Y2" s="155"/>
      <c r="Z2" s="155"/>
      <c r="AA2" s="156"/>
      <c r="AB2" s="182"/>
      <c r="AC2" s="151"/>
      <c r="AD2" s="150"/>
      <c r="AE2" s="157"/>
      <c r="AF2" s="157"/>
      <c r="AG2" s="157"/>
      <c r="AH2" s="157"/>
      <c r="AI2" s="155"/>
      <c r="AJ2" s="157"/>
      <c r="AK2" s="158"/>
      <c r="AL2" s="159"/>
      <c r="AM2" s="234"/>
      <c r="AN2" s="234"/>
      <c r="AO2" s="155"/>
      <c r="AP2" s="155"/>
      <c r="AQ2" s="155"/>
    </row>
    <row r="3" spans="1:43" ht="18" customHeight="1">
      <c r="A3" s="64" t="s">
        <v>20</v>
      </c>
      <c r="B3" s="347" t="s">
        <v>91</v>
      </c>
      <c r="C3" s="348"/>
      <c r="D3" s="348"/>
      <c r="E3" s="347" t="s">
        <v>93</v>
      </c>
      <c r="F3" s="348"/>
      <c r="G3" s="348"/>
      <c r="H3" s="347" t="s">
        <v>94</v>
      </c>
      <c r="I3" s="348"/>
      <c r="J3" s="349"/>
      <c r="M3" s="252"/>
      <c r="N3" s="350"/>
      <c r="O3" s="350"/>
      <c r="P3" s="350"/>
      <c r="Q3" s="351"/>
      <c r="S3" s="160"/>
      <c r="T3" s="161"/>
      <c r="U3" s="160"/>
      <c r="V3" s="160"/>
      <c r="W3" s="160"/>
      <c r="X3" s="160"/>
      <c r="Y3" s="160"/>
      <c r="Z3" s="160"/>
      <c r="AA3" s="161"/>
      <c r="AB3" s="151"/>
      <c r="AC3" s="161"/>
      <c r="AD3" s="161"/>
      <c r="AE3" s="160"/>
      <c r="AF3" s="160"/>
      <c r="AG3" s="160"/>
      <c r="AH3" s="160"/>
      <c r="AI3" s="161"/>
      <c r="AJ3" s="160"/>
      <c r="AK3" s="161"/>
      <c r="AL3" s="161"/>
      <c r="AM3" s="161"/>
      <c r="AN3" s="161"/>
      <c r="AO3" s="161"/>
      <c r="AP3" s="161"/>
      <c r="AQ3" s="161"/>
    </row>
    <row r="4" spans="1:43" s="46" customFormat="1" ht="15">
      <c r="A4" s="66"/>
      <c r="B4" s="218" t="s">
        <v>143</v>
      </c>
      <c r="C4" s="219" t="s">
        <v>114</v>
      </c>
      <c r="D4" s="219" t="s">
        <v>88</v>
      </c>
      <c r="E4" s="218" t="str">
        <f>$B$4</f>
        <v>25 Standard</v>
      </c>
      <c r="F4" s="219" t="str">
        <f>+C4</f>
        <v>23 Actual</v>
      </c>
      <c r="G4" s="219" t="str">
        <f>+D4</f>
        <v>20 Standard</v>
      </c>
      <c r="H4" s="218" t="str">
        <f>+B4</f>
        <v>25 Standard</v>
      </c>
      <c r="I4" s="219" t="str">
        <f>+C4</f>
        <v>23 Actual</v>
      </c>
      <c r="J4" s="220" t="str">
        <f>+D4</f>
        <v>20 Standard</v>
      </c>
      <c r="M4" s="253"/>
      <c r="N4" s="254"/>
      <c r="O4" s="254"/>
      <c r="P4" s="254"/>
      <c r="Q4" s="255"/>
      <c r="S4" s="162"/>
      <c r="T4" s="163"/>
      <c r="U4" s="163"/>
      <c r="V4" s="163"/>
      <c r="W4" s="163"/>
      <c r="X4" s="163"/>
      <c r="Y4" s="163"/>
      <c r="Z4" s="163"/>
      <c r="AA4" s="164"/>
      <c r="AB4" s="165"/>
      <c r="AC4" s="166"/>
      <c r="AD4" s="164"/>
      <c r="AE4" s="164"/>
      <c r="AF4" s="164"/>
      <c r="AG4" s="164"/>
      <c r="AH4" s="164"/>
      <c r="AI4" s="163"/>
      <c r="AJ4" s="164"/>
      <c r="AK4" s="163"/>
      <c r="AL4" s="164"/>
      <c r="AM4" s="164"/>
      <c r="AN4" s="164"/>
      <c r="AO4" s="164"/>
      <c r="AP4" s="164"/>
      <c r="AQ4" s="164"/>
    </row>
    <row r="5" spans="1:43" s="46" customFormat="1">
      <c r="A5" s="66"/>
      <c r="B5" s="221"/>
      <c r="C5" s="202" t="s">
        <v>89</v>
      </c>
      <c r="D5" s="202"/>
      <c r="E5" s="221"/>
      <c r="F5" s="202" t="s">
        <v>89</v>
      </c>
      <c r="G5" s="202"/>
      <c r="H5" s="221"/>
      <c r="I5" s="202" t="s">
        <v>89</v>
      </c>
      <c r="J5" s="222"/>
      <c r="M5" s="253"/>
      <c r="N5" s="256"/>
      <c r="O5" s="256"/>
      <c r="P5" s="257"/>
      <c r="Q5" s="258"/>
      <c r="S5" s="162"/>
      <c r="T5" s="163"/>
      <c r="U5" s="163"/>
      <c r="V5" s="163"/>
      <c r="W5" s="163"/>
      <c r="X5" s="163"/>
      <c r="Y5" s="163"/>
      <c r="Z5" s="163"/>
      <c r="AA5" s="164"/>
      <c r="AB5" s="165"/>
      <c r="AC5" s="166"/>
      <c r="AD5" s="164"/>
      <c r="AE5" s="164"/>
      <c r="AF5" s="164"/>
      <c r="AG5" s="154"/>
      <c r="AH5" s="164"/>
      <c r="AI5" s="163"/>
      <c r="AJ5" s="164"/>
      <c r="AK5" s="163"/>
      <c r="AL5" s="164"/>
      <c r="AM5" s="164"/>
      <c r="AN5" s="164"/>
      <c r="AO5" s="164"/>
      <c r="AP5" s="164"/>
      <c r="AQ5" s="164"/>
    </row>
    <row r="6" spans="1:43">
      <c r="A6" s="30" t="s">
        <v>50</v>
      </c>
      <c r="B6" s="192">
        <f>IF(B24&lt;&gt;0,$D$82,0)</f>
        <v>0</v>
      </c>
      <c r="C6" s="192">
        <v>5.8500000000000003E-2</v>
      </c>
      <c r="D6" s="192">
        <v>4.1565810184720102E-2</v>
      </c>
      <c r="E6" s="204">
        <f>+H82</f>
        <v>0</v>
      </c>
      <c r="F6" s="192">
        <v>0</v>
      </c>
      <c r="G6" s="192">
        <v>0</v>
      </c>
      <c r="H6" s="204">
        <f>+D96</f>
        <v>0</v>
      </c>
      <c r="I6" s="192">
        <v>0</v>
      </c>
      <c r="J6" s="205">
        <v>0</v>
      </c>
      <c r="M6" s="259"/>
      <c r="N6" s="260"/>
      <c r="O6" s="261"/>
      <c r="P6" s="260"/>
      <c r="Q6" s="262"/>
      <c r="S6" s="167"/>
      <c r="T6" s="163"/>
      <c r="U6" s="163"/>
      <c r="V6" s="163"/>
      <c r="W6" s="163"/>
      <c r="X6" s="163"/>
      <c r="Y6" s="163"/>
      <c r="Z6" s="163"/>
      <c r="AA6" s="164"/>
      <c r="AB6" s="165"/>
      <c r="AC6" s="166"/>
      <c r="AD6" s="164"/>
      <c r="AE6" s="164"/>
      <c r="AF6" s="164"/>
      <c r="AG6" s="164"/>
      <c r="AH6" s="164"/>
      <c r="AI6" s="163"/>
      <c r="AJ6" s="164"/>
      <c r="AK6" s="163"/>
      <c r="AL6" s="164"/>
      <c r="AM6" s="164"/>
      <c r="AN6" s="164"/>
      <c r="AO6" s="164"/>
      <c r="AP6" s="164"/>
      <c r="AQ6" s="164"/>
    </row>
    <row r="7" spans="1:43" ht="15">
      <c r="A7" s="30" t="s">
        <v>27</v>
      </c>
      <c r="B7" s="192">
        <f>IF(B24&lt;&gt;0,$D$163,0)</f>
        <v>0</v>
      </c>
      <c r="C7" s="192">
        <v>1.0500000000000001E-2</v>
      </c>
      <c r="D7" s="192">
        <v>2.0277328909623641E-2</v>
      </c>
      <c r="E7" s="204">
        <f>G163</f>
        <v>1.983719966453169E-2</v>
      </c>
      <c r="F7" s="192">
        <v>0</v>
      </c>
      <c r="G7" s="192">
        <v>0</v>
      </c>
      <c r="H7" s="204">
        <f>J163</f>
        <v>1.983719966453169E-2</v>
      </c>
      <c r="I7" s="192">
        <v>0</v>
      </c>
      <c r="J7" s="205">
        <v>0</v>
      </c>
      <c r="M7" s="263"/>
      <c r="N7" s="264"/>
      <c r="O7" s="207"/>
      <c r="P7" s="264"/>
      <c r="Q7" s="208"/>
      <c r="S7" s="168"/>
      <c r="T7" s="168"/>
      <c r="U7" s="168"/>
      <c r="V7" s="168"/>
      <c r="W7" s="168"/>
      <c r="X7" s="168"/>
      <c r="Y7" s="168"/>
      <c r="Z7" s="168"/>
      <c r="AA7" s="168"/>
      <c r="AB7" s="165"/>
      <c r="AC7" s="166"/>
      <c r="AD7" s="169"/>
      <c r="AE7" s="170"/>
      <c r="AF7" s="171"/>
      <c r="AG7" s="171"/>
      <c r="AH7" s="171"/>
      <c r="AI7" s="168"/>
      <c r="AJ7" s="170"/>
      <c r="AK7" s="168"/>
      <c r="AL7" s="169"/>
      <c r="AM7" s="169"/>
      <c r="AN7" s="169"/>
      <c r="AO7" s="169"/>
      <c r="AP7" s="169"/>
      <c r="AQ7" s="169"/>
    </row>
    <row r="8" spans="1:43" ht="15">
      <c r="A8" s="6" t="s">
        <v>49</v>
      </c>
      <c r="B8" s="192">
        <f>IF(B24&lt;&gt;0,$D$164,0)</f>
        <v>0</v>
      </c>
      <c r="C8" s="192">
        <v>1.5599999999999999E-2</v>
      </c>
      <c r="D8" s="192">
        <v>1.4965000000000001E-2</v>
      </c>
      <c r="E8" s="204">
        <f>G164</f>
        <v>1.7100000000000001E-2</v>
      </c>
      <c r="F8" s="192">
        <v>0</v>
      </c>
      <c r="G8" s="192">
        <v>0</v>
      </c>
      <c r="H8" s="204">
        <f>J164</f>
        <v>1.7100000000000001E-2</v>
      </c>
      <c r="I8" s="192">
        <v>0</v>
      </c>
      <c r="J8" s="205">
        <v>0</v>
      </c>
      <c r="M8" s="263"/>
      <c r="N8" s="265"/>
      <c r="O8" s="266"/>
      <c r="P8" s="265"/>
      <c r="Q8" s="267"/>
      <c r="S8" s="168"/>
      <c r="T8" s="168"/>
      <c r="U8" s="168"/>
      <c r="V8" s="168"/>
      <c r="W8" s="168"/>
      <c r="X8" s="168"/>
      <c r="Y8" s="168"/>
      <c r="Z8" s="168"/>
      <c r="AA8" s="168"/>
      <c r="AB8" s="165"/>
      <c r="AC8" s="166"/>
      <c r="AD8" s="169"/>
      <c r="AE8" s="170"/>
      <c r="AF8" s="171"/>
      <c r="AG8" s="171"/>
      <c r="AH8" s="171"/>
      <c r="AI8" s="168"/>
      <c r="AJ8" s="170"/>
      <c r="AK8" s="168"/>
      <c r="AL8" s="169"/>
      <c r="AM8" s="169"/>
      <c r="AN8" s="169"/>
      <c r="AO8" s="169"/>
      <c r="AP8" s="169"/>
      <c r="AQ8" s="169"/>
    </row>
    <row r="9" spans="1:43">
      <c r="A9" s="30" t="s">
        <v>48</v>
      </c>
      <c r="B9" s="192">
        <f>IF(B24&lt;&gt;0,$J$177,0)</f>
        <v>0</v>
      </c>
      <c r="C9" s="192">
        <v>1.9199999999999998E-2</v>
      </c>
      <c r="D9" s="192">
        <v>1.591578947368421E-2</v>
      </c>
      <c r="E9" s="204">
        <f>$H$177</f>
        <v>0.03</v>
      </c>
      <c r="F9" s="192">
        <v>0</v>
      </c>
      <c r="G9" s="192">
        <v>0</v>
      </c>
      <c r="H9" s="204">
        <f>$H$177</f>
        <v>0.03</v>
      </c>
      <c r="I9" s="192">
        <v>0</v>
      </c>
      <c r="J9" s="205">
        <v>0</v>
      </c>
      <c r="M9" s="259"/>
      <c r="N9" s="260"/>
      <c r="O9" s="261"/>
      <c r="P9" s="268"/>
      <c r="Q9" s="262"/>
      <c r="S9" s="168"/>
      <c r="T9" s="168"/>
      <c r="U9" s="168"/>
      <c r="V9" s="168"/>
      <c r="W9" s="168"/>
      <c r="X9" s="168"/>
      <c r="Y9" s="168"/>
      <c r="Z9" s="168"/>
      <c r="AA9" s="168"/>
      <c r="AB9" s="165"/>
      <c r="AC9" s="166"/>
      <c r="AD9" s="169"/>
      <c r="AE9" s="170"/>
      <c r="AF9" s="171"/>
      <c r="AG9" s="171"/>
      <c r="AH9" s="171"/>
      <c r="AI9" s="168"/>
      <c r="AJ9" s="170"/>
      <c r="AK9" s="168"/>
      <c r="AL9" s="169"/>
      <c r="AM9" s="169"/>
      <c r="AN9" s="169"/>
      <c r="AO9" s="169"/>
      <c r="AP9" s="169"/>
      <c r="AQ9" s="169"/>
    </row>
    <row r="10" spans="1:43">
      <c r="A10" s="30" t="s">
        <v>47</v>
      </c>
      <c r="B10" s="192">
        <f>IF(B24&lt;&gt;0,$J$181,0)</f>
        <v>0</v>
      </c>
      <c r="C10" s="192">
        <v>8.0000000000000004E-4</v>
      </c>
      <c r="D10" s="192">
        <v>2.6315789473684214E-3</v>
      </c>
      <c r="E10" s="204">
        <f>$H$181</f>
        <v>5.5102040816326532E-3</v>
      </c>
      <c r="F10" s="192">
        <v>0</v>
      </c>
      <c r="G10" s="192">
        <v>0</v>
      </c>
      <c r="H10" s="204">
        <f>$H$181</f>
        <v>5.5102040816326532E-3</v>
      </c>
      <c r="I10" s="192">
        <v>0</v>
      </c>
      <c r="J10" s="205">
        <v>0</v>
      </c>
      <c r="M10" s="263"/>
      <c r="N10" s="260"/>
      <c r="O10" s="261"/>
      <c r="P10" s="260"/>
      <c r="Q10" s="262"/>
      <c r="S10" s="168"/>
      <c r="T10" s="168"/>
      <c r="U10" s="168"/>
      <c r="V10" s="168"/>
      <c r="W10" s="168"/>
      <c r="X10" s="168"/>
      <c r="Y10" s="168"/>
      <c r="Z10" s="168"/>
      <c r="AA10" s="168"/>
      <c r="AB10" s="165"/>
      <c r="AC10" s="166"/>
      <c r="AD10" s="169"/>
      <c r="AE10" s="170"/>
      <c r="AF10" s="171"/>
      <c r="AG10" s="171"/>
      <c r="AH10" s="171"/>
      <c r="AI10" s="168"/>
      <c r="AJ10" s="170"/>
      <c r="AK10" s="168"/>
      <c r="AL10" s="169"/>
      <c r="AM10" s="169"/>
      <c r="AN10" s="169"/>
      <c r="AO10" s="169"/>
      <c r="AP10" s="169"/>
      <c r="AQ10" s="169"/>
    </row>
    <row r="11" spans="1:43" ht="15">
      <c r="A11" s="30" t="s">
        <v>46</v>
      </c>
      <c r="B11" s="207">
        <f>IF(B24&lt;&gt;0,$J$184,0)</f>
        <v>0</v>
      </c>
      <c r="C11" s="207">
        <v>5.7999999999999996E-3</v>
      </c>
      <c r="D11" s="207">
        <v>9.4736842105263147E-3</v>
      </c>
      <c r="E11" s="206">
        <f>$H$184</f>
        <v>1.1224489795918367E-2</v>
      </c>
      <c r="F11" s="207">
        <v>0</v>
      </c>
      <c r="G11" s="207">
        <v>0</v>
      </c>
      <c r="H11" s="206">
        <f>$H$184</f>
        <v>1.1224489795918367E-2</v>
      </c>
      <c r="I11" s="207">
        <v>0</v>
      </c>
      <c r="J11" s="208">
        <v>0</v>
      </c>
      <c r="M11" s="263"/>
      <c r="N11" s="269"/>
      <c r="O11" s="192"/>
      <c r="P11" s="269"/>
      <c r="Q11" s="205"/>
      <c r="S11" s="174"/>
      <c r="T11" s="174"/>
      <c r="U11" s="174"/>
      <c r="V11" s="174"/>
      <c r="W11" s="174"/>
      <c r="X11" s="174"/>
      <c r="Y11" s="174"/>
      <c r="Z11" s="174"/>
      <c r="AA11" s="174"/>
      <c r="AB11" s="165"/>
      <c r="AC11" s="166"/>
      <c r="AD11" s="169"/>
      <c r="AE11" s="170"/>
      <c r="AF11" s="175"/>
      <c r="AG11" s="175"/>
      <c r="AH11" s="175"/>
      <c r="AI11" s="174"/>
      <c r="AJ11" s="170"/>
      <c r="AK11" s="174"/>
      <c r="AL11" s="169"/>
      <c r="AM11" s="169"/>
      <c r="AN11" s="169"/>
      <c r="AO11" s="169"/>
      <c r="AP11" s="169"/>
      <c r="AQ11" s="169"/>
    </row>
    <row r="12" spans="1:43" ht="15">
      <c r="A12" s="30" t="s">
        <v>45</v>
      </c>
      <c r="B12" s="192">
        <f t="shared" ref="B12:D12" si="0">SUM(B6:B11)</f>
        <v>0</v>
      </c>
      <c r="C12" s="192">
        <f t="shared" si="0"/>
        <v>0.1104</v>
      </c>
      <c r="D12" s="192">
        <f t="shared" si="0"/>
        <v>0.1048291917259227</v>
      </c>
      <c r="E12" s="204">
        <f>SUM(E6:E11)</f>
        <v>8.3671893542082695E-2</v>
      </c>
      <c r="F12" s="192">
        <f t="shared" ref="F12:G12" si="1">SUM(F6:F11)</f>
        <v>0</v>
      </c>
      <c r="G12" s="192">
        <f t="shared" si="1"/>
        <v>0</v>
      </c>
      <c r="H12" s="204">
        <f>SUM(H6:H11)</f>
        <v>8.3671893542082695E-2</v>
      </c>
      <c r="I12" s="192">
        <f t="shared" ref="I12:J12" si="2">SUM(I6:I11)</f>
        <v>0</v>
      </c>
      <c r="J12" s="205">
        <f t="shared" si="2"/>
        <v>0</v>
      </c>
      <c r="M12" s="263"/>
      <c r="N12" s="264"/>
      <c r="O12" s="207"/>
      <c r="P12" s="264"/>
      <c r="Q12" s="208"/>
      <c r="S12" s="168"/>
      <c r="T12" s="168"/>
      <c r="U12" s="168"/>
      <c r="V12" s="168"/>
      <c r="W12" s="168"/>
      <c r="X12" s="168"/>
      <c r="Y12" s="168"/>
      <c r="Z12" s="168"/>
      <c r="AA12" s="168"/>
      <c r="AB12" s="165"/>
      <c r="AC12" s="166"/>
      <c r="AD12" s="164"/>
      <c r="AE12" s="164"/>
      <c r="AF12" s="171"/>
      <c r="AG12" s="171"/>
      <c r="AH12" s="171"/>
      <c r="AI12" s="168"/>
      <c r="AJ12" s="164"/>
      <c r="AK12" s="168"/>
      <c r="AL12" s="164"/>
      <c r="AM12" s="164"/>
      <c r="AN12" s="164"/>
      <c r="AO12" s="164"/>
      <c r="AP12" s="164"/>
      <c r="AQ12" s="164"/>
    </row>
    <row r="13" spans="1:43" ht="15">
      <c r="A13" s="30"/>
      <c r="B13" s="204"/>
      <c r="C13" s="192"/>
      <c r="D13" s="192"/>
      <c r="E13" s="204"/>
      <c r="F13" s="192"/>
      <c r="G13" s="192"/>
      <c r="H13" s="204"/>
      <c r="I13" s="192"/>
      <c r="J13" s="205"/>
      <c r="M13" s="263"/>
      <c r="N13" s="265"/>
      <c r="O13" s="266"/>
      <c r="P13" s="265"/>
      <c r="Q13" s="267"/>
      <c r="S13" s="163"/>
      <c r="T13" s="163"/>
      <c r="U13" s="163"/>
      <c r="V13" s="163"/>
      <c r="W13" s="163"/>
      <c r="X13" s="163"/>
      <c r="Y13" s="163"/>
      <c r="Z13" s="163"/>
      <c r="AA13" s="164"/>
      <c r="AB13" s="165"/>
      <c r="AC13" s="166"/>
      <c r="AD13" s="164"/>
      <c r="AE13" s="164"/>
      <c r="AF13" s="167"/>
      <c r="AG13" s="167"/>
      <c r="AH13" s="167"/>
      <c r="AI13" s="163"/>
      <c r="AJ13" s="164"/>
      <c r="AK13" s="163"/>
      <c r="AL13" s="164"/>
      <c r="AM13" s="164"/>
      <c r="AN13" s="164"/>
      <c r="AO13" s="164"/>
      <c r="AP13" s="164"/>
      <c r="AQ13" s="164"/>
    </row>
    <row r="14" spans="1:43">
      <c r="A14" s="30" t="s">
        <v>31</v>
      </c>
      <c r="B14" s="192">
        <f>IF($B$24&lt;&gt;0,$F$152/B24/1000,0)</f>
        <v>0</v>
      </c>
      <c r="C14" s="192">
        <v>2.46E-2</v>
      </c>
      <c r="D14" s="192">
        <v>7.3599375000000002E-3</v>
      </c>
      <c r="E14" s="204">
        <f>$D$124*$E$108/$B$49/1000</f>
        <v>9.3026761418853253E-4</v>
      </c>
      <c r="F14" s="192">
        <v>0</v>
      </c>
      <c r="G14" s="192">
        <v>0</v>
      </c>
      <c r="H14" s="204">
        <f>$D$124*$E$108/$B$49/1000</f>
        <v>9.3026761418853253E-4</v>
      </c>
      <c r="I14" s="192">
        <v>0</v>
      </c>
      <c r="J14" s="205">
        <v>0</v>
      </c>
      <c r="M14" s="259"/>
      <c r="N14" s="269"/>
      <c r="O14" s="270"/>
      <c r="P14" s="269"/>
      <c r="Q14" s="271"/>
      <c r="S14" s="168"/>
      <c r="T14" s="168"/>
      <c r="U14" s="168"/>
      <c r="V14" s="168"/>
      <c r="W14" s="168"/>
      <c r="X14" s="168"/>
      <c r="Y14" s="168"/>
      <c r="Z14" s="168"/>
      <c r="AA14" s="168"/>
      <c r="AB14" s="165"/>
      <c r="AC14" s="166"/>
      <c r="AD14" s="169"/>
      <c r="AE14" s="170"/>
      <c r="AF14" s="171"/>
      <c r="AG14" s="171"/>
      <c r="AH14" s="171"/>
      <c r="AI14" s="168"/>
      <c r="AJ14" s="170"/>
      <c r="AK14" s="168"/>
      <c r="AL14" s="169"/>
      <c r="AM14" s="169"/>
      <c r="AN14" s="169"/>
      <c r="AO14" s="169"/>
      <c r="AP14" s="169"/>
      <c r="AQ14" s="169"/>
    </row>
    <row r="15" spans="1:43">
      <c r="A15" s="30" t="s">
        <v>44</v>
      </c>
      <c r="B15" s="192">
        <f>IF($B$24&lt;&gt;0,$F$153/$B$24/1000,0)</f>
        <v>0</v>
      </c>
      <c r="C15" s="192">
        <v>8.9999999999999993E-3</v>
      </c>
      <c r="D15" s="192">
        <v>4.2419375E-3</v>
      </c>
      <c r="E15" s="204">
        <f>$H$124*$E$108/$B$49/1000</f>
        <v>0</v>
      </c>
      <c r="F15" s="192">
        <v>0</v>
      </c>
      <c r="G15" s="192">
        <v>0</v>
      </c>
      <c r="H15" s="204">
        <f>$H$124*$E$108/$B$49/1000</f>
        <v>0</v>
      </c>
      <c r="I15" s="192">
        <v>0</v>
      </c>
      <c r="J15" s="205">
        <v>0</v>
      </c>
      <c r="M15" s="263"/>
      <c r="N15" s="269"/>
      <c r="O15" s="268"/>
      <c r="P15" s="269"/>
      <c r="Q15" s="258"/>
      <c r="S15" s="176"/>
      <c r="T15" s="168"/>
      <c r="U15" s="168"/>
      <c r="V15" s="168"/>
      <c r="W15" s="168"/>
      <c r="X15" s="176"/>
      <c r="Y15" s="176"/>
      <c r="Z15" s="176"/>
      <c r="AA15" s="176"/>
      <c r="AB15" s="165"/>
      <c r="AC15" s="166"/>
      <c r="AD15" s="169"/>
      <c r="AE15" s="170"/>
      <c r="AF15" s="167"/>
      <c r="AG15" s="167"/>
      <c r="AH15" s="167"/>
      <c r="AI15" s="176"/>
      <c r="AJ15" s="170"/>
      <c r="AK15" s="176"/>
      <c r="AL15" s="169"/>
      <c r="AM15" s="169"/>
      <c r="AN15" s="169"/>
      <c r="AO15" s="169"/>
      <c r="AP15" s="169"/>
      <c r="AQ15" s="169"/>
    </row>
    <row r="16" spans="1:43">
      <c r="A16" s="30" t="s">
        <v>43</v>
      </c>
      <c r="B16" s="192">
        <f>IF($B$24&lt;&gt;0,$F$155/$B$24/1000,0)</f>
        <v>0</v>
      </c>
      <c r="C16" s="192">
        <v>7.9000000000000008E-3</v>
      </c>
      <c r="D16" s="192">
        <v>5.3897125000000002E-3</v>
      </c>
      <c r="E16" s="204">
        <f>$D$131*$E$108/$B$49/1000</f>
        <v>0</v>
      </c>
      <c r="F16" s="192">
        <v>0</v>
      </c>
      <c r="G16" s="192">
        <v>0</v>
      </c>
      <c r="H16" s="204">
        <f>$D$131*$E$108/$B$49/1000</f>
        <v>0</v>
      </c>
      <c r="I16" s="192">
        <v>0</v>
      </c>
      <c r="J16" s="205">
        <v>0</v>
      </c>
      <c r="M16" s="263"/>
      <c r="N16" s="269"/>
      <c r="O16" s="268"/>
      <c r="P16" s="269"/>
      <c r="Q16" s="258"/>
      <c r="S16" s="168"/>
      <c r="T16" s="168"/>
      <c r="U16" s="168"/>
      <c r="V16" s="168"/>
      <c r="W16" s="168"/>
      <c r="X16" s="168"/>
      <c r="Y16" s="168"/>
      <c r="Z16" s="168"/>
      <c r="AA16" s="176"/>
      <c r="AB16" s="165"/>
      <c r="AC16" s="166"/>
      <c r="AD16" s="169"/>
      <c r="AE16" s="170"/>
      <c r="AF16" s="171"/>
      <c r="AG16" s="171"/>
      <c r="AH16" s="171"/>
      <c r="AI16" s="168"/>
      <c r="AJ16" s="170"/>
      <c r="AK16" s="168"/>
      <c r="AL16" s="169"/>
      <c r="AM16" s="169"/>
      <c r="AN16" s="169"/>
      <c r="AO16" s="169"/>
      <c r="AP16" s="169"/>
      <c r="AQ16" s="169"/>
    </row>
    <row r="17" spans="1:10">
      <c r="A17" s="6" t="s">
        <v>5</v>
      </c>
      <c r="B17" s="192">
        <f>IF($B$24&lt;&gt;0,$F$154/$B$24/1000,0)</f>
        <v>0</v>
      </c>
      <c r="C17" s="192">
        <v>0</v>
      </c>
      <c r="D17" s="192">
        <v>2.6778947368421052E-3</v>
      </c>
      <c r="E17" s="204">
        <f>$F$194</f>
        <v>0</v>
      </c>
      <c r="F17" s="192">
        <v>0</v>
      </c>
      <c r="G17" s="192">
        <v>0</v>
      </c>
      <c r="H17" s="204">
        <f>$F$194</f>
        <v>0</v>
      </c>
      <c r="I17" s="192">
        <v>0</v>
      </c>
      <c r="J17" s="205">
        <v>0</v>
      </c>
    </row>
    <row r="18" spans="1:10">
      <c r="A18" s="6" t="s">
        <v>3</v>
      </c>
      <c r="B18" s="192">
        <f>IF($B$24&lt;&gt;0,$B$196/$B$49/1000,0)</f>
        <v>0</v>
      </c>
      <c r="C18" s="192">
        <v>2.7000000000000001E-3</v>
      </c>
      <c r="D18" s="192">
        <v>0.16719999999999999</v>
      </c>
      <c r="E18" s="204">
        <f>$F$196</f>
        <v>5.5866734693877554E-2</v>
      </c>
      <c r="F18" s="192">
        <v>0</v>
      </c>
      <c r="G18" s="192">
        <v>0</v>
      </c>
      <c r="H18" s="204">
        <f>$F$196</f>
        <v>5.5866734693877554E-2</v>
      </c>
      <c r="I18" s="192">
        <v>0</v>
      </c>
      <c r="J18" s="205">
        <v>0</v>
      </c>
    </row>
    <row r="19" spans="1:10" ht="15">
      <c r="A19" s="6" t="s">
        <v>4</v>
      </c>
      <c r="B19" s="207">
        <f>IF($B$24&lt;&gt;0,$B$195/$B$49/1000,0)</f>
        <v>0</v>
      </c>
      <c r="C19" s="207">
        <v>1.2E-2</v>
      </c>
      <c r="D19" s="207">
        <v>1.2884210526315788E-2</v>
      </c>
      <c r="E19" s="206">
        <f>$F$195</f>
        <v>0.23436734693877551</v>
      </c>
      <c r="F19" s="207">
        <v>0</v>
      </c>
      <c r="G19" s="207">
        <v>0</v>
      </c>
      <c r="H19" s="206">
        <f>$F$195</f>
        <v>0.23436734693877551</v>
      </c>
      <c r="I19" s="207">
        <v>0</v>
      </c>
      <c r="J19" s="208">
        <v>0</v>
      </c>
    </row>
    <row r="20" spans="1:10">
      <c r="A20" s="30" t="s">
        <v>42</v>
      </c>
      <c r="B20" s="192">
        <f t="shared" ref="B20:J20" si="3">SUM(B14:B19)</f>
        <v>0</v>
      </c>
      <c r="C20" s="192">
        <f t="shared" si="3"/>
        <v>5.62E-2</v>
      </c>
      <c r="D20" s="192">
        <f t="shared" si="3"/>
        <v>0.19975369276315788</v>
      </c>
      <c r="E20" s="204">
        <f t="shared" si="3"/>
        <v>0.29116434924684159</v>
      </c>
      <c r="F20" s="192">
        <f t="shared" ref="F20:G20" si="4">SUM(F14:F19)</f>
        <v>0</v>
      </c>
      <c r="G20" s="192">
        <f t="shared" si="4"/>
        <v>0</v>
      </c>
      <c r="H20" s="204">
        <f t="shared" si="3"/>
        <v>0.29116434924684159</v>
      </c>
      <c r="I20" s="192">
        <f t="shared" si="3"/>
        <v>0</v>
      </c>
      <c r="J20" s="205">
        <f t="shared" si="3"/>
        <v>0</v>
      </c>
    </row>
    <row r="21" spans="1:10">
      <c r="A21" s="6"/>
      <c r="B21" s="204"/>
      <c r="C21" s="192"/>
      <c r="D21" s="192"/>
      <c r="E21" s="204"/>
      <c r="F21" s="192"/>
      <c r="G21" s="192"/>
      <c r="H21" s="223"/>
      <c r="I21" s="192"/>
      <c r="J21" s="224"/>
    </row>
    <row r="22" spans="1:10">
      <c r="A22" s="30" t="s">
        <v>41</v>
      </c>
      <c r="B22" s="209">
        <f t="shared" ref="B22:J22" si="5">B12+B20</f>
        <v>0</v>
      </c>
      <c r="C22" s="210">
        <f t="shared" si="5"/>
        <v>0.1666</v>
      </c>
      <c r="D22" s="210">
        <f t="shared" si="5"/>
        <v>0.30458288448908055</v>
      </c>
      <c r="E22" s="209">
        <f t="shared" si="5"/>
        <v>0.3748362427889243</v>
      </c>
      <c r="F22" s="210">
        <f t="shared" si="5"/>
        <v>0</v>
      </c>
      <c r="G22" s="210">
        <f t="shared" si="5"/>
        <v>0</v>
      </c>
      <c r="H22" s="209">
        <f t="shared" si="5"/>
        <v>0.3748362427889243</v>
      </c>
      <c r="I22" s="210">
        <f t="shared" si="5"/>
        <v>0</v>
      </c>
      <c r="J22" s="211">
        <f t="shared" si="5"/>
        <v>0</v>
      </c>
    </row>
    <row r="23" spans="1:10">
      <c r="A23" s="6"/>
      <c r="B23" s="212"/>
      <c r="C23" s="213"/>
      <c r="D23" s="213"/>
      <c r="E23" s="212"/>
      <c r="F23" s="213"/>
      <c r="G23" s="213"/>
      <c r="H23" s="212"/>
      <c r="I23" s="213"/>
      <c r="J23" s="225"/>
    </row>
    <row r="24" spans="1:10">
      <c r="A24" s="25" t="s">
        <v>40</v>
      </c>
      <c r="B24" s="215">
        <f>+B54</f>
        <v>0</v>
      </c>
      <c r="C24" s="226">
        <v>0</v>
      </c>
      <c r="D24" s="226">
        <v>80000</v>
      </c>
      <c r="E24" s="215">
        <f>+B55</f>
        <v>0</v>
      </c>
      <c r="F24" s="226">
        <v>0</v>
      </c>
      <c r="G24" s="216">
        <v>0</v>
      </c>
      <c r="H24" s="215">
        <f>+B56</f>
        <v>0</v>
      </c>
      <c r="I24" s="226">
        <v>0</v>
      </c>
      <c r="J24" s="217">
        <v>0</v>
      </c>
    </row>
    <row r="25" spans="1:10">
      <c r="B25" s="49"/>
      <c r="C25" s="47"/>
      <c r="D25" s="47"/>
      <c r="E25" s="47"/>
      <c r="F25" s="48"/>
      <c r="G25" s="47"/>
      <c r="H25" s="47"/>
      <c r="J25" s="46"/>
    </row>
    <row r="26" spans="1:10" ht="18" customHeight="1">
      <c r="A26" s="64"/>
      <c r="B26" s="359" t="s">
        <v>92</v>
      </c>
      <c r="C26" s="360"/>
      <c r="D26" s="361"/>
      <c r="E26" s="347" t="s">
        <v>90</v>
      </c>
      <c r="F26" s="348"/>
      <c r="G26" s="348"/>
      <c r="H26" s="362" t="s">
        <v>20</v>
      </c>
      <c r="I26" s="363"/>
      <c r="J26" s="364"/>
    </row>
    <row r="27" spans="1:10" s="46" customFormat="1" ht="15">
      <c r="A27" s="66"/>
      <c r="B27" s="198" t="str">
        <f>$B$4</f>
        <v>25 Standard</v>
      </c>
      <c r="C27" s="199" t="str">
        <f>+C4</f>
        <v>23 Actual</v>
      </c>
      <c r="D27" s="200" t="str">
        <f>+D4</f>
        <v>20 Standard</v>
      </c>
      <c r="E27" s="218" t="s">
        <v>113</v>
      </c>
      <c r="F27" s="327" t="s">
        <v>114</v>
      </c>
      <c r="G27" s="219" t="s">
        <v>111</v>
      </c>
      <c r="H27" s="143" t="str">
        <f>+B27</f>
        <v>25 Standard</v>
      </c>
      <c r="I27" s="144" t="str">
        <f>+C27</f>
        <v>23 Actual</v>
      </c>
      <c r="J27" s="145" t="str">
        <f>+D27</f>
        <v>20 Standard</v>
      </c>
    </row>
    <row r="28" spans="1:10" s="46" customFormat="1">
      <c r="A28" s="66"/>
      <c r="B28" s="201"/>
      <c r="C28" s="202" t="s">
        <v>89</v>
      </c>
      <c r="D28" s="203"/>
      <c r="E28" s="201"/>
      <c r="F28" s="202" t="s">
        <v>102</v>
      </c>
      <c r="G28" s="203"/>
      <c r="H28" s="146"/>
      <c r="I28" s="137"/>
      <c r="J28" s="115"/>
    </row>
    <row r="29" spans="1:10">
      <c r="A29" s="30" t="s">
        <v>50</v>
      </c>
      <c r="B29" s="204">
        <f>D82</f>
        <v>6.5965817666666662E-2</v>
      </c>
      <c r="C29" s="192">
        <v>0</v>
      </c>
      <c r="D29" s="205">
        <v>0</v>
      </c>
      <c r="E29" s="192">
        <f>IF(E47&lt;&gt;0,$L$96,0)</f>
        <v>7.0852831853116985E-2</v>
      </c>
      <c r="F29" s="192">
        <v>7.8E-2</v>
      </c>
      <c r="G29" s="205">
        <v>6.0259679999999996E-2</v>
      </c>
      <c r="H29" s="138">
        <v>0</v>
      </c>
      <c r="I29" s="24">
        <v>0</v>
      </c>
      <c r="J29" s="94">
        <v>0</v>
      </c>
    </row>
    <row r="30" spans="1:10">
      <c r="A30" s="30" t="s">
        <v>27</v>
      </c>
      <c r="B30" s="204">
        <f>D169</f>
        <v>0</v>
      </c>
      <c r="C30" s="192">
        <v>0</v>
      </c>
      <c r="D30" s="205">
        <v>0</v>
      </c>
      <c r="E30" s="192">
        <f>IF(E47&lt;&gt;0,$G$169,0)</f>
        <v>4.3918811483700915E-2</v>
      </c>
      <c r="F30" s="192">
        <v>4.3200000000000002E-2</v>
      </c>
      <c r="G30" s="205">
        <v>2.6879417927194393E-2</v>
      </c>
      <c r="H30" s="138">
        <v>0</v>
      </c>
      <c r="I30" s="24">
        <v>0</v>
      </c>
      <c r="J30" s="94">
        <v>0</v>
      </c>
    </row>
    <row r="31" spans="1:10">
      <c r="A31" s="6" t="s">
        <v>49</v>
      </c>
      <c r="B31" s="204">
        <f>D170</f>
        <v>0</v>
      </c>
      <c r="C31" s="192">
        <v>0</v>
      </c>
      <c r="D31" s="205">
        <v>0</v>
      </c>
      <c r="E31" s="192">
        <f>IF(E47&lt;&gt;0,$G$170,0)</f>
        <v>2.5999999999999999E-2</v>
      </c>
      <c r="F31" s="192">
        <v>1.9E-2</v>
      </c>
      <c r="G31" s="205">
        <v>2.8566999999999999E-2</v>
      </c>
      <c r="H31" s="138">
        <f>J170</f>
        <v>0</v>
      </c>
      <c r="I31" s="24">
        <v>0</v>
      </c>
      <c r="J31" s="94">
        <v>0</v>
      </c>
    </row>
    <row r="32" spans="1:10">
      <c r="A32" s="30" t="s">
        <v>48</v>
      </c>
      <c r="B32" s="204">
        <f>IF($B$47&lt;&gt;0,$H$177,0)</f>
        <v>0</v>
      </c>
      <c r="C32" s="192">
        <v>0</v>
      </c>
      <c r="D32" s="205">
        <v>0</v>
      </c>
      <c r="E32" s="192">
        <f>IF(E47&lt;&gt;0,$H$177,0)</f>
        <v>0.03</v>
      </c>
      <c r="F32" s="192">
        <v>2.98E-2</v>
      </c>
      <c r="G32" s="205">
        <v>2.7777777777777776E-2</v>
      </c>
      <c r="H32" s="138">
        <v>0</v>
      </c>
      <c r="I32" s="24">
        <v>0</v>
      </c>
      <c r="J32" s="94">
        <v>0</v>
      </c>
    </row>
    <row r="33" spans="1:13">
      <c r="A33" s="30" t="s">
        <v>47</v>
      </c>
      <c r="B33" s="204">
        <f>IF($B$47&lt;&gt;0,$H$181,0)</f>
        <v>0</v>
      </c>
      <c r="C33" s="192">
        <v>0</v>
      </c>
      <c r="D33" s="205">
        <v>0</v>
      </c>
      <c r="E33" s="192">
        <f>IF(E47&lt;&gt;0,$H$181,0)</f>
        <v>5.5102040816326532E-3</v>
      </c>
      <c r="F33" s="192">
        <v>1.1999999999999999E-3</v>
      </c>
      <c r="G33" s="205">
        <v>6.9444444444444441E-3</v>
      </c>
      <c r="H33" s="138">
        <v>0</v>
      </c>
      <c r="I33" s="24">
        <v>0</v>
      </c>
      <c r="J33" s="94">
        <v>0</v>
      </c>
      <c r="K33" s="24"/>
      <c r="L33" s="24"/>
    </row>
    <row r="34" spans="1:13" ht="15">
      <c r="A34" s="30" t="s">
        <v>46</v>
      </c>
      <c r="B34" s="206">
        <f>IF($B$47&lt;&gt;0,$H$184,0)</f>
        <v>0</v>
      </c>
      <c r="C34" s="207">
        <v>0</v>
      </c>
      <c r="D34" s="208">
        <v>0</v>
      </c>
      <c r="E34" s="207">
        <f>IF(E47&lt;&gt;0,$H$184,0)</f>
        <v>1.1224489795918367E-2</v>
      </c>
      <c r="F34" s="207">
        <v>1.3899999999999999E-2</v>
      </c>
      <c r="G34" s="208">
        <v>1.2500000000000001E-2</v>
      </c>
      <c r="H34" s="139">
        <v>0</v>
      </c>
      <c r="I34" s="67">
        <v>0</v>
      </c>
      <c r="J34" s="95">
        <v>0</v>
      </c>
      <c r="K34" s="67"/>
      <c r="L34" s="67"/>
    </row>
    <row r="35" spans="1:13">
      <c r="A35" s="30" t="s">
        <v>45</v>
      </c>
      <c r="B35" s="204">
        <f>SUM(B29:B34)</f>
        <v>6.5965817666666662E-2</v>
      </c>
      <c r="C35" s="192">
        <f t="shared" ref="C35:D35" si="6">SUM(C29:C34)</f>
        <v>0</v>
      </c>
      <c r="D35" s="192">
        <f t="shared" si="6"/>
        <v>0</v>
      </c>
      <c r="E35" s="192">
        <f t="shared" ref="E35" si="7">SUM(E29:E34)</f>
        <v>0.18750633721436893</v>
      </c>
      <c r="F35" s="192">
        <f>SUM(F29:F34)</f>
        <v>0.18509999999999999</v>
      </c>
      <c r="G35" s="192">
        <f>SUM(G29:G34)</f>
        <v>0.16292832014941663</v>
      </c>
      <c r="H35" s="138">
        <f>SUM(H29:H34)</f>
        <v>0</v>
      </c>
      <c r="I35" s="24">
        <f t="shared" ref="I35" si="8">SUM(I29:I34)</f>
        <v>0</v>
      </c>
      <c r="J35" s="94">
        <f>SUM(J29:J34)</f>
        <v>0</v>
      </c>
      <c r="K35" s="24"/>
      <c r="L35" s="24"/>
    </row>
    <row r="36" spans="1:13">
      <c r="A36" s="30"/>
      <c r="B36" s="204"/>
      <c r="C36" s="192"/>
      <c r="D36" s="205"/>
      <c r="E36" s="204"/>
      <c r="F36" s="192"/>
      <c r="G36" s="205"/>
      <c r="H36" s="138"/>
      <c r="I36" s="24"/>
      <c r="J36" s="94"/>
      <c r="K36" s="24"/>
      <c r="L36" s="24"/>
    </row>
    <row r="37" spans="1:13">
      <c r="A37" s="30" t="s">
        <v>31</v>
      </c>
      <c r="B37" s="204">
        <f>$D$124*$E$108/$B$49/1000</f>
        <v>9.3026761418853253E-4</v>
      </c>
      <c r="C37" s="192">
        <v>0</v>
      </c>
      <c r="D37" s="205">
        <v>0</v>
      </c>
      <c r="E37" s="192">
        <f>IF($E$47&lt;&gt;0,$F$127/$E$47/1000,0)</f>
        <v>4.0001507410106898E-2</v>
      </c>
      <c r="F37" s="192">
        <v>3.5299999999999998E-2</v>
      </c>
      <c r="G37" s="205">
        <v>2.1569210091743118E-2</v>
      </c>
      <c r="H37" s="138">
        <v>0</v>
      </c>
      <c r="I37" s="24">
        <v>0</v>
      </c>
      <c r="J37" s="94">
        <v>0</v>
      </c>
      <c r="K37" s="24"/>
      <c r="L37" s="24"/>
    </row>
    <row r="38" spans="1:13">
      <c r="A38" s="30" t="s">
        <v>44</v>
      </c>
      <c r="B38" s="204">
        <f>$H$124*$E$108/$B$49/1000</f>
        <v>0</v>
      </c>
      <c r="C38" s="192">
        <v>0</v>
      </c>
      <c r="D38" s="205">
        <v>0</v>
      </c>
      <c r="E38" s="192">
        <f>IF($E$47&lt;&gt;0,$F$128/$E$47/1000,0)</f>
        <v>4.806117346938775E-3</v>
      </c>
      <c r="F38" s="192">
        <v>6.7000000000000002E-3</v>
      </c>
      <c r="G38" s="205">
        <v>5.1700857142857144E-3</v>
      </c>
      <c r="H38" s="138">
        <v>0</v>
      </c>
      <c r="I38" s="24">
        <v>0</v>
      </c>
      <c r="J38" s="94">
        <v>0</v>
      </c>
      <c r="K38" s="24"/>
      <c r="L38" s="24"/>
    </row>
    <row r="39" spans="1:13">
      <c r="A39" s="30" t="s">
        <v>43</v>
      </c>
      <c r="B39" s="204">
        <f>$D$131*$E$108/$B$49/1000</f>
        <v>0</v>
      </c>
      <c r="C39" s="192">
        <v>0</v>
      </c>
      <c r="D39" s="205">
        <v>0</v>
      </c>
      <c r="E39" s="192">
        <f>IF($E$47&lt;&gt;0,$F$130/$E$47/1000,0)</f>
        <v>1.2994211179543245E-2</v>
      </c>
      <c r="F39" s="192">
        <v>1.12E-2</v>
      </c>
      <c r="G39" s="205">
        <v>8.0162316187989569E-3</v>
      </c>
      <c r="H39" s="138">
        <v>0</v>
      </c>
      <c r="I39" s="24">
        <v>0</v>
      </c>
      <c r="J39" s="94">
        <v>0</v>
      </c>
      <c r="K39" s="24"/>
      <c r="L39" s="24"/>
    </row>
    <row r="40" spans="1:13">
      <c r="A40" s="6" t="s">
        <v>5</v>
      </c>
      <c r="B40" s="204">
        <f>IF($B$49&lt;&gt;0,$F$194,0)</f>
        <v>0</v>
      </c>
      <c r="C40" s="192">
        <v>0</v>
      </c>
      <c r="D40" s="205">
        <v>0</v>
      </c>
      <c r="E40" s="192">
        <f>IF($E$47&lt;&gt;0,$F$129/$E$47/1000,0)</f>
        <v>0</v>
      </c>
      <c r="F40" s="192">
        <v>0</v>
      </c>
      <c r="G40" s="205">
        <v>4.7638888888888888E-4</v>
      </c>
      <c r="H40" s="138">
        <v>0</v>
      </c>
      <c r="I40" s="24">
        <v>0</v>
      </c>
      <c r="J40" s="94">
        <v>0</v>
      </c>
      <c r="K40" s="24"/>
      <c r="L40" s="24"/>
    </row>
    <row r="41" spans="1:13" ht="15">
      <c r="A41" s="6" t="s">
        <v>3</v>
      </c>
      <c r="B41" s="204">
        <f>IF($B$49&lt;&gt;0,$F$196,0)</f>
        <v>5.5866734693877554E-2</v>
      </c>
      <c r="C41" s="192">
        <v>0</v>
      </c>
      <c r="D41" s="205">
        <v>0</v>
      </c>
      <c r="E41" s="192">
        <f>IF($E$47&lt;&gt;0,$B$196/$B$49/1000/4,0)</f>
        <v>1.1638903061224491E-3</v>
      </c>
      <c r="F41" s="192">
        <v>8.5000000000000006E-3</v>
      </c>
      <c r="G41" s="205">
        <v>5.6777777777777781E-3</v>
      </c>
      <c r="H41" s="138">
        <v>0</v>
      </c>
      <c r="I41" s="24">
        <v>0</v>
      </c>
      <c r="J41" s="94">
        <v>0</v>
      </c>
      <c r="K41" s="67"/>
      <c r="L41" s="67"/>
    </row>
    <row r="42" spans="1:13" ht="15">
      <c r="A42" s="6" t="s">
        <v>4</v>
      </c>
      <c r="B42" s="206">
        <f>IF($B$49&lt;&gt;0,$F$195,0)</f>
        <v>0.23436734693877551</v>
      </c>
      <c r="C42" s="207">
        <v>0</v>
      </c>
      <c r="D42" s="208">
        <v>0</v>
      </c>
      <c r="E42" s="207">
        <f>IF($E$47&lt;&gt;0,$B$195/$B$49/1000/4,0)</f>
        <v>4.8826530612244897E-3</v>
      </c>
      <c r="F42" s="207">
        <v>3.6200000000000003E-2</v>
      </c>
      <c r="G42" s="208">
        <v>2.5861111111111109E-2</v>
      </c>
      <c r="H42" s="139">
        <v>0</v>
      </c>
      <c r="I42" s="67">
        <v>0</v>
      </c>
      <c r="J42" s="95">
        <v>0</v>
      </c>
      <c r="K42" s="24"/>
      <c r="L42" s="24"/>
    </row>
    <row r="43" spans="1:13">
      <c r="A43" s="30" t="s">
        <v>42</v>
      </c>
      <c r="B43" s="204">
        <f t="shared" ref="B43:J43" si="9">SUM(B37:B42)</f>
        <v>0.29116434924684159</v>
      </c>
      <c r="C43" s="192">
        <f t="shared" si="9"/>
        <v>0</v>
      </c>
      <c r="D43" s="192">
        <f t="shared" si="9"/>
        <v>0</v>
      </c>
      <c r="E43" s="192">
        <f t="shared" ref="E43" si="10">SUM(E37:E42)</f>
        <v>6.3848379303935859E-2</v>
      </c>
      <c r="F43" s="192">
        <f>SUM(F37:F42)</f>
        <v>9.7900000000000001E-2</v>
      </c>
      <c r="G43" s="192">
        <f t="shared" si="9"/>
        <v>6.6770805202605574E-2</v>
      </c>
      <c r="H43" s="138">
        <f t="shared" si="9"/>
        <v>0</v>
      </c>
      <c r="I43" s="24">
        <f t="shared" si="9"/>
        <v>0</v>
      </c>
      <c r="J43" s="94">
        <f t="shared" si="9"/>
        <v>0</v>
      </c>
      <c r="K43" s="24"/>
      <c r="L43" s="24"/>
    </row>
    <row r="44" spans="1:13">
      <c r="A44" s="76" t="s">
        <v>112</v>
      </c>
      <c r="B44" s="204"/>
      <c r="C44" s="192"/>
      <c r="D44" s="205"/>
      <c r="E44" s="328"/>
      <c r="F44" s="328">
        <v>-4.5499999999999999E-2</v>
      </c>
      <c r="G44" s="205"/>
      <c r="H44" s="138"/>
      <c r="I44" s="24"/>
      <c r="J44" s="94"/>
      <c r="K44" s="24"/>
      <c r="L44" s="24"/>
    </row>
    <row r="45" spans="1:13">
      <c r="A45" s="30" t="s">
        <v>41</v>
      </c>
      <c r="B45" s="209">
        <f>B35+B43</f>
        <v>0.35713016691350824</v>
      </c>
      <c r="C45" s="210">
        <f t="shared" ref="C45:J45" si="11">C35+C43</f>
        <v>0</v>
      </c>
      <c r="D45" s="211">
        <v>0.19962945623832437</v>
      </c>
      <c r="E45" s="210">
        <f>E35+E43+E44</f>
        <v>0.25135471651830477</v>
      </c>
      <c r="F45" s="210">
        <f>F35+F43+F44</f>
        <v>0.23749999999999999</v>
      </c>
      <c r="G45" s="211">
        <f>+G35+G43</f>
        <v>0.22969912535202219</v>
      </c>
      <c r="H45" s="140">
        <f t="shared" si="11"/>
        <v>0</v>
      </c>
      <c r="I45" s="124">
        <f t="shared" si="11"/>
        <v>0</v>
      </c>
      <c r="J45" s="125">
        <f t="shared" si="11"/>
        <v>0</v>
      </c>
      <c r="K45" s="116"/>
      <c r="L45" s="116">
        <f>E45-0.245</f>
        <v>6.3547165183047705E-3</v>
      </c>
      <c r="M45" s="1">
        <f>E47*1000*L45</f>
        <v>31138.110939693375</v>
      </c>
    </row>
    <row r="46" spans="1:13">
      <c r="A46" s="6"/>
      <c r="B46" s="212"/>
      <c r="C46" s="213"/>
      <c r="D46" s="214"/>
      <c r="E46" s="212"/>
      <c r="F46" s="213"/>
      <c r="G46" s="214"/>
      <c r="H46" s="141"/>
      <c r="I46" s="24"/>
      <c r="J46" s="94"/>
      <c r="K46" s="47"/>
      <c r="L46" s="47"/>
      <c r="M46" s="1">
        <f>M45/12</f>
        <v>2594.8425783077814</v>
      </c>
    </row>
    <row r="47" spans="1:13">
      <c r="A47" s="25" t="s">
        <v>40</v>
      </c>
      <c r="B47" s="215">
        <f>+B57</f>
        <v>0</v>
      </c>
      <c r="C47" s="216">
        <v>0</v>
      </c>
      <c r="D47" s="217">
        <v>0</v>
      </c>
      <c r="E47" s="215">
        <f>+B58</f>
        <v>4900</v>
      </c>
      <c r="F47" s="216">
        <v>15776</v>
      </c>
      <c r="G47" s="217">
        <v>36000</v>
      </c>
      <c r="H47" s="142">
        <f>+B59</f>
        <v>0</v>
      </c>
      <c r="I47" s="112">
        <v>0</v>
      </c>
      <c r="J47" s="147">
        <v>0</v>
      </c>
      <c r="K47" s="117"/>
      <c r="L47" s="117"/>
      <c r="M47" s="251"/>
    </row>
    <row r="49" spans="1:12">
      <c r="A49" s="68" t="s">
        <v>39</v>
      </c>
      <c r="B49" s="114">
        <f>B24+E24+H24+B47+E47+H47</f>
        <v>4900</v>
      </c>
      <c r="C49" s="126">
        <f>C24+F24+I24+C47+F47+I47</f>
        <v>15776</v>
      </c>
      <c r="D49" s="127">
        <f>D24+G24+J24+D47+G47+J47</f>
        <v>116000</v>
      </c>
      <c r="E49" s="113"/>
    </row>
    <row r="50" spans="1:12"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>
      <c r="A51" s="54" t="s">
        <v>38</v>
      </c>
      <c r="B51" s="365" t="s">
        <v>37</v>
      </c>
      <c r="C51" s="365"/>
      <c r="D51" s="365"/>
      <c r="E51" s="365"/>
      <c r="F51" s="365"/>
      <c r="G51" s="365"/>
      <c r="H51" s="365"/>
      <c r="I51" s="365"/>
      <c r="J51" s="365"/>
      <c r="K51" s="365"/>
      <c r="L51" s="12"/>
    </row>
    <row r="52" spans="1:12">
      <c r="A52" s="30"/>
      <c r="L52" s="12"/>
    </row>
    <row r="53" spans="1:12" ht="15">
      <c r="A53" s="82" t="s">
        <v>61</v>
      </c>
      <c r="B53" s="45" t="s">
        <v>62</v>
      </c>
      <c r="C53" s="45" t="s">
        <v>64</v>
      </c>
      <c r="D53" s="185"/>
      <c r="E53" s="5"/>
      <c r="F53" s="45"/>
      <c r="G53" s="5"/>
      <c r="H53" s="5"/>
      <c r="L53" s="12"/>
    </row>
    <row r="54" spans="1:12" ht="15">
      <c r="A54" s="30" t="s">
        <v>95</v>
      </c>
      <c r="B54" s="120">
        <f>'2025 Summary'!$D$9</f>
        <v>0</v>
      </c>
      <c r="C54" s="129">
        <f>B54/$B$60</f>
        <v>0</v>
      </c>
      <c r="D54" s="32"/>
      <c r="E54" s="5">
        <f>9*400000*7</f>
        <v>25200000</v>
      </c>
      <c r="F54" s="44"/>
      <c r="G54" s="5" t="s">
        <v>20</v>
      </c>
      <c r="H54" s="121"/>
      <c r="L54" s="12"/>
    </row>
    <row r="55" spans="1:12" ht="15">
      <c r="A55" s="30" t="s">
        <v>96</v>
      </c>
      <c r="B55" s="120">
        <v>0</v>
      </c>
      <c r="C55" s="129">
        <f t="shared" ref="C55:C60" si="12">B55/$B$60</f>
        <v>0</v>
      </c>
      <c r="D55" s="32"/>
      <c r="E55" s="5"/>
      <c r="F55" s="44"/>
      <c r="G55" s="5" t="s">
        <v>20</v>
      </c>
      <c r="H55" s="121"/>
      <c r="L55" s="12"/>
    </row>
    <row r="56" spans="1:12" ht="15">
      <c r="A56" s="30" t="s">
        <v>97</v>
      </c>
      <c r="B56" s="120">
        <v>0</v>
      </c>
      <c r="C56" s="129">
        <f t="shared" si="12"/>
        <v>0</v>
      </c>
      <c r="D56" s="32"/>
      <c r="E56" s="5"/>
      <c r="F56" s="5"/>
      <c r="G56" s="5"/>
      <c r="H56" s="5"/>
      <c r="L56" s="12"/>
    </row>
    <row r="57" spans="1:12" ht="15">
      <c r="A57" s="30" t="s">
        <v>92</v>
      </c>
      <c r="B57" s="120">
        <v>0</v>
      </c>
      <c r="C57" s="129">
        <f t="shared" si="12"/>
        <v>0</v>
      </c>
      <c r="D57" s="32"/>
      <c r="E57" s="5"/>
      <c r="F57" s="5"/>
      <c r="G57" s="5"/>
      <c r="H57" s="5"/>
      <c r="L57" s="12"/>
    </row>
    <row r="58" spans="1:12" ht="15">
      <c r="A58" s="30" t="s">
        <v>90</v>
      </c>
      <c r="B58" s="103">
        <f>'2025 Summary'!$E$9</f>
        <v>4900</v>
      </c>
      <c r="C58" s="129">
        <f t="shared" si="12"/>
        <v>1</v>
      </c>
      <c r="D58" s="32"/>
      <c r="E58" s="5"/>
      <c r="F58" s="5"/>
      <c r="G58" s="5"/>
      <c r="H58" s="5"/>
      <c r="L58" s="12"/>
    </row>
    <row r="59" spans="1:12" ht="15">
      <c r="A59" s="30" t="s">
        <v>20</v>
      </c>
      <c r="B59" s="120">
        <v>0</v>
      </c>
      <c r="C59" s="130">
        <f t="shared" si="12"/>
        <v>0</v>
      </c>
      <c r="D59" s="32"/>
      <c r="E59" s="5"/>
      <c r="F59" s="5"/>
      <c r="G59" s="5"/>
      <c r="H59" s="5"/>
      <c r="L59" s="12"/>
    </row>
    <row r="60" spans="1:12">
      <c r="A60" s="83" t="s">
        <v>65</v>
      </c>
      <c r="B60" s="112">
        <f>SUM(B54:B59)</f>
        <v>4900</v>
      </c>
      <c r="C60" s="188">
        <f t="shared" si="12"/>
        <v>1</v>
      </c>
      <c r="D60" s="75"/>
      <c r="E60" s="53"/>
      <c r="F60" s="53"/>
      <c r="G60" s="53"/>
      <c r="H60" s="53"/>
      <c r="I60" s="10"/>
      <c r="J60" s="10"/>
      <c r="K60" s="10"/>
      <c r="L60" s="9"/>
    </row>
    <row r="61" spans="1:12">
      <c r="A61" s="16"/>
      <c r="B61" s="5"/>
      <c r="C61" s="5"/>
      <c r="D61" s="5"/>
      <c r="E61" s="5"/>
      <c r="F61" s="5"/>
      <c r="G61" s="5"/>
      <c r="H61" s="122"/>
      <c r="L61" s="12"/>
    </row>
    <row r="62" spans="1:12" ht="15" customHeight="1">
      <c r="A62" s="16"/>
      <c r="B62" s="5"/>
      <c r="C62" s="366" t="s">
        <v>35</v>
      </c>
      <c r="D62" s="366"/>
      <c r="E62" s="366"/>
      <c r="F62" s="366"/>
      <c r="G62" s="367" t="s">
        <v>60</v>
      </c>
      <c r="H62" s="367"/>
      <c r="I62" s="367"/>
      <c r="J62" s="367"/>
      <c r="K62" s="367"/>
      <c r="L62" s="233"/>
    </row>
    <row r="63" spans="1:12" s="36" customFormat="1" ht="15">
      <c r="A63" s="229" t="s">
        <v>66</v>
      </c>
      <c r="B63" s="101" t="s">
        <v>36</v>
      </c>
      <c r="C63" s="184" t="s">
        <v>95</v>
      </c>
      <c r="D63" s="197" t="s">
        <v>96</v>
      </c>
      <c r="E63" s="197" t="s">
        <v>97</v>
      </c>
      <c r="F63" s="197" t="s">
        <v>92</v>
      </c>
      <c r="G63" s="197" t="s">
        <v>98</v>
      </c>
      <c r="H63" s="184" t="s">
        <v>95</v>
      </c>
      <c r="I63" s="197" t="s">
        <v>96</v>
      </c>
      <c r="J63" s="197" t="s">
        <v>97</v>
      </c>
      <c r="K63" s="185" t="s">
        <v>92</v>
      </c>
      <c r="L63" s="197" t="s">
        <v>98</v>
      </c>
    </row>
    <row r="64" spans="1:12" s="36" customFormat="1" ht="15">
      <c r="A64" s="136" t="s">
        <v>71</v>
      </c>
      <c r="B64" s="235">
        <f>11.89*2</f>
        <v>23.78</v>
      </c>
      <c r="C64" s="248">
        <f>$C$76*H64</f>
        <v>0</v>
      </c>
      <c r="D64" s="248">
        <f>$C$86*I64</f>
        <v>0</v>
      </c>
      <c r="E64" s="248">
        <f>$G$86*J64</f>
        <v>0</v>
      </c>
      <c r="F64" s="248">
        <f>$K$86*K64</f>
        <v>0</v>
      </c>
      <c r="G64" s="109">
        <f>$K$86*L64</f>
        <v>0</v>
      </c>
      <c r="H64" s="246">
        <v>0</v>
      </c>
      <c r="I64" s="246">
        <v>0</v>
      </c>
      <c r="J64" s="246">
        <v>0</v>
      </c>
      <c r="K64" s="247">
        <v>0</v>
      </c>
      <c r="L64" s="187">
        <v>0</v>
      </c>
    </row>
    <row r="65" spans="1:12" s="36" customFormat="1" ht="15">
      <c r="A65" s="136"/>
      <c r="B65" s="120">
        <v>0</v>
      </c>
      <c r="C65" s="249">
        <f>$C$76*H65</f>
        <v>0</v>
      </c>
      <c r="D65" s="249">
        <f>$C$86*I65</f>
        <v>0</v>
      </c>
      <c r="E65" s="249">
        <f>$G$86*J65</f>
        <v>0</v>
      </c>
      <c r="F65" s="249">
        <f>$K$86*K65</f>
        <v>0</v>
      </c>
      <c r="G65" s="111">
        <f>$K$86*L65</f>
        <v>0</v>
      </c>
      <c r="H65" s="246">
        <v>0</v>
      </c>
      <c r="I65" s="246">
        <v>0</v>
      </c>
      <c r="J65" s="246">
        <v>0</v>
      </c>
      <c r="K65" s="247">
        <v>0</v>
      </c>
      <c r="L65" s="187">
        <v>0</v>
      </c>
    </row>
    <row r="66" spans="1:12" s="36" customFormat="1">
      <c r="A66" s="136"/>
      <c r="B66" s="42"/>
      <c r="C66" s="109">
        <f>SUM(C64:C65)</f>
        <v>0</v>
      </c>
      <c r="D66" s="109">
        <f>SUM(D64:D65)</f>
        <v>0</v>
      </c>
      <c r="E66" s="109">
        <f>SUM(E64:E65)</f>
        <v>0</v>
      </c>
      <c r="F66" s="109">
        <f>SUM(F64:F65)</f>
        <v>0</v>
      </c>
      <c r="G66" s="109">
        <f>SUM(G64:G65)</f>
        <v>0</v>
      </c>
      <c r="H66" s="80"/>
      <c r="I66" s="80"/>
      <c r="J66" s="80"/>
      <c r="K66" s="110"/>
      <c r="L66" s="110"/>
    </row>
    <row r="67" spans="1:12" s="36" customFormat="1">
      <c r="A67" s="230" t="s">
        <v>70</v>
      </c>
      <c r="B67" s="42"/>
      <c r="C67" s="109"/>
      <c r="D67" s="109"/>
      <c r="E67" s="109"/>
      <c r="F67" s="109"/>
      <c r="G67" s="109"/>
      <c r="H67" s="80"/>
      <c r="I67" s="80"/>
      <c r="J67" s="80"/>
      <c r="K67" s="110"/>
      <c r="L67" s="110"/>
    </row>
    <row r="68" spans="1:12" s="36" customFormat="1" ht="15">
      <c r="A68" s="136" t="s">
        <v>99</v>
      </c>
      <c r="B68" s="235">
        <v>0</v>
      </c>
      <c r="C68" s="248">
        <f>$C$77*H68</f>
        <v>0</v>
      </c>
      <c r="D68" s="248">
        <f>$C$87*I68</f>
        <v>0</v>
      </c>
      <c r="E68" s="248">
        <f>$G$87*J68</f>
        <v>0</v>
      </c>
      <c r="F68" s="248">
        <f t="shared" ref="F68:G71" si="13">$K$87*K68</f>
        <v>0</v>
      </c>
      <c r="G68" s="109">
        <f t="shared" si="13"/>
        <v>0</v>
      </c>
      <c r="H68" s="246">
        <v>0</v>
      </c>
      <c r="I68" s="246">
        <v>0</v>
      </c>
      <c r="J68" s="246">
        <v>0</v>
      </c>
      <c r="K68" s="247">
        <v>0</v>
      </c>
      <c r="L68" s="187">
        <v>0</v>
      </c>
    </row>
    <row r="69" spans="1:12" s="36" customFormat="1" ht="15">
      <c r="A69" s="136" t="s">
        <v>100</v>
      </c>
      <c r="B69" s="235">
        <f>116.72*2</f>
        <v>233.44</v>
      </c>
      <c r="C69" s="248">
        <f>$C$77*H69</f>
        <v>0</v>
      </c>
      <c r="D69" s="248">
        <f>$C$87*I69</f>
        <v>0</v>
      </c>
      <c r="E69" s="248">
        <f>$G$87*J69</f>
        <v>0</v>
      </c>
      <c r="F69" s="248">
        <f t="shared" si="13"/>
        <v>0</v>
      </c>
      <c r="G69" s="109">
        <f t="shared" si="13"/>
        <v>0</v>
      </c>
      <c r="H69" s="246">
        <v>0</v>
      </c>
      <c r="I69" s="246">
        <v>0</v>
      </c>
      <c r="J69" s="246">
        <v>0</v>
      </c>
      <c r="K69" s="247">
        <v>0</v>
      </c>
      <c r="L69" s="187">
        <v>0</v>
      </c>
    </row>
    <row r="70" spans="1:12" s="36" customFormat="1" ht="15">
      <c r="A70" s="136" t="s">
        <v>20</v>
      </c>
      <c r="B70" s="120">
        <v>0</v>
      </c>
      <c r="C70" s="248">
        <v>0</v>
      </c>
      <c r="D70" s="248">
        <f>$C$87*I70</f>
        <v>0</v>
      </c>
      <c r="E70" s="248">
        <f>$G$87*J70</f>
        <v>0</v>
      </c>
      <c r="F70" s="248">
        <f t="shared" si="13"/>
        <v>0</v>
      </c>
      <c r="G70" s="109">
        <f t="shared" si="13"/>
        <v>0</v>
      </c>
      <c r="H70" s="246">
        <v>0</v>
      </c>
      <c r="I70" s="246">
        <v>0</v>
      </c>
      <c r="J70" s="246">
        <v>0</v>
      </c>
      <c r="K70" s="247">
        <v>0</v>
      </c>
      <c r="L70" s="187">
        <v>0</v>
      </c>
    </row>
    <row r="71" spans="1:12" s="36" customFormat="1" ht="15">
      <c r="A71" s="136"/>
      <c r="B71" s="120">
        <v>0</v>
      </c>
      <c r="C71" s="249">
        <v>0</v>
      </c>
      <c r="D71" s="249">
        <f>$C$87*I71</f>
        <v>0</v>
      </c>
      <c r="E71" s="249">
        <f>$G$87*J71</f>
        <v>0</v>
      </c>
      <c r="F71" s="249">
        <f t="shared" si="13"/>
        <v>0</v>
      </c>
      <c r="G71" s="111">
        <f t="shared" si="13"/>
        <v>0</v>
      </c>
      <c r="H71" s="246">
        <v>0</v>
      </c>
      <c r="I71" s="246">
        <v>0</v>
      </c>
      <c r="J71" s="246">
        <v>0</v>
      </c>
      <c r="K71" s="247">
        <v>0</v>
      </c>
      <c r="L71" s="187">
        <v>0</v>
      </c>
    </row>
    <row r="72" spans="1:12" s="36" customFormat="1">
      <c r="A72" s="148"/>
      <c r="B72" s="42"/>
      <c r="C72" s="109">
        <f>SUM(C68:C71)</f>
        <v>0</v>
      </c>
      <c r="D72" s="109">
        <f>SUM(D68:D71)</f>
        <v>0</v>
      </c>
      <c r="E72" s="109">
        <f>SUM(E68:E71)</f>
        <v>0</v>
      </c>
      <c r="F72" s="109">
        <f>SUM(F68:F71)</f>
        <v>0</v>
      </c>
      <c r="G72" s="109">
        <f>SUM(G68:G71)</f>
        <v>0</v>
      </c>
      <c r="H72" s="80"/>
      <c r="I72" s="80"/>
      <c r="L72" s="119"/>
    </row>
    <row r="73" spans="1:12" s="36" customFormat="1">
      <c r="A73" s="148"/>
      <c r="B73" s="42"/>
      <c r="C73" s="109"/>
      <c r="D73" s="109"/>
      <c r="E73" s="109"/>
      <c r="F73" s="80"/>
      <c r="G73" s="80"/>
      <c r="H73" s="80"/>
      <c r="I73" s="80"/>
      <c r="L73" s="119"/>
    </row>
    <row r="74" spans="1:12" s="36" customFormat="1" ht="15">
      <c r="A74" s="6"/>
      <c r="B74" s="354" t="s">
        <v>95</v>
      </c>
      <c r="C74" s="354"/>
      <c r="D74" s="354"/>
      <c r="E74" s="37"/>
      <c r="F74" s="354" t="s">
        <v>96</v>
      </c>
      <c r="G74" s="354"/>
      <c r="H74" s="354"/>
      <c r="I74" s="185"/>
      <c r="L74" s="119"/>
    </row>
    <row r="75" spans="1:12" s="36" customFormat="1" ht="15" customHeight="1">
      <c r="A75" s="229"/>
      <c r="B75" s="278" t="s">
        <v>34</v>
      </c>
      <c r="C75" s="279" t="s">
        <v>35</v>
      </c>
      <c r="D75" s="35" t="s">
        <v>63</v>
      </c>
      <c r="E75" s="37"/>
      <c r="F75" s="35" t="s">
        <v>34</v>
      </c>
      <c r="G75" s="41" t="s">
        <v>35</v>
      </c>
      <c r="H75" s="35" t="s">
        <v>63</v>
      </c>
      <c r="I75" s="35"/>
      <c r="L75" s="119"/>
    </row>
    <row r="76" spans="1:12" s="36" customFormat="1" ht="15">
      <c r="A76" s="30" t="s">
        <v>66</v>
      </c>
      <c r="B76" s="280">
        <f>0.011</f>
        <v>1.0999999999999999E-2</v>
      </c>
      <c r="C76" s="242">
        <f>AVERAGE(3.6826,3.5997, 2.6808)</f>
        <v>3.3210333333333328</v>
      </c>
      <c r="D76" s="33">
        <f>B76*C76</f>
        <v>3.6531366666666662E-2</v>
      </c>
      <c r="F76" s="73">
        <v>0</v>
      </c>
      <c r="G76" s="118">
        <v>0</v>
      </c>
      <c r="H76" s="33">
        <f>F76*G76</f>
        <v>0</v>
      </c>
      <c r="I76" s="33"/>
      <c r="L76" s="119"/>
    </row>
    <row r="77" spans="1:12" s="36" customFormat="1" ht="15">
      <c r="A77" s="231" t="s">
        <v>69</v>
      </c>
      <c r="B77" s="272">
        <f>($B$68*$H$68+$B$69*$H$69+$B$70*$H$70+$B$71*$H$71)/2000</f>
        <v>0</v>
      </c>
      <c r="C77" s="242">
        <v>0</v>
      </c>
      <c r="D77" s="52">
        <f>B77*C77</f>
        <v>0</v>
      </c>
      <c r="F77" s="24">
        <f>($B$68*$L$68+$B$69*$L$69+$B$70*$L$70+$B$71*$L$71)/2000</f>
        <v>0</v>
      </c>
      <c r="G77" s="118">
        <v>0</v>
      </c>
      <c r="H77" s="52">
        <f>F77*G77</f>
        <v>0</v>
      </c>
      <c r="I77" s="52"/>
      <c r="L77" s="228"/>
    </row>
    <row r="78" spans="1:12" s="36" customFormat="1" ht="15">
      <c r="A78" s="30" t="s">
        <v>104</v>
      </c>
      <c r="B78" s="281">
        <v>1.8380000000000001</v>
      </c>
      <c r="C78" s="242">
        <v>8.0999999999999996E-3</v>
      </c>
      <c r="D78" s="52">
        <f>B78*C78</f>
        <v>1.48878E-2</v>
      </c>
      <c r="F78" s="24">
        <f>+B78</f>
        <v>1.8380000000000001</v>
      </c>
      <c r="G78" s="118">
        <v>0</v>
      </c>
      <c r="H78" s="52">
        <f>F78*G78</f>
        <v>0</v>
      </c>
      <c r="I78" s="52"/>
      <c r="L78" s="119"/>
    </row>
    <row r="79" spans="1:12" s="36" customFormat="1" ht="15">
      <c r="A79" s="30" t="s">
        <v>105</v>
      </c>
      <c r="B79" s="272">
        <f>750/1000</f>
        <v>0.75</v>
      </c>
      <c r="C79" s="242">
        <v>1.61E-2</v>
      </c>
      <c r="D79" s="52">
        <f t="shared" ref="D79:D80" si="14">B79*C79</f>
        <v>1.2074999999999999E-2</v>
      </c>
      <c r="F79" s="24">
        <f>+B79</f>
        <v>0.75</v>
      </c>
      <c r="G79" s="118">
        <v>0</v>
      </c>
      <c r="H79" s="52"/>
      <c r="I79" s="52"/>
      <c r="L79" s="119"/>
    </row>
    <row r="80" spans="1:12" s="36" customFormat="1" ht="16.5">
      <c r="A80" s="30" t="s">
        <v>103</v>
      </c>
      <c r="B80" s="272">
        <f>157.43/1000</f>
        <v>0.15743000000000001</v>
      </c>
      <c r="C80" s="242">
        <v>1.5699999999999999E-2</v>
      </c>
      <c r="D80" s="52">
        <f t="shared" si="14"/>
        <v>2.4716510000000001E-3</v>
      </c>
      <c r="F80" s="24">
        <f>+B80</f>
        <v>0.15743000000000001</v>
      </c>
      <c r="G80" s="118">
        <v>0</v>
      </c>
      <c r="H80" s="40">
        <v>0</v>
      </c>
      <c r="I80" s="40"/>
      <c r="L80" s="119"/>
    </row>
    <row r="82" spans="1:12" s="36" customFormat="1">
      <c r="A82" s="76" t="s">
        <v>67</v>
      </c>
      <c r="B82" s="74"/>
      <c r="C82" s="39"/>
      <c r="D82" s="38">
        <f>SUM(D76:D80)</f>
        <v>6.5965817666666662E-2</v>
      </c>
      <c r="F82" s="74"/>
      <c r="G82" s="39"/>
      <c r="H82" s="38">
        <f>SUM(H76:H80)</f>
        <v>0</v>
      </c>
      <c r="I82" s="38"/>
      <c r="L82" s="119"/>
    </row>
    <row r="83" spans="1:12" s="36" customFormat="1">
      <c r="A83" s="30"/>
      <c r="E83" s="37"/>
      <c r="F83" s="43"/>
      <c r="G83" s="42"/>
      <c r="H83" s="42"/>
      <c r="I83" s="42"/>
      <c r="L83" s="119"/>
    </row>
    <row r="84" spans="1:12" ht="15">
      <c r="A84" s="6"/>
      <c r="B84" s="354" t="s">
        <v>97</v>
      </c>
      <c r="C84" s="354"/>
      <c r="D84" s="354"/>
      <c r="E84" s="5"/>
      <c r="F84" s="354" t="s">
        <v>92</v>
      </c>
      <c r="G84" s="354"/>
      <c r="H84" s="354"/>
      <c r="I84" s="185"/>
      <c r="J84" s="354" t="s">
        <v>98</v>
      </c>
      <c r="K84" s="354"/>
      <c r="L84" s="355"/>
    </row>
    <row r="85" spans="1:12" ht="28.9" customHeight="1">
      <c r="A85" s="6"/>
      <c r="B85" s="35" t="s">
        <v>34</v>
      </c>
      <c r="C85" s="196" t="s">
        <v>101</v>
      </c>
      <c r="D85" s="35" t="s">
        <v>63</v>
      </c>
      <c r="F85" s="35" t="s">
        <v>34</v>
      </c>
      <c r="G85" s="41" t="s">
        <v>35</v>
      </c>
      <c r="H85" s="35" t="s">
        <v>63</v>
      </c>
      <c r="I85" s="35"/>
      <c r="J85" s="35" t="s">
        <v>34</v>
      </c>
      <c r="K85" s="41" t="s">
        <v>35</v>
      </c>
      <c r="L85" s="34" t="s">
        <v>63</v>
      </c>
    </row>
    <row r="86" spans="1:12" ht="15">
      <c r="A86" s="232" t="s">
        <v>68</v>
      </c>
      <c r="B86" s="73">
        <f>($B$64*$I$64+$B$65*$I$65)/2000</f>
        <v>0</v>
      </c>
      <c r="C86" s="118">
        <v>0</v>
      </c>
      <c r="D86" s="33">
        <f>B86*C86</f>
        <v>0</v>
      </c>
      <c r="F86" s="73">
        <f>($B$64*$J$64+$B$65*$J$65)/2000</f>
        <v>0</v>
      </c>
      <c r="G86" s="118">
        <v>0</v>
      </c>
      <c r="H86" s="89">
        <f>F86*G86</f>
        <v>0</v>
      </c>
      <c r="I86" s="89"/>
      <c r="J86" s="73">
        <f>($B$64*$K$64+$B$65*$K$65)/2000</f>
        <v>0</v>
      </c>
      <c r="K86" s="118">
        <v>0</v>
      </c>
      <c r="L86" s="50">
        <f>J86*K86</f>
        <v>0</v>
      </c>
    </row>
    <row r="87" spans="1:12" ht="15">
      <c r="A87" s="6" t="s">
        <v>69</v>
      </c>
      <c r="B87" s="24">
        <f>($B$68*$I$68+$B$69*$I$69+$B$70*$I$70+$B$71*$I$71)/2000</f>
        <v>0</v>
      </c>
      <c r="C87" s="118">
        <v>0</v>
      </c>
      <c r="D87" s="13">
        <f t="shared" ref="D87:D92" si="15">B87*C87</f>
        <v>0</v>
      </c>
      <c r="F87" s="24">
        <f>($B$68*$J$68+$B$69*$J$69+$B$70*$J$70+$B$71*$J$71)/2000</f>
        <v>0</v>
      </c>
      <c r="G87" s="118">
        <v>0</v>
      </c>
      <c r="H87" s="100">
        <f t="shared" ref="H87:H92" si="16">F87*G87</f>
        <v>0</v>
      </c>
      <c r="I87" s="13"/>
      <c r="J87" s="24">
        <f>($B$68*$K$68+$B$69*$K$69+$B$70*$K$70+$B$71*$K$71)/2000</f>
        <v>0</v>
      </c>
      <c r="K87" s="118">
        <v>0</v>
      </c>
      <c r="L87" s="31">
        <f t="shared" ref="L87:L94" si="17">J87*K87</f>
        <v>0</v>
      </c>
    </row>
    <row r="88" spans="1:12" ht="16.5">
      <c r="A88" s="30" t="s">
        <v>104</v>
      </c>
      <c r="B88" s="47">
        <v>2.54</v>
      </c>
      <c r="C88" s="118">
        <v>0</v>
      </c>
      <c r="D88" s="13">
        <f t="shared" si="15"/>
        <v>0</v>
      </c>
      <c r="F88" s="24">
        <f>+B88</f>
        <v>2.54</v>
      </c>
      <c r="G88" s="118">
        <v>0</v>
      </c>
      <c r="H88" s="100">
        <f t="shared" si="16"/>
        <v>0</v>
      </c>
      <c r="I88" s="88"/>
      <c r="J88" s="272">
        <v>1.964</v>
      </c>
      <c r="K88" s="118">
        <v>2.0848163962425278E-2</v>
      </c>
      <c r="L88" s="190">
        <f t="shared" si="17"/>
        <v>4.0945794022203247E-2</v>
      </c>
    </row>
    <row r="89" spans="1:12" ht="16.5">
      <c r="A89" s="30" t="s">
        <v>105</v>
      </c>
      <c r="B89" s="24">
        <f>750/1000</f>
        <v>0.75</v>
      </c>
      <c r="C89" s="118">
        <v>0</v>
      </c>
      <c r="D89" s="13">
        <f t="shared" si="15"/>
        <v>0</v>
      </c>
      <c r="F89" s="24">
        <f>+B89</f>
        <v>0.75</v>
      </c>
      <c r="G89" s="118">
        <v>0</v>
      </c>
      <c r="H89" s="100">
        <f t="shared" si="16"/>
        <v>0</v>
      </c>
      <c r="I89" s="88"/>
      <c r="J89" s="272">
        <v>0.59099999999999997</v>
      </c>
      <c r="K89" s="118">
        <v>3.101451750640478E-3</v>
      </c>
      <c r="L89" s="190">
        <f t="shared" si="17"/>
        <v>1.8329579846285225E-3</v>
      </c>
    </row>
    <row r="90" spans="1:12" ht="16.5">
      <c r="A90" s="30" t="s">
        <v>103</v>
      </c>
      <c r="B90" s="24">
        <f>157.43/1000</f>
        <v>0.15743000000000001</v>
      </c>
      <c r="C90" s="118">
        <v>0</v>
      </c>
      <c r="D90" s="13">
        <f t="shared" si="15"/>
        <v>0</v>
      </c>
      <c r="F90" s="24">
        <f>+B90</f>
        <v>0.15743000000000001</v>
      </c>
      <c r="G90" s="118">
        <v>0</v>
      </c>
      <c r="H90" s="100">
        <f t="shared" si="16"/>
        <v>0</v>
      </c>
      <c r="I90" s="88"/>
      <c r="J90" s="272">
        <v>0.105</v>
      </c>
      <c r="K90" s="118">
        <v>0.1</v>
      </c>
      <c r="L90" s="190">
        <f t="shared" si="17"/>
        <v>1.0500000000000001E-2</v>
      </c>
    </row>
    <row r="91" spans="1:12" ht="16.5">
      <c r="A91" s="30" t="s">
        <v>106</v>
      </c>
      <c r="B91" s="24"/>
      <c r="C91" s="118">
        <v>0</v>
      </c>
      <c r="D91" s="13">
        <f t="shared" si="15"/>
        <v>0</v>
      </c>
      <c r="F91" s="24">
        <f>+B91</f>
        <v>0</v>
      </c>
      <c r="G91" s="118">
        <v>0</v>
      </c>
      <c r="H91" s="100">
        <f t="shared" si="16"/>
        <v>0</v>
      </c>
      <c r="I91" s="88"/>
      <c r="J91" s="272">
        <v>1.0269999999999999</v>
      </c>
      <c r="K91" s="118">
        <v>2.1752348420153713E-3</v>
      </c>
      <c r="L91" s="190">
        <f t="shared" si="17"/>
        <v>2.2339661827497862E-3</v>
      </c>
    </row>
    <row r="92" spans="1:12" ht="16.5">
      <c r="A92" s="30" t="s">
        <v>107</v>
      </c>
      <c r="B92" s="24"/>
      <c r="C92" s="118">
        <v>0</v>
      </c>
      <c r="D92" s="13">
        <f t="shared" si="15"/>
        <v>0</v>
      </c>
      <c r="F92" s="24">
        <f>+B92</f>
        <v>0</v>
      </c>
      <c r="G92" s="118">
        <v>0</v>
      </c>
      <c r="H92" s="100">
        <f t="shared" si="16"/>
        <v>0</v>
      </c>
      <c r="I92" s="88"/>
      <c r="J92" s="272">
        <v>1.389</v>
      </c>
      <c r="K92" s="118">
        <v>2.3312553373185311E-3</v>
      </c>
      <c r="L92" s="190">
        <f t="shared" si="17"/>
        <v>3.2381136635354396E-3</v>
      </c>
    </row>
    <row r="93" spans="1:12" ht="16.5">
      <c r="A93" s="30" t="s">
        <v>108</v>
      </c>
      <c r="B93" s="239"/>
      <c r="C93" s="118"/>
      <c r="D93" s="13"/>
      <c r="F93" s="24"/>
      <c r="G93" s="118"/>
      <c r="H93" s="100"/>
      <c r="I93" s="88"/>
      <c r="J93" s="273">
        <v>18.84</v>
      </c>
      <c r="K93" s="118">
        <v>5.9999999999999995E-4</v>
      </c>
      <c r="L93" s="190">
        <f t="shared" si="17"/>
        <v>1.1303999999999998E-2</v>
      </c>
    </row>
    <row r="94" spans="1:12" ht="16.5">
      <c r="A94" s="30" t="s">
        <v>109</v>
      </c>
      <c r="B94" s="238"/>
      <c r="C94" s="118"/>
      <c r="D94" s="13"/>
      <c r="F94" s="24"/>
      <c r="G94" s="118"/>
      <c r="H94" s="100"/>
      <c r="I94" s="88"/>
      <c r="J94" s="274">
        <v>1.33</v>
      </c>
      <c r="K94" s="118">
        <v>5.9999999999999995E-4</v>
      </c>
      <c r="L94" s="190">
        <f t="shared" si="17"/>
        <v>7.9799999999999999E-4</v>
      </c>
    </row>
    <row r="95" spans="1:12" ht="16.5">
      <c r="A95" s="30"/>
      <c r="B95" s="191"/>
      <c r="C95" s="191"/>
      <c r="D95" s="40">
        <v>0</v>
      </c>
      <c r="F95" s="191"/>
      <c r="G95" s="191"/>
      <c r="H95" s="40">
        <v>0</v>
      </c>
      <c r="I95" s="88"/>
      <c r="J95" s="191"/>
      <c r="K95" s="191"/>
      <c r="L95" s="240">
        <v>0</v>
      </c>
    </row>
    <row r="96" spans="1:12">
      <c r="A96" s="83" t="s">
        <v>67</v>
      </c>
      <c r="B96" s="53"/>
      <c r="C96" s="75"/>
      <c r="D96" s="189">
        <f>SUM(D86:D95)</f>
        <v>0</v>
      </c>
      <c r="E96" s="53"/>
      <c r="F96" s="53"/>
      <c r="G96" s="75"/>
      <c r="H96" s="189">
        <f>SUM(H86:H95)</f>
        <v>0</v>
      </c>
      <c r="I96" s="123"/>
      <c r="J96" s="53"/>
      <c r="K96" s="75"/>
      <c r="L96" s="241">
        <f>SUM(L86:L95)</f>
        <v>7.0852831853116985E-2</v>
      </c>
    </row>
    <row r="98" spans="1:9">
      <c r="A98" s="356" t="s">
        <v>33</v>
      </c>
      <c r="B98" s="357"/>
      <c r="C98" s="357"/>
      <c r="D98" s="357"/>
      <c r="E98" s="357"/>
      <c r="F98" s="357"/>
      <c r="G98" s="357"/>
      <c r="H98" s="358"/>
    </row>
    <row r="99" spans="1:9" ht="14.65" customHeight="1">
      <c r="A99" s="71"/>
      <c r="B99" s="72"/>
      <c r="C99" s="72"/>
      <c r="D99" s="72"/>
      <c r="E99" s="72"/>
      <c r="F99" s="368" t="s">
        <v>53</v>
      </c>
      <c r="G99" s="368"/>
      <c r="H99" s="369"/>
    </row>
    <row r="100" spans="1:9" ht="15">
      <c r="A100" s="370" t="s">
        <v>55</v>
      </c>
      <c r="B100" s="371"/>
      <c r="C100" s="371"/>
      <c r="D100" s="371"/>
      <c r="E100" s="371"/>
      <c r="F100" s="368"/>
      <c r="G100" s="368"/>
      <c r="H100" s="369"/>
    </row>
    <row r="101" spans="1:9" ht="16.5">
      <c r="A101" s="16"/>
      <c r="B101" s="185" t="s">
        <v>56</v>
      </c>
      <c r="C101" s="185" t="s">
        <v>85</v>
      </c>
      <c r="D101" s="185" t="s">
        <v>32</v>
      </c>
      <c r="E101" s="185" t="s">
        <v>54</v>
      </c>
      <c r="F101" s="103">
        <v>1</v>
      </c>
      <c r="G101" s="128" t="s">
        <v>58</v>
      </c>
      <c r="H101" s="85">
        <f>(F101*C202*C204)+((F101*C202*C204*D113))</f>
        <v>345498296</v>
      </c>
    </row>
    <row r="102" spans="1:9" ht="15">
      <c r="A102" s="30" t="s">
        <v>95</v>
      </c>
      <c r="B102" s="28">
        <f>B54</f>
        <v>0</v>
      </c>
      <c r="C102" s="286">
        <v>550</v>
      </c>
      <c r="D102" s="28">
        <f>B102/C102</f>
        <v>0</v>
      </c>
      <c r="E102" s="21">
        <f t="shared" ref="E102:E108" si="18">D102/D$108</f>
        <v>0</v>
      </c>
      <c r="F102" s="86">
        <f>(F101*C202*C204*C116)+((F101*C202*C204*D113)*C118)</f>
        <v>18643340.973099794</v>
      </c>
      <c r="G102" s="5" t="s">
        <v>29</v>
      </c>
      <c r="H102" s="87">
        <f>F102/$H$101</f>
        <v>5.3960732046851527E-2</v>
      </c>
      <c r="I102" s="287" t="s">
        <v>120</v>
      </c>
    </row>
    <row r="103" spans="1:9" ht="15">
      <c r="A103" s="30" t="s">
        <v>96</v>
      </c>
      <c r="B103" s="43">
        <f t="shared" ref="B103:B107" si="19">B55</f>
        <v>0</v>
      </c>
      <c r="C103" s="108">
        <v>0</v>
      </c>
      <c r="D103" s="28">
        <v>0</v>
      </c>
      <c r="E103" s="21">
        <f t="shared" si="18"/>
        <v>0</v>
      </c>
      <c r="F103" s="195">
        <f>F102*C206</f>
        <v>5593002.2919299379</v>
      </c>
      <c r="G103" s="5" t="s">
        <v>28</v>
      </c>
      <c r="H103" s="87">
        <f>F103/$H$101</f>
        <v>1.6188219614055456E-2</v>
      </c>
    </row>
    <row r="104" spans="1:9" ht="15">
      <c r="A104" s="30" t="s">
        <v>97</v>
      </c>
      <c r="B104" s="43">
        <f t="shared" si="19"/>
        <v>0</v>
      </c>
      <c r="C104" s="108">
        <v>0</v>
      </c>
      <c r="D104" s="28">
        <v>0</v>
      </c>
      <c r="E104" s="21">
        <f t="shared" si="18"/>
        <v>0</v>
      </c>
      <c r="F104" s="86"/>
      <c r="G104" s="5"/>
      <c r="H104" s="87"/>
    </row>
    <row r="105" spans="1:9" ht="15">
      <c r="A105" s="30" t="s">
        <v>92</v>
      </c>
      <c r="B105" s="43">
        <f t="shared" si="19"/>
        <v>0</v>
      </c>
      <c r="C105" s="108">
        <v>0</v>
      </c>
      <c r="D105" s="28">
        <v>0</v>
      </c>
      <c r="E105" s="21">
        <f t="shared" si="18"/>
        <v>0</v>
      </c>
      <c r="F105" s="86"/>
      <c r="G105" s="5"/>
      <c r="H105" s="87"/>
    </row>
    <row r="106" spans="1:9" ht="15">
      <c r="A106" s="30" t="s">
        <v>90</v>
      </c>
      <c r="B106" s="43">
        <f t="shared" si="19"/>
        <v>4900</v>
      </c>
      <c r="C106" s="286">
        <v>110</v>
      </c>
      <c r="D106" s="28">
        <f t="shared" ref="D106" si="20">B106/C106</f>
        <v>44.545454545454547</v>
      </c>
      <c r="E106" s="21">
        <f>D106/D$108</f>
        <v>1</v>
      </c>
      <c r="F106" s="86"/>
      <c r="G106" s="5"/>
      <c r="H106" s="87"/>
      <c r="I106" s="287" t="s">
        <v>119</v>
      </c>
    </row>
    <row r="107" spans="1:9" ht="15">
      <c r="A107" s="83" t="s">
        <v>20</v>
      </c>
      <c r="B107" s="112">
        <f t="shared" si="19"/>
        <v>0</v>
      </c>
      <c r="C107" s="108">
        <v>0</v>
      </c>
      <c r="D107" s="106">
        <v>0</v>
      </c>
      <c r="E107" s="107">
        <f t="shared" si="18"/>
        <v>0</v>
      </c>
      <c r="H107" s="12"/>
    </row>
    <row r="108" spans="1:9">
      <c r="A108" s="96"/>
      <c r="B108" s="69">
        <f>SUM(B102:B107)</f>
        <v>4900</v>
      </c>
      <c r="C108" s="70">
        <f>B108/D108</f>
        <v>110</v>
      </c>
      <c r="D108" s="70">
        <f>SUM(D102:D107)</f>
        <v>44.545454545454547</v>
      </c>
      <c r="E108" s="314">
        <f t="shared" si="18"/>
        <v>1</v>
      </c>
      <c r="H108" s="27"/>
    </row>
    <row r="109" spans="1:9">
      <c r="A109" s="315" t="s">
        <v>115</v>
      </c>
      <c r="B109" s="69"/>
      <c r="C109" s="70"/>
      <c r="D109" s="70"/>
      <c r="E109" s="314"/>
      <c r="F109" s="4"/>
      <c r="G109" s="4"/>
      <c r="H109" s="316"/>
    </row>
    <row r="110" spans="1:9" ht="15">
      <c r="A110" s="6"/>
      <c r="B110" s="289">
        <f t="shared" ref="B110:E110" si="21">SUM(B113:B116)</f>
        <v>150083.26</v>
      </c>
      <c r="C110" s="289">
        <f t="shared" si="21"/>
        <v>171150.91999999998</v>
      </c>
      <c r="D110" s="289">
        <f t="shared" si="21"/>
        <v>195921.14</v>
      </c>
      <c r="E110" s="289">
        <f t="shared" si="21"/>
        <v>214904.7</v>
      </c>
      <c r="F110" s="289">
        <f>SUM(F113:F116)</f>
        <v>128438.64</v>
      </c>
      <c r="G110" s="289">
        <f t="shared" ref="G110:H110" si="22">SUM(G113:G116)</f>
        <v>206183.19999999998</v>
      </c>
      <c r="H110" s="289">
        <f t="shared" si="22"/>
        <v>232252.74000000002</v>
      </c>
    </row>
    <row r="111" spans="1:9">
      <c r="A111" s="6"/>
      <c r="B111" s="352"/>
      <c r="C111" s="352"/>
      <c r="D111" s="352"/>
      <c r="F111" s="352"/>
      <c r="G111" s="352"/>
      <c r="H111" s="353"/>
    </row>
    <row r="112" spans="1:9" ht="15">
      <c r="A112" s="6"/>
      <c r="B112" t="s">
        <v>125</v>
      </c>
      <c r="C112" t="s">
        <v>126</v>
      </c>
      <c r="D112" t="s">
        <v>127</v>
      </c>
      <c r="E112" t="s">
        <v>128</v>
      </c>
      <c r="F112" s="317" t="s">
        <v>129</v>
      </c>
      <c r="G112" s="317" t="s">
        <v>130</v>
      </c>
      <c r="H112" s="291" t="s">
        <v>131</v>
      </c>
    </row>
    <row r="113" spans="1:30" ht="15">
      <c r="A113" s="292" t="s">
        <v>31</v>
      </c>
      <c r="B113" s="293">
        <v>119702.77</v>
      </c>
      <c r="C113" s="293">
        <v>140371.43</v>
      </c>
      <c r="D113" s="293">
        <v>166103.95000000001</v>
      </c>
      <c r="E113" s="293">
        <v>166766.85999999999</v>
      </c>
      <c r="F113" s="294">
        <v>105842.43</v>
      </c>
      <c r="G113" s="294">
        <v>147383.65</v>
      </c>
      <c r="H113" s="295">
        <v>163283.07</v>
      </c>
      <c r="U113" s="178"/>
      <c r="V113" s="178"/>
      <c r="W113" s="178"/>
      <c r="X113" s="178"/>
      <c r="Z113" s="178"/>
      <c r="AA113" s="166"/>
      <c r="AB113" s="180"/>
      <c r="AC113" s="152"/>
      <c r="AD113" s="93"/>
    </row>
    <row r="114" spans="1:30" ht="15">
      <c r="A114" s="292" t="s">
        <v>30</v>
      </c>
      <c r="B114" s="293">
        <v>15222.93</v>
      </c>
      <c r="C114" s="293">
        <v>23913.55</v>
      </c>
      <c r="D114" s="293">
        <v>19670.79</v>
      </c>
      <c r="E114" s="293">
        <v>41336.57</v>
      </c>
      <c r="F114" s="294">
        <v>23672.31</v>
      </c>
      <c r="G114" s="294">
        <v>9419.99</v>
      </c>
      <c r="H114" s="295">
        <v>18308.82</v>
      </c>
      <c r="U114" s="178"/>
      <c r="V114" s="178"/>
      <c r="W114" s="178"/>
      <c r="X114" s="178"/>
      <c r="Z114" s="178"/>
      <c r="AA114" s="166"/>
      <c r="AB114" s="180"/>
      <c r="AC114" s="152"/>
      <c r="AD114" s="93"/>
    </row>
    <row r="115" spans="1:30" ht="15">
      <c r="A115" s="292" t="s">
        <v>28</v>
      </c>
      <c r="B115" s="293">
        <v>11228.99</v>
      </c>
      <c r="C115" s="293">
        <v>10794.51</v>
      </c>
      <c r="D115" s="293">
        <v>10146.4</v>
      </c>
      <c r="E115" s="293">
        <v>8112.73</v>
      </c>
      <c r="F115" s="294">
        <v>-1917.2</v>
      </c>
      <c r="G115" s="294">
        <v>49379.56</v>
      </c>
      <c r="H115" s="295">
        <v>50660.85</v>
      </c>
      <c r="U115" s="178"/>
      <c r="V115" s="178"/>
      <c r="W115" s="178"/>
      <c r="X115" s="178"/>
      <c r="Z115" s="178"/>
      <c r="AA115" s="166"/>
      <c r="AB115" s="180"/>
      <c r="AC115" s="152"/>
      <c r="AD115" s="93"/>
    </row>
    <row r="116" spans="1:30" ht="16.5">
      <c r="A116" s="296" t="s">
        <v>5</v>
      </c>
      <c r="B116" s="293">
        <v>3928.57</v>
      </c>
      <c r="C116" s="293">
        <v>-3928.57</v>
      </c>
      <c r="D116" s="293">
        <v>0</v>
      </c>
      <c r="E116" s="293">
        <v>-1311.46</v>
      </c>
      <c r="F116" s="294">
        <v>841.1</v>
      </c>
      <c r="G116" s="294">
        <v>0</v>
      </c>
      <c r="H116" s="295">
        <v>0</v>
      </c>
      <c r="I116" s="62"/>
      <c r="U116" s="179"/>
      <c r="V116" s="179"/>
      <c r="W116" s="179"/>
      <c r="X116" s="179"/>
      <c r="Z116" s="179"/>
      <c r="AA116" s="166"/>
      <c r="AB116" s="180"/>
      <c r="AC116" s="152"/>
      <c r="AD116" s="93"/>
    </row>
    <row r="117" spans="1:30" ht="16.5">
      <c r="A117" s="296" t="s">
        <v>132</v>
      </c>
      <c r="B117">
        <v>37953</v>
      </c>
      <c r="C117">
        <v>21274</v>
      </c>
      <c r="D117">
        <v>55365</v>
      </c>
      <c r="E117">
        <v>3960</v>
      </c>
      <c r="F117">
        <v>26641</v>
      </c>
      <c r="G117">
        <v>11698</v>
      </c>
      <c r="H117" s="318">
        <v>35168</v>
      </c>
      <c r="I117" s="62"/>
      <c r="U117" s="179"/>
      <c r="V117" s="179"/>
      <c r="W117" s="179"/>
      <c r="X117" s="179"/>
      <c r="Z117" s="179"/>
      <c r="AA117" s="166"/>
      <c r="AB117" s="180"/>
      <c r="AC117" s="152"/>
      <c r="AD117" s="93"/>
    </row>
    <row r="118" spans="1:30" ht="15">
      <c r="A118" s="296" t="s">
        <v>133</v>
      </c>
      <c r="B118" s="297">
        <f>B115/(B113+B114+B116-B117)</f>
        <v>0.11128690451567158</v>
      </c>
      <c r="C118" s="297">
        <f t="shared" ref="C118:H118" si="23">C115/(C113+C114+C116-C117)</f>
        <v>7.7612330703789228E-2</v>
      </c>
      <c r="D118" s="297">
        <f t="shared" si="23"/>
        <v>7.7804004516840525E-2</v>
      </c>
      <c r="E118" s="297">
        <f t="shared" si="23"/>
        <v>3.9997294312134321E-2</v>
      </c>
      <c r="F118" s="297">
        <f t="shared" si="23"/>
        <v>-1.848530065707087E-2</v>
      </c>
      <c r="G118" s="297">
        <f t="shared" si="23"/>
        <v>0.34030076294760153</v>
      </c>
      <c r="H118" s="300">
        <f t="shared" si="23"/>
        <v>0.34598759806203749</v>
      </c>
      <c r="U118" s="168"/>
      <c r="V118" s="168"/>
      <c r="W118" s="168"/>
      <c r="X118" s="168"/>
      <c r="Z118" s="168"/>
      <c r="AA118" s="151"/>
      <c r="AB118" s="177"/>
      <c r="AC118" s="181"/>
      <c r="AD118" s="5"/>
    </row>
    <row r="119" spans="1:30" ht="15">
      <c r="A119" s="296"/>
      <c r="B119" s="297"/>
      <c r="C119" s="297"/>
      <c r="D119" s="297"/>
      <c r="E119" s="297"/>
      <c r="F119" s="297"/>
      <c r="G119" s="297"/>
      <c r="H119" s="300"/>
    </row>
    <row r="120" spans="1:30">
      <c r="A120" s="6"/>
      <c r="B120" s="43"/>
      <c r="C120" s="301"/>
      <c r="D120" s="15" t="s">
        <v>134</v>
      </c>
      <c r="E120" s="63"/>
      <c r="F120" s="43" t="s">
        <v>135</v>
      </c>
      <c r="G120" s="301"/>
      <c r="H120" s="302"/>
    </row>
    <row r="121" spans="1:30" ht="15">
      <c r="A121" s="292" t="s">
        <v>136</v>
      </c>
      <c r="B121" s="303">
        <v>28</v>
      </c>
      <c r="C121" s="29"/>
      <c r="D121" s="26">
        <f>(AVERAGE((C113-C117),(G113-G117),(H113-H117)))/B121</f>
        <v>4558.3113095238095</v>
      </c>
      <c r="E121" s="63"/>
      <c r="F121" s="304">
        <f>D121*B121</f>
        <v>127632.71666666667</v>
      </c>
      <c r="G121" s="29"/>
      <c r="H121" s="12"/>
      <c r="S121" s="57"/>
      <c r="T121" s="372"/>
      <c r="U121" s="372"/>
      <c r="V121" s="372"/>
      <c r="W121" s="372"/>
      <c r="X121" s="372"/>
      <c r="Y121" s="372"/>
      <c r="Z121" s="372"/>
      <c r="AA121" s="372"/>
      <c r="AB121" s="372"/>
      <c r="AC121" s="372"/>
      <c r="AD121" s="372"/>
    </row>
    <row r="122" spans="1:30" ht="15">
      <c r="A122" s="292" t="s">
        <v>137</v>
      </c>
      <c r="B122" s="303">
        <v>2</v>
      </c>
      <c r="C122" s="78"/>
      <c r="D122" s="26">
        <f>AVERAGE(G114)/B122</f>
        <v>4709.9949999999999</v>
      </c>
      <c r="E122" s="63"/>
      <c r="F122" s="304">
        <f>D122*B122</f>
        <v>9419.99</v>
      </c>
      <c r="G122" s="305"/>
      <c r="H122" s="12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</row>
    <row r="123" spans="1:30">
      <c r="A123" s="76"/>
      <c r="B123" s="117"/>
      <c r="C123" s="284"/>
      <c r="D123" s="306"/>
      <c r="E123" s="63"/>
      <c r="F123" s="307"/>
      <c r="G123" s="319"/>
      <c r="H123" s="308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</row>
    <row r="124" spans="1:30">
      <c r="A124" s="309" t="s">
        <v>138</v>
      </c>
      <c r="B124" s="117">
        <v>15</v>
      </c>
      <c r="C124" s="284"/>
      <c r="D124" s="26">
        <f>D121</f>
        <v>4558.3113095238095</v>
      </c>
      <c r="E124" s="63"/>
      <c r="F124" s="304">
        <f>D124*B124</f>
        <v>68374.669642857145</v>
      </c>
      <c r="G124" s="91"/>
      <c r="H124" s="308"/>
      <c r="I124" s="63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</row>
    <row r="125" spans="1:30">
      <c r="A125" s="309" t="s">
        <v>139</v>
      </c>
      <c r="B125" s="117">
        <v>3</v>
      </c>
      <c r="C125" s="284"/>
      <c r="D125" s="26">
        <f>D122</f>
        <v>4709.9949999999999</v>
      </c>
      <c r="E125" s="63"/>
      <c r="F125" s="304">
        <f>D125*B125</f>
        <v>14129.985000000001</v>
      </c>
      <c r="G125" s="319"/>
      <c r="H125" s="310"/>
      <c r="I125" s="63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</row>
    <row r="126" spans="1:30">
      <c r="A126" s="6"/>
      <c r="B126" s="320"/>
      <c r="F126" s="311"/>
      <c r="H126" s="12"/>
      <c r="I126" s="63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</row>
    <row r="127" spans="1:30">
      <c r="A127" s="6" t="s">
        <v>140</v>
      </c>
      <c r="B127" s="43">
        <f>B121+B124</f>
        <v>43</v>
      </c>
      <c r="C127" s="29"/>
      <c r="D127" s="26">
        <f>D124</f>
        <v>4558.3113095238095</v>
      </c>
      <c r="F127" s="312">
        <f>D127*B127</f>
        <v>196007.3863095238</v>
      </c>
      <c r="H127" s="12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</row>
    <row r="128" spans="1:30">
      <c r="A128" s="6" t="s">
        <v>141</v>
      </c>
      <c r="B128" s="43">
        <f>B122+B125</f>
        <v>5</v>
      </c>
      <c r="C128" s="78"/>
      <c r="D128" s="26">
        <f>D125</f>
        <v>4709.9949999999999</v>
      </c>
      <c r="F128" s="312">
        <f>D128*B128</f>
        <v>23549.974999999999</v>
      </c>
      <c r="H128" s="12"/>
      <c r="S128" s="58"/>
      <c r="T128" s="58"/>
      <c r="U128" s="58"/>
      <c r="V128" s="58"/>
      <c r="W128" s="58"/>
      <c r="X128" s="58"/>
      <c r="Y128" s="58"/>
      <c r="Z128" s="58"/>
      <c r="AA128" s="58"/>
      <c r="AB128" s="59"/>
      <c r="AC128" s="58"/>
      <c r="AD128" s="58"/>
    </row>
    <row r="129" spans="1:13">
      <c r="A129" s="76" t="s">
        <v>132</v>
      </c>
      <c r="B129" s="43"/>
      <c r="C129" s="29"/>
      <c r="D129" s="77"/>
      <c r="F129" s="313">
        <v>0</v>
      </c>
      <c r="H129" s="12"/>
    </row>
    <row r="130" spans="1:13" ht="16.5" customHeight="1">
      <c r="A130" s="83" t="s">
        <v>28</v>
      </c>
      <c r="B130" s="321"/>
      <c r="C130" s="322"/>
      <c r="D130" s="323"/>
      <c r="E130" s="10"/>
      <c r="F130" s="324">
        <f>(F127+F128)*0.29</f>
        <v>63671.634779761902</v>
      </c>
      <c r="G130" s="10"/>
      <c r="H130" s="9"/>
    </row>
    <row r="131" spans="1:13">
      <c r="A131" s="283"/>
      <c r="B131" s="117"/>
      <c r="C131" s="284"/>
      <c r="D131" s="285"/>
      <c r="E131" s="63"/>
    </row>
    <row r="132" spans="1:13">
      <c r="A132" s="283"/>
      <c r="B132" s="117"/>
      <c r="C132" s="284"/>
      <c r="D132" s="285"/>
      <c r="E132" s="63"/>
    </row>
    <row r="133" spans="1:13">
      <c r="A133" s="283"/>
      <c r="B133" s="117"/>
      <c r="C133" s="284"/>
      <c r="D133" s="285"/>
      <c r="E133" s="63"/>
      <c r="J133" s="283"/>
      <c r="L133" s="284"/>
    </row>
    <row r="134" spans="1:13">
      <c r="A134" s="315" t="s">
        <v>116</v>
      </c>
      <c r="B134" s="69"/>
      <c r="C134" s="70"/>
      <c r="D134" s="70"/>
      <c r="E134" s="314"/>
      <c r="F134" s="4"/>
      <c r="G134" s="4"/>
      <c r="H134" s="316"/>
      <c r="J134" s="283"/>
      <c r="L134" s="284"/>
    </row>
    <row r="135" spans="1:13" ht="15">
      <c r="A135" s="6"/>
      <c r="B135" s="289"/>
      <c r="C135" s="289"/>
      <c r="D135" s="289"/>
      <c r="E135" s="289"/>
      <c r="F135" s="289"/>
      <c r="G135" s="289"/>
      <c r="H135" s="290"/>
      <c r="J135" s="283"/>
      <c r="L135" s="284"/>
    </row>
    <row r="136" spans="1:13">
      <c r="A136" s="6"/>
      <c r="B136" s="352"/>
      <c r="C136" s="352"/>
      <c r="D136" s="352"/>
      <c r="F136" s="352"/>
      <c r="G136" s="352"/>
      <c r="H136" s="353"/>
      <c r="J136" s="283"/>
      <c r="K136" s="117"/>
      <c r="L136" s="284"/>
    </row>
    <row r="137" spans="1:13" ht="15">
      <c r="A137" s="6"/>
      <c r="B137" t="s">
        <v>125</v>
      </c>
      <c r="C137" t="s">
        <v>126</v>
      </c>
      <c r="D137" t="s">
        <v>127</v>
      </c>
      <c r="E137" t="s">
        <v>128</v>
      </c>
      <c r="F137" t="s">
        <v>129</v>
      </c>
      <c r="G137" s="317" t="s">
        <v>130</v>
      </c>
      <c r="H137" s="291" t="s">
        <v>131</v>
      </c>
      <c r="J137" s="283"/>
      <c r="K137" s="117"/>
      <c r="L137" s="284"/>
    </row>
    <row r="138" spans="1:13" ht="15">
      <c r="A138" s="292" t="s">
        <v>31</v>
      </c>
      <c r="B138" s="294">
        <v>268968.01</v>
      </c>
      <c r="C138" s="294">
        <v>288390.24</v>
      </c>
      <c r="D138" s="293">
        <v>154345.41</v>
      </c>
      <c r="E138" s="293">
        <v>13412.75</v>
      </c>
      <c r="F138" s="325">
        <v>229529.76</v>
      </c>
      <c r="G138" s="294">
        <v>274156.28999999998</v>
      </c>
      <c r="H138" s="295">
        <v>267092.21000000002</v>
      </c>
      <c r="J138" s="283"/>
      <c r="K138" s="117"/>
      <c r="L138" s="284"/>
      <c r="M138" s="285"/>
    </row>
    <row r="139" spans="1:13" ht="15">
      <c r="A139" s="292" t="s">
        <v>30</v>
      </c>
      <c r="B139" s="294">
        <v>67812.91</v>
      </c>
      <c r="C139" s="294">
        <v>64354.51</v>
      </c>
      <c r="D139" s="293">
        <v>40616.39</v>
      </c>
      <c r="E139" s="293">
        <v>14950.76</v>
      </c>
      <c r="F139" s="325">
        <v>74301.16</v>
      </c>
      <c r="G139" s="294">
        <v>85619.44</v>
      </c>
      <c r="H139" s="295">
        <v>74393.95</v>
      </c>
      <c r="J139" s="283"/>
      <c r="K139" s="117"/>
      <c r="L139" s="338">
        <f>944701</f>
        <v>944701</v>
      </c>
      <c r="M139" s="285"/>
    </row>
    <row r="140" spans="1:13" ht="15">
      <c r="A140" s="292" t="s">
        <v>28</v>
      </c>
      <c r="B140" s="294">
        <v>102162.56</v>
      </c>
      <c r="C140" s="294">
        <v>97023.8</v>
      </c>
      <c r="D140" s="293">
        <v>87771.29</v>
      </c>
      <c r="E140" s="293">
        <v>18740.91</v>
      </c>
      <c r="F140" s="325">
        <v>135347.70000000001</v>
      </c>
      <c r="G140" s="294">
        <v>89284.14</v>
      </c>
      <c r="H140" s="295">
        <v>88862.54</v>
      </c>
      <c r="J140" s="283"/>
      <c r="K140" s="117"/>
      <c r="L140" s="338">
        <f>484716</f>
        <v>484716</v>
      </c>
      <c r="M140" s="340">
        <v>7.1999999999999995E-2</v>
      </c>
    </row>
    <row r="141" spans="1:13" ht="15">
      <c r="A141" s="292" t="s">
        <v>5</v>
      </c>
      <c r="B141" s="294">
        <v>6248.2</v>
      </c>
      <c r="C141" s="294">
        <v>7823.13</v>
      </c>
      <c r="D141" s="293">
        <v>4541.8500000000004</v>
      </c>
      <c r="E141" s="293">
        <v>10625.36</v>
      </c>
      <c r="F141" s="325">
        <v>11684.3</v>
      </c>
      <c r="G141" s="294">
        <v>7724.39</v>
      </c>
      <c r="H141" s="295">
        <v>6820.85</v>
      </c>
      <c r="J141" s="283"/>
      <c r="K141" s="117"/>
      <c r="L141" s="339">
        <f>SUM(L139:L140)</f>
        <v>1429417</v>
      </c>
      <c r="M141" s="341">
        <f>L141/24000000</f>
        <v>5.9559041666666666E-2</v>
      </c>
    </row>
    <row r="142" spans="1:13" ht="15">
      <c r="A142" s="296" t="s">
        <v>132</v>
      </c>
      <c r="B142" s="317">
        <v>35640</v>
      </c>
      <c r="C142" s="317">
        <v>61311</v>
      </c>
      <c r="D142">
        <v>50554</v>
      </c>
      <c r="E142"/>
      <c r="F142">
        <v>65416</v>
      </c>
      <c r="G142">
        <v>62538</v>
      </c>
      <c r="H142" s="318">
        <v>37211</v>
      </c>
      <c r="J142" s="283"/>
      <c r="K142" s="117"/>
      <c r="L142" s="337"/>
      <c r="M142" s="285"/>
    </row>
    <row r="143" spans="1:13" ht="15">
      <c r="A143" s="296" t="s">
        <v>133</v>
      </c>
      <c r="B143" s="298">
        <f>B140/(B138+B139-B142+B141)</f>
        <v>0.3323558101210608</v>
      </c>
      <c r="C143" s="298">
        <f t="shared" ref="C143:H143" si="24">C140/(C138+C139-C142+C141)</f>
        <v>0.3242157707451872</v>
      </c>
      <c r="D143" s="298">
        <f t="shared" si="24"/>
        <v>0.58926818559157401</v>
      </c>
      <c r="E143" s="298">
        <f t="shared" si="24"/>
        <v>0.48067333061973838</v>
      </c>
      <c r="F143" s="298">
        <f t="shared" si="24"/>
        <v>0.54117601806195159</v>
      </c>
      <c r="G143" s="298">
        <f t="shared" si="24"/>
        <v>0.29277124647480807</v>
      </c>
      <c r="H143" s="299">
        <f t="shared" si="24"/>
        <v>0.28564345778655276</v>
      </c>
      <c r="J143" s="283"/>
      <c r="K143" s="117"/>
      <c r="L143" s="284"/>
      <c r="M143" s="285"/>
    </row>
    <row r="145" spans="1:10">
      <c r="A145" s="6"/>
      <c r="B145" s="43"/>
      <c r="C145" s="301"/>
      <c r="D145" s="15" t="s">
        <v>134</v>
      </c>
      <c r="E145" s="63"/>
      <c r="F145" s="43" t="s">
        <v>135</v>
      </c>
      <c r="G145" s="301"/>
      <c r="H145" s="302"/>
      <c r="J145" s="283"/>
    </row>
    <row r="146" spans="1:10" ht="15">
      <c r="A146" s="292" t="s">
        <v>136</v>
      </c>
      <c r="B146" s="303">
        <v>46</v>
      </c>
      <c r="C146" s="29"/>
      <c r="D146" s="26">
        <f>(AVERAGE((B138-B142),(C138-C142),(G138-G142),(H138-H142)))/B146</f>
        <v>4901.667119565217</v>
      </c>
      <c r="E146" s="63"/>
      <c r="F146" s="304">
        <f>D146*B146</f>
        <v>225476.68749999997</v>
      </c>
      <c r="G146" s="29"/>
      <c r="H146" s="326"/>
      <c r="J146" s="283"/>
    </row>
    <row r="147" spans="1:10" ht="15">
      <c r="A147" s="292" t="s">
        <v>137</v>
      </c>
      <c r="B147" s="303">
        <v>16</v>
      </c>
      <c r="C147" s="78"/>
      <c r="D147" s="26">
        <f>AVERAGE($G$99:$H$99,B139:C139)/B147</f>
        <v>4130.2318750000004</v>
      </c>
      <c r="E147" s="63"/>
      <c r="F147" s="304">
        <f>D147*B147</f>
        <v>66083.710000000006</v>
      </c>
      <c r="G147" s="305"/>
      <c r="H147" s="12"/>
      <c r="J147" s="283"/>
    </row>
    <row r="148" spans="1:10">
      <c r="A148" s="76"/>
      <c r="B148" s="117"/>
      <c r="C148" s="284"/>
      <c r="D148" s="306"/>
      <c r="E148" s="63"/>
      <c r="F148" s="307"/>
      <c r="G148" s="319"/>
      <c r="H148" s="308"/>
      <c r="J148" s="283"/>
    </row>
    <row r="149" spans="1:10">
      <c r="A149" s="309" t="s">
        <v>138</v>
      </c>
      <c r="B149" s="117">
        <v>6</v>
      </c>
      <c r="C149" s="284"/>
      <c r="D149" s="26">
        <f>D146</f>
        <v>4901.667119565217</v>
      </c>
      <c r="E149" s="63"/>
      <c r="F149" s="304">
        <f>D149*B149</f>
        <v>29410.002717391304</v>
      </c>
      <c r="G149" s="91"/>
      <c r="H149" s="308"/>
      <c r="J149" s="283"/>
    </row>
    <row r="150" spans="1:10">
      <c r="A150" s="309" t="s">
        <v>139</v>
      </c>
      <c r="B150" s="117">
        <v>6</v>
      </c>
      <c r="C150" s="284"/>
      <c r="D150" s="26">
        <f>D147</f>
        <v>4130.2318750000004</v>
      </c>
      <c r="E150" s="63"/>
      <c r="F150" s="304">
        <f>D150*B150</f>
        <v>24781.391250000001</v>
      </c>
      <c r="G150" s="319"/>
      <c r="H150" s="310"/>
      <c r="J150" s="283"/>
    </row>
    <row r="151" spans="1:10">
      <c r="A151" s="6"/>
      <c r="B151" s="320"/>
      <c r="F151" s="311"/>
      <c r="H151" s="12"/>
      <c r="J151" s="283"/>
    </row>
    <row r="152" spans="1:10">
      <c r="A152" s="6" t="s">
        <v>140</v>
      </c>
      <c r="B152" s="43">
        <f>B146+B149</f>
        <v>52</v>
      </c>
      <c r="C152" s="29"/>
      <c r="D152" s="26">
        <f>D146</f>
        <v>4901.667119565217</v>
      </c>
      <c r="F152" s="312">
        <f>D152*B152</f>
        <v>254886.6902173913</v>
      </c>
      <c r="H152" s="12"/>
      <c r="J152" s="283"/>
    </row>
    <row r="153" spans="1:10">
      <c r="A153" s="6" t="s">
        <v>141</v>
      </c>
      <c r="B153" s="43">
        <f>B147+B150</f>
        <v>22</v>
      </c>
      <c r="C153" s="78"/>
      <c r="D153" s="26">
        <f>D146</f>
        <v>4901.667119565217</v>
      </c>
      <c r="F153" s="312">
        <f>D153*B153</f>
        <v>107836.67663043477</v>
      </c>
      <c r="H153" s="12"/>
      <c r="J153" s="283"/>
    </row>
    <row r="154" spans="1:10">
      <c r="A154" s="76" t="s">
        <v>5</v>
      </c>
      <c r="B154" s="43"/>
      <c r="C154" s="29"/>
      <c r="D154" s="77"/>
      <c r="F154" s="313">
        <v>7154</v>
      </c>
      <c r="H154" s="12"/>
      <c r="J154" s="283"/>
    </row>
    <row r="155" spans="1:10" ht="15">
      <c r="A155" s="83" t="s">
        <v>28</v>
      </c>
      <c r="B155" s="321"/>
      <c r="C155" s="322"/>
      <c r="D155" s="323"/>
      <c r="E155" s="10"/>
      <c r="F155" s="324">
        <f>(F152+F153+F154)*0.3</f>
        <v>110963.21005434782</v>
      </c>
      <c r="G155" s="10"/>
      <c r="H155" s="9"/>
      <c r="J155" s="283"/>
    </row>
    <row r="156" spans="1:10">
      <c r="A156" s="283"/>
      <c r="B156" s="117"/>
      <c r="C156" s="284"/>
      <c r="D156" s="285"/>
      <c r="E156" s="63"/>
      <c r="J156" s="283"/>
    </row>
    <row r="157" spans="1:10" ht="12.75" customHeight="1">
      <c r="J157" s="57"/>
    </row>
    <row r="158" spans="1:10" ht="15">
      <c r="A158" s="55" t="s">
        <v>26</v>
      </c>
      <c r="B158" s="183"/>
      <c r="C158" s="183"/>
      <c r="D158" s="132">
        <v>4.5</v>
      </c>
      <c r="E158" s="183"/>
      <c r="F158" s="183"/>
      <c r="G158" s="245"/>
      <c r="H158" s="183"/>
      <c r="I158" s="4"/>
      <c r="J158" s="131"/>
    </row>
    <row r="159" spans="1:10" ht="15">
      <c r="A159" s="6"/>
      <c r="B159" s="374" t="s">
        <v>25</v>
      </c>
      <c r="C159" s="375"/>
      <c r="D159" s="132">
        <v>4.5</v>
      </c>
      <c r="E159" s="374" t="s">
        <v>24</v>
      </c>
      <c r="F159" s="375"/>
      <c r="G159" s="132">
        <f>762256/10182780</f>
        <v>7.4857357224647883E-2</v>
      </c>
      <c r="H159" s="376" t="s">
        <v>86</v>
      </c>
      <c r="I159" s="377"/>
      <c r="J159" s="244">
        <f>30000*365</f>
        <v>10950000</v>
      </c>
    </row>
    <row r="160" spans="1:10">
      <c r="A160" s="6"/>
      <c r="B160" s="5"/>
      <c r="C160" s="5"/>
      <c r="D160" s="5"/>
      <c r="E160" s="5"/>
      <c r="F160" s="5"/>
      <c r="G160" s="5"/>
      <c r="H160" s="378" t="s">
        <v>87</v>
      </c>
      <c r="I160" s="379"/>
      <c r="J160" s="135">
        <f>ROUND(J159/B49/1000,3)</f>
        <v>2.2349999999999999</v>
      </c>
    </row>
    <row r="161" spans="1:10" ht="15" customHeight="1">
      <c r="A161" s="6"/>
      <c r="B161" s="380" t="s">
        <v>95</v>
      </c>
      <c r="C161" s="381"/>
      <c r="D161" s="382"/>
      <c r="E161" s="380" t="s">
        <v>96</v>
      </c>
      <c r="F161" s="381"/>
      <c r="G161" s="382"/>
      <c r="H161" s="380" t="s">
        <v>97</v>
      </c>
      <c r="I161" s="381"/>
      <c r="J161" s="382"/>
    </row>
    <row r="162" spans="1:10" ht="25.5">
      <c r="A162" s="6"/>
      <c r="B162" s="133" t="s">
        <v>79</v>
      </c>
      <c r="C162" s="61" t="s">
        <v>80</v>
      </c>
      <c r="D162" s="22" t="s">
        <v>81</v>
      </c>
      <c r="E162" s="133" t="s">
        <v>79</v>
      </c>
      <c r="F162" s="61" t="s">
        <v>80</v>
      </c>
      <c r="G162" s="22" t="s">
        <v>81</v>
      </c>
      <c r="H162" s="133" t="s">
        <v>79</v>
      </c>
      <c r="I162" s="61" t="s">
        <v>80</v>
      </c>
      <c r="J162" s="22" t="s">
        <v>81</v>
      </c>
    </row>
    <row r="163" spans="1:10" ht="15">
      <c r="A163" s="6" t="s">
        <v>23</v>
      </c>
      <c r="B163" s="275">
        <v>0.11509999999999999</v>
      </c>
      <c r="C163" s="282">
        <v>8.7999999999999995E-2</v>
      </c>
      <c r="D163" s="90">
        <f>B163*C163</f>
        <v>1.0128799999999999E-2</v>
      </c>
      <c r="E163" s="243">
        <v>0.26500000000000001</v>
      </c>
      <c r="F163" s="60">
        <f>G159</f>
        <v>7.4857357224647883E-2</v>
      </c>
      <c r="G163" s="90">
        <f>E163*F163</f>
        <v>1.983719966453169E-2</v>
      </c>
      <c r="H163" s="243">
        <v>0.26500000000000001</v>
      </c>
      <c r="I163" s="60">
        <f>$G$159</f>
        <v>7.4857357224647883E-2</v>
      </c>
      <c r="J163" s="90">
        <f>H163*I163</f>
        <v>1.983719966453169E-2</v>
      </c>
    </row>
    <row r="164" spans="1:10" ht="16.5">
      <c r="A164" s="6" t="s">
        <v>22</v>
      </c>
      <c r="B164" s="275">
        <v>6.4999999999999997E-3</v>
      </c>
      <c r="C164" s="276">
        <v>4</v>
      </c>
      <c r="D164" s="51">
        <f>B164*C164</f>
        <v>2.5999999999999999E-2</v>
      </c>
      <c r="E164" s="243">
        <v>3.8E-3</v>
      </c>
      <c r="F164" s="29">
        <f>$D$159</f>
        <v>4.5</v>
      </c>
      <c r="G164" s="51">
        <f>E164*F164</f>
        <v>1.7100000000000001E-2</v>
      </c>
      <c r="H164" s="243">
        <v>3.8E-3</v>
      </c>
      <c r="I164" s="29">
        <f>$D$159</f>
        <v>4.5</v>
      </c>
      <c r="J164" s="51">
        <f>H164*I164</f>
        <v>1.7100000000000001E-2</v>
      </c>
    </row>
    <row r="165" spans="1:10" ht="15">
      <c r="A165" s="6" t="s">
        <v>21</v>
      </c>
      <c r="B165" s="6"/>
      <c r="C165" s="5"/>
      <c r="D165" s="227">
        <f>SUM(D163:D164)</f>
        <v>3.6128799999999996E-2</v>
      </c>
      <c r="E165" s="6"/>
      <c r="F165" s="5"/>
      <c r="G165" s="227">
        <f>SUM(G163:G164)</f>
        <v>3.6937199664531691E-2</v>
      </c>
      <c r="H165" s="6"/>
      <c r="I165" s="5"/>
      <c r="J165" s="227">
        <f>SUM(J163:J164)</f>
        <v>3.6937199664531691E-2</v>
      </c>
    </row>
    <row r="166" spans="1:10">
      <c r="A166" s="16"/>
      <c r="B166" s="16"/>
      <c r="D166" s="12"/>
      <c r="E166" s="16"/>
      <c r="G166" s="12"/>
      <c r="H166" s="16"/>
      <c r="J166" s="12"/>
    </row>
    <row r="167" spans="1:10" ht="15" customHeight="1">
      <c r="A167" s="6"/>
      <c r="B167" s="383" t="s">
        <v>92</v>
      </c>
      <c r="C167" s="384"/>
      <c r="D167" s="385"/>
      <c r="E167" s="383" t="s">
        <v>90</v>
      </c>
      <c r="F167" s="384"/>
      <c r="G167" s="385"/>
      <c r="H167" s="383" t="s">
        <v>92</v>
      </c>
      <c r="I167" s="384"/>
      <c r="J167" s="385"/>
    </row>
    <row r="168" spans="1:10" ht="25.5">
      <c r="A168" s="6"/>
      <c r="B168" s="133" t="s">
        <v>79</v>
      </c>
      <c r="C168" s="61" t="s">
        <v>80</v>
      </c>
      <c r="D168" s="22" t="s">
        <v>81</v>
      </c>
      <c r="E168" s="133" t="s">
        <v>79</v>
      </c>
      <c r="F168" s="61" t="s">
        <v>80</v>
      </c>
      <c r="G168" s="22" t="s">
        <v>81</v>
      </c>
      <c r="H168" s="133" t="s">
        <v>79</v>
      </c>
      <c r="I168" s="61" t="s">
        <v>80</v>
      </c>
      <c r="J168" s="22" t="s">
        <v>81</v>
      </c>
    </row>
    <row r="169" spans="1:10" ht="15">
      <c r="A169" s="6" t="s">
        <v>23</v>
      </c>
      <c r="B169" s="275"/>
      <c r="C169" s="282"/>
      <c r="D169" s="90">
        <f>B169*C169</f>
        <v>0</v>
      </c>
      <c r="E169" s="275">
        <v>0.5867</v>
      </c>
      <c r="F169" s="60">
        <f>G159</f>
        <v>7.4857357224647883E-2</v>
      </c>
      <c r="G169" s="90">
        <f>E169*F169</f>
        <v>4.3918811483700915E-2</v>
      </c>
      <c r="H169" s="243">
        <v>0</v>
      </c>
      <c r="I169" s="60">
        <f>$G$159</f>
        <v>7.4857357224647883E-2</v>
      </c>
      <c r="J169" s="90">
        <f>H169*I169</f>
        <v>0</v>
      </c>
    </row>
    <row r="170" spans="1:10" ht="16.5">
      <c r="A170" s="6" t="s">
        <v>22</v>
      </c>
      <c r="B170" s="275"/>
      <c r="C170" s="276"/>
      <c r="D170" s="51">
        <f>B170*C170</f>
        <v>0</v>
      </c>
      <c r="E170" s="275">
        <v>6.4999999999999997E-3</v>
      </c>
      <c r="F170" s="276">
        <v>4</v>
      </c>
      <c r="G170" s="51">
        <f>E170*F170</f>
        <v>2.5999999999999999E-2</v>
      </c>
      <c r="H170" s="243">
        <v>0</v>
      </c>
      <c r="I170" s="29">
        <f>$D$159</f>
        <v>4.5</v>
      </c>
      <c r="J170" s="51">
        <f>H170*I170</f>
        <v>0</v>
      </c>
    </row>
    <row r="171" spans="1:10" ht="15">
      <c r="A171" s="25" t="s">
        <v>21</v>
      </c>
      <c r="B171" s="25"/>
      <c r="C171" s="53"/>
      <c r="D171" s="134">
        <f>SUM(D169:D170)</f>
        <v>0</v>
      </c>
      <c r="E171" s="25"/>
      <c r="F171" s="53"/>
      <c r="G171" s="134">
        <f>SUM(G169:G170)</f>
        <v>6.991881148370091E-2</v>
      </c>
      <c r="H171" s="25"/>
      <c r="I171" s="53"/>
      <c r="J171" s="134">
        <f>SUM(J169:J170)</f>
        <v>0</v>
      </c>
    </row>
    <row r="172" spans="1:10">
      <c r="J172" s="58"/>
    </row>
    <row r="173" spans="1:10">
      <c r="J173" s="58"/>
    </row>
    <row r="174" spans="1:10">
      <c r="A174" s="356" t="s">
        <v>19</v>
      </c>
      <c r="B174" s="357"/>
      <c r="C174" s="357"/>
      <c r="D174" s="357"/>
      <c r="E174" s="357"/>
      <c r="F174" s="357"/>
      <c r="G174" s="357"/>
      <c r="H174" s="358"/>
      <c r="J174" s="58"/>
    </row>
    <row r="175" spans="1:10" ht="25.5">
      <c r="A175" s="6" t="s">
        <v>18</v>
      </c>
      <c r="B175" s="98">
        <v>256000000</v>
      </c>
      <c r="C175" s="5"/>
      <c r="D175" s="5"/>
      <c r="E175" s="5"/>
      <c r="F175" s="5"/>
      <c r="G175" s="23" t="s">
        <v>17</v>
      </c>
      <c r="H175" s="22" t="s">
        <v>57</v>
      </c>
      <c r="J175" s="58"/>
    </row>
    <row r="176" spans="1:10">
      <c r="A176" s="6" t="s">
        <v>16</v>
      </c>
      <c r="B176" s="21">
        <f>G177/B175</f>
        <v>5.7421874999999997E-4</v>
      </c>
      <c r="C176" s="5"/>
      <c r="D176" s="5"/>
      <c r="E176" s="5"/>
      <c r="F176" s="5"/>
      <c r="G176" s="5" t="s">
        <v>142</v>
      </c>
      <c r="H176" s="5" t="s">
        <v>142</v>
      </c>
      <c r="I176" s="1" t="s">
        <v>95</v>
      </c>
      <c r="J176" s="1" t="s">
        <v>95</v>
      </c>
    </row>
    <row r="177" spans="1:10" ht="16.5">
      <c r="A177" s="6" t="s">
        <v>15</v>
      </c>
      <c r="B177" s="5"/>
      <c r="C177" s="5"/>
      <c r="D177" s="5"/>
      <c r="E177" s="5"/>
      <c r="F177" s="5"/>
      <c r="G177" s="277">
        <v>147000</v>
      </c>
      <c r="H177" s="20">
        <f>G177/(E$47*1000)</f>
        <v>0.03</v>
      </c>
      <c r="I177" s="277">
        <v>353000</v>
      </c>
      <c r="J177" s="20" t="e">
        <f>I177/B24/1000</f>
        <v>#DIV/0!</v>
      </c>
    </row>
    <row r="178" spans="1:10">
      <c r="A178" s="16"/>
      <c r="H178" s="12"/>
      <c r="J178" s="12"/>
    </row>
    <row r="179" spans="1:10">
      <c r="A179" s="16"/>
      <c r="F179" s="2"/>
      <c r="G179" s="63"/>
      <c r="H179" s="12"/>
      <c r="I179" s="63"/>
      <c r="J179" s="12"/>
    </row>
    <row r="180" spans="1:10">
      <c r="A180" s="373" t="s">
        <v>51</v>
      </c>
      <c r="B180" s="365"/>
      <c r="C180" s="5"/>
      <c r="D180" s="5"/>
      <c r="E180" s="5"/>
      <c r="F180" s="5"/>
      <c r="G180" s="5" t="s">
        <v>142</v>
      </c>
      <c r="H180" s="5" t="s">
        <v>142</v>
      </c>
      <c r="I180" s="5"/>
      <c r="J180" s="5"/>
    </row>
    <row r="181" spans="1:10" ht="16.5">
      <c r="A181" s="6" t="s">
        <v>14</v>
      </c>
      <c r="B181" s="5"/>
      <c r="C181" s="5"/>
      <c r="D181" s="5"/>
      <c r="E181" s="5"/>
      <c r="F181" s="5"/>
      <c r="G181" s="102">
        <v>27000</v>
      </c>
      <c r="H181" s="20">
        <f>G181/(E$47*1000)</f>
        <v>5.5102040816326532E-3</v>
      </c>
      <c r="I181" s="102">
        <v>75000</v>
      </c>
      <c r="J181" s="20" t="e">
        <f>I181/B24/1000</f>
        <v>#DIV/0!</v>
      </c>
    </row>
    <row r="182" spans="1:10">
      <c r="A182" s="6"/>
      <c r="B182" s="5"/>
      <c r="C182" s="5"/>
      <c r="D182" s="5"/>
      <c r="E182" s="5"/>
      <c r="F182" s="5"/>
      <c r="G182" s="5"/>
      <c r="H182" s="8"/>
      <c r="I182" s="5"/>
      <c r="J182" s="8"/>
    </row>
    <row r="183" spans="1:10">
      <c r="A183" s="373" t="s">
        <v>13</v>
      </c>
      <c r="B183" s="365"/>
      <c r="C183" s="5"/>
      <c r="D183" s="5"/>
      <c r="E183" s="5"/>
      <c r="F183" s="5"/>
      <c r="G183" s="5" t="s">
        <v>142</v>
      </c>
      <c r="H183" s="5" t="s">
        <v>142</v>
      </c>
      <c r="I183" s="5"/>
      <c r="J183" s="5"/>
    </row>
    <row r="184" spans="1:10" ht="16.5">
      <c r="A184" s="6" t="s">
        <v>12</v>
      </c>
      <c r="B184" s="5"/>
      <c r="C184" s="5"/>
      <c r="D184" s="5"/>
      <c r="E184" s="5"/>
      <c r="F184" s="5"/>
      <c r="G184" s="277">
        <v>55000</v>
      </c>
      <c r="H184" s="20">
        <f>G184/(E$47*1000)</f>
        <v>1.1224489795918367E-2</v>
      </c>
      <c r="I184" s="277">
        <v>57000</v>
      </c>
      <c r="J184" s="20" t="e">
        <f>I184/B24/1000</f>
        <v>#DIV/0!</v>
      </c>
    </row>
    <row r="185" spans="1:10">
      <c r="A185" s="11"/>
      <c r="B185" s="10"/>
      <c r="C185" s="19"/>
      <c r="D185" s="10"/>
      <c r="E185" s="10"/>
      <c r="F185" s="10"/>
      <c r="G185" s="10"/>
      <c r="H185" s="9"/>
      <c r="J185" s="58"/>
    </row>
    <row r="186" spans="1:10">
      <c r="C186" s="18"/>
      <c r="J186" s="58"/>
    </row>
    <row r="187" spans="1:10">
      <c r="J187" s="58"/>
    </row>
    <row r="188" spans="1:10">
      <c r="A188" s="55" t="s">
        <v>11</v>
      </c>
      <c r="B188" s="386" t="s">
        <v>10</v>
      </c>
      <c r="C188" s="386"/>
      <c r="D188" s="386"/>
      <c r="E188" s="386"/>
      <c r="F188" s="386"/>
      <c r="G188" s="386"/>
      <c r="H188" s="387"/>
      <c r="J188" s="58"/>
    </row>
    <row r="189" spans="1:10">
      <c r="A189" s="16"/>
      <c r="H189" s="12"/>
      <c r="J189" s="58"/>
    </row>
    <row r="190" spans="1:10">
      <c r="A190" s="16"/>
      <c r="B190" s="365" t="s">
        <v>9</v>
      </c>
      <c r="C190" s="365"/>
      <c r="D190" s="15">
        <f>B49</f>
        <v>4900</v>
      </c>
      <c r="E190" s="5"/>
      <c r="F190" s="365" t="s">
        <v>8</v>
      </c>
      <c r="G190" s="365"/>
      <c r="H190" s="17">
        <f>D190/D191</f>
        <v>4.8999999999999998E-3</v>
      </c>
      <c r="J190" s="58"/>
    </row>
    <row r="191" spans="1:10">
      <c r="A191" s="16"/>
      <c r="B191" s="365" t="s">
        <v>7</v>
      </c>
      <c r="C191" s="365"/>
      <c r="D191" s="15">
        <v>1000000</v>
      </c>
      <c r="E191" s="5"/>
      <c r="F191" s="5"/>
      <c r="G191" s="5"/>
      <c r="H191" s="14"/>
      <c r="J191" s="58"/>
    </row>
    <row r="193" spans="1:12" ht="33" customHeight="1">
      <c r="A193" s="6"/>
      <c r="B193" s="61" t="s">
        <v>82</v>
      </c>
      <c r="C193" s="61" t="s">
        <v>6</v>
      </c>
      <c r="D193" s="61" t="s">
        <v>75</v>
      </c>
      <c r="E193" s="193" t="s">
        <v>76</v>
      </c>
      <c r="F193" s="61" t="s">
        <v>63</v>
      </c>
      <c r="G193" s="61" t="s">
        <v>77</v>
      </c>
      <c r="H193" s="97" t="s">
        <v>78</v>
      </c>
      <c r="J193" s="58"/>
      <c r="K193" s="58"/>
      <c r="L193" s="58"/>
    </row>
    <row r="194" spans="1:12" ht="15">
      <c r="A194" s="6" t="s">
        <v>5</v>
      </c>
      <c r="B194" s="3">
        <f>C194/12</f>
        <v>0</v>
      </c>
      <c r="C194" s="250">
        <v>0</v>
      </c>
      <c r="D194" s="98">
        <f>ROUND($C$202/($C$202+$C$203)*12,0)*$B194</f>
        <v>0</v>
      </c>
      <c r="E194" s="194">
        <f>ROUND($C$203/($C$202+$C$203)*12,0)*$B194</f>
        <v>0</v>
      </c>
      <c r="F194" s="89">
        <f>$D194/$D$190/1000</f>
        <v>0</v>
      </c>
      <c r="G194" s="89">
        <f>$E194/$D$190/1000</f>
        <v>0</v>
      </c>
      <c r="H194" s="99">
        <f>SUM(F194:G194)</f>
        <v>0</v>
      </c>
      <c r="J194" s="58"/>
      <c r="K194" s="58"/>
      <c r="L194" s="58"/>
    </row>
    <row r="195" spans="1:12" ht="15">
      <c r="A195" s="6" t="s">
        <v>4</v>
      </c>
      <c r="B195" s="98">
        <f>C195/12</f>
        <v>95700</v>
      </c>
      <c r="C195" s="236">
        <f>+(95700*12)</f>
        <v>1148400</v>
      </c>
      <c r="D195" s="98">
        <f>ROUND($C$202/($C$202+$C$203)*12,0)*$B195</f>
        <v>1148400</v>
      </c>
      <c r="E195" s="194">
        <f>ROUND($C$203/($C$202+$C$203)*12,0)*$B195</f>
        <v>0</v>
      </c>
      <c r="F195" s="100">
        <f>$D195/D$190/1000</f>
        <v>0.23436734693877551</v>
      </c>
      <c r="G195" s="100">
        <f>$E195/$D$190/1000</f>
        <v>0</v>
      </c>
      <c r="H195" s="94">
        <f t="shared" ref="H195:H196" si="25">SUM(F195:G195)</f>
        <v>0.23436734693877551</v>
      </c>
      <c r="J195" s="58"/>
      <c r="K195" s="58"/>
      <c r="L195" s="58"/>
    </row>
    <row r="196" spans="1:12" ht="16.5">
      <c r="A196" s="6" t="s">
        <v>3</v>
      </c>
      <c r="B196" s="98">
        <f>C196/12</f>
        <v>22812.25</v>
      </c>
      <c r="C196" s="236">
        <f>(273747/12*12)</f>
        <v>273747</v>
      </c>
      <c r="D196" s="98">
        <f>ROUND($C$202/($C$202+$C$203)*12,0)*$B196</f>
        <v>273747</v>
      </c>
      <c r="E196" s="194">
        <f>ROUND($C$203/($C$202+$C$203)*12,0)*$B196</f>
        <v>0</v>
      </c>
      <c r="F196" s="88">
        <f>$D196/D$190/1000</f>
        <v>5.5866734693877554E-2</v>
      </c>
      <c r="G196" s="88">
        <f>$E196/$D$190/1000</f>
        <v>0</v>
      </c>
      <c r="H196" s="95">
        <f t="shared" si="25"/>
        <v>5.5866734693877554E-2</v>
      </c>
      <c r="J196" s="58"/>
      <c r="K196" s="58"/>
      <c r="L196" s="58"/>
    </row>
    <row r="197" spans="1:12">
      <c r="A197" s="6" t="s">
        <v>2</v>
      </c>
      <c r="F197" s="89">
        <f>SUM(F194:F196)</f>
        <v>0.29023408163265307</v>
      </c>
      <c r="G197" s="89">
        <f>SUM(G194:G196)</f>
        <v>0</v>
      </c>
      <c r="H197" s="99">
        <f>SUM(H194:H196)</f>
        <v>0.29023408163265307</v>
      </c>
      <c r="J197" s="58"/>
      <c r="K197" s="58"/>
      <c r="L197" s="58"/>
    </row>
    <row r="198" spans="1:12">
      <c r="A198" s="11"/>
      <c r="B198" s="10"/>
      <c r="C198" s="10"/>
      <c r="D198" s="10"/>
      <c r="E198" s="10"/>
      <c r="F198" s="10"/>
      <c r="G198" s="10"/>
      <c r="H198" s="9"/>
      <c r="J198" s="58"/>
      <c r="K198" s="58"/>
      <c r="L198" s="58"/>
    </row>
    <row r="199" spans="1:12">
      <c r="J199" s="58"/>
      <c r="K199" s="58"/>
      <c r="L199" s="58"/>
    </row>
    <row r="200" spans="1:12">
      <c r="J200" s="58"/>
      <c r="K200" s="58"/>
      <c r="L200" s="58"/>
    </row>
    <row r="201" spans="1:12">
      <c r="A201" s="356" t="s">
        <v>117</v>
      </c>
      <c r="B201" s="357"/>
      <c r="C201" s="357"/>
      <c r="D201" s="357"/>
      <c r="E201" s="357"/>
      <c r="F201" s="357"/>
      <c r="G201" s="357"/>
      <c r="H201" s="358"/>
      <c r="J201" s="58"/>
      <c r="K201" s="58"/>
      <c r="L201" s="58"/>
    </row>
    <row r="202" spans="1:12" ht="15">
      <c r="A202" s="6"/>
      <c r="B202" s="5" t="s">
        <v>73</v>
      </c>
      <c r="C202" s="104">
        <v>52</v>
      </c>
      <c r="D202" s="43" t="s">
        <v>110</v>
      </c>
      <c r="E202" s="237">
        <v>0.04</v>
      </c>
      <c r="F202" s="5" t="s">
        <v>83</v>
      </c>
      <c r="G202" s="5"/>
      <c r="H202" s="8"/>
      <c r="J202" s="58"/>
      <c r="K202" s="58"/>
      <c r="L202" s="58"/>
    </row>
    <row r="203" spans="1:12" ht="15">
      <c r="A203" s="6"/>
      <c r="B203" s="5" t="s">
        <v>72</v>
      </c>
      <c r="C203" s="104">
        <v>0</v>
      </c>
      <c r="E203" s="5"/>
      <c r="F203" s="5" t="s">
        <v>84</v>
      </c>
      <c r="G203" s="5"/>
      <c r="H203" s="8"/>
      <c r="J203" s="58"/>
      <c r="K203" s="58"/>
      <c r="L203" s="58"/>
    </row>
    <row r="204" spans="1:12" ht="15">
      <c r="A204" s="6"/>
      <c r="B204" s="5" t="s">
        <v>74</v>
      </c>
      <c r="C204" s="104">
        <v>40</v>
      </c>
      <c r="E204" s="5"/>
      <c r="F204" s="5" t="s">
        <v>0</v>
      </c>
      <c r="G204" s="5"/>
      <c r="H204" s="8"/>
      <c r="J204" s="58"/>
      <c r="K204" s="58"/>
      <c r="L204" s="58"/>
    </row>
    <row r="205" spans="1:12" ht="15">
      <c r="A205" s="6"/>
      <c r="B205" s="5" t="s">
        <v>1</v>
      </c>
      <c r="C205" s="105">
        <v>1.5</v>
      </c>
      <c r="E205" s="5"/>
      <c r="G205" s="5"/>
      <c r="H205" s="7"/>
      <c r="J205" s="58"/>
      <c r="K205" s="58"/>
      <c r="L205" s="58"/>
    </row>
    <row r="206" spans="1:12" ht="15">
      <c r="A206" s="25"/>
      <c r="B206" s="79" t="s">
        <v>52</v>
      </c>
      <c r="C206" s="237">
        <v>0.3</v>
      </c>
      <c r="D206" s="10"/>
      <c r="E206" s="53"/>
      <c r="F206" s="53"/>
      <c r="G206" s="53"/>
      <c r="H206" s="65"/>
      <c r="J206" s="58"/>
      <c r="K206" s="58"/>
      <c r="L206" s="58"/>
    </row>
    <row r="207" spans="1:12">
      <c r="B207" s="388"/>
      <c r="C207" s="388"/>
      <c r="D207" s="388"/>
      <c r="J207" s="58"/>
      <c r="K207" s="58" t="s">
        <v>121</v>
      </c>
      <c r="L207" s="58"/>
    </row>
    <row r="208" spans="1:12">
      <c r="A208" s="356" t="s">
        <v>118</v>
      </c>
      <c r="B208" s="357"/>
      <c r="C208" s="357"/>
      <c r="D208" s="357"/>
      <c r="E208" s="357"/>
      <c r="F208" s="357"/>
      <c r="G208" s="357"/>
      <c r="H208" s="358"/>
      <c r="J208" s="58"/>
      <c r="K208" s="58" t="s">
        <v>122</v>
      </c>
      <c r="L208" s="58">
        <f>52-C209</f>
        <v>43</v>
      </c>
    </row>
    <row r="209" spans="1:12" ht="15">
      <c r="A209" s="6"/>
      <c r="B209" s="5" t="s">
        <v>73</v>
      </c>
      <c r="C209" s="104">
        <v>9</v>
      </c>
      <c r="D209" s="43" t="s">
        <v>110</v>
      </c>
      <c r="E209" s="237">
        <v>0.04</v>
      </c>
      <c r="F209" s="5" t="s">
        <v>83</v>
      </c>
      <c r="G209" s="5"/>
      <c r="H209" s="8"/>
      <c r="J209" s="58"/>
      <c r="K209" s="58" t="s">
        <v>75</v>
      </c>
      <c r="L209" s="58">
        <f>E47*1000/52*L208</f>
        <v>4051923.076923077</v>
      </c>
    </row>
    <row r="210" spans="1:12" ht="15">
      <c r="A210" s="6"/>
      <c r="B210" s="5" t="s">
        <v>72</v>
      </c>
      <c r="C210" s="104">
        <v>0</v>
      </c>
      <c r="E210" s="5"/>
      <c r="F210" s="5" t="s">
        <v>84</v>
      </c>
      <c r="G210" s="5"/>
      <c r="H210" s="8"/>
      <c r="J210" s="58"/>
      <c r="K210" s="58" t="s">
        <v>123</v>
      </c>
      <c r="L210" s="288">
        <f>0.0315*L209</f>
        <v>127635.57692307692</v>
      </c>
    </row>
    <row r="211" spans="1:12" ht="15">
      <c r="A211" s="6"/>
      <c r="B211" s="5" t="s">
        <v>74</v>
      </c>
      <c r="C211" s="104">
        <v>40</v>
      </c>
      <c r="E211" s="5"/>
      <c r="F211" s="5" t="s">
        <v>0</v>
      </c>
      <c r="G211" s="5"/>
      <c r="H211" s="8"/>
      <c r="J211" s="58"/>
      <c r="K211" s="58"/>
      <c r="L211" s="58"/>
    </row>
    <row r="212" spans="1:12" ht="15">
      <c r="A212" s="6"/>
      <c r="B212" s="5" t="s">
        <v>1</v>
      </c>
      <c r="C212" s="105">
        <v>1.5</v>
      </c>
      <c r="E212" s="5"/>
      <c r="G212" s="5"/>
      <c r="H212" s="7"/>
      <c r="J212" s="58"/>
      <c r="K212" s="58"/>
      <c r="L212" s="58"/>
    </row>
    <row r="213" spans="1:12" ht="15">
      <c r="A213" s="25"/>
      <c r="B213" s="79" t="s">
        <v>52</v>
      </c>
      <c r="C213" s="237">
        <v>0.3</v>
      </c>
      <c r="D213" s="10"/>
      <c r="E213" s="53"/>
      <c r="F213" s="53"/>
      <c r="G213" s="53"/>
      <c r="H213" s="65"/>
      <c r="J213" s="58"/>
      <c r="K213" s="58"/>
      <c r="L213" s="58"/>
    </row>
  </sheetData>
  <mergeCells count="47">
    <mergeCell ref="A208:H208"/>
    <mergeCell ref="B188:H188"/>
    <mergeCell ref="B190:C190"/>
    <mergeCell ref="F190:G190"/>
    <mergeCell ref="B191:C191"/>
    <mergeCell ref="A201:H201"/>
    <mergeCell ref="B207:D207"/>
    <mergeCell ref="T121:AD121"/>
    <mergeCell ref="A183:B183"/>
    <mergeCell ref="B159:C159"/>
    <mergeCell ref="E159:F159"/>
    <mergeCell ref="H159:I159"/>
    <mergeCell ref="H160:I160"/>
    <mergeCell ref="B161:D161"/>
    <mergeCell ref="E161:G161"/>
    <mergeCell ref="H161:J161"/>
    <mergeCell ref="B167:D167"/>
    <mergeCell ref="E167:G167"/>
    <mergeCell ref="H167:J167"/>
    <mergeCell ref="A174:H174"/>
    <mergeCell ref="A180:B180"/>
    <mergeCell ref="B136:D136"/>
    <mergeCell ref="F136:H136"/>
    <mergeCell ref="B111:D111"/>
    <mergeCell ref="F111:H111"/>
    <mergeCell ref="J84:L84"/>
    <mergeCell ref="A98:H98"/>
    <mergeCell ref="B26:D26"/>
    <mergeCell ref="E26:G26"/>
    <mergeCell ref="H26:J26"/>
    <mergeCell ref="B51:K51"/>
    <mergeCell ref="C62:F62"/>
    <mergeCell ref="G62:K62"/>
    <mergeCell ref="B74:D74"/>
    <mergeCell ref="F74:H74"/>
    <mergeCell ref="B84:D84"/>
    <mergeCell ref="F84:H84"/>
    <mergeCell ref="F99:H100"/>
    <mergeCell ref="A100:E100"/>
    <mergeCell ref="A1:J1"/>
    <mergeCell ref="S1:AA1"/>
    <mergeCell ref="AL1:AQ1"/>
    <mergeCell ref="B3:D3"/>
    <mergeCell ref="E3:G3"/>
    <mergeCell ref="H3:J3"/>
    <mergeCell ref="N3:O3"/>
    <mergeCell ref="P3:Q3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1B69D-CF3B-4A7A-A302-8F09A4CF1377}">
  <dimension ref="A1:AX213"/>
  <sheetViews>
    <sheetView topLeftCell="A19" workbookViewId="0">
      <selection activeCell="E43" sqref="E43"/>
    </sheetView>
  </sheetViews>
  <sheetFormatPr defaultColWidth="10.7109375" defaultRowHeight="12.75" outlineLevelCol="1"/>
  <cols>
    <col min="1" max="1" width="37.28515625" style="1" bestFit="1" customWidth="1"/>
    <col min="2" max="2" width="16.7109375" style="1" customWidth="1"/>
    <col min="3" max="3" width="13.28515625" style="1" customWidth="1"/>
    <col min="4" max="4" width="13.5703125" style="1" customWidth="1"/>
    <col min="5" max="5" width="12.7109375" style="1" customWidth="1"/>
    <col min="6" max="6" width="12.42578125" style="1" customWidth="1"/>
    <col min="7" max="7" width="14.28515625" style="1" customWidth="1"/>
    <col min="8" max="8" width="12.7109375" style="1" customWidth="1"/>
    <col min="9" max="9" width="10.7109375" style="1"/>
    <col min="10" max="10" width="13" style="1" customWidth="1"/>
    <col min="11" max="11" width="12.28515625" style="1" customWidth="1"/>
    <col min="12" max="12" width="11.28515625" style="1" customWidth="1"/>
    <col min="13" max="13" width="21.7109375" style="1" customWidth="1"/>
    <col min="14" max="14" width="13.42578125" style="1" customWidth="1"/>
    <col min="15" max="15" width="10.7109375" style="1"/>
    <col min="16" max="16" width="12.28515625" style="1" customWidth="1"/>
    <col min="17" max="17" width="9.7109375" style="1" customWidth="1"/>
    <col min="18" max="18" width="2.7109375" style="1" customWidth="1"/>
    <col min="19" max="19" width="12.140625" style="1" bestFit="1" customWidth="1" outlineLevel="1"/>
    <col min="20" max="20" width="11.42578125" style="1" customWidth="1" outlineLevel="1"/>
    <col min="21" max="21" width="17.7109375" style="1" customWidth="1" outlineLevel="1"/>
    <col min="22" max="24" width="15.28515625" style="1" customWidth="1" outlineLevel="1"/>
    <col min="25" max="25" width="14.7109375" style="1" customWidth="1" outlineLevel="1"/>
    <col min="26" max="26" width="12.42578125" style="1" customWidth="1" outlineLevel="1"/>
    <col min="27" max="27" width="15.28515625" style="1" customWidth="1" outlineLevel="1"/>
    <col min="28" max="28" width="12.42578125" style="1" customWidth="1" outlineLevel="1"/>
    <col min="29" max="29" width="9.42578125" style="1" customWidth="1" outlineLevel="1"/>
    <col min="30" max="30" width="13.28515625" style="1" bestFit="1" customWidth="1" outlineLevel="1"/>
    <col min="31" max="31" width="13.28515625" style="1" customWidth="1" outlineLevel="1"/>
    <col min="32" max="32" width="9.5703125" style="1" bestFit="1" customWidth="1" outlineLevel="1"/>
    <col min="33" max="33" width="9.28515625" style="1" customWidth="1" outlineLevel="1"/>
    <col min="34" max="34" width="9.5703125" style="1" bestFit="1" customWidth="1" outlineLevel="1"/>
    <col min="35" max="35" width="12" style="1" customWidth="1" outlineLevel="1"/>
    <col min="36" max="36" width="11.7109375" style="1" customWidth="1" outlineLevel="1"/>
    <col min="37" max="37" width="12.28515625" style="1" customWidth="1" outlineLevel="1"/>
    <col min="38" max="38" width="11.42578125" style="1" customWidth="1" outlineLevel="1"/>
    <col min="39" max="39" width="12.42578125" style="1" customWidth="1" outlineLevel="1"/>
    <col min="40" max="40" width="12.28515625" style="1" customWidth="1" outlineLevel="1"/>
    <col min="41" max="41" width="12.5703125" style="1" customWidth="1" outlineLevel="1"/>
    <col min="42" max="42" width="12.42578125" style="1" customWidth="1" outlineLevel="1"/>
    <col min="43" max="43" width="14.28515625" style="1" customWidth="1" outlineLevel="1"/>
    <col min="44" max="44" width="10.28515625" style="1" customWidth="1" outlineLevel="1"/>
    <col min="45" max="45" width="11.5703125" style="1" customWidth="1" outlineLevel="1"/>
    <col min="46" max="46" width="11.42578125" style="1" customWidth="1" outlineLevel="1"/>
    <col min="47" max="48" width="12.7109375" style="1" customWidth="1" outlineLevel="1"/>
    <col min="49" max="49" width="11" style="1" customWidth="1" outlineLevel="1"/>
    <col min="50" max="50" width="12.7109375" style="1" customWidth="1" outlineLevel="1"/>
    <col min="51" max="250" width="8.7109375" style="1" customWidth="1"/>
    <col min="251" max="16384" width="10.7109375" style="1"/>
  </cols>
  <sheetData>
    <row r="1" spans="1:43" ht="18.75" customHeight="1">
      <c r="A1" s="344" t="s">
        <v>124</v>
      </c>
      <c r="B1" s="344"/>
      <c r="C1" s="344"/>
      <c r="D1" s="344"/>
      <c r="E1" s="344"/>
      <c r="F1" s="344"/>
      <c r="G1" s="344"/>
      <c r="H1" s="344"/>
      <c r="I1" s="344"/>
      <c r="J1" s="344"/>
      <c r="K1" s="91"/>
      <c r="L1" s="91"/>
      <c r="S1" s="345"/>
      <c r="T1" s="345"/>
      <c r="U1" s="345"/>
      <c r="V1" s="345"/>
      <c r="W1" s="345"/>
      <c r="X1" s="345"/>
      <c r="Y1" s="345"/>
      <c r="Z1" s="345"/>
      <c r="AA1" s="345"/>
      <c r="AB1" s="149"/>
      <c r="AC1" s="150"/>
      <c r="AD1" s="150"/>
      <c r="AE1" s="151"/>
      <c r="AF1" s="151"/>
      <c r="AG1" s="151"/>
      <c r="AH1" s="151"/>
      <c r="AI1" s="152"/>
      <c r="AJ1" s="151"/>
      <c r="AK1" s="152"/>
      <c r="AL1" s="346"/>
      <c r="AM1" s="346"/>
      <c r="AN1" s="346"/>
      <c r="AO1" s="346"/>
      <c r="AP1" s="346"/>
      <c r="AQ1" s="346"/>
    </row>
    <row r="2" spans="1:43" ht="36.6" customHeight="1">
      <c r="A2" s="56" t="s">
        <v>59</v>
      </c>
      <c r="B2" s="186"/>
      <c r="C2" s="56"/>
      <c r="D2" s="56"/>
      <c r="E2" s="56"/>
      <c r="F2" s="56"/>
      <c r="G2" s="56"/>
      <c r="H2" s="84"/>
      <c r="I2" s="92"/>
      <c r="J2" s="92"/>
      <c r="K2" s="92"/>
      <c r="L2" s="92"/>
      <c r="S2" s="155"/>
      <c r="T2" s="155"/>
      <c r="U2" s="155"/>
      <c r="V2" s="155"/>
      <c r="W2" s="155"/>
      <c r="X2" s="155"/>
      <c r="Y2" s="155"/>
      <c r="Z2" s="155"/>
      <c r="AA2" s="156"/>
      <c r="AB2" s="182"/>
      <c r="AC2" s="151"/>
      <c r="AD2" s="150"/>
      <c r="AE2" s="157"/>
      <c r="AF2" s="157"/>
      <c r="AG2" s="157"/>
      <c r="AH2" s="157"/>
      <c r="AI2" s="155"/>
      <c r="AJ2" s="157"/>
      <c r="AK2" s="158"/>
      <c r="AL2" s="159"/>
      <c r="AM2" s="234"/>
      <c r="AN2" s="234"/>
      <c r="AO2" s="155"/>
      <c r="AP2" s="155"/>
      <c r="AQ2" s="155"/>
    </row>
    <row r="3" spans="1:43" ht="18" customHeight="1">
      <c r="A3" s="64" t="s">
        <v>20</v>
      </c>
      <c r="B3" s="347" t="s">
        <v>91</v>
      </c>
      <c r="C3" s="348"/>
      <c r="D3" s="348"/>
      <c r="E3" s="347" t="s">
        <v>93</v>
      </c>
      <c r="F3" s="348"/>
      <c r="G3" s="348"/>
      <c r="H3" s="347" t="s">
        <v>94</v>
      </c>
      <c r="I3" s="348"/>
      <c r="J3" s="349"/>
      <c r="M3" s="252"/>
      <c r="N3" s="350"/>
      <c r="O3" s="350"/>
      <c r="P3" s="350"/>
      <c r="Q3" s="351"/>
      <c r="S3" s="160"/>
      <c r="T3" s="161"/>
      <c r="U3" s="160"/>
      <c r="V3" s="160"/>
      <c r="W3" s="160"/>
      <c r="X3" s="160"/>
      <c r="Y3" s="160"/>
      <c r="Z3" s="160"/>
      <c r="AA3" s="161"/>
      <c r="AB3" s="151"/>
      <c r="AC3" s="161"/>
      <c r="AD3" s="161"/>
      <c r="AE3" s="160"/>
      <c r="AF3" s="160"/>
      <c r="AG3" s="160"/>
      <c r="AH3" s="160"/>
      <c r="AI3" s="161"/>
      <c r="AJ3" s="160"/>
      <c r="AK3" s="161"/>
      <c r="AL3" s="161"/>
      <c r="AM3" s="161"/>
      <c r="AN3" s="161"/>
      <c r="AO3" s="161"/>
      <c r="AP3" s="161"/>
      <c r="AQ3" s="161"/>
    </row>
    <row r="4" spans="1:43" s="46" customFormat="1" ht="15">
      <c r="A4" s="66"/>
      <c r="B4" s="218" t="s">
        <v>143</v>
      </c>
      <c r="C4" s="219" t="s">
        <v>114</v>
      </c>
      <c r="D4" s="219" t="s">
        <v>88</v>
      </c>
      <c r="E4" s="218" t="str">
        <f>$B$4</f>
        <v>25 Standard</v>
      </c>
      <c r="F4" s="219" t="str">
        <f>+C4</f>
        <v>23 Actual</v>
      </c>
      <c r="G4" s="219" t="str">
        <f>+D4</f>
        <v>20 Standard</v>
      </c>
      <c r="H4" s="218" t="str">
        <f>+B4</f>
        <v>25 Standard</v>
      </c>
      <c r="I4" s="219" t="str">
        <f>+C4</f>
        <v>23 Actual</v>
      </c>
      <c r="J4" s="220" t="str">
        <f>+D4</f>
        <v>20 Standard</v>
      </c>
      <c r="M4" s="253"/>
      <c r="N4" s="254"/>
      <c r="O4" s="254"/>
      <c r="P4" s="254"/>
      <c r="Q4" s="255"/>
      <c r="S4" s="162"/>
      <c r="T4" s="163"/>
      <c r="U4" s="163"/>
      <c r="V4" s="163"/>
      <c r="W4" s="163"/>
      <c r="X4" s="163"/>
      <c r="Y4" s="163"/>
      <c r="Z4" s="163"/>
      <c r="AA4" s="164"/>
      <c r="AB4" s="165"/>
      <c r="AC4" s="166"/>
      <c r="AD4" s="164"/>
      <c r="AE4" s="164"/>
      <c r="AF4" s="164"/>
      <c r="AG4" s="164"/>
      <c r="AH4" s="164"/>
      <c r="AI4" s="163"/>
      <c r="AJ4" s="164"/>
      <c r="AK4" s="163"/>
      <c r="AL4" s="164"/>
      <c r="AM4" s="164"/>
      <c r="AN4" s="164"/>
      <c r="AO4" s="164"/>
      <c r="AP4" s="164"/>
      <c r="AQ4" s="164"/>
    </row>
    <row r="5" spans="1:43" s="46" customFormat="1">
      <c r="A5" s="66"/>
      <c r="B5" s="221"/>
      <c r="C5" s="202" t="s">
        <v>89</v>
      </c>
      <c r="D5" s="202"/>
      <c r="E5" s="221"/>
      <c r="F5" s="202" t="s">
        <v>89</v>
      </c>
      <c r="G5" s="202"/>
      <c r="H5" s="221"/>
      <c r="I5" s="202" t="s">
        <v>89</v>
      </c>
      <c r="J5" s="222"/>
      <c r="M5" s="253"/>
      <c r="N5" s="256"/>
      <c r="O5" s="256"/>
      <c r="P5" s="257"/>
      <c r="Q5" s="258"/>
      <c r="S5" s="162"/>
      <c r="T5" s="163"/>
      <c r="U5" s="163"/>
      <c r="V5" s="163"/>
      <c r="W5" s="163"/>
      <c r="X5" s="163"/>
      <c r="Y5" s="163"/>
      <c r="Z5" s="163"/>
      <c r="AA5" s="164"/>
      <c r="AB5" s="165"/>
      <c r="AC5" s="166"/>
      <c r="AD5" s="164"/>
      <c r="AE5" s="164"/>
      <c r="AF5" s="164"/>
      <c r="AG5" s="154"/>
      <c r="AH5" s="164"/>
      <c r="AI5" s="163"/>
      <c r="AJ5" s="164"/>
      <c r="AK5" s="163"/>
      <c r="AL5" s="164"/>
      <c r="AM5" s="164"/>
      <c r="AN5" s="164"/>
      <c r="AO5" s="164"/>
      <c r="AP5" s="164"/>
      <c r="AQ5" s="164"/>
    </row>
    <row r="6" spans="1:43">
      <c r="A6" s="30" t="s">
        <v>50</v>
      </c>
      <c r="B6" s="192">
        <f>IF(B24&lt;&gt;0,$D$82,0)</f>
        <v>6.5965817666666662E-2</v>
      </c>
      <c r="C6" s="192">
        <v>5.8500000000000003E-2</v>
      </c>
      <c r="D6" s="192">
        <v>4.1565810184720102E-2</v>
      </c>
      <c r="E6" s="204">
        <f>+H82</f>
        <v>0</v>
      </c>
      <c r="F6" s="192">
        <v>0</v>
      </c>
      <c r="G6" s="192">
        <v>0</v>
      </c>
      <c r="H6" s="204">
        <f>+D96</f>
        <v>0</v>
      </c>
      <c r="I6" s="192">
        <v>0</v>
      </c>
      <c r="J6" s="205">
        <v>0</v>
      </c>
      <c r="M6" s="259"/>
      <c r="N6" s="260"/>
      <c r="O6" s="261"/>
      <c r="P6" s="260"/>
      <c r="Q6" s="262"/>
      <c r="S6" s="167"/>
      <c r="T6" s="163"/>
      <c r="U6" s="163"/>
      <c r="V6" s="163"/>
      <c r="W6" s="163"/>
      <c r="X6" s="163"/>
      <c r="Y6" s="163"/>
      <c r="Z6" s="163"/>
      <c r="AA6" s="164"/>
      <c r="AB6" s="165"/>
      <c r="AC6" s="166"/>
      <c r="AD6" s="164"/>
      <c r="AE6" s="164"/>
      <c r="AF6" s="164"/>
      <c r="AG6" s="164"/>
      <c r="AH6" s="164"/>
      <c r="AI6" s="163"/>
      <c r="AJ6" s="164"/>
      <c r="AK6" s="163"/>
      <c r="AL6" s="164"/>
      <c r="AM6" s="164"/>
      <c r="AN6" s="164"/>
      <c r="AO6" s="164"/>
      <c r="AP6" s="164"/>
      <c r="AQ6" s="164"/>
    </row>
    <row r="7" spans="1:43" ht="15">
      <c r="A7" s="30" t="s">
        <v>27</v>
      </c>
      <c r="B7" s="192">
        <f>IF(B24&lt;&gt;0,$D$163,0)</f>
        <v>1.0128799999999999E-2</v>
      </c>
      <c r="C7" s="192">
        <v>1.0500000000000001E-2</v>
      </c>
      <c r="D7" s="192">
        <v>2.0277328909623641E-2</v>
      </c>
      <c r="E7" s="204">
        <f>G163</f>
        <v>1.983719966453169E-2</v>
      </c>
      <c r="F7" s="192">
        <v>0</v>
      </c>
      <c r="G7" s="192">
        <v>0</v>
      </c>
      <c r="H7" s="204">
        <f>J163</f>
        <v>1.983719966453169E-2</v>
      </c>
      <c r="I7" s="192">
        <v>0</v>
      </c>
      <c r="J7" s="205">
        <v>0</v>
      </c>
      <c r="M7" s="263"/>
      <c r="N7" s="264"/>
      <c r="O7" s="207"/>
      <c r="P7" s="264"/>
      <c r="Q7" s="208"/>
      <c r="S7" s="168"/>
      <c r="T7" s="168"/>
      <c r="U7" s="168"/>
      <c r="V7" s="168"/>
      <c r="W7" s="168"/>
      <c r="X7" s="168"/>
      <c r="Y7" s="168"/>
      <c r="Z7" s="168"/>
      <c r="AA7" s="168"/>
      <c r="AB7" s="165"/>
      <c r="AC7" s="166"/>
      <c r="AD7" s="169"/>
      <c r="AE7" s="170"/>
      <c r="AF7" s="171"/>
      <c r="AG7" s="171"/>
      <c r="AH7" s="171"/>
      <c r="AI7" s="168"/>
      <c r="AJ7" s="170"/>
      <c r="AK7" s="168"/>
      <c r="AL7" s="169"/>
      <c r="AM7" s="169"/>
      <c r="AN7" s="169"/>
      <c r="AO7" s="169"/>
      <c r="AP7" s="169"/>
      <c r="AQ7" s="169"/>
    </row>
    <row r="8" spans="1:43" ht="15">
      <c r="A8" s="6" t="s">
        <v>49</v>
      </c>
      <c r="B8" s="192">
        <f>IF(B24&lt;&gt;0,$D$164,0)</f>
        <v>2.5999999999999999E-2</v>
      </c>
      <c r="C8" s="192">
        <v>1.5599999999999999E-2</v>
      </c>
      <c r="D8" s="192">
        <v>1.4965000000000001E-2</v>
      </c>
      <c r="E8" s="204">
        <f>G164</f>
        <v>1.7100000000000001E-2</v>
      </c>
      <c r="F8" s="192">
        <v>0</v>
      </c>
      <c r="G8" s="192">
        <v>0</v>
      </c>
      <c r="H8" s="204">
        <f>J164</f>
        <v>1.7100000000000001E-2</v>
      </c>
      <c r="I8" s="192">
        <v>0</v>
      </c>
      <c r="J8" s="205">
        <v>0</v>
      </c>
      <c r="M8" s="263"/>
      <c r="N8" s="265"/>
      <c r="O8" s="266"/>
      <c r="P8" s="265"/>
      <c r="Q8" s="267"/>
      <c r="S8" s="168"/>
      <c r="T8" s="168"/>
      <c r="U8" s="168"/>
      <c r="V8" s="168"/>
      <c r="W8" s="168"/>
      <c r="X8" s="168"/>
      <c r="Y8" s="168"/>
      <c r="Z8" s="168"/>
      <c r="AA8" s="168"/>
      <c r="AB8" s="165"/>
      <c r="AC8" s="166"/>
      <c r="AD8" s="169"/>
      <c r="AE8" s="170"/>
      <c r="AF8" s="171"/>
      <c r="AG8" s="171"/>
      <c r="AH8" s="171"/>
      <c r="AI8" s="168"/>
      <c r="AJ8" s="170"/>
      <c r="AK8" s="168"/>
      <c r="AL8" s="169"/>
      <c r="AM8" s="169"/>
      <c r="AN8" s="169"/>
      <c r="AO8" s="169"/>
      <c r="AP8" s="169"/>
      <c r="AQ8" s="169"/>
    </row>
    <row r="9" spans="1:43">
      <c r="A9" s="30" t="s">
        <v>48</v>
      </c>
      <c r="B9" s="192">
        <f>IF(B24&lt;&gt;0,$J$177,0)</f>
        <v>1.1766666666666668E-2</v>
      </c>
      <c r="C9" s="192">
        <v>1.9199999999999998E-2</v>
      </c>
      <c r="D9" s="192">
        <v>1.591578947368421E-2</v>
      </c>
      <c r="E9" s="204">
        <f>$H$177</f>
        <v>0.03</v>
      </c>
      <c r="F9" s="192">
        <v>0</v>
      </c>
      <c r="G9" s="192">
        <v>0</v>
      </c>
      <c r="H9" s="204">
        <f>$H$177</f>
        <v>0.03</v>
      </c>
      <c r="I9" s="192">
        <v>0</v>
      </c>
      <c r="J9" s="205">
        <v>0</v>
      </c>
      <c r="M9" s="259"/>
      <c r="N9" s="260"/>
      <c r="O9" s="261"/>
      <c r="P9" s="268"/>
      <c r="Q9" s="262"/>
      <c r="S9" s="168"/>
      <c r="T9" s="168"/>
      <c r="U9" s="168"/>
      <c r="V9" s="168"/>
      <c r="W9" s="168"/>
      <c r="X9" s="168"/>
      <c r="Y9" s="168"/>
      <c r="Z9" s="168"/>
      <c r="AA9" s="168"/>
      <c r="AB9" s="165"/>
      <c r="AC9" s="166"/>
      <c r="AD9" s="169"/>
      <c r="AE9" s="170"/>
      <c r="AF9" s="171"/>
      <c r="AG9" s="171"/>
      <c r="AH9" s="171"/>
      <c r="AI9" s="168"/>
      <c r="AJ9" s="170"/>
      <c r="AK9" s="168"/>
      <c r="AL9" s="169"/>
      <c r="AM9" s="169"/>
      <c r="AN9" s="169"/>
      <c r="AO9" s="169"/>
      <c r="AP9" s="169"/>
      <c r="AQ9" s="169"/>
    </row>
    <row r="10" spans="1:43">
      <c r="A10" s="30" t="s">
        <v>47</v>
      </c>
      <c r="B10" s="192">
        <f>IF(B24&lt;&gt;0,$J$181,0)</f>
        <v>2.5000000000000001E-3</v>
      </c>
      <c r="C10" s="192">
        <v>8.0000000000000004E-4</v>
      </c>
      <c r="D10" s="192">
        <v>2.6315789473684214E-3</v>
      </c>
      <c r="E10" s="204">
        <f>$H$181</f>
        <v>5.5102040816326532E-3</v>
      </c>
      <c r="F10" s="192">
        <v>0</v>
      </c>
      <c r="G10" s="192">
        <v>0</v>
      </c>
      <c r="H10" s="204">
        <f>$H$181</f>
        <v>5.5102040816326532E-3</v>
      </c>
      <c r="I10" s="192">
        <v>0</v>
      </c>
      <c r="J10" s="205">
        <v>0</v>
      </c>
      <c r="M10" s="263"/>
      <c r="N10" s="260"/>
      <c r="O10" s="261"/>
      <c r="P10" s="260"/>
      <c r="Q10" s="262"/>
      <c r="S10" s="168"/>
      <c r="T10" s="168"/>
      <c r="U10" s="168"/>
      <c r="V10" s="168"/>
      <c r="W10" s="168"/>
      <c r="X10" s="168"/>
      <c r="Y10" s="168"/>
      <c r="Z10" s="168"/>
      <c r="AA10" s="168"/>
      <c r="AB10" s="165"/>
      <c r="AC10" s="166"/>
      <c r="AD10" s="169"/>
      <c r="AE10" s="170"/>
      <c r="AF10" s="171"/>
      <c r="AG10" s="171"/>
      <c r="AH10" s="171"/>
      <c r="AI10" s="168"/>
      <c r="AJ10" s="170"/>
      <c r="AK10" s="168"/>
      <c r="AL10" s="169"/>
      <c r="AM10" s="169"/>
      <c r="AN10" s="169"/>
      <c r="AO10" s="169"/>
      <c r="AP10" s="169"/>
      <c r="AQ10" s="169"/>
    </row>
    <row r="11" spans="1:43" ht="15">
      <c r="A11" s="30" t="s">
        <v>46</v>
      </c>
      <c r="B11" s="207">
        <f>IF(B24&lt;&gt;0,$J$184,0)</f>
        <v>1.9E-3</v>
      </c>
      <c r="C11" s="207">
        <v>5.7999999999999996E-3</v>
      </c>
      <c r="D11" s="207">
        <v>9.4736842105263147E-3</v>
      </c>
      <c r="E11" s="206">
        <f>$H$184</f>
        <v>1.1224489795918367E-2</v>
      </c>
      <c r="F11" s="207">
        <v>0</v>
      </c>
      <c r="G11" s="207">
        <v>0</v>
      </c>
      <c r="H11" s="206">
        <f>$H$184</f>
        <v>1.1224489795918367E-2</v>
      </c>
      <c r="I11" s="207">
        <v>0</v>
      </c>
      <c r="J11" s="208">
        <v>0</v>
      </c>
      <c r="M11" s="263"/>
      <c r="N11" s="269"/>
      <c r="O11" s="192"/>
      <c r="P11" s="269"/>
      <c r="Q11" s="205"/>
      <c r="S11" s="174"/>
      <c r="T11" s="174"/>
      <c r="U11" s="174"/>
      <c r="V11" s="174"/>
      <c r="W11" s="174"/>
      <c r="X11" s="174"/>
      <c r="Y11" s="174"/>
      <c r="Z11" s="174"/>
      <c r="AA11" s="174"/>
      <c r="AB11" s="165"/>
      <c r="AC11" s="166"/>
      <c r="AD11" s="169"/>
      <c r="AE11" s="170"/>
      <c r="AF11" s="175"/>
      <c r="AG11" s="175"/>
      <c r="AH11" s="175"/>
      <c r="AI11" s="174"/>
      <c r="AJ11" s="170"/>
      <c r="AK11" s="174"/>
      <c r="AL11" s="169"/>
      <c r="AM11" s="169"/>
      <c r="AN11" s="169"/>
      <c r="AO11" s="169"/>
      <c r="AP11" s="169"/>
      <c r="AQ11" s="169"/>
    </row>
    <row r="12" spans="1:43" ht="15">
      <c r="A12" s="30" t="s">
        <v>45</v>
      </c>
      <c r="B12" s="192">
        <f t="shared" ref="B12:D12" si="0">SUM(B6:B11)</f>
        <v>0.11826128433333331</v>
      </c>
      <c r="C12" s="192">
        <f t="shared" si="0"/>
        <v>0.1104</v>
      </c>
      <c r="D12" s="192">
        <f t="shared" si="0"/>
        <v>0.1048291917259227</v>
      </c>
      <c r="E12" s="204">
        <f>SUM(E6:E11)</f>
        <v>8.3671893542082695E-2</v>
      </c>
      <c r="F12" s="192">
        <f t="shared" ref="F12:G12" si="1">SUM(F6:F11)</f>
        <v>0</v>
      </c>
      <c r="G12" s="192">
        <f t="shared" si="1"/>
        <v>0</v>
      </c>
      <c r="H12" s="204">
        <f>SUM(H6:H11)</f>
        <v>8.3671893542082695E-2</v>
      </c>
      <c r="I12" s="192">
        <f t="shared" ref="I12:J12" si="2">SUM(I6:I11)</f>
        <v>0</v>
      </c>
      <c r="J12" s="205">
        <f t="shared" si="2"/>
        <v>0</v>
      </c>
      <c r="M12" s="263"/>
      <c r="N12" s="264"/>
      <c r="O12" s="207"/>
      <c r="P12" s="264"/>
      <c r="Q12" s="208"/>
      <c r="S12" s="168"/>
      <c r="T12" s="168"/>
      <c r="U12" s="168"/>
      <c r="V12" s="168"/>
      <c r="W12" s="168"/>
      <c r="X12" s="168"/>
      <c r="Y12" s="168"/>
      <c r="Z12" s="168"/>
      <c r="AA12" s="168"/>
      <c r="AB12" s="165"/>
      <c r="AC12" s="166"/>
      <c r="AD12" s="164"/>
      <c r="AE12" s="164"/>
      <c r="AF12" s="171"/>
      <c r="AG12" s="171"/>
      <c r="AH12" s="171"/>
      <c r="AI12" s="168"/>
      <c r="AJ12" s="164"/>
      <c r="AK12" s="168"/>
      <c r="AL12" s="164"/>
      <c r="AM12" s="164"/>
      <c r="AN12" s="164"/>
      <c r="AO12" s="164"/>
      <c r="AP12" s="164"/>
      <c r="AQ12" s="164"/>
    </row>
    <row r="13" spans="1:43" ht="15">
      <c r="A13" s="30"/>
      <c r="B13" s="204"/>
      <c r="C13" s="192"/>
      <c r="D13" s="192"/>
      <c r="E13" s="204"/>
      <c r="F13" s="192"/>
      <c r="G13" s="192"/>
      <c r="H13" s="204"/>
      <c r="I13" s="192"/>
      <c r="J13" s="205"/>
      <c r="M13" s="263"/>
      <c r="N13" s="265"/>
      <c r="O13" s="266"/>
      <c r="P13" s="265"/>
      <c r="Q13" s="267"/>
      <c r="S13" s="163"/>
      <c r="T13" s="163"/>
      <c r="U13" s="163"/>
      <c r="V13" s="163"/>
      <c r="W13" s="163"/>
      <c r="X13" s="163"/>
      <c r="Y13" s="163"/>
      <c r="Z13" s="163"/>
      <c r="AA13" s="164"/>
      <c r="AB13" s="165"/>
      <c r="AC13" s="166"/>
      <c r="AD13" s="164"/>
      <c r="AE13" s="164"/>
      <c r="AF13" s="167"/>
      <c r="AG13" s="167"/>
      <c r="AH13" s="167"/>
      <c r="AI13" s="163"/>
      <c r="AJ13" s="164"/>
      <c r="AK13" s="163"/>
      <c r="AL13" s="164"/>
      <c r="AM13" s="164"/>
      <c r="AN13" s="164"/>
      <c r="AO13" s="164"/>
      <c r="AP13" s="164"/>
      <c r="AQ13" s="164"/>
    </row>
    <row r="14" spans="1:43">
      <c r="A14" s="30" t="s">
        <v>31</v>
      </c>
      <c r="B14" s="192">
        <f>IF($B$24&lt;&gt;0,$F$152/B24/1000,0)</f>
        <v>8.496223007246376E-3</v>
      </c>
      <c r="C14" s="192">
        <v>2.46E-2</v>
      </c>
      <c r="D14" s="192">
        <v>7.3599375000000002E-3</v>
      </c>
      <c r="E14" s="204">
        <f>$D$124*$E$108/$B$49/1000</f>
        <v>1.306106392413699E-4</v>
      </c>
      <c r="F14" s="192">
        <v>0</v>
      </c>
      <c r="G14" s="192">
        <v>0</v>
      </c>
      <c r="H14" s="204">
        <f>$D$124*$E$108/$B$49/1000</f>
        <v>1.306106392413699E-4</v>
      </c>
      <c r="I14" s="192">
        <v>0</v>
      </c>
      <c r="J14" s="205">
        <v>0</v>
      </c>
      <c r="M14" s="259"/>
      <c r="N14" s="269"/>
      <c r="O14" s="270"/>
      <c r="P14" s="269"/>
      <c r="Q14" s="271"/>
      <c r="S14" s="168"/>
      <c r="T14" s="168"/>
      <c r="U14" s="168"/>
      <c r="V14" s="168"/>
      <c r="W14" s="168"/>
      <c r="X14" s="168"/>
      <c r="Y14" s="168"/>
      <c r="Z14" s="168"/>
      <c r="AA14" s="168"/>
      <c r="AB14" s="165"/>
      <c r="AC14" s="166"/>
      <c r="AD14" s="169"/>
      <c r="AE14" s="170"/>
      <c r="AF14" s="171"/>
      <c r="AG14" s="171"/>
      <c r="AH14" s="171"/>
      <c r="AI14" s="168"/>
      <c r="AJ14" s="170"/>
      <c r="AK14" s="168"/>
      <c r="AL14" s="169"/>
      <c r="AM14" s="169"/>
      <c r="AN14" s="169"/>
      <c r="AO14" s="169"/>
      <c r="AP14" s="169"/>
      <c r="AQ14" s="169"/>
    </row>
    <row r="15" spans="1:43">
      <c r="A15" s="30" t="s">
        <v>44</v>
      </c>
      <c r="B15" s="192">
        <f>IF($B$24&lt;&gt;0,$F$153/$B$24/1000,0)</f>
        <v>3.5945558876811588E-3</v>
      </c>
      <c r="C15" s="192">
        <v>8.9999999999999993E-3</v>
      </c>
      <c r="D15" s="192">
        <v>4.2419375E-3</v>
      </c>
      <c r="E15" s="204">
        <f>$H$124*$E$108/$B$49/1000</f>
        <v>0</v>
      </c>
      <c r="F15" s="192">
        <v>0</v>
      </c>
      <c r="G15" s="192">
        <v>0</v>
      </c>
      <c r="H15" s="204">
        <f>$H$124*$E$108/$B$49/1000</f>
        <v>0</v>
      </c>
      <c r="I15" s="192">
        <v>0</v>
      </c>
      <c r="J15" s="205">
        <v>0</v>
      </c>
      <c r="M15" s="263"/>
      <c r="N15" s="269"/>
      <c r="O15" s="268"/>
      <c r="P15" s="269"/>
      <c r="Q15" s="258"/>
      <c r="S15" s="176"/>
      <c r="T15" s="168"/>
      <c r="U15" s="168"/>
      <c r="V15" s="168"/>
      <c r="W15" s="168"/>
      <c r="X15" s="176"/>
      <c r="Y15" s="176"/>
      <c r="Z15" s="176"/>
      <c r="AA15" s="176"/>
      <c r="AB15" s="165"/>
      <c r="AC15" s="166"/>
      <c r="AD15" s="169"/>
      <c r="AE15" s="170"/>
      <c r="AF15" s="167"/>
      <c r="AG15" s="167"/>
      <c r="AH15" s="167"/>
      <c r="AI15" s="176"/>
      <c r="AJ15" s="170"/>
      <c r="AK15" s="176"/>
      <c r="AL15" s="169"/>
      <c r="AM15" s="169"/>
      <c r="AN15" s="169"/>
      <c r="AO15" s="169"/>
      <c r="AP15" s="169"/>
      <c r="AQ15" s="169"/>
    </row>
    <row r="16" spans="1:43">
      <c r="A16" s="30" t="s">
        <v>43</v>
      </c>
      <c r="B16" s="192">
        <f>IF($B$24&lt;&gt;0,$F$155/$B$24/1000,0)</f>
        <v>3.6987736684782604E-3</v>
      </c>
      <c r="C16" s="192">
        <v>7.9000000000000008E-3</v>
      </c>
      <c r="D16" s="192">
        <v>5.3897125000000002E-3</v>
      </c>
      <c r="E16" s="204">
        <f>$D$131*$E$108/$B$49/1000</f>
        <v>0</v>
      </c>
      <c r="F16" s="192">
        <v>0</v>
      </c>
      <c r="G16" s="192">
        <v>0</v>
      </c>
      <c r="H16" s="204">
        <f>$D$131*$E$108/$B$49/1000</f>
        <v>0</v>
      </c>
      <c r="I16" s="192">
        <v>0</v>
      </c>
      <c r="J16" s="205">
        <v>0</v>
      </c>
      <c r="M16" s="263"/>
      <c r="N16" s="269"/>
      <c r="O16" s="268"/>
      <c r="P16" s="269"/>
      <c r="Q16" s="258"/>
      <c r="S16" s="168"/>
      <c r="T16" s="168"/>
      <c r="U16" s="168"/>
      <c r="V16" s="168"/>
      <c r="W16" s="168"/>
      <c r="X16" s="168"/>
      <c r="Y16" s="168"/>
      <c r="Z16" s="168"/>
      <c r="AA16" s="176"/>
      <c r="AB16" s="165"/>
      <c r="AC16" s="166"/>
      <c r="AD16" s="169"/>
      <c r="AE16" s="170"/>
      <c r="AF16" s="171"/>
      <c r="AG16" s="171"/>
      <c r="AH16" s="171"/>
      <c r="AI16" s="168"/>
      <c r="AJ16" s="170"/>
      <c r="AK16" s="168"/>
      <c r="AL16" s="169"/>
      <c r="AM16" s="169"/>
      <c r="AN16" s="169"/>
      <c r="AO16" s="169"/>
      <c r="AP16" s="169"/>
      <c r="AQ16" s="169"/>
    </row>
    <row r="17" spans="1:10">
      <c r="A17" s="6" t="s">
        <v>5</v>
      </c>
      <c r="B17" s="192">
        <f>IF($B$24&lt;&gt;0,$F$154/$B$24/1000,0)</f>
        <v>2.3846666666666667E-4</v>
      </c>
      <c r="C17" s="192">
        <v>0</v>
      </c>
      <c r="D17" s="192">
        <v>2.6778947368421052E-3</v>
      </c>
      <c r="E17" s="204">
        <f>$F$194</f>
        <v>0</v>
      </c>
      <c r="F17" s="192">
        <v>0</v>
      </c>
      <c r="G17" s="192">
        <v>0</v>
      </c>
      <c r="H17" s="204">
        <f>$F$194</f>
        <v>0</v>
      </c>
      <c r="I17" s="192">
        <v>0</v>
      </c>
      <c r="J17" s="205">
        <v>0</v>
      </c>
    </row>
    <row r="18" spans="1:10">
      <c r="A18" s="6" t="s">
        <v>3</v>
      </c>
      <c r="B18" s="192">
        <f>IF($B$24&lt;&gt;0,$B$196/$B$49/1000,0)</f>
        <v>6.5364613180515763E-4</v>
      </c>
      <c r="C18" s="192">
        <v>2.7000000000000001E-3</v>
      </c>
      <c r="D18" s="192">
        <v>0.16719999999999999</v>
      </c>
      <c r="E18" s="204">
        <f>$F$196</f>
        <v>7.8437535816618907E-3</v>
      </c>
      <c r="F18" s="192">
        <v>0</v>
      </c>
      <c r="G18" s="192">
        <v>0</v>
      </c>
      <c r="H18" s="204">
        <f>$F$196</f>
        <v>7.8437535816618907E-3</v>
      </c>
      <c r="I18" s="192">
        <v>0</v>
      </c>
      <c r="J18" s="205">
        <v>0</v>
      </c>
    </row>
    <row r="19" spans="1:10" ht="15">
      <c r="A19" s="6" t="s">
        <v>4</v>
      </c>
      <c r="B19" s="207">
        <f>IF($B$24&lt;&gt;0,$B$195/$B$49/1000,0)</f>
        <v>2.7421203438395417E-3</v>
      </c>
      <c r="C19" s="207">
        <v>1.2E-2</v>
      </c>
      <c r="D19" s="207">
        <v>1.2884210526315788E-2</v>
      </c>
      <c r="E19" s="206">
        <f>$F$195</f>
        <v>3.2905444126074497E-2</v>
      </c>
      <c r="F19" s="207">
        <v>0</v>
      </c>
      <c r="G19" s="207">
        <v>0</v>
      </c>
      <c r="H19" s="206">
        <f>$F$195</f>
        <v>3.2905444126074497E-2</v>
      </c>
      <c r="I19" s="207">
        <v>0</v>
      </c>
      <c r="J19" s="208">
        <v>0</v>
      </c>
    </row>
    <row r="20" spans="1:10">
      <c r="A20" s="30" t="s">
        <v>42</v>
      </c>
      <c r="B20" s="192">
        <f t="shared" ref="B20:J20" si="3">SUM(B14:B19)</f>
        <v>1.9423785705717161E-2</v>
      </c>
      <c r="C20" s="192">
        <f t="shared" si="3"/>
        <v>5.62E-2</v>
      </c>
      <c r="D20" s="192">
        <f t="shared" si="3"/>
        <v>0.19975369276315788</v>
      </c>
      <c r="E20" s="204">
        <f t="shared" si="3"/>
        <v>4.0879808346977756E-2</v>
      </c>
      <c r="F20" s="192">
        <f t="shared" ref="F20:G20" si="4">SUM(F14:F19)</f>
        <v>0</v>
      </c>
      <c r="G20" s="192">
        <f t="shared" si="4"/>
        <v>0</v>
      </c>
      <c r="H20" s="204">
        <f t="shared" si="3"/>
        <v>4.0879808346977756E-2</v>
      </c>
      <c r="I20" s="192">
        <f t="shared" si="3"/>
        <v>0</v>
      </c>
      <c r="J20" s="205">
        <f t="shared" si="3"/>
        <v>0</v>
      </c>
    </row>
    <row r="21" spans="1:10">
      <c r="A21" s="6"/>
      <c r="B21" s="204"/>
      <c r="C21" s="192"/>
      <c r="D21" s="192"/>
      <c r="E21" s="204"/>
      <c r="F21" s="192"/>
      <c r="G21" s="192"/>
      <c r="H21" s="223"/>
      <c r="I21" s="192"/>
      <c r="J21" s="224"/>
    </row>
    <row r="22" spans="1:10">
      <c r="A22" s="30" t="s">
        <v>41</v>
      </c>
      <c r="B22" s="209">
        <f t="shared" ref="B22:J22" si="5">B12+B20</f>
        <v>0.13768507003905048</v>
      </c>
      <c r="C22" s="210">
        <f t="shared" si="5"/>
        <v>0.1666</v>
      </c>
      <c r="D22" s="210">
        <f t="shared" si="5"/>
        <v>0.30458288448908055</v>
      </c>
      <c r="E22" s="209">
        <f t="shared" si="5"/>
        <v>0.12455170188906045</v>
      </c>
      <c r="F22" s="210">
        <f t="shared" si="5"/>
        <v>0</v>
      </c>
      <c r="G22" s="210">
        <f t="shared" si="5"/>
        <v>0</v>
      </c>
      <c r="H22" s="209">
        <f t="shared" si="5"/>
        <v>0.12455170188906045</v>
      </c>
      <c r="I22" s="210">
        <f t="shared" si="5"/>
        <v>0</v>
      </c>
      <c r="J22" s="211">
        <f t="shared" si="5"/>
        <v>0</v>
      </c>
    </row>
    <row r="23" spans="1:10">
      <c r="A23" s="6"/>
      <c r="B23" s="212"/>
      <c r="C23" s="213"/>
      <c r="D23" s="213"/>
      <c r="E23" s="212"/>
      <c r="F23" s="213"/>
      <c r="G23" s="213"/>
      <c r="H23" s="212"/>
      <c r="I23" s="213"/>
      <c r="J23" s="225"/>
    </row>
    <row r="24" spans="1:10">
      <c r="A24" s="25" t="s">
        <v>40</v>
      </c>
      <c r="B24" s="215">
        <f>+B54</f>
        <v>30000</v>
      </c>
      <c r="C24" s="226">
        <v>0</v>
      </c>
      <c r="D24" s="226">
        <v>80000</v>
      </c>
      <c r="E24" s="215">
        <f>+B55</f>
        <v>0</v>
      </c>
      <c r="F24" s="226">
        <v>0</v>
      </c>
      <c r="G24" s="216">
        <v>0</v>
      </c>
      <c r="H24" s="215">
        <f>+B56</f>
        <v>0</v>
      </c>
      <c r="I24" s="226">
        <v>0</v>
      </c>
      <c r="J24" s="217">
        <v>0</v>
      </c>
    </row>
    <row r="25" spans="1:10">
      <c r="B25" s="49"/>
      <c r="C25" s="47"/>
      <c r="D25" s="47"/>
      <c r="E25" s="47"/>
      <c r="F25" s="48"/>
      <c r="G25" s="47"/>
      <c r="H25" s="47"/>
      <c r="J25" s="46"/>
    </row>
    <row r="26" spans="1:10" ht="18" customHeight="1">
      <c r="A26" s="64"/>
      <c r="B26" s="359" t="s">
        <v>92</v>
      </c>
      <c r="C26" s="360"/>
      <c r="D26" s="361"/>
      <c r="E26" s="347" t="s">
        <v>90</v>
      </c>
      <c r="F26" s="348"/>
      <c r="G26" s="348"/>
      <c r="H26" s="362" t="s">
        <v>20</v>
      </c>
      <c r="I26" s="363"/>
      <c r="J26" s="364"/>
    </row>
    <row r="27" spans="1:10" s="46" customFormat="1" ht="15">
      <c r="A27" s="66"/>
      <c r="B27" s="198" t="str">
        <f>$B$4</f>
        <v>25 Standard</v>
      </c>
      <c r="C27" s="199" t="str">
        <f>+C4</f>
        <v>23 Actual</v>
      </c>
      <c r="D27" s="200" t="str">
        <f>+D4</f>
        <v>20 Standard</v>
      </c>
      <c r="E27" s="218" t="s">
        <v>113</v>
      </c>
      <c r="F27" s="327" t="s">
        <v>114</v>
      </c>
      <c r="G27" s="219" t="s">
        <v>111</v>
      </c>
      <c r="H27" s="143" t="str">
        <f>+B27</f>
        <v>25 Standard</v>
      </c>
      <c r="I27" s="144" t="str">
        <f>+C27</f>
        <v>23 Actual</v>
      </c>
      <c r="J27" s="145" t="str">
        <f>+D27</f>
        <v>20 Standard</v>
      </c>
    </row>
    <row r="28" spans="1:10" s="46" customFormat="1">
      <c r="A28" s="66"/>
      <c r="B28" s="201"/>
      <c r="C28" s="202" t="s">
        <v>89</v>
      </c>
      <c r="D28" s="203"/>
      <c r="E28" s="201"/>
      <c r="F28" s="202" t="s">
        <v>102</v>
      </c>
      <c r="G28" s="203"/>
      <c r="H28" s="146"/>
      <c r="I28" s="137"/>
      <c r="J28" s="115"/>
    </row>
    <row r="29" spans="1:10">
      <c r="A29" s="30" t="s">
        <v>50</v>
      </c>
      <c r="B29" s="204">
        <f>D82</f>
        <v>6.5965817666666662E-2</v>
      </c>
      <c r="C29" s="192">
        <v>0</v>
      </c>
      <c r="D29" s="205">
        <v>0</v>
      </c>
      <c r="E29" s="192">
        <f>IF(E47&lt;&gt;0,$L$96,0)</f>
        <v>7.0852831853116985E-2</v>
      </c>
      <c r="F29" s="192">
        <v>7.8E-2</v>
      </c>
      <c r="G29" s="205">
        <v>6.0259679999999996E-2</v>
      </c>
      <c r="H29" s="138">
        <v>0</v>
      </c>
      <c r="I29" s="24">
        <v>0</v>
      </c>
      <c r="J29" s="94">
        <v>0</v>
      </c>
    </row>
    <row r="30" spans="1:10">
      <c r="A30" s="30" t="s">
        <v>27</v>
      </c>
      <c r="B30" s="204">
        <f>D169</f>
        <v>0</v>
      </c>
      <c r="C30" s="192">
        <v>0</v>
      </c>
      <c r="D30" s="205">
        <v>0</v>
      </c>
      <c r="E30" s="192">
        <f>IF(E47&lt;&gt;0,$G$169,0)</f>
        <v>4.3918811483700915E-2</v>
      </c>
      <c r="F30" s="192">
        <v>4.3200000000000002E-2</v>
      </c>
      <c r="G30" s="205">
        <v>2.6879417927194393E-2</v>
      </c>
      <c r="H30" s="138">
        <v>0</v>
      </c>
      <c r="I30" s="24">
        <v>0</v>
      </c>
      <c r="J30" s="94">
        <v>0</v>
      </c>
    </row>
    <row r="31" spans="1:10">
      <c r="A31" s="6" t="s">
        <v>49</v>
      </c>
      <c r="B31" s="204">
        <f>D170</f>
        <v>0</v>
      </c>
      <c r="C31" s="192">
        <v>0</v>
      </c>
      <c r="D31" s="205">
        <v>0</v>
      </c>
      <c r="E31" s="192">
        <f>IF(E47&lt;&gt;0,$G$170,0)</f>
        <v>2.5999999999999999E-2</v>
      </c>
      <c r="F31" s="192">
        <v>1.9E-2</v>
      </c>
      <c r="G31" s="205">
        <v>2.8566999999999999E-2</v>
      </c>
      <c r="H31" s="138">
        <f>J170</f>
        <v>0</v>
      </c>
      <c r="I31" s="24">
        <v>0</v>
      </c>
      <c r="J31" s="94">
        <v>0</v>
      </c>
    </row>
    <row r="32" spans="1:10">
      <c r="A32" s="30" t="s">
        <v>48</v>
      </c>
      <c r="B32" s="204">
        <f>IF($B$47&lt;&gt;0,$H$177,0)</f>
        <v>0</v>
      </c>
      <c r="C32" s="192">
        <v>0</v>
      </c>
      <c r="D32" s="205">
        <v>0</v>
      </c>
      <c r="E32" s="192">
        <f>IF(E47&lt;&gt;0,$H$177,0)</f>
        <v>0.03</v>
      </c>
      <c r="F32" s="192">
        <v>2.98E-2</v>
      </c>
      <c r="G32" s="205">
        <v>2.7777777777777776E-2</v>
      </c>
      <c r="H32" s="138">
        <v>0</v>
      </c>
      <c r="I32" s="24">
        <v>0</v>
      </c>
      <c r="J32" s="94">
        <v>0</v>
      </c>
    </row>
    <row r="33" spans="1:13">
      <c r="A33" s="30" t="s">
        <v>47</v>
      </c>
      <c r="B33" s="204">
        <f>IF($B$47&lt;&gt;0,$H$181,0)</f>
        <v>0</v>
      </c>
      <c r="C33" s="192">
        <v>0</v>
      </c>
      <c r="D33" s="205">
        <v>0</v>
      </c>
      <c r="E33" s="192">
        <f>IF(E47&lt;&gt;0,$H$181,0)</f>
        <v>5.5102040816326532E-3</v>
      </c>
      <c r="F33" s="192">
        <v>1.1999999999999999E-3</v>
      </c>
      <c r="G33" s="205">
        <v>6.9444444444444441E-3</v>
      </c>
      <c r="H33" s="138">
        <v>0</v>
      </c>
      <c r="I33" s="24">
        <v>0</v>
      </c>
      <c r="J33" s="94">
        <v>0</v>
      </c>
      <c r="K33" s="24"/>
      <c r="L33" s="24"/>
    </row>
    <row r="34" spans="1:13" ht="15">
      <c r="A34" s="30" t="s">
        <v>46</v>
      </c>
      <c r="B34" s="206">
        <f>IF($B$47&lt;&gt;0,$H$184,0)</f>
        <v>0</v>
      </c>
      <c r="C34" s="207">
        <v>0</v>
      </c>
      <c r="D34" s="208">
        <v>0</v>
      </c>
      <c r="E34" s="207">
        <f>IF(E47&lt;&gt;0,$H$184,0)</f>
        <v>1.1224489795918367E-2</v>
      </c>
      <c r="F34" s="207">
        <v>1.3899999999999999E-2</v>
      </c>
      <c r="G34" s="208">
        <v>1.2500000000000001E-2</v>
      </c>
      <c r="H34" s="139">
        <v>0</v>
      </c>
      <c r="I34" s="67">
        <v>0</v>
      </c>
      <c r="J34" s="95">
        <v>0</v>
      </c>
      <c r="K34" s="67"/>
      <c r="L34" s="67"/>
    </row>
    <row r="35" spans="1:13">
      <c r="A35" s="30" t="s">
        <v>45</v>
      </c>
      <c r="B35" s="204">
        <f>SUM(B29:B34)</f>
        <v>6.5965817666666662E-2</v>
      </c>
      <c r="C35" s="192">
        <f t="shared" ref="C35:D35" si="6">SUM(C29:C34)</f>
        <v>0</v>
      </c>
      <c r="D35" s="192">
        <f t="shared" si="6"/>
        <v>0</v>
      </c>
      <c r="E35" s="192">
        <f t="shared" ref="E35" si="7">SUM(E29:E34)</f>
        <v>0.18750633721436893</v>
      </c>
      <c r="F35" s="192">
        <f>SUM(F29:F34)</f>
        <v>0.18509999999999999</v>
      </c>
      <c r="G35" s="192">
        <f>SUM(G29:G34)</f>
        <v>0.16292832014941663</v>
      </c>
      <c r="H35" s="138">
        <f>SUM(H29:H34)</f>
        <v>0</v>
      </c>
      <c r="I35" s="24">
        <f t="shared" ref="I35" si="8">SUM(I29:I34)</f>
        <v>0</v>
      </c>
      <c r="J35" s="94">
        <f>SUM(J29:J34)</f>
        <v>0</v>
      </c>
      <c r="K35" s="24"/>
      <c r="L35" s="24"/>
    </row>
    <row r="36" spans="1:13">
      <c r="A36" s="30"/>
      <c r="B36" s="204"/>
      <c r="C36" s="192"/>
      <c r="D36" s="205"/>
      <c r="E36" s="204"/>
      <c r="F36" s="192"/>
      <c r="G36" s="205"/>
      <c r="H36" s="138"/>
      <c r="I36" s="24"/>
      <c r="J36" s="94"/>
      <c r="K36" s="24"/>
      <c r="L36" s="24"/>
    </row>
    <row r="37" spans="1:13">
      <c r="A37" s="30" t="s">
        <v>31</v>
      </c>
      <c r="B37" s="204">
        <f>$D$124*$E$108/$B$49/1000</f>
        <v>1.306106392413699E-4</v>
      </c>
      <c r="C37" s="192">
        <v>0</v>
      </c>
      <c r="D37" s="205">
        <v>0</v>
      </c>
      <c r="E37" s="192">
        <f>IF($E$47&lt;&gt;0,$F$127/$E$47/1000,0)</f>
        <v>4.0001507410106898E-2</v>
      </c>
      <c r="F37" s="192">
        <v>3.5299999999999998E-2</v>
      </c>
      <c r="G37" s="205">
        <v>2.1569210091743118E-2</v>
      </c>
      <c r="H37" s="138">
        <v>0</v>
      </c>
      <c r="I37" s="24">
        <v>0</v>
      </c>
      <c r="J37" s="94">
        <v>0</v>
      </c>
      <c r="K37" s="24"/>
      <c r="L37" s="24"/>
    </row>
    <row r="38" spans="1:13">
      <c r="A38" s="30" t="s">
        <v>44</v>
      </c>
      <c r="B38" s="204">
        <f>$H$124*$E$108/$B$49/1000</f>
        <v>0</v>
      </c>
      <c r="C38" s="192">
        <v>0</v>
      </c>
      <c r="D38" s="205">
        <v>0</v>
      </c>
      <c r="E38" s="192">
        <f>IF($E$47&lt;&gt;0,$F$128/$E$47/1000,0)</f>
        <v>4.806117346938775E-3</v>
      </c>
      <c r="F38" s="192">
        <v>6.7000000000000002E-3</v>
      </c>
      <c r="G38" s="205">
        <v>5.1700857142857144E-3</v>
      </c>
      <c r="H38" s="138">
        <v>0</v>
      </c>
      <c r="I38" s="24">
        <v>0</v>
      </c>
      <c r="J38" s="94">
        <v>0</v>
      </c>
      <c r="K38" s="24"/>
      <c r="L38" s="24"/>
    </row>
    <row r="39" spans="1:13">
      <c r="A39" s="30" t="s">
        <v>43</v>
      </c>
      <c r="B39" s="204">
        <f>$D$131*$E$108/$B$49/1000</f>
        <v>0</v>
      </c>
      <c r="C39" s="192">
        <v>0</v>
      </c>
      <c r="D39" s="205">
        <v>0</v>
      </c>
      <c r="E39" s="192">
        <f>IF($E$47&lt;&gt;0,$F$130/$E$47/1000,0)</f>
        <v>1.2994211179543245E-2</v>
      </c>
      <c r="F39" s="192">
        <v>1.12E-2</v>
      </c>
      <c r="G39" s="205">
        <v>8.0162316187989569E-3</v>
      </c>
      <c r="H39" s="138">
        <v>0</v>
      </c>
      <c r="I39" s="24">
        <v>0</v>
      </c>
      <c r="J39" s="94">
        <v>0</v>
      </c>
      <c r="K39" s="24"/>
      <c r="L39" s="24"/>
    </row>
    <row r="40" spans="1:13">
      <c r="A40" s="6" t="s">
        <v>5</v>
      </c>
      <c r="B40" s="204">
        <f>IF($B$49&lt;&gt;0,$F$194,0)</f>
        <v>0</v>
      </c>
      <c r="C40" s="192">
        <v>0</v>
      </c>
      <c r="D40" s="205">
        <v>0</v>
      </c>
      <c r="E40" s="192">
        <f>IF($E$47&lt;&gt;0,$F$129/$E$47/1000,0)</f>
        <v>0</v>
      </c>
      <c r="F40" s="192">
        <v>0</v>
      </c>
      <c r="G40" s="205">
        <v>4.7638888888888888E-4</v>
      </c>
      <c r="H40" s="138">
        <v>0</v>
      </c>
      <c r="I40" s="24">
        <v>0</v>
      </c>
      <c r="J40" s="94">
        <v>0</v>
      </c>
      <c r="K40" s="24"/>
      <c r="L40" s="24"/>
    </row>
    <row r="41" spans="1:13" ht="15">
      <c r="A41" s="6" t="s">
        <v>3</v>
      </c>
      <c r="B41" s="204">
        <f>IF($B$49&lt;&gt;0,$F$196,0)</f>
        <v>7.8437535816618907E-3</v>
      </c>
      <c r="C41" s="192">
        <v>0</v>
      </c>
      <c r="D41" s="205">
        <v>0</v>
      </c>
      <c r="E41" s="192">
        <f>IF($E$47&lt;&gt;0,$B$196/$B$49/1000/4,0)</f>
        <v>1.6341153295128941E-4</v>
      </c>
      <c r="F41" s="192">
        <v>8.5000000000000006E-3</v>
      </c>
      <c r="G41" s="205">
        <v>5.6777777777777781E-3</v>
      </c>
      <c r="H41" s="138">
        <v>0</v>
      </c>
      <c r="I41" s="24">
        <v>0</v>
      </c>
      <c r="J41" s="94">
        <v>0</v>
      </c>
      <c r="K41" s="67"/>
      <c r="L41" s="67"/>
    </row>
    <row r="42" spans="1:13" ht="15">
      <c r="A42" s="6" t="s">
        <v>4</v>
      </c>
      <c r="B42" s="206">
        <f>IF($B$49&lt;&gt;0,$F$195,0)</f>
        <v>3.2905444126074497E-2</v>
      </c>
      <c r="C42" s="207">
        <v>0</v>
      </c>
      <c r="D42" s="208">
        <v>0</v>
      </c>
      <c r="E42" s="207">
        <f>IF($E$47&lt;&gt;0,$B$195/$B$49/1000/4,0)</f>
        <v>6.8553008595988543E-4</v>
      </c>
      <c r="F42" s="207">
        <v>3.6200000000000003E-2</v>
      </c>
      <c r="G42" s="208">
        <v>2.5861111111111109E-2</v>
      </c>
      <c r="H42" s="139">
        <v>0</v>
      </c>
      <c r="I42" s="67">
        <v>0</v>
      </c>
      <c r="J42" s="95">
        <v>0</v>
      </c>
      <c r="K42" s="24"/>
      <c r="L42" s="24"/>
    </row>
    <row r="43" spans="1:13">
      <c r="A43" s="30" t="s">
        <v>42</v>
      </c>
      <c r="B43" s="204">
        <f t="shared" ref="B43:J43" si="9">SUM(B37:B42)</f>
        <v>4.0879808346977756E-2</v>
      </c>
      <c r="C43" s="192">
        <f t="shared" si="9"/>
        <v>0</v>
      </c>
      <c r="D43" s="192">
        <f t="shared" si="9"/>
        <v>0</v>
      </c>
      <c r="E43" s="192">
        <f t="shared" ref="E43" si="10">SUM(E37:E42)</f>
        <v>5.8650777555500098E-2</v>
      </c>
      <c r="F43" s="192">
        <f>SUM(F37:F42)</f>
        <v>9.7900000000000001E-2</v>
      </c>
      <c r="G43" s="192">
        <f t="shared" si="9"/>
        <v>6.6770805202605574E-2</v>
      </c>
      <c r="H43" s="138">
        <f t="shared" si="9"/>
        <v>0</v>
      </c>
      <c r="I43" s="24">
        <f t="shared" si="9"/>
        <v>0</v>
      </c>
      <c r="J43" s="94">
        <f t="shared" si="9"/>
        <v>0</v>
      </c>
      <c r="K43" s="24"/>
      <c r="L43" s="24"/>
    </row>
    <row r="44" spans="1:13">
      <c r="A44" s="76" t="s">
        <v>112</v>
      </c>
      <c r="B44" s="204"/>
      <c r="C44" s="192"/>
      <c r="D44" s="205"/>
      <c r="E44" s="328"/>
      <c r="F44" s="328">
        <v>-4.5499999999999999E-2</v>
      </c>
      <c r="G44" s="205"/>
      <c r="H44" s="138"/>
      <c r="I44" s="24"/>
      <c r="J44" s="94"/>
      <c r="K44" s="24"/>
      <c r="L44" s="24"/>
    </row>
    <row r="45" spans="1:13">
      <c r="A45" s="30" t="s">
        <v>41</v>
      </c>
      <c r="B45" s="209">
        <f>B35+B43</f>
        <v>0.10684562601364442</v>
      </c>
      <c r="C45" s="210">
        <f t="shared" ref="C45:J45" si="11">C35+C43</f>
        <v>0</v>
      </c>
      <c r="D45" s="211">
        <v>0.19962945623832437</v>
      </c>
      <c r="E45" s="210">
        <f>E35+E43+E44</f>
        <v>0.24615711476986904</v>
      </c>
      <c r="F45" s="210">
        <f>F35+F43+F44</f>
        <v>0.23749999999999999</v>
      </c>
      <c r="G45" s="211">
        <f>+G35+G43</f>
        <v>0.22969912535202219</v>
      </c>
      <c r="H45" s="140">
        <f t="shared" si="11"/>
        <v>0</v>
      </c>
      <c r="I45" s="124">
        <f t="shared" si="11"/>
        <v>0</v>
      </c>
      <c r="J45" s="125">
        <f t="shared" si="11"/>
        <v>0</v>
      </c>
      <c r="K45" s="116"/>
      <c r="L45" s="116">
        <f>E45-0.245</f>
        <v>1.1571147698690443E-3</v>
      </c>
      <c r="M45" s="1">
        <f>E47*1000*L45</f>
        <v>5669.8623723583169</v>
      </c>
    </row>
    <row r="46" spans="1:13">
      <c r="A46" s="6"/>
      <c r="B46" s="212"/>
      <c r="C46" s="213"/>
      <c r="D46" s="214"/>
      <c r="E46" s="212"/>
      <c r="F46" s="213"/>
      <c r="G46" s="214"/>
      <c r="H46" s="141"/>
      <c r="I46" s="24"/>
      <c r="J46" s="94"/>
      <c r="K46" s="47"/>
      <c r="L46" s="47"/>
      <c r="M46" s="1">
        <f>M45/12</f>
        <v>472.48853102985976</v>
      </c>
    </row>
    <row r="47" spans="1:13">
      <c r="A47" s="25" t="s">
        <v>40</v>
      </c>
      <c r="B47" s="215">
        <f>+B57</f>
        <v>0</v>
      </c>
      <c r="C47" s="216">
        <v>0</v>
      </c>
      <c r="D47" s="217">
        <v>0</v>
      </c>
      <c r="E47" s="215">
        <f>+B58</f>
        <v>4900</v>
      </c>
      <c r="F47" s="216">
        <v>15776</v>
      </c>
      <c r="G47" s="217">
        <v>36000</v>
      </c>
      <c r="H47" s="142">
        <f>+B59</f>
        <v>0</v>
      </c>
      <c r="I47" s="112">
        <v>0</v>
      </c>
      <c r="J47" s="147">
        <v>0</v>
      </c>
      <c r="K47" s="117"/>
      <c r="L47" s="117"/>
      <c r="M47" s="251"/>
    </row>
    <row r="49" spans="1:12">
      <c r="A49" s="68" t="s">
        <v>39</v>
      </c>
      <c r="B49" s="114">
        <f>B24+E24+H24+B47+E47+H47</f>
        <v>34900</v>
      </c>
      <c r="C49" s="126">
        <f>C24+F24+I24+C47+F47+I47</f>
        <v>15776</v>
      </c>
      <c r="D49" s="127">
        <f>D24+G24+J24+D47+G47+J47</f>
        <v>116000</v>
      </c>
      <c r="E49" s="113"/>
    </row>
    <row r="50" spans="1:12"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>
      <c r="A51" s="54" t="s">
        <v>38</v>
      </c>
      <c r="B51" s="365" t="s">
        <v>37</v>
      </c>
      <c r="C51" s="365"/>
      <c r="D51" s="365"/>
      <c r="E51" s="365"/>
      <c r="F51" s="365"/>
      <c r="G51" s="365"/>
      <c r="H51" s="365"/>
      <c r="I51" s="365"/>
      <c r="J51" s="365"/>
      <c r="K51" s="365"/>
      <c r="L51" s="12"/>
    </row>
    <row r="52" spans="1:12">
      <c r="A52" s="30"/>
      <c r="L52" s="12"/>
    </row>
    <row r="53" spans="1:12" ht="15">
      <c r="A53" s="82" t="s">
        <v>61</v>
      </c>
      <c r="B53" s="45" t="s">
        <v>62</v>
      </c>
      <c r="C53" s="45" t="s">
        <v>64</v>
      </c>
      <c r="D53" s="185"/>
      <c r="E53" s="5"/>
      <c r="F53" s="45"/>
      <c r="G53" s="5"/>
      <c r="H53" s="5"/>
      <c r="L53" s="12"/>
    </row>
    <row r="54" spans="1:12" ht="15">
      <c r="A54" s="30" t="s">
        <v>95</v>
      </c>
      <c r="B54" s="120">
        <f>'2025 Summary'!$D$10</f>
        <v>30000</v>
      </c>
      <c r="C54" s="129">
        <f>B54/$B$60</f>
        <v>0.85959885386819479</v>
      </c>
      <c r="D54" s="32"/>
      <c r="E54" s="5">
        <f>9*400000*7</f>
        <v>25200000</v>
      </c>
      <c r="F54" s="44"/>
      <c r="G54" s="5" t="s">
        <v>20</v>
      </c>
      <c r="H54" s="121"/>
      <c r="L54" s="12"/>
    </row>
    <row r="55" spans="1:12" ht="15">
      <c r="A55" s="30" t="s">
        <v>96</v>
      </c>
      <c r="B55" s="120">
        <v>0</v>
      </c>
      <c r="C55" s="129">
        <f t="shared" ref="C55:C60" si="12">B55/$B$60</f>
        <v>0</v>
      </c>
      <c r="D55" s="32"/>
      <c r="E55" s="5"/>
      <c r="F55" s="44"/>
      <c r="G55" s="5" t="s">
        <v>20</v>
      </c>
      <c r="H55" s="121"/>
      <c r="L55" s="12"/>
    </row>
    <row r="56" spans="1:12" ht="15">
      <c r="A56" s="30" t="s">
        <v>97</v>
      </c>
      <c r="B56" s="120">
        <v>0</v>
      </c>
      <c r="C56" s="129">
        <f t="shared" si="12"/>
        <v>0</v>
      </c>
      <c r="D56" s="32"/>
      <c r="E56" s="5"/>
      <c r="F56" s="5"/>
      <c r="G56" s="5"/>
      <c r="H56" s="5"/>
      <c r="L56" s="12"/>
    </row>
    <row r="57" spans="1:12" ht="15">
      <c r="A57" s="30" t="s">
        <v>92</v>
      </c>
      <c r="B57" s="120">
        <v>0</v>
      </c>
      <c r="C57" s="129">
        <f t="shared" si="12"/>
        <v>0</v>
      </c>
      <c r="D57" s="32"/>
      <c r="E57" s="5"/>
      <c r="F57" s="5"/>
      <c r="G57" s="5"/>
      <c r="H57" s="5"/>
      <c r="L57" s="12"/>
    </row>
    <row r="58" spans="1:12" ht="15">
      <c r="A58" s="30" t="s">
        <v>90</v>
      </c>
      <c r="B58" s="103">
        <f>'2025 Summary'!$E$10</f>
        <v>4900</v>
      </c>
      <c r="C58" s="129">
        <f t="shared" si="12"/>
        <v>0.14040114613180515</v>
      </c>
      <c r="D58" s="32"/>
      <c r="E58" s="5"/>
      <c r="F58" s="5"/>
      <c r="G58" s="5"/>
      <c r="H58" s="5"/>
      <c r="L58" s="12"/>
    </row>
    <row r="59" spans="1:12" ht="15">
      <c r="A59" s="30" t="s">
        <v>20</v>
      </c>
      <c r="B59" s="120">
        <v>0</v>
      </c>
      <c r="C59" s="130">
        <f t="shared" si="12"/>
        <v>0</v>
      </c>
      <c r="D59" s="32"/>
      <c r="E59" s="5"/>
      <c r="F59" s="5"/>
      <c r="G59" s="5"/>
      <c r="H59" s="5"/>
      <c r="L59" s="12"/>
    </row>
    <row r="60" spans="1:12">
      <c r="A60" s="83" t="s">
        <v>65</v>
      </c>
      <c r="B60" s="112">
        <f>SUM(B54:B59)</f>
        <v>34900</v>
      </c>
      <c r="C60" s="188">
        <f t="shared" si="12"/>
        <v>1</v>
      </c>
      <c r="D60" s="75"/>
      <c r="E60" s="53"/>
      <c r="F60" s="53"/>
      <c r="G60" s="53"/>
      <c r="H60" s="53"/>
      <c r="I60" s="10"/>
      <c r="J60" s="10"/>
      <c r="K60" s="10"/>
      <c r="L60" s="9"/>
    </row>
    <row r="61" spans="1:12">
      <c r="A61" s="16"/>
      <c r="B61" s="5"/>
      <c r="C61" s="5"/>
      <c r="D61" s="5"/>
      <c r="E61" s="5"/>
      <c r="F61" s="5"/>
      <c r="G61" s="5"/>
      <c r="H61" s="122"/>
      <c r="L61" s="12"/>
    </row>
    <row r="62" spans="1:12" ht="15" customHeight="1">
      <c r="A62" s="16"/>
      <c r="B62" s="5"/>
      <c r="C62" s="366" t="s">
        <v>35</v>
      </c>
      <c r="D62" s="366"/>
      <c r="E62" s="366"/>
      <c r="F62" s="366"/>
      <c r="G62" s="367" t="s">
        <v>60</v>
      </c>
      <c r="H62" s="367"/>
      <c r="I62" s="367"/>
      <c r="J62" s="367"/>
      <c r="K62" s="367"/>
      <c r="L62" s="233"/>
    </row>
    <row r="63" spans="1:12" s="36" customFormat="1" ht="15">
      <c r="A63" s="229" t="s">
        <v>66</v>
      </c>
      <c r="B63" s="101" t="s">
        <v>36</v>
      </c>
      <c r="C63" s="184" t="s">
        <v>95</v>
      </c>
      <c r="D63" s="197" t="s">
        <v>96</v>
      </c>
      <c r="E63" s="197" t="s">
        <v>97</v>
      </c>
      <c r="F63" s="197" t="s">
        <v>92</v>
      </c>
      <c r="G63" s="197" t="s">
        <v>98</v>
      </c>
      <c r="H63" s="184" t="s">
        <v>95</v>
      </c>
      <c r="I63" s="197" t="s">
        <v>96</v>
      </c>
      <c r="J63" s="197" t="s">
        <v>97</v>
      </c>
      <c r="K63" s="185" t="s">
        <v>92</v>
      </c>
      <c r="L63" s="197" t="s">
        <v>98</v>
      </c>
    </row>
    <row r="64" spans="1:12" s="36" customFormat="1" ht="15">
      <c r="A64" s="136" t="s">
        <v>71</v>
      </c>
      <c r="B64" s="235">
        <f>11.89*2</f>
        <v>23.78</v>
      </c>
      <c r="C64" s="248">
        <f>$C$76*H64</f>
        <v>0</v>
      </c>
      <c r="D64" s="248">
        <f>$C$86*I64</f>
        <v>0</v>
      </c>
      <c r="E64" s="248">
        <f>$G$86*J64</f>
        <v>0</v>
      </c>
      <c r="F64" s="248">
        <f>$K$86*K64</f>
        <v>0</v>
      </c>
      <c r="G64" s="109">
        <f>$K$86*L64</f>
        <v>0</v>
      </c>
      <c r="H64" s="246">
        <v>0</v>
      </c>
      <c r="I64" s="246">
        <v>0</v>
      </c>
      <c r="J64" s="246">
        <v>0</v>
      </c>
      <c r="K64" s="247">
        <v>0</v>
      </c>
      <c r="L64" s="187">
        <v>0</v>
      </c>
    </row>
    <row r="65" spans="1:12" s="36" customFormat="1" ht="15">
      <c r="A65" s="136"/>
      <c r="B65" s="120">
        <v>0</v>
      </c>
      <c r="C65" s="249">
        <f>$C$76*H65</f>
        <v>0</v>
      </c>
      <c r="D65" s="249">
        <f>$C$86*I65</f>
        <v>0</v>
      </c>
      <c r="E65" s="249">
        <f>$G$86*J65</f>
        <v>0</v>
      </c>
      <c r="F65" s="249">
        <f>$K$86*K65</f>
        <v>0</v>
      </c>
      <c r="G65" s="111">
        <f>$K$86*L65</f>
        <v>0</v>
      </c>
      <c r="H65" s="246">
        <v>0</v>
      </c>
      <c r="I65" s="246">
        <v>0</v>
      </c>
      <c r="J65" s="246">
        <v>0</v>
      </c>
      <c r="K65" s="247">
        <v>0</v>
      </c>
      <c r="L65" s="187">
        <v>0</v>
      </c>
    </row>
    <row r="66" spans="1:12" s="36" customFormat="1">
      <c r="A66" s="136"/>
      <c r="B66" s="42"/>
      <c r="C66" s="109">
        <f>SUM(C64:C65)</f>
        <v>0</v>
      </c>
      <c r="D66" s="109">
        <f>SUM(D64:D65)</f>
        <v>0</v>
      </c>
      <c r="E66" s="109">
        <f>SUM(E64:E65)</f>
        <v>0</v>
      </c>
      <c r="F66" s="109">
        <f>SUM(F64:F65)</f>
        <v>0</v>
      </c>
      <c r="G66" s="109">
        <f>SUM(G64:G65)</f>
        <v>0</v>
      </c>
      <c r="H66" s="80"/>
      <c r="I66" s="80"/>
      <c r="J66" s="80"/>
      <c r="K66" s="110"/>
      <c r="L66" s="110"/>
    </row>
    <row r="67" spans="1:12" s="36" customFormat="1">
      <c r="A67" s="230" t="s">
        <v>70</v>
      </c>
      <c r="B67" s="42"/>
      <c r="C67" s="109"/>
      <c r="D67" s="109"/>
      <c r="E67" s="109"/>
      <c r="F67" s="109"/>
      <c r="G67" s="109"/>
      <c r="H67" s="80"/>
      <c r="I67" s="80"/>
      <c r="J67" s="80"/>
      <c r="K67" s="110"/>
      <c r="L67" s="110"/>
    </row>
    <row r="68" spans="1:12" s="36" customFormat="1" ht="15">
      <c r="A68" s="136" t="s">
        <v>99</v>
      </c>
      <c r="B68" s="235">
        <v>0</v>
      </c>
      <c r="C68" s="248">
        <f>$C$77*H68</f>
        <v>0</v>
      </c>
      <c r="D68" s="248">
        <f>$C$87*I68</f>
        <v>0</v>
      </c>
      <c r="E68" s="248">
        <f>$G$87*J68</f>
        <v>0</v>
      </c>
      <c r="F68" s="248">
        <f t="shared" ref="F68:G71" si="13">$K$87*K68</f>
        <v>0</v>
      </c>
      <c r="G68" s="109">
        <f t="shared" si="13"/>
        <v>0</v>
      </c>
      <c r="H68" s="246">
        <v>0</v>
      </c>
      <c r="I68" s="246">
        <v>0</v>
      </c>
      <c r="J68" s="246">
        <v>0</v>
      </c>
      <c r="K68" s="247">
        <v>0</v>
      </c>
      <c r="L68" s="187">
        <v>0</v>
      </c>
    </row>
    <row r="69" spans="1:12" s="36" customFormat="1" ht="15">
      <c r="A69" s="136" t="s">
        <v>100</v>
      </c>
      <c r="B69" s="235">
        <f>116.72*2</f>
        <v>233.44</v>
      </c>
      <c r="C69" s="248">
        <f>$C$77*H69</f>
        <v>0</v>
      </c>
      <c r="D69" s="248">
        <f>$C$87*I69</f>
        <v>0</v>
      </c>
      <c r="E69" s="248">
        <f>$G$87*J69</f>
        <v>0</v>
      </c>
      <c r="F69" s="248">
        <f t="shared" si="13"/>
        <v>0</v>
      </c>
      <c r="G69" s="109">
        <f t="shared" si="13"/>
        <v>0</v>
      </c>
      <c r="H69" s="246">
        <v>0</v>
      </c>
      <c r="I69" s="246">
        <v>0</v>
      </c>
      <c r="J69" s="246">
        <v>0</v>
      </c>
      <c r="K69" s="247">
        <v>0</v>
      </c>
      <c r="L69" s="187">
        <v>0</v>
      </c>
    </row>
    <row r="70" spans="1:12" s="36" customFormat="1" ht="15">
      <c r="A70" s="136" t="s">
        <v>20</v>
      </c>
      <c r="B70" s="120">
        <v>0</v>
      </c>
      <c r="C70" s="248">
        <v>0</v>
      </c>
      <c r="D70" s="248">
        <f>$C$87*I70</f>
        <v>0</v>
      </c>
      <c r="E70" s="248">
        <f>$G$87*J70</f>
        <v>0</v>
      </c>
      <c r="F70" s="248">
        <f t="shared" si="13"/>
        <v>0</v>
      </c>
      <c r="G70" s="109">
        <f t="shared" si="13"/>
        <v>0</v>
      </c>
      <c r="H70" s="246">
        <v>0</v>
      </c>
      <c r="I70" s="246">
        <v>0</v>
      </c>
      <c r="J70" s="246">
        <v>0</v>
      </c>
      <c r="K70" s="247">
        <v>0</v>
      </c>
      <c r="L70" s="187">
        <v>0</v>
      </c>
    </row>
    <row r="71" spans="1:12" s="36" customFormat="1" ht="15">
      <c r="A71" s="136"/>
      <c r="B71" s="120">
        <v>0</v>
      </c>
      <c r="C71" s="249">
        <v>0</v>
      </c>
      <c r="D71" s="249">
        <f>$C$87*I71</f>
        <v>0</v>
      </c>
      <c r="E71" s="249">
        <f>$G$87*J71</f>
        <v>0</v>
      </c>
      <c r="F71" s="249">
        <f t="shared" si="13"/>
        <v>0</v>
      </c>
      <c r="G71" s="111">
        <f t="shared" si="13"/>
        <v>0</v>
      </c>
      <c r="H71" s="246">
        <v>0</v>
      </c>
      <c r="I71" s="246">
        <v>0</v>
      </c>
      <c r="J71" s="246">
        <v>0</v>
      </c>
      <c r="K71" s="247">
        <v>0</v>
      </c>
      <c r="L71" s="187">
        <v>0</v>
      </c>
    </row>
    <row r="72" spans="1:12" s="36" customFormat="1">
      <c r="A72" s="148"/>
      <c r="B72" s="42"/>
      <c r="C72" s="109">
        <f>SUM(C68:C71)</f>
        <v>0</v>
      </c>
      <c r="D72" s="109">
        <f>SUM(D68:D71)</f>
        <v>0</v>
      </c>
      <c r="E72" s="109">
        <f>SUM(E68:E71)</f>
        <v>0</v>
      </c>
      <c r="F72" s="109">
        <f>SUM(F68:F71)</f>
        <v>0</v>
      </c>
      <c r="G72" s="109">
        <f>SUM(G68:G71)</f>
        <v>0</v>
      </c>
      <c r="H72" s="80"/>
      <c r="I72" s="80"/>
      <c r="L72" s="119"/>
    </row>
    <row r="73" spans="1:12" s="36" customFormat="1">
      <c r="A73" s="148"/>
      <c r="B73" s="42"/>
      <c r="C73" s="109"/>
      <c r="D73" s="109"/>
      <c r="E73" s="109"/>
      <c r="F73" s="80"/>
      <c r="G73" s="80"/>
      <c r="H73" s="80"/>
      <c r="I73" s="80"/>
      <c r="L73" s="119"/>
    </row>
    <row r="74" spans="1:12" s="36" customFormat="1" ht="15">
      <c r="A74" s="6"/>
      <c r="B74" s="354" t="s">
        <v>95</v>
      </c>
      <c r="C74" s="354"/>
      <c r="D74" s="354"/>
      <c r="E74" s="37"/>
      <c r="F74" s="354" t="s">
        <v>96</v>
      </c>
      <c r="G74" s="354"/>
      <c r="H74" s="354"/>
      <c r="I74" s="185"/>
      <c r="L74" s="119"/>
    </row>
    <row r="75" spans="1:12" s="36" customFormat="1" ht="15" customHeight="1">
      <c r="A75" s="229"/>
      <c r="B75" s="278" t="s">
        <v>34</v>
      </c>
      <c r="C75" s="279" t="s">
        <v>35</v>
      </c>
      <c r="D75" s="35" t="s">
        <v>63</v>
      </c>
      <c r="E75" s="37"/>
      <c r="F75" s="35" t="s">
        <v>34</v>
      </c>
      <c r="G75" s="41" t="s">
        <v>35</v>
      </c>
      <c r="H75" s="35" t="s">
        <v>63</v>
      </c>
      <c r="I75" s="35"/>
      <c r="L75" s="119"/>
    </row>
    <row r="76" spans="1:12" s="36" customFormat="1" ht="15">
      <c r="A76" s="30" t="s">
        <v>66</v>
      </c>
      <c r="B76" s="280">
        <f>0.011</f>
        <v>1.0999999999999999E-2</v>
      </c>
      <c r="C76" s="242">
        <f>AVERAGE(3.6826,3.5997, 2.6808)</f>
        <v>3.3210333333333328</v>
      </c>
      <c r="D76" s="33">
        <f>B76*C76</f>
        <v>3.6531366666666662E-2</v>
      </c>
      <c r="F76" s="73">
        <v>0</v>
      </c>
      <c r="G76" s="118">
        <v>0</v>
      </c>
      <c r="H76" s="33">
        <f>F76*G76</f>
        <v>0</v>
      </c>
      <c r="I76" s="33"/>
      <c r="L76" s="119"/>
    </row>
    <row r="77" spans="1:12" s="36" customFormat="1" ht="15">
      <c r="A77" s="231" t="s">
        <v>69</v>
      </c>
      <c r="B77" s="272">
        <f>($B$68*$H$68+$B$69*$H$69+$B$70*$H$70+$B$71*$H$71)/2000</f>
        <v>0</v>
      </c>
      <c r="C77" s="242">
        <v>0</v>
      </c>
      <c r="D77" s="52">
        <f>B77*C77</f>
        <v>0</v>
      </c>
      <c r="F77" s="24">
        <f>($B$68*$L$68+$B$69*$L$69+$B$70*$L$70+$B$71*$L$71)/2000</f>
        <v>0</v>
      </c>
      <c r="G77" s="118">
        <v>0</v>
      </c>
      <c r="H77" s="52">
        <f>F77*G77</f>
        <v>0</v>
      </c>
      <c r="I77" s="52"/>
      <c r="L77" s="228"/>
    </row>
    <row r="78" spans="1:12" s="36" customFormat="1" ht="15">
      <c r="A78" s="30" t="s">
        <v>104</v>
      </c>
      <c r="B78" s="281">
        <v>1.8380000000000001</v>
      </c>
      <c r="C78" s="242">
        <v>8.0999999999999996E-3</v>
      </c>
      <c r="D78" s="52">
        <f>B78*C78</f>
        <v>1.48878E-2</v>
      </c>
      <c r="F78" s="24">
        <f>+B78</f>
        <v>1.8380000000000001</v>
      </c>
      <c r="G78" s="118">
        <v>0</v>
      </c>
      <c r="H78" s="52">
        <f>F78*G78</f>
        <v>0</v>
      </c>
      <c r="I78" s="52"/>
      <c r="L78" s="119"/>
    </row>
    <row r="79" spans="1:12" s="36" customFormat="1" ht="15">
      <c r="A79" s="30" t="s">
        <v>105</v>
      </c>
      <c r="B79" s="272">
        <f>750/1000</f>
        <v>0.75</v>
      </c>
      <c r="C79" s="242">
        <v>1.61E-2</v>
      </c>
      <c r="D79" s="52">
        <f t="shared" ref="D79:D80" si="14">B79*C79</f>
        <v>1.2074999999999999E-2</v>
      </c>
      <c r="F79" s="24">
        <f>+B79</f>
        <v>0.75</v>
      </c>
      <c r="G79" s="118">
        <v>0</v>
      </c>
      <c r="H79" s="52"/>
      <c r="I79" s="52"/>
      <c r="L79" s="119"/>
    </row>
    <row r="80" spans="1:12" s="36" customFormat="1" ht="16.5">
      <c r="A80" s="30" t="s">
        <v>103</v>
      </c>
      <c r="B80" s="272">
        <f>157.43/1000</f>
        <v>0.15743000000000001</v>
      </c>
      <c r="C80" s="242">
        <v>1.5699999999999999E-2</v>
      </c>
      <c r="D80" s="52">
        <f t="shared" si="14"/>
        <v>2.4716510000000001E-3</v>
      </c>
      <c r="F80" s="24">
        <f>+B80</f>
        <v>0.15743000000000001</v>
      </c>
      <c r="G80" s="118">
        <v>0</v>
      </c>
      <c r="H80" s="40">
        <v>0</v>
      </c>
      <c r="I80" s="40"/>
      <c r="L80" s="119"/>
    </row>
    <row r="82" spans="1:12" s="36" customFormat="1">
      <c r="A82" s="76" t="s">
        <v>67</v>
      </c>
      <c r="B82" s="74"/>
      <c r="C82" s="39"/>
      <c r="D82" s="38">
        <f>SUM(D76:D80)</f>
        <v>6.5965817666666662E-2</v>
      </c>
      <c r="F82" s="74"/>
      <c r="G82" s="39"/>
      <c r="H82" s="38">
        <f>SUM(H76:H80)</f>
        <v>0</v>
      </c>
      <c r="I82" s="38"/>
      <c r="L82" s="119"/>
    </row>
    <row r="83" spans="1:12" s="36" customFormat="1">
      <c r="A83" s="30"/>
      <c r="E83" s="37"/>
      <c r="F83" s="43"/>
      <c r="G83" s="42"/>
      <c r="H83" s="42"/>
      <c r="I83" s="42"/>
      <c r="L83" s="119"/>
    </row>
    <row r="84" spans="1:12" ht="15">
      <c r="A84" s="6"/>
      <c r="B84" s="354" t="s">
        <v>97</v>
      </c>
      <c r="C84" s="354"/>
      <c r="D84" s="354"/>
      <c r="E84" s="5"/>
      <c r="F84" s="354" t="s">
        <v>92</v>
      </c>
      <c r="G84" s="354"/>
      <c r="H84" s="354"/>
      <c r="I84" s="185"/>
      <c r="J84" s="354" t="s">
        <v>98</v>
      </c>
      <c r="K84" s="354"/>
      <c r="L84" s="355"/>
    </row>
    <row r="85" spans="1:12" ht="28.9" customHeight="1">
      <c r="A85" s="6"/>
      <c r="B85" s="35" t="s">
        <v>34</v>
      </c>
      <c r="C85" s="196" t="s">
        <v>101</v>
      </c>
      <c r="D85" s="35" t="s">
        <v>63</v>
      </c>
      <c r="F85" s="35" t="s">
        <v>34</v>
      </c>
      <c r="G85" s="41" t="s">
        <v>35</v>
      </c>
      <c r="H85" s="35" t="s">
        <v>63</v>
      </c>
      <c r="I85" s="35"/>
      <c r="J85" s="35" t="s">
        <v>34</v>
      </c>
      <c r="K85" s="41" t="s">
        <v>35</v>
      </c>
      <c r="L85" s="34" t="s">
        <v>63</v>
      </c>
    </row>
    <row r="86" spans="1:12" ht="15">
      <c r="A86" s="232" t="s">
        <v>68</v>
      </c>
      <c r="B86" s="73">
        <f>($B$64*$I$64+$B$65*$I$65)/2000</f>
        <v>0</v>
      </c>
      <c r="C86" s="118">
        <v>0</v>
      </c>
      <c r="D86" s="33">
        <f>B86*C86</f>
        <v>0</v>
      </c>
      <c r="F86" s="73">
        <f>($B$64*$J$64+$B$65*$J$65)/2000</f>
        <v>0</v>
      </c>
      <c r="G86" s="118">
        <v>0</v>
      </c>
      <c r="H86" s="89">
        <f>F86*G86</f>
        <v>0</v>
      </c>
      <c r="I86" s="89"/>
      <c r="J86" s="73">
        <f>($B$64*$K$64+$B$65*$K$65)/2000</f>
        <v>0</v>
      </c>
      <c r="K86" s="118">
        <v>0</v>
      </c>
      <c r="L86" s="50">
        <f>J86*K86</f>
        <v>0</v>
      </c>
    </row>
    <row r="87" spans="1:12" ht="15">
      <c r="A87" s="6" t="s">
        <v>69</v>
      </c>
      <c r="B87" s="24">
        <f>($B$68*$I$68+$B$69*$I$69+$B$70*$I$70+$B$71*$I$71)/2000</f>
        <v>0</v>
      </c>
      <c r="C87" s="118">
        <v>0</v>
      </c>
      <c r="D87" s="13">
        <f t="shared" ref="D87:D92" si="15">B87*C87</f>
        <v>0</v>
      </c>
      <c r="F87" s="24">
        <f>($B$68*$J$68+$B$69*$J$69+$B$70*$J$70+$B$71*$J$71)/2000</f>
        <v>0</v>
      </c>
      <c r="G87" s="118">
        <v>0</v>
      </c>
      <c r="H87" s="100">
        <f t="shared" ref="H87:H92" si="16">F87*G87</f>
        <v>0</v>
      </c>
      <c r="I87" s="13"/>
      <c r="J87" s="24">
        <f>($B$68*$K$68+$B$69*$K$69+$B$70*$K$70+$B$71*$K$71)/2000</f>
        <v>0</v>
      </c>
      <c r="K87" s="118">
        <v>0</v>
      </c>
      <c r="L87" s="31">
        <f t="shared" ref="L87:L94" si="17">J87*K87</f>
        <v>0</v>
      </c>
    </row>
    <row r="88" spans="1:12" ht="16.5">
      <c r="A88" s="30" t="s">
        <v>104</v>
      </c>
      <c r="B88" s="47">
        <v>2.54</v>
      </c>
      <c r="C88" s="118">
        <v>0</v>
      </c>
      <c r="D88" s="13">
        <f t="shared" si="15"/>
        <v>0</v>
      </c>
      <c r="F88" s="24">
        <f>+B88</f>
        <v>2.54</v>
      </c>
      <c r="G88" s="118">
        <v>0</v>
      </c>
      <c r="H88" s="100">
        <f t="shared" si="16"/>
        <v>0</v>
      </c>
      <c r="I88" s="88"/>
      <c r="J88" s="272">
        <v>1.964</v>
      </c>
      <c r="K88" s="118">
        <v>2.0848163962425278E-2</v>
      </c>
      <c r="L88" s="190">
        <f t="shared" si="17"/>
        <v>4.0945794022203247E-2</v>
      </c>
    </row>
    <row r="89" spans="1:12" ht="16.5">
      <c r="A89" s="30" t="s">
        <v>105</v>
      </c>
      <c r="B89" s="24">
        <f>750/1000</f>
        <v>0.75</v>
      </c>
      <c r="C89" s="118">
        <v>0</v>
      </c>
      <c r="D89" s="13">
        <f t="shared" si="15"/>
        <v>0</v>
      </c>
      <c r="F89" s="24">
        <f>+B89</f>
        <v>0.75</v>
      </c>
      <c r="G89" s="118">
        <v>0</v>
      </c>
      <c r="H89" s="100">
        <f t="shared" si="16"/>
        <v>0</v>
      </c>
      <c r="I89" s="88"/>
      <c r="J89" s="272">
        <v>0.59099999999999997</v>
      </c>
      <c r="K89" s="118">
        <v>3.101451750640478E-3</v>
      </c>
      <c r="L89" s="190">
        <f t="shared" si="17"/>
        <v>1.8329579846285225E-3</v>
      </c>
    </row>
    <row r="90" spans="1:12" ht="16.5">
      <c r="A90" s="30" t="s">
        <v>103</v>
      </c>
      <c r="B90" s="24">
        <f>157.43/1000</f>
        <v>0.15743000000000001</v>
      </c>
      <c r="C90" s="118">
        <v>0</v>
      </c>
      <c r="D90" s="13">
        <f t="shared" si="15"/>
        <v>0</v>
      </c>
      <c r="F90" s="24">
        <f>+B90</f>
        <v>0.15743000000000001</v>
      </c>
      <c r="G90" s="118">
        <v>0</v>
      </c>
      <c r="H90" s="100">
        <f t="shared" si="16"/>
        <v>0</v>
      </c>
      <c r="I90" s="88"/>
      <c r="J90" s="272">
        <v>0.105</v>
      </c>
      <c r="K90" s="118">
        <v>0.1</v>
      </c>
      <c r="L90" s="190">
        <f t="shared" si="17"/>
        <v>1.0500000000000001E-2</v>
      </c>
    </row>
    <row r="91" spans="1:12" ht="16.5">
      <c r="A91" s="30" t="s">
        <v>106</v>
      </c>
      <c r="B91" s="24"/>
      <c r="C91" s="118">
        <v>0</v>
      </c>
      <c r="D91" s="13">
        <f t="shared" si="15"/>
        <v>0</v>
      </c>
      <c r="F91" s="24">
        <f>+B91</f>
        <v>0</v>
      </c>
      <c r="G91" s="118">
        <v>0</v>
      </c>
      <c r="H91" s="100">
        <f t="shared" si="16"/>
        <v>0</v>
      </c>
      <c r="I91" s="88"/>
      <c r="J91" s="272">
        <v>1.0269999999999999</v>
      </c>
      <c r="K91" s="118">
        <v>2.1752348420153713E-3</v>
      </c>
      <c r="L91" s="190">
        <f t="shared" si="17"/>
        <v>2.2339661827497862E-3</v>
      </c>
    </row>
    <row r="92" spans="1:12" ht="16.5">
      <c r="A92" s="30" t="s">
        <v>107</v>
      </c>
      <c r="B92" s="24"/>
      <c r="C92" s="118">
        <v>0</v>
      </c>
      <c r="D92" s="13">
        <f t="shared" si="15"/>
        <v>0</v>
      </c>
      <c r="F92" s="24">
        <f>+B92</f>
        <v>0</v>
      </c>
      <c r="G92" s="118">
        <v>0</v>
      </c>
      <c r="H92" s="100">
        <f t="shared" si="16"/>
        <v>0</v>
      </c>
      <c r="I92" s="88"/>
      <c r="J92" s="272">
        <v>1.389</v>
      </c>
      <c r="K92" s="118">
        <v>2.3312553373185311E-3</v>
      </c>
      <c r="L92" s="190">
        <f t="shared" si="17"/>
        <v>3.2381136635354396E-3</v>
      </c>
    </row>
    <row r="93" spans="1:12" ht="16.5">
      <c r="A93" s="30" t="s">
        <v>108</v>
      </c>
      <c r="B93" s="239"/>
      <c r="C93" s="118"/>
      <c r="D93" s="13"/>
      <c r="F93" s="24"/>
      <c r="G93" s="118"/>
      <c r="H93" s="100"/>
      <c r="I93" s="88"/>
      <c r="J93" s="273">
        <v>18.84</v>
      </c>
      <c r="K93" s="118">
        <v>5.9999999999999995E-4</v>
      </c>
      <c r="L93" s="190">
        <f t="shared" si="17"/>
        <v>1.1303999999999998E-2</v>
      </c>
    </row>
    <row r="94" spans="1:12" ht="16.5">
      <c r="A94" s="30" t="s">
        <v>109</v>
      </c>
      <c r="B94" s="238"/>
      <c r="C94" s="118"/>
      <c r="D94" s="13"/>
      <c r="F94" s="24"/>
      <c r="G94" s="118"/>
      <c r="H94" s="100"/>
      <c r="I94" s="88"/>
      <c r="J94" s="274">
        <v>1.33</v>
      </c>
      <c r="K94" s="118">
        <v>5.9999999999999995E-4</v>
      </c>
      <c r="L94" s="190">
        <f t="shared" si="17"/>
        <v>7.9799999999999999E-4</v>
      </c>
    </row>
    <row r="95" spans="1:12" ht="16.5">
      <c r="A95" s="30"/>
      <c r="B95" s="191"/>
      <c r="C95" s="191"/>
      <c r="D95" s="40">
        <v>0</v>
      </c>
      <c r="F95" s="191"/>
      <c r="G95" s="191"/>
      <c r="H95" s="40">
        <v>0</v>
      </c>
      <c r="I95" s="88"/>
      <c r="J95" s="191"/>
      <c r="K95" s="191"/>
      <c r="L95" s="240">
        <v>0</v>
      </c>
    </row>
    <row r="96" spans="1:12">
      <c r="A96" s="83" t="s">
        <v>67</v>
      </c>
      <c r="B96" s="53"/>
      <c r="C96" s="75"/>
      <c r="D96" s="189">
        <f>SUM(D86:D95)</f>
        <v>0</v>
      </c>
      <c r="E96" s="53"/>
      <c r="F96" s="53"/>
      <c r="G96" s="75"/>
      <c r="H96" s="189">
        <f>SUM(H86:H95)</f>
        <v>0</v>
      </c>
      <c r="I96" s="123"/>
      <c r="J96" s="53"/>
      <c r="K96" s="75"/>
      <c r="L96" s="241">
        <f>SUM(L86:L95)</f>
        <v>7.0852831853116985E-2</v>
      </c>
    </row>
    <row r="98" spans="1:9">
      <c r="A98" s="356" t="s">
        <v>33</v>
      </c>
      <c r="B98" s="357"/>
      <c r="C98" s="357"/>
      <c r="D98" s="357"/>
      <c r="E98" s="357"/>
      <c r="F98" s="357"/>
      <c r="G98" s="357"/>
      <c r="H98" s="358"/>
    </row>
    <row r="99" spans="1:9" ht="14.65" customHeight="1">
      <c r="A99" s="71"/>
      <c r="B99" s="72"/>
      <c r="C99" s="72"/>
      <c r="D99" s="72"/>
      <c r="E99" s="72"/>
      <c r="F99" s="368" t="s">
        <v>53</v>
      </c>
      <c r="G99" s="368"/>
      <c r="H99" s="369"/>
    </row>
    <row r="100" spans="1:9" ht="15">
      <c r="A100" s="370" t="s">
        <v>55</v>
      </c>
      <c r="B100" s="371"/>
      <c r="C100" s="371"/>
      <c r="D100" s="371"/>
      <c r="E100" s="371"/>
      <c r="F100" s="368"/>
      <c r="G100" s="368"/>
      <c r="H100" s="369"/>
    </row>
    <row r="101" spans="1:9" ht="16.5">
      <c r="A101" s="16"/>
      <c r="B101" s="185" t="s">
        <v>56</v>
      </c>
      <c r="C101" s="185" t="s">
        <v>85</v>
      </c>
      <c r="D101" s="185" t="s">
        <v>32</v>
      </c>
      <c r="E101" s="185" t="s">
        <v>54</v>
      </c>
      <c r="F101" s="103">
        <v>1</v>
      </c>
      <c r="G101" s="128" t="s">
        <v>58</v>
      </c>
      <c r="H101" s="85">
        <f>(F101*C202*C204)+((F101*C202*C204*D113))</f>
        <v>345498296</v>
      </c>
    </row>
    <row r="102" spans="1:9" ht="15">
      <c r="A102" s="30" t="s">
        <v>95</v>
      </c>
      <c r="B102" s="28">
        <f>B54</f>
        <v>30000</v>
      </c>
      <c r="C102" s="286">
        <v>550</v>
      </c>
      <c r="D102" s="28">
        <f>B102/C102</f>
        <v>54.545454545454547</v>
      </c>
      <c r="E102" s="21">
        <f t="shared" ref="E102:E108" si="18">D102/D$108</f>
        <v>0.55045871559633031</v>
      </c>
      <c r="F102" s="86">
        <f>(F101*C202*C204*C116)+((F101*C202*C204*D113)*C118)</f>
        <v>18643340.973099794</v>
      </c>
      <c r="G102" s="5" t="s">
        <v>29</v>
      </c>
      <c r="H102" s="87">
        <f>F102/$H$101</f>
        <v>5.3960732046851527E-2</v>
      </c>
      <c r="I102" s="287" t="s">
        <v>120</v>
      </c>
    </row>
    <row r="103" spans="1:9" ht="15">
      <c r="A103" s="30" t="s">
        <v>96</v>
      </c>
      <c r="B103" s="43">
        <f t="shared" ref="B103:B107" si="19">B55</f>
        <v>0</v>
      </c>
      <c r="C103" s="108">
        <v>0</v>
      </c>
      <c r="D103" s="28">
        <v>0</v>
      </c>
      <c r="E103" s="21">
        <f t="shared" si="18"/>
        <v>0</v>
      </c>
      <c r="F103" s="195">
        <f>F102*C206</f>
        <v>5593002.2919299379</v>
      </c>
      <c r="G103" s="5" t="s">
        <v>28</v>
      </c>
      <c r="H103" s="87">
        <f>F103/$H$101</f>
        <v>1.6188219614055456E-2</v>
      </c>
    </row>
    <row r="104" spans="1:9" ht="15">
      <c r="A104" s="30" t="s">
        <v>97</v>
      </c>
      <c r="B104" s="43">
        <f t="shared" si="19"/>
        <v>0</v>
      </c>
      <c r="C104" s="108">
        <v>0</v>
      </c>
      <c r="D104" s="28">
        <v>0</v>
      </c>
      <c r="E104" s="21">
        <f t="shared" si="18"/>
        <v>0</v>
      </c>
      <c r="F104" s="86"/>
      <c r="G104" s="5"/>
      <c r="H104" s="87"/>
    </row>
    <row r="105" spans="1:9" ht="15">
      <c r="A105" s="30" t="s">
        <v>92</v>
      </c>
      <c r="B105" s="43">
        <f t="shared" si="19"/>
        <v>0</v>
      </c>
      <c r="C105" s="108">
        <v>0</v>
      </c>
      <c r="D105" s="28">
        <v>0</v>
      </c>
      <c r="E105" s="21">
        <f t="shared" si="18"/>
        <v>0</v>
      </c>
      <c r="F105" s="86"/>
      <c r="G105" s="5"/>
      <c r="H105" s="87"/>
    </row>
    <row r="106" spans="1:9" ht="15">
      <c r="A106" s="30" t="s">
        <v>90</v>
      </c>
      <c r="B106" s="43">
        <f t="shared" si="19"/>
        <v>4900</v>
      </c>
      <c r="C106" s="286">
        <v>110</v>
      </c>
      <c r="D106" s="28">
        <f t="shared" ref="D106" si="20">B106/C106</f>
        <v>44.545454545454547</v>
      </c>
      <c r="E106" s="21">
        <f>D106/D$108</f>
        <v>0.44954128440366975</v>
      </c>
      <c r="F106" s="86"/>
      <c r="G106" s="5"/>
      <c r="H106" s="87"/>
      <c r="I106" s="287" t="s">
        <v>119</v>
      </c>
    </row>
    <row r="107" spans="1:9" ht="15">
      <c r="A107" s="83" t="s">
        <v>20</v>
      </c>
      <c r="B107" s="112">
        <f t="shared" si="19"/>
        <v>0</v>
      </c>
      <c r="C107" s="108">
        <v>0</v>
      </c>
      <c r="D107" s="106">
        <v>0</v>
      </c>
      <c r="E107" s="107">
        <f t="shared" si="18"/>
        <v>0</v>
      </c>
      <c r="H107" s="12"/>
    </row>
    <row r="108" spans="1:9">
      <c r="A108" s="96"/>
      <c r="B108" s="69">
        <f>SUM(B102:B107)</f>
        <v>34900</v>
      </c>
      <c r="C108" s="70">
        <f>B108/D108</f>
        <v>352.20183486238534</v>
      </c>
      <c r="D108" s="70">
        <f>SUM(D102:D107)</f>
        <v>99.090909090909093</v>
      </c>
      <c r="E108" s="314">
        <f t="shared" si="18"/>
        <v>1</v>
      </c>
      <c r="H108" s="27"/>
    </row>
    <row r="109" spans="1:9">
      <c r="A109" s="315" t="s">
        <v>115</v>
      </c>
      <c r="B109" s="69"/>
      <c r="C109" s="70"/>
      <c r="D109" s="70"/>
      <c r="E109" s="314"/>
      <c r="F109" s="4"/>
      <c r="G109" s="4"/>
      <c r="H109" s="316"/>
    </row>
    <row r="110" spans="1:9" ht="15">
      <c r="A110" s="6"/>
      <c r="B110" s="289"/>
      <c r="C110" s="289"/>
      <c r="D110" s="289"/>
      <c r="E110" s="289"/>
      <c r="F110" s="289"/>
      <c r="G110" s="289"/>
      <c r="H110" s="290"/>
    </row>
    <row r="111" spans="1:9">
      <c r="A111" s="6"/>
      <c r="B111" s="352"/>
      <c r="C111" s="352"/>
      <c r="D111" s="352"/>
      <c r="F111" s="352"/>
      <c r="G111" s="352"/>
      <c r="H111" s="353"/>
    </row>
    <row r="112" spans="1:9" ht="15">
      <c r="A112" s="6"/>
      <c r="B112" t="s">
        <v>125</v>
      </c>
      <c r="C112" t="s">
        <v>126</v>
      </c>
      <c r="D112" t="s">
        <v>127</v>
      </c>
      <c r="E112" t="s">
        <v>128</v>
      </c>
      <c r="F112" s="317" t="s">
        <v>129</v>
      </c>
      <c r="G112" s="317" t="s">
        <v>130</v>
      </c>
      <c r="H112" s="291" t="s">
        <v>131</v>
      </c>
    </row>
    <row r="113" spans="1:30" ht="15">
      <c r="A113" s="292" t="s">
        <v>31</v>
      </c>
      <c r="B113" s="293">
        <v>119702.77</v>
      </c>
      <c r="C113" s="293">
        <v>140371.43</v>
      </c>
      <c r="D113" s="293">
        <v>166103.95000000001</v>
      </c>
      <c r="E113" s="293">
        <v>166766.85999999999</v>
      </c>
      <c r="F113" s="294">
        <v>105842.43</v>
      </c>
      <c r="G113" s="294">
        <v>147383.65</v>
      </c>
      <c r="H113" s="295">
        <v>163283.07</v>
      </c>
      <c r="U113" s="178"/>
      <c r="V113" s="178"/>
      <c r="W113" s="178"/>
      <c r="X113" s="178"/>
      <c r="Z113" s="178"/>
      <c r="AA113" s="166"/>
      <c r="AB113" s="180"/>
      <c r="AC113" s="152"/>
      <c r="AD113" s="93"/>
    </row>
    <row r="114" spans="1:30" ht="15">
      <c r="A114" s="292" t="s">
        <v>30</v>
      </c>
      <c r="B114" s="293">
        <v>15222.93</v>
      </c>
      <c r="C114" s="293">
        <v>23913.55</v>
      </c>
      <c r="D114" s="293">
        <v>19670.79</v>
      </c>
      <c r="E114" s="293">
        <v>41336.57</v>
      </c>
      <c r="F114" s="294">
        <v>23672.31</v>
      </c>
      <c r="G114" s="294">
        <v>9419.99</v>
      </c>
      <c r="H114" s="295">
        <v>18308.82</v>
      </c>
      <c r="U114" s="178"/>
      <c r="V114" s="178"/>
      <c r="W114" s="178"/>
      <c r="X114" s="178"/>
      <c r="Z114" s="178"/>
      <c r="AA114" s="166"/>
      <c r="AB114" s="180"/>
      <c r="AC114" s="152"/>
      <c r="AD114" s="93"/>
    </row>
    <row r="115" spans="1:30" ht="15">
      <c r="A115" s="292" t="s">
        <v>28</v>
      </c>
      <c r="B115" s="293">
        <v>11228.99</v>
      </c>
      <c r="C115" s="293">
        <v>10794.51</v>
      </c>
      <c r="D115" s="293">
        <v>10146.4</v>
      </c>
      <c r="E115" s="293">
        <v>8112.73</v>
      </c>
      <c r="F115" s="294">
        <v>-1917.2</v>
      </c>
      <c r="G115" s="294">
        <v>49379.56</v>
      </c>
      <c r="H115" s="295">
        <v>50660.85</v>
      </c>
      <c r="U115" s="178"/>
      <c r="V115" s="178"/>
      <c r="W115" s="178"/>
      <c r="X115" s="178"/>
      <c r="Z115" s="178"/>
      <c r="AA115" s="166"/>
      <c r="AB115" s="180"/>
      <c r="AC115" s="152"/>
      <c r="AD115" s="93"/>
    </row>
    <row r="116" spans="1:30" ht="16.5">
      <c r="A116" s="296" t="s">
        <v>5</v>
      </c>
      <c r="B116" s="293">
        <v>3928.57</v>
      </c>
      <c r="C116" s="293">
        <v>-3928.57</v>
      </c>
      <c r="D116" s="293">
        <v>0</v>
      </c>
      <c r="E116" s="293">
        <v>-1311.46</v>
      </c>
      <c r="F116" s="294">
        <v>841.1</v>
      </c>
      <c r="G116" s="294">
        <v>0</v>
      </c>
      <c r="H116" s="295">
        <v>0</v>
      </c>
      <c r="I116" s="62"/>
      <c r="U116" s="179"/>
      <c r="V116" s="179"/>
      <c r="W116" s="179"/>
      <c r="X116" s="179"/>
      <c r="Z116" s="179"/>
      <c r="AA116" s="166"/>
      <c r="AB116" s="180"/>
      <c r="AC116" s="152"/>
      <c r="AD116" s="93"/>
    </row>
    <row r="117" spans="1:30" ht="16.5">
      <c r="A117" s="296" t="s">
        <v>132</v>
      </c>
      <c r="B117">
        <v>37953</v>
      </c>
      <c r="C117">
        <v>21274</v>
      </c>
      <c r="D117">
        <v>55365</v>
      </c>
      <c r="E117">
        <v>3960</v>
      </c>
      <c r="F117">
        <v>26641</v>
      </c>
      <c r="G117">
        <v>11698</v>
      </c>
      <c r="H117" s="318">
        <v>35168</v>
      </c>
      <c r="I117" s="62"/>
      <c r="U117" s="179"/>
      <c r="V117" s="179"/>
      <c r="W117" s="179"/>
      <c r="X117" s="179"/>
      <c r="Z117" s="179"/>
      <c r="AA117" s="166"/>
      <c r="AB117" s="180"/>
      <c r="AC117" s="152"/>
      <c r="AD117" s="93"/>
    </row>
    <row r="118" spans="1:30" ht="15">
      <c r="A118" s="296" t="s">
        <v>133</v>
      </c>
      <c r="B118" s="297">
        <f>B115/(B113+B114+B116-B117)</f>
        <v>0.11128690451567158</v>
      </c>
      <c r="C118" s="297">
        <f t="shared" ref="C118:H118" si="21">C115/(C113+C114+C116-C117)</f>
        <v>7.7612330703789228E-2</v>
      </c>
      <c r="D118" s="297">
        <f t="shared" si="21"/>
        <v>7.7804004516840525E-2</v>
      </c>
      <c r="E118" s="297">
        <f t="shared" si="21"/>
        <v>3.9997294312134321E-2</v>
      </c>
      <c r="F118" s="297">
        <f t="shared" si="21"/>
        <v>-1.848530065707087E-2</v>
      </c>
      <c r="G118" s="297">
        <f t="shared" si="21"/>
        <v>0.34030076294760153</v>
      </c>
      <c r="H118" s="300">
        <f t="shared" si="21"/>
        <v>0.34598759806203749</v>
      </c>
      <c r="U118" s="168"/>
      <c r="V118" s="168"/>
      <c r="W118" s="168"/>
      <c r="X118" s="168"/>
      <c r="Z118" s="168"/>
      <c r="AA118" s="151"/>
      <c r="AB118" s="177"/>
      <c r="AC118" s="181"/>
      <c r="AD118" s="5"/>
    </row>
    <row r="119" spans="1:30" ht="15">
      <c r="A119" s="296"/>
      <c r="B119" s="297"/>
      <c r="C119" s="297"/>
      <c r="D119" s="297"/>
      <c r="E119" s="297"/>
      <c r="F119" s="297"/>
      <c r="G119" s="297"/>
      <c r="H119" s="300"/>
    </row>
    <row r="120" spans="1:30">
      <c r="A120" s="6"/>
      <c r="B120" s="43"/>
      <c r="C120" s="301"/>
      <c r="D120" s="15" t="s">
        <v>134</v>
      </c>
      <c r="E120" s="63"/>
      <c r="F120" s="43" t="s">
        <v>135</v>
      </c>
      <c r="G120" s="301"/>
      <c r="H120" s="302"/>
    </row>
    <row r="121" spans="1:30" ht="15">
      <c r="A121" s="292" t="s">
        <v>136</v>
      </c>
      <c r="B121" s="303">
        <v>28</v>
      </c>
      <c r="C121" s="29"/>
      <c r="D121" s="26">
        <f>(AVERAGE((C113-C117),(G113-G117),(H113-H117)))/B121</f>
        <v>4558.3113095238095</v>
      </c>
      <c r="E121" s="63"/>
      <c r="F121" s="304">
        <f>D121*B121</f>
        <v>127632.71666666667</v>
      </c>
      <c r="G121" s="29"/>
      <c r="H121" s="12"/>
      <c r="S121" s="57"/>
      <c r="T121" s="372"/>
      <c r="U121" s="372"/>
      <c r="V121" s="372"/>
      <c r="W121" s="372"/>
      <c r="X121" s="372"/>
      <c r="Y121" s="372"/>
      <c r="Z121" s="372"/>
      <c r="AA121" s="372"/>
      <c r="AB121" s="372"/>
      <c r="AC121" s="372"/>
      <c r="AD121" s="372"/>
    </row>
    <row r="122" spans="1:30" ht="15">
      <c r="A122" s="292" t="s">
        <v>137</v>
      </c>
      <c r="B122" s="303">
        <v>2</v>
      </c>
      <c r="C122" s="78"/>
      <c r="D122" s="26">
        <f>AVERAGE(G114)/B122</f>
        <v>4709.9949999999999</v>
      </c>
      <c r="E122" s="63"/>
      <c r="F122" s="304">
        <f>D122*B122</f>
        <v>9419.99</v>
      </c>
      <c r="G122" s="305"/>
      <c r="H122" s="12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</row>
    <row r="123" spans="1:30">
      <c r="A123" s="76"/>
      <c r="B123" s="117"/>
      <c r="C123" s="284"/>
      <c r="D123" s="306"/>
      <c r="E123" s="63"/>
      <c r="F123" s="307"/>
      <c r="G123" s="319"/>
      <c r="H123" s="308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</row>
    <row r="124" spans="1:30">
      <c r="A124" s="309" t="s">
        <v>138</v>
      </c>
      <c r="B124" s="117">
        <v>15</v>
      </c>
      <c r="C124" s="284"/>
      <c r="D124" s="26">
        <f>D121</f>
        <v>4558.3113095238095</v>
      </c>
      <c r="E124" s="63"/>
      <c r="F124" s="304">
        <f>D124*B124</f>
        <v>68374.669642857145</v>
      </c>
      <c r="G124" s="91"/>
      <c r="H124" s="308"/>
      <c r="I124" s="63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</row>
    <row r="125" spans="1:30">
      <c r="A125" s="309" t="s">
        <v>139</v>
      </c>
      <c r="B125" s="117">
        <v>3</v>
      </c>
      <c r="C125" s="284"/>
      <c r="D125" s="26">
        <f>D122</f>
        <v>4709.9949999999999</v>
      </c>
      <c r="E125" s="63"/>
      <c r="F125" s="304">
        <f>D125*B125</f>
        <v>14129.985000000001</v>
      </c>
      <c r="G125" s="319"/>
      <c r="H125" s="310"/>
      <c r="I125" s="63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</row>
    <row r="126" spans="1:30">
      <c r="A126" s="6"/>
      <c r="B126" s="320"/>
      <c r="F126" s="311"/>
      <c r="H126" s="12"/>
      <c r="I126" s="63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</row>
    <row r="127" spans="1:30">
      <c r="A127" s="6" t="s">
        <v>140</v>
      </c>
      <c r="B127" s="43">
        <f>B121+B124</f>
        <v>43</v>
      </c>
      <c r="C127" s="29"/>
      <c r="D127" s="26">
        <f>D124</f>
        <v>4558.3113095238095</v>
      </c>
      <c r="F127" s="312">
        <f>D127*B127</f>
        <v>196007.3863095238</v>
      </c>
      <c r="H127" s="12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</row>
    <row r="128" spans="1:30">
      <c r="A128" s="6" t="s">
        <v>141</v>
      </c>
      <c r="B128" s="43">
        <f>B122+B125</f>
        <v>5</v>
      </c>
      <c r="C128" s="78"/>
      <c r="D128" s="26">
        <f>D125</f>
        <v>4709.9949999999999</v>
      </c>
      <c r="F128" s="312">
        <f>D128*B128</f>
        <v>23549.974999999999</v>
      </c>
      <c r="H128" s="12"/>
      <c r="S128" s="58"/>
      <c r="T128" s="58"/>
      <c r="U128" s="58"/>
      <c r="V128" s="58"/>
      <c r="W128" s="58"/>
      <c r="X128" s="58"/>
      <c r="Y128" s="58"/>
      <c r="Z128" s="58"/>
      <c r="AA128" s="58"/>
      <c r="AB128" s="59"/>
      <c r="AC128" s="58"/>
      <c r="AD128" s="58"/>
    </row>
    <row r="129" spans="1:8">
      <c r="A129" s="76" t="s">
        <v>132</v>
      </c>
      <c r="B129" s="43"/>
      <c r="C129" s="29"/>
      <c r="D129" s="77"/>
      <c r="F129" s="313">
        <v>0</v>
      </c>
      <c r="H129" s="12"/>
    </row>
    <row r="130" spans="1:8" ht="16.5" customHeight="1">
      <c r="A130" s="83" t="s">
        <v>28</v>
      </c>
      <c r="B130" s="321"/>
      <c r="C130" s="322"/>
      <c r="D130" s="323"/>
      <c r="E130" s="10"/>
      <c r="F130" s="324">
        <f>(F127+F128)*0.29</f>
        <v>63671.634779761902</v>
      </c>
      <c r="G130" s="10"/>
      <c r="H130" s="9"/>
    </row>
    <row r="131" spans="1:8">
      <c r="A131" s="283"/>
      <c r="B131" s="117"/>
      <c r="C131" s="284"/>
      <c r="D131" s="285"/>
      <c r="E131" s="63"/>
    </row>
    <row r="132" spans="1:8">
      <c r="A132" s="283"/>
      <c r="B132" s="117"/>
      <c r="C132" s="284"/>
      <c r="D132" s="285"/>
      <c r="E132" s="63"/>
    </row>
    <row r="133" spans="1:8">
      <c r="A133" s="283"/>
      <c r="B133" s="117"/>
      <c r="C133" s="284"/>
      <c r="D133" s="285"/>
      <c r="E133" s="63"/>
    </row>
    <row r="134" spans="1:8">
      <c r="A134" s="315" t="s">
        <v>116</v>
      </c>
      <c r="B134" s="69"/>
      <c r="C134" s="70"/>
      <c r="D134" s="70"/>
      <c r="E134" s="314"/>
      <c r="F134" s="4"/>
      <c r="G134" s="4"/>
      <c r="H134" s="316"/>
    </row>
    <row r="135" spans="1:8" ht="15">
      <c r="A135" s="6"/>
      <c r="B135" s="289"/>
      <c r="C135" s="289"/>
      <c r="D135" s="289"/>
      <c r="E135" s="289"/>
      <c r="F135" s="289"/>
      <c r="G135" s="289"/>
      <c r="H135" s="290"/>
    </row>
    <row r="136" spans="1:8">
      <c r="A136" s="6"/>
      <c r="B136" s="352"/>
      <c r="C136" s="352"/>
      <c r="D136" s="352"/>
      <c r="F136" s="352"/>
      <c r="G136" s="352"/>
      <c r="H136" s="353"/>
    </row>
    <row r="137" spans="1:8" ht="15">
      <c r="A137" s="6"/>
      <c r="B137" t="s">
        <v>125</v>
      </c>
      <c r="C137" t="s">
        <v>126</v>
      </c>
      <c r="D137" t="s">
        <v>127</v>
      </c>
      <c r="E137" t="s">
        <v>128</v>
      </c>
      <c r="F137" t="s">
        <v>129</v>
      </c>
      <c r="G137" s="317" t="s">
        <v>130</v>
      </c>
      <c r="H137" s="291" t="s">
        <v>131</v>
      </c>
    </row>
    <row r="138" spans="1:8" ht="15">
      <c r="A138" s="292" t="s">
        <v>31</v>
      </c>
      <c r="B138" s="294">
        <v>268968.01</v>
      </c>
      <c r="C138" s="294">
        <v>288390.24</v>
      </c>
      <c r="D138" s="293">
        <v>154345.41</v>
      </c>
      <c r="E138" s="293">
        <v>13412.75</v>
      </c>
      <c r="F138" s="325">
        <v>229529.76</v>
      </c>
      <c r="G138" s="294">
        <v>274156.28999999998</v>
      </c>
      <c r="H138" s="295">
        <v>267092.21000000002</v>
      </c>
    </row>
    <row r="139" spans="1:8" ht="15">
      <c r="A139" s="292" t="s">
        <v>30</v>
      </c>
      <c r="B139" s="294">
        <v>67812.91</v>
      </c>
      <c r="C139" s="294">
        <v>64354.51</v>
      </c>
      <c r="D139" s="293">
        <v>40616.39</v>
      </c>
      <c r="E139" s="293">
        <v>14950.76</v>
      </c>
      <c r="F139" s="325">
        <v>74301.16</v>
      </c>
      <c r="G139" s="294">
        <v>85619.44</v>
      </c>
      <c r="H139" s="295">
        <v>74393.95</v>
      </c>
    </row>
    <row r="140" spans="1:8" ht="15">
      <c r="A140" s="292" t="s">
        <v>28</v>
      </c>
      <c r="B140" s="294">
        <v>102162.56</v>
      </c>
      <c r="C140" s="294">
        <v>97023.8</v>
      </c>
      <c r="D140" s="293">
        <v>87771.29</v>
      </c>
      <c r="E140" s="293">
        <v>18740.91</v>
      </c>
      <c r="F140" s="325">
        <v>135347.70000000001</v>
      </c>
      <c r="G140" s="294">
        <v>89284.14</v>
      </c>
      <c r="H140" s="295">
        <v>88862.54</v>
      </c>
    </row>
    <row r="141" spans="1:8" ht="15">
      <c r="A141" s="292" t="s">
        <v>5</v>
      </c>
      <c r="B141" s="294">
        <v>6248.2</v>
      </c>
      <c r="C141" s="294">
        <v>7823.13</v>
      </c>
      <c r="D141" s="293">
        <v>4541.8500000000004</v>
      </c>
      <c r="E141" s="293">
        <v>10625.36</v>
      </c>
      <c r="F141" s="325">
        <v>11684.3</v>
      </c>
      <c r="G141" s="294">
        <v>7724.39</v>
      </c>
      <c r="H141" s="295">
        <v>6820.85</v>
      </c>
    </row>
    <row r="142" spans="1:8" ht="15">
      <c r="A142" s="296" t="s">
        <v>132</v>
      </c>
      <c r="B142" s="317">
        <v>35640</v>
      </c>
      <c r="C142" s="317">
        <v>61311</v>
      </c>
      <c r="D142">
        <v>50554</v>
      </c>
      <c r="E142"/>
      <c r="F142">
        <v>65416</v>
      </c>
      <c r="G142">
        <v>62538</v>
      </c>
      <c r="H142" s="318">
        <v>37211</v>
      </c>
    </row>
    <row r="143" spans="1:8" ht="15">
      <c r="A143" s="296" t="s">
        <v>133</v>
      </c>
      <c r="B143" s="298">
        <f>B140/(B138+B139-B142+B141)</f>
        <v>0.3323558101210608</v>
      </c>
      <c r="C143" s="298">
        <f t="shared" ref="C143:H143" si="22">C140/(C138+C139-C142+C141)</f>
        <v>0.3242157707451872</v>
      </c>
      <c r="D143" s="298">
        <f t="shared" si="22"/>
        <v>0.58926818559157401</v>
      </c>
      <c r="E143" s="298">
        <f t="shared" si="22"/>
        <v>0.48067333061973838</v>
      </c>
      <c r="F143" s="298">
        <f t="shared" si="22"/>
        <v>0.54117601806195159</v>
      </c>
      <c r="G143" s="298">
        <f t="shared" si="22"/>
        <v>0.29277124647480807</v>
      </c>
      <c r="H143" s="299">
        <f t="shared" si="22"/>
        <v>0.28564345778655276</v>
      </c>
    </row>
    <row r="145" spans="1:10">
      <c r="A145" s="6"/>
      <c r="B145" s="43"/>
      <c r="C145" s="301"/>
      <c r="D145" s="15" t="s">
        <v>134</v>
      </c>
      <c r="E145" s="63"/>
      <c r="F145" s="43" t="s">
        <v>135</v>
      </c>
      <c r="G145" s="301"/>
      <c r="H145" s="302"/>
      <c r="J145" s="283"/>
    </row>
    <row r="146" spans="1:10" ht="15">
      <c r="A146" s="292" t="s">
        <v>136</v>
      </c>
      <c r="B146" s="303">
        <v>46</v>
      </c>
      <c r="C146" s="29"/>
      <c r="D146" s="26">
        <f>(AVERAGE((B138-B142),(C138-C142),(G138-G142),(H138-H142)))/B146</f>
        <v>4901.667119565217</v>
      </c>
      <c r="E146" s="63"/>
      <c r="F146" s="304">
        <f>D146*B146</f>
        <v>225476.68749999997</v>
      </c>
      <c r="G146" s="29"/>
      <c r="H146" s="326"/>
      <c r="J146" s="283"/>
    </row>
    <row r="147" spans="1:10" ht="15">
      <c r="A147" s="292" t="s">
        <v>137</v>
      </c>
      <c r="B147" s="303">
        <v>16</v>
      </c>
      <c r="C147" s="78"/>
      <c r="D147" s="26">
        <f>AVERAGE($G$99:$H$99,B139:C139)/B147</f>
        <v>4130.2318750000004</v>
      </c>
      <c r="E147" s="63"/>
      <c r="F147" s="304">
        <f>D147*B147</f>
        <v>66083.710000000006</v>
      </c>
      <c r="G147" s="305"/>
      <c r="H147" s="12"/>
      <c r="J147" s="283"/>
    </row>
    <row r="148" spans="1:10">
      <c r="A148" s="76"/>
      <c r="B148" s="117"/>
      <c r="C148" s="284"/>
      <c r="D148" s="306"/>
      <c r="E148" s="63"/>
      <c r="F148" s="307"/>
      <c r="G148" s="319"/>
      <c r="H148" s="308"/>
      <c r="J148" s="283"/>
    </row>
    <row r="149" spans="1:10">
      <c r="A149" s="309" t="s">
        <v>138</v>
      </c>
      <c r="B149" s="117">
        <v>6</v>
      </c>
      <c r="C149" s="284"/>
      <c r="D149" s="26">
        <f>D146</f>
        <v>4901.667119565217</v>
      </c>
      <c r="E149" s="63"/>
      <c r="F149" s="304">
        <f>D149*B149</f>
        <v>29410.002717391304</v>
      </c>
      <c r="G149" s="91"/>
      <c r="H149" s="308"/>
      <c r="J149" s="283"/>
    </row>
    <row r="150" spans="1:10">
      <c r="A150" s="309" t="s">
        <v>139</v>
      </c>
      <c r="B150" s="117">
        <v>6</v>
      </c>
      <c r="C150" s="284"/>
      <c r="D150" s="26">
        <f>D147</f>
        <v>4130.2318750000004</v>
      </c>
      <c r="E150" s="63"/>
      <c r="F150" s="304">
        <f>D150*B150</f>
        <v>24781.391250000001</v>
      </c>
      <c r="G150" s="319"/>
      <c r="H150" s="310"/>
      <c r="J150" s="283"/>
    </row>
    <row r="151" spans="1:10">
      <c r="A151" s="6"/>
      <c r="B151" s="320"/>
      <c r="F151" s="311"/>
      <c r="H151" s="12"/>
      <c r="J151" s="283"/>
    </row>
    <row r="152" spans="1:10">
      <c r="A152" s="6" t="s">
        <v>140</v>
      </c>
      <c r="B152" s="43">
        <f>B146+B149</f>
        <v>52</v>
      </c>
      <c r="C152" s="29"/>
      <c r="D152" s="26">
        <f>D146</f>
        <v>4901.667119565217</v>
      </c>
      <c r="F152" s="312">
        <f>D152*B152</f>
        <v>254886.6902173913</v>
      </c>
      <c r="H152" s="12"/>
      <c r="J152" s="283"/>
    </row>
    <row r="153" spans="1:10">
      <c r="A153" s="6" t="s">
        <v>141</v>
      </c>
      <c r="B153" s="43">
        <f>B147+B150</f>
        <v>22</v>
      </c>
      <c r="C153" s="78"/>
      <c r="D153" s="26">
        <f>D146</f>
        <v>4901.667119565217</v>
      </c>
      <c r="F153" s="312">
        <f>D153*B153</f>
        <v>107836.67663043477</v>
      </c>
      <c r="H153" s="12"/>
      <c r="J153" s="283"/>
    </row>
    <row r="154" spans="1:10">
      <c r="A154" s="76" t="s">
        <v>5</v>
      </c>
      <c r="B154" s="43"/>
      <c r="C154" s="29"/>
      <c r="D154" s="77"/>
      <c r="F154" s="313">
        <v>7154</v>
      </c>
      <c r="H154" s="12"/>
      <c r="J154" s="283"/>
    </row>
    <row r="155" spans="1:10" ht="15">
      <c r="A155" s="83" t="s">
        <v>28</v>
      </c>
      <c r="B155" s="321"/>
      <c r="C155" s="322"/>
      <c r="D155" s="323"/>
      <c r="E155" s="10"/>
      <c r="F155" s="324">
        <f>(F152+F153+F154)*0.3</f>
        <v>110963.21005434782</v>
      </c>
      <c r="G155" s="10"/>
      <c r="H155" s="9"/>
      <c r="J155" s="283"/>
    </row>
    <row r="156" spans="1:10">
      <c r="A156" s="283"/>
      <c r="B156" s="117"/>
      <c r="C156" s="284"/>
      <c r="D156" s="285"/>
      <c r="E156" s="63"/>
      <c r="J156" s="283"/>
    </row>
    <row r="157" spans="1:10" ht="12.75" customHeight="1">
      <c r="J157" s="57"/>
    </row>
    <row r="158" spans="1:10" ht="15">
      <c r="A158" s="55" t="s">
        <v>26</v>
      </c>
      <c r="B158" s="183"/>
      <c r="C158" s="183"/>
      <c r="D158" s="132">
        <v>4.5</v>
      </c>
      <c r="E158" s="183"/>
      <c r="F158" s="183"/>
      <c r="G158" s="245"/>
      <c r="H158" s="183"/>
      <c r="I158" s="4"/>
      <c r="J158" s="131"/>
    </row>
    <row r="159" spans="1:10" ht="15">
      <c r="A159" s="6"/>
      <c r="B159" s="374" t="s">
        <v>25</v>
      </c>
      <c r="C159" s="375"/>
      <c r="D159" s="132">
        <v>4.5</v>
      </c>
      <c r="E159" s="374" t="s">
        <v>24</v>
      </c>
      <c r="F159" s="375"/>
      <c r="G159" s="132">
        <f>762256/10182780</f>
        <v>7.4857357224647883E-2</v>
      </c>
      <c r="H159" s="376" t="s">
        <v>86</v>
      </c>
      <c r="I159" s="377"/>
      <c r="J159" s="244">
        <f>30000*365</f>
        <v>10950000</v>
      </c>
    </row>
    <row r="160" spans="1:10">
      <c r="A160" s="6"/>
      <c r="B160" s="5"/>
      <c r="C160" s="5"/>
      <c r="D160" s="5"/>
      <c r="E160" s="5"/>
      <c r="F160" s="5"/>
      <c r="G160" s="5"/>
      <c r="H160" s="378" t="s">
        <v>87</v>
      </c>
      <c r="I160" s="379"/>
      <c r="J160" s="135">
        <f>ROUND(J159/B49/1000,3)</f>
        <v>0.314</v>
      </c>
    </row>
    <row r="161" spans="1:10" ht="15" customHeight="1">
      <c r="A161" s="6"/>
      <c r="B161" s="380" t="s">
        <v>95</v>
      </c>
      <c r="C161" s="381"/>
      <c r="D161" s="382"/>
      <c r="E161" s="380" t="s">
        <v>96</v>
      </c>
      <c r="F161" s="381"/>
      <c r="G161" s="382"/>
      <c r="H161" s="380" t="s">
        <v>97</v>
      </c>
      <c r="I161" s="381"/>
      <c r="J161" s="382"/>
    </row>
    <row r="162" spans="1:10" ht="25.5">
      <c r="A162" s="6"/>
      <c r="B162" s="133" t="s">
        <v>79</v>
      </c>
      <c r="C162" s="61" t="s">
        <v>80</v>
      </c>
      <c r="D162" s="22" t="s">
        <v>81</v>
      </c>
      <c r="E162" s="133" t="s">
        <v>79</v>
      </c>
      <c r="F162" s="61" t="s">
        <v>80</v>
      </c>
      <c r="G162" s="22" t="s">
        <v>81</v>
      </c>
      <c r="H162" s="133" t="s">
        <v>79</v>
      </c>
      <c r="I162" s="61" t="s">
        <v>80</v>
      </c>
      <c r="J162" s="22" t="s">
        <v>81</v>
      </c>
    </row>
    <row r="163" spans="1:10" ht="15">
      <c r="A163" s="6" t="s">
        <v>23</v>
      </c>
      <c r="B163" s="275">
        <v>0.11509999999999999</v>
      </c>
      <c r="C163" s="282">
        <v>8.7999999999999995E-2</v>
      </c>
      <c r="D163" s="90">
        <f>B163*C163</f>
        <v>1.0128799999999999E-2</v>
      </c>
      <c r="E163" s="243">
        <v>0.26500000000000001</v>
      </c>
      <c r="F163" s="60">
        <f>G159</f>
        <v>7.4857357224647883E-2</v>
      </c>
      <c r="G163" s="90">
        <f>E163*F163</f>
        <v>1.983719966453169E-2</v>
      </c>
      <c r="H163" s="243">
        <v>0.26500000000000001</v>
      </c>
      <c r="I163" s="60">
        <f>$G$159</f>
        <v>7.4857357224647883E-2</v>
      </c>
      <c r="J163" s="90">
        <f>H163*I163</f>
        <v>1.983719966453169E-2</v>
      </c>
    </row>
    <row r="164" spans="1:10" ht="16.5">
      <c r="A164" s="6" t="s">
        <v>22</v>
      </c>
      <c r="B164" s="275">
        <v>6.4999999999999997E-3</v>
      </c>
      <c r="C164" s="276">
        <v>4</v>
      </c>
      <c r="D164" s="51">
        <f>B164*C164</f>
        <v>2.5999999999999999E-2</v>
      </c>
      <c r="E164" s="243">
        <v>3.8E-3</v>
      </c>
      <c r="F164" s="29">
        <f>$D$159</f>
        <v>4.5</v>
      </c>
      <c r="G164" s="51">
        <f>E164*F164</f>
        <v>1.7100000000000001E-2</v>
      </c>
      <c r="H164" s="243">
        <v>3.8E-3</v>
      </c>
      <c r="I164" s="29">
        <f>$D$159</f>
        <v>4.5</v>
      </c>
      <c r="J164" s="51">
        <f>H164*I164</f>
        <v>1.7100000000000001E-2</v>
      </c>
    </row>
    <row r="165" spans="1:10" ht="15">
      <c r="A165" s="6" t="s">
        <v>21</v>
      </c>
      <c r="B165" s="6"/>
      <c r="C165" s="5"/>
      <c r="D165" s="227">
        <f>SUM(D163:D164)</f>
        <v>3.6128799999999996E-2</v>
      </c>
      <c r="E165" s="6"/>
      <c r="F165" s="5"/>
      <c r="G165" s="227">
        <f>SUM(G163:G164)</f>
        <v>3.6937199664531691E-2</v>
      </c>
      <c r="H165" s="6"/>
      <c r="I165" s="5"/>
      <c r="J165" s="227">
        <f>SUM(J163:J164)</f>
        <v>3.6937199664531691E-2</v>
      </c>
    </row>
    <row r="166" spans="1:10">
      <c r="A166" s="16"/>
      <c r="B166" s="16"/>
      <c r="D166" s="12"/>
      <c r="E166" s="16"/>
      <c r="G166" s="12"/>
      <c r="H166" s="16"/>
      <c r="J166" s="12"/>
    </row>
    <row r="167" spans="1:10" ht="15" customHeight="1">
      <c r="A167" s="6"/>
      <c r="B167" s="383" t="s">
        <v>92</v>
      </c>
      <c r="C167" s="384"/>
      <c r="D167" s="385"/>
      <c r="E167" s="383" t="s">
        <v>90</v>
      </c>
      <c r="F167" s="384"/>
      <c r="G167" s="385"/>
      <c r="H167" s="383" t="s">
        <v>92</v>
      </c>
      <c r="I167" s="384"/>
      <c r="J167" s="385"/>
    </row>
    <row r="168" spans="1:10" ht="25.5">
      <c r="A168" s="6"/>
      <c r="B168" s="133" t="s">
        <v>79</v>
      </c>
      <c r="C168" s="61" t="s">
        <v>80</v>
      </c>
      <c r="D168" s="22" t="s">
        <v>81</v>
      </c>
      <c r="E168" s="133" t="s">
        <v>79</v>
      </c>
      <c r="F168" s="61" t="s">
        <v>80</v>
      </c>
      <c r="G168" s="22" t="s">
        <v>81</v>
      </c>
      <c r="H168" s="133" t="s">
        <v>79</v>
      </c>
      <c r="I168" s="61" t="s">
        <v>80</v>
      </c>
      <c r="J168" s="22" t="s">
        <v>81</v>
      </c>
    </row>
    <row r="169" spans="1:10" ht="15">
      <c r="A169" s="6" t="s">
        <v>23</v>
      </c>
      <c r="B169" s="275"/>
      <c r="C169" s="282"/>
      <c r="D169" s="90">
        <f>B169*C169</f>
        <v>0</v>
      </c>
      <c r="E169" s="275">
        <v>0.5867</v>
      </c>
      <c r="F169" s="60">
        <f>G159</f>
        <v>7.4857357224647883E-2</v>
      </c>
      <c r="G169" s="90">
        <f>E169*F169</f>
        <v>4.3918811483700915E-2</v>
      </c>
      <c r="H169" s="243">
        <v>0</v>
      </c>
      <c r="I169" s="60">
        <f>$G$159</f>
        <v>7.4857357224647883E-2</v>
      </c>
      <c r="J169" s="90">
        <f>H169*I169</f>
        <v>0</v>
      </c>
    </row>
    <row r="170" spans="1:10" ht="16.5">
      <c r="A170" s="6" t="s">
        <v>22</v>
      </c>
      <c r="B170" s="275"/>
      <c r="C170" s="276"/>
      <c r="D170" s="51">
        <f>B170*C170</f>
        <v>0</v>
      </c>
      <c r="E170" s="275">
        <v>6.4999999999999997E-3</v>
      </c>
      <c r="F170" s="276">
        <v>4</v>
      </c>
      <c r="G170" s="51">
        <f>E170*F170</f>
        <v>2.5999999999999999E-2</v>
      </c>
      <c r="H170" s="243">
        <v>0</v>
      </c>
      <c r="I170" s="29">
        <f>$D$159</f>
        <v>4.5</v>
      </c>
      <c r="J170" s="51">
        <f>H170*I170</f>
        <v>0</v>
      </c>
    </row>
    <row r="171" spans="1:10" ht="15">
      <c r="A171" s="25" t="s">
        <v>21</v>
      </c>
      <c r="B171" s="25"/>
      <c r="C171" s="53"/>
      <c r="D171" s="134">
        <f>SUM(D169:D170)</f>
        <v>0</v>
      </c>
      <c r="E171" s="25"/>
      <c r="F171" s="53"/>
      <c r="G171" s="134">
        <f>SUM(G169:G170)</f>
        <v>6.991881148370091E-2</v>
      </c>
      <c r="H171" s="25"/>
      <c r="I171" s="53"/>
      <c r="J171" s="134">
        <f>SUM(J169:J170)</f>
        <v>0</v>
      </c>
    </row>
    <row r="172" spans="1:10">
      <c r="J172" s="58"/>
    </row>
    <row r="173" spans="1:10">
      <c r="J173" s="58"/>
    </row>
    <row r="174" spans="1:10">
      <c r="A174" s="356" t="s">
        <v>19</v>
      </c>
      <c r="B174" s="357"/>
      <c r="C174" s="357"/>
      <c r="D174" s="357"/>
      <c r="E174" s="357"/>
      <c r="F174" s="357"/>
      <c r="G174" s="357"/>
      <c r="H174" s="358"/>
      <c r="J174" s="58"/>
    </row>
    <row r="175" spans="1:10" ht="25.5">
      <c r="A175" s="6" t="s">
        <v>18</v>
      </c>
      <c r="B175" s="98">
        <v>256000000</v>
      </c>
      <c r="C175" s="5"/>
      <c r="D175" s="5"/>
      <c r="E175" s="5"/>
      <c r="F175" s="5"/>
      <c r="G175" s="23" t="s">
        <v>17</v>
      </c>
      <c r="H175" s="22" t="s">
        <v>57</v>
      </c>
      <c r="J175" s="58"/>
    </row>
    <row r="176" spans="1:10">
      <c r="A176" s="6" t="s">
        <v>16</v>
      </c>
      <c r="B176" s="21">
        <f>G177/B175</f>
        <v>5.7421874999999997E-4</v>
      </c>
      <c r="C176" s="5"/>
      <c r="D176" s="5"/>
      <c r="E176" s="5"/>
      <c r="F176" s="5"/>
      <c r="G176" s="5" t="s">
        <v>142</v>
      </c>
      <c r="H176" s="5" t="s">
        <v>142</v>
      </c>
      <c r="I176" s="1" t="s">
        <v>95</v>
      </c>
      <c r="J176" s="1" t="s">
        <v>95</v>
      </c>
    </row>
    <row r="177" spans="1:10" ht="16.5">
      <c r="A177" s="6" t="s">
        <v>15</v>
      </c>
      <c r="B177" s="5"/>
      <c r="C177" s="5"/>
      <c r="D177" s="5"/>
      <c r="E177" s="5"/>
      <c r="F177" s="5"/>
      <c r="G177" s="277">
        <v>147000</v>
      </c>
      <c r="H177" s="20">
        <f>G177/(E$47*1000)</f>
        <v>0.03</v>
      </c>
      <c r="I177" s="277">
        <v>353000</v>
      </c>
      <c r="J177" s="20">
        <f>I177/B24/1000</f>
        <v>1.1766666666666668E-2</v>
      </c>
    </row>
    <row r="178" spans="1:10">
      <c r="A178" s="16"/>
      <c r="H178" s="12"/>
      <c r="J178" s="12"/>
    </row>
    <row r="179" spans="1:10">
      <c r="A179" s="16"/>
      <c r="F179" s="2"/>
      <c r="G179" s="63"/>
      <c r="H179" s="12"/>
      <c r="I179" s="63"/>
      <c r="J179" s="12"/>
    </row>
    <row r="180" spans="1:10">
      <c r="A180" s="373" t="s">
        <v>51</v>
      </c>
      <c r="B180" s="365"/>
      <c r="C180" s="5"/>
      <c r="D180" s="5"/>
      <c r="E180" s="5"/>
      <c r="F180" s="5"/>
      <c r="G180" s="5" t="s">
        <v>142</v>
      </c>
      <c r="H180" s="5" t="s">
        <v>142</v>
      </c>
      <c r="I180" s="5"/>
      <c r="J180" s="5"/>
    </row>
    <row r="181" spans="1:10" ht="16.5">
      <c r="A181" s="6" t="s">
        <v>14</v>
      </c>
      <c r="B181" s="5"/>
      <c r="C181" s="5"/>
      <c r="D181" s="5"/>
      <c r="E181" s="5"/>
      <c r="F181" s="5"/>
      <c r="G181" s="102">
        <v>27000</v>
      </c>
      <c r="H181" s="20">
        <f>G181/(E$47*1000)</f>
        <v>5.5102040816326532E-3</v>
      </c>
      <c r="I181" s="102">
        <v>75000</v>
      </c>
      <c r="J181" s="20">
        <f>I181/B24/1000</f>
        <v>2.5000000000000001E-3</v>
      </c>
    </row>
    <row r="182" spans="1:10">
      <c r="A182" s="6"/>
      <c r="B182" s="5"/>
      <c r="C182" s="5"/>
      <c r="D182" s="5"/>
      <c r="E182" s="5"/>
      <c r="F182" s="5"/>
      <c r="G182" s="5"/>
      <c r="H182" s="8"/>
      <c r="I182" s="5"/>
      <c r="J182" s="8"/>
    </row>
    <row r="183" spans="1:10">
      <c r="A183" s="373" t="s">
        <v>13</v>
      </c>
      <c r="B183" s="365"/>
      <c r="C183" s="5"/>
      <c r="D183" s="5"/>
      <c r="E183" s="5"/>
      <c r="F183" s="5"/>
      <c r="G183" s="5" t="s">
        <v>142</v>
      </c>
      <c r="H183" s="5" t="s">
        <v>142</v>
      </c>
      <c r="I183" s="5"/>
      <c r="J183" s="5"/>
    </row>
    <row r="184" spans="1:10" ht="16.5">
      <c r="A184" s="6" t="s">
        <v>12</v>
      </c>
      <c r="B184" s="5"/>
      <c r="C184" s="5"/>
      <c r="D184" s="5"/>
      <c r="E184" s="5"/>
      <c r="F184" s="5"/>
      <c r="G184" s="277">
        <v>55000</v>
      </c>
      <c r="H184" s="20">
        <f>G184/(E$47*1000)</f>
        <v>1.1224489795918367E-2</v>
      </c>
      <c r="I184" s="277">
        <v>57000</v>
      </c>
      <c r="J184" s="20">
        <f>I184/B24/1000</f>
        <v>1.9E-3</v>
      </c>
    </row>
    <row r="185" spans="1:10">
      <c r="A185" s="11"/>
      <c r="B185" s="10"/>
      <c r="C185" s="19"/>
      <c r="D185" s="10"/>
      <c r="E185" s="10"/>
      <c r="F185" s="10"/>
      <c r="G185" s="10"/>
      <c r="H185" s="9"/>
      <c r="J185" s="58"/>
    </row>
    <row r="186" spans="1:10">
      <c r="C186" s="18"/>
      <c r="J186" s="58"/>
    </row>
    <row r="187" spans="1:10">
      <c r="J187" s="58"/>
    </row>
    <row r="188" spans="1:10">
      <c r="A188" s="55" t="s">
        <v>11</v>
      </c>
      <c r="B188" s="386" t="s">
        <v>10</v>
      </c>
      <c r="C188" s="386"/>
      <c r="D188" s="386"/>
      <c r="E188" s="386"/>
      <c r="F188" s="386"/>
      <c r="G188" s="386"/>
      <c r="H188" s="387"/>
      <c r="J188" s="58"/>
    </row>
    <row r="189" spans="1:10">
      <c r="A189" s="16"/>
      <c r="H189" s="12"/>
      <c r="J189" s="58"/>
    </row>
    <row r="190" spans="1:10">
      <c r="A190" s="16"/>
      <c r="B190" s="365" t="s">
        <v>9</v>
      </c>
      <c r="C190" s="365"/>
      <c r="D190" s="15">
        <f>B49</f>
        <v>34900</v>
      </c>
      <c r="E190" s="5"/>
      <c r="F190" s="365" t="s">
        <v>8</v>
      </c>
      <c r="G190" s="365"/>
      <c r="H190" s="17">
        <f>D190/D191</f>
        <v>3.49E-2</v>
      </c>
      <c r="J190" s="58"/>
    </row>
    <row r="191" spans="1:10">
      <c r="A191" s="16"/>
      <c r="B191" s="365" t="s">
        <v>7</v>
      </c>
      <c r="C191" s="365"/>
      <c r="D191" s="15">
        <v>1000000</v>
      </c>
      <c r="E191" s="5"/>
      <c r="F191" s="5"/>
      <c r="G191" s="5"/>
      <c r="H191" s="14"/>
      <c r="J191" s="58"/>
    </row>
    <row r="193" spans="1:12" ht="33" customHeight="1">
      <c r="A193" s="6"/>
      <c r="B193" s="61" t="s">
        <v>82</v>
      </c>
      <c r="C193" s="61" t="s">
        <v>6</v>
      </c>
      <c r="D193" s="61" t="s">
        <v>75</v>
      </c>
      <c r="E193" s="193" t="s">
        <v>76</v>
      </c>
      <c r="F193" s="61" t="s">
        <v>63</v>
      </c>
      <c r="G193" s="61" t="s">
        <v>77</v>
      </c>
      <c r="H193" s="97" t="s">
        <v>78</v>
      </c>
      <c r="J193" s="58"/>
      <c r="K193" s="58"/>
      <c r="L193" s="58"/>
    </row>
    <row r="194" spans="1:12" ht="15">
      <c r="A194" s="6" t="s">
        <v>5</v>
      </c>
      <c r="B194" s="3">
        <f>C194/12</f>
        <v>0</v>
      </c>
      <c r="C194" s="250">
        <v>0</v>
      </c>
      <c r="D194" s="98">
        <f>ROUND($C$202/($C$202+$C$203)*12,0)*$B194</f>
        <v>0</v>
      </c>
      <c r="E194" s="194">
        <f>ROUND($C$203/($C$202+$C$203)*12,0)*$B194</f>
        <v>0</v>
      </c>
      <c r="F194" s="89">
        <f>$D194/$D$190/1000</f>
        <v>0</v>
      </c>
      <c r="G194" s="89">
        <f>$E194/$D$190/1000</f>
        <v>0</v>
      </c>
      <c r="H194" s="99">
        <f>SUM(F194:G194)</f>
        <v>0</v>
      </c>
      <c r="J194" s="58"/>
      <c r="K194" s="58"/>
      <c r="L194" s="58"/>
    </row>
    <row r="195" spans="1:12" ht="15">
      <c r="A195" s="6" t="s">
        <v>4</v>
      </c>
      <c r="B195" s="98">
        <f>C195/12</f>
        <v>95700</v>
      </c>
      <c r="C195" s="236">
        <f>+(95700*12)</f>
        <v>1148400</v>
      </c>
      <c r="D195" s="98">
        <f>ROUND($C$202/($C$202+$C$203)*12,0)*$B195</f>
        <v>1148400</v>
      </c>
      <c r="E195" s="194">
        <f>ROUND($C$203/($C$202+$C$203)*12,0)*$B195</f>
        <v>0</v>
      </c>
      <c r="F195" s="100">
        <f>$D195/D$190/1000</f>
        <v>3.2905444126074497E-2</v>
      </c>
      <c r="G195" s="100">
        <f>$E195/$D$190/1000</f>
        <v>0</v>
      </c>
      <c r="H195" s="94">
        <f t="shared" ref="H195:H196" si="23">SUM(F195:G195)</f>
        <v>3.2905444126074497E-2</v>
      </c>
      <c r="J195" s="58"/>
      <c r="K195" s="58"/>
      <c r="L195" s="58"/>
    </row>
    <row r="196" spans="1:12" ht="16.5">
      <c r="A196" s="6" t="s">
        <v>3</v>
      </c>
      <c r="B196" s="98">
        <f>C196/12</f>
        <v>22812.25</v>
      </c>
      <c r="C196" s="236">
        <f>(273747/12*12)</f>
        <v>273747</v>
      </c>
      <c r="D196" s="98">
        <f>ROUND($C$202/($C$202+$C$203)*12,0)*$B196</f>
        <v>273747</v>
      </c>
      <c r="E196" s="194">
        <f>ROUND($C$203/($C$202+$C$203)*12,0)*$B196</f>
        <v>0</v>
      </c>
      <c r="F196" s="88">
        <f>$D196/D$190/1000</f>
        <v>7.8437535816618907E-3</v>
      </c>
      <c r="G196" s="88">
        <f>$E196/$D$190/1000</f>
        <v>0</v>
      </c>
      <c r="H196" s="95">
        <f t="shared" si="23"/>
        <v>7.8437535816618907E-3</v>
      </c>
      <c r="J196" s="58"/>
      <c r="K196" s="58"/>
      <c r="L196" s="58"/>
    </row>
    <row r="197" spans="1:12">
      <c r="A197" s="6" t="s">
        <v>2</v>
      </c>
      <c r="F197" s="89">
        <f>SUM(F194:F196)</f>
        <v>4.0749197707736384E-2</v>
      </c>
      <c r="G197" s="89">
        <f>SUM(G194:G196)</f>
        <v>0</v>
      </c>
      <c r="H197" s="99">
        <f>SUM(H194:H196)</f>
        <v>4.0749197707736384E-2</v>
      </c>
      <c r="J197" s="58"/>
      <c r="K197" s="58"/>
      <c r="L197" s="58"/>
    </row>
    <row r="198" spans="1:12">
      <c r="A198" s="11"/>
      <c r="B198" s="10"/>
      <c r="C198" s="10"/>
      <c r="D198" s="10"/>
      <c r="E198" s="10"/>
      <c r="F198" s="10"/>
      <c r="G198" s="10"/>
      <c r="H198" s="9"/>
      <c r="J198" s="58"/>
      <c r="K198" s="58"/>
      <c r="L198" s="58"/>
    </row>
    <row r="199" spans="1:12">
      <c r="J199" s="58"/>
      <c r="K199" s="58"/>
      <c r="L199" s="58"/>
    </row>
    <row r="200" spans="1:12">
      <c r="J200" s="58"/>
      <c r="K200" s="58"/>
      <c r="L200" s="58"/>
    </row>
    <row r="201" spans="1:12">
      <c r="A201" s="356" t="s">
        <v>117</v>
      </c>
      <c r="B201" s="357"/>
      <c r="C201" s="357"/>
      <c r="D201" s="357"/>
      <c r="E201" s="357"/>
      <c r="F201" s="357"/>
      <c r="G201" s="357"/>
      <c r="H201" s="358"/>
      <c r="J201" s="58"/>
      <c r="K201" s="58"/>
      <c r="L201" s="58"/>
    </row>
    <row r="202" spans="1:12" ht="15">
      <c r="A202" s="6"/>
      <c r="B202" s="5" t="s">
        <v>73</v>
      </c>
      <c r="C202" s="104">
        <v>52</v>
      </c>
      <c r="D202" s="43" t="s">
        <v>110</v>
      </c>
      <c r="E202" s="237">
        <v>0.04</v>
      </c>
      <c r="F202" s="5" t="s">
        <v>83</v>
      </c>
      <c r="G202" s="5"/>
      <c r="H202" s="8"/>
      <c r="J202" s="58"/>
      <c r="K202" s="58"/>
      <c r="L202" s="58"/>
    </row>
    <row r="203" spans="1:12" ht="15">
      <c r="A203" s="6"/>
      <c r="B203" s="5" t="s">
        <v>72</v>
      </c>
      <c r="C203" s="104">
        <v>0</v>
      </c>
      <c r="E203" s="5"/>
      <c r="F203" s="5" t="s">
        <v>84</v>
      </c>
      <c r="G203" s="5"/>
      <c r="H203" s="8"/>
      <c r="J203" s="58"/>
      <c r="K203" s="58"/>
      <c r="L203" s="58"/>
    </row>
    <row r="204" spans="1:12" ht="15">
      <c r="A204" s="6"/>
      <c r="B204" s="5" t="s">
        <v>74</v>
      </c>
      <c r="C204" s="104">
        <v>40</v>
      </c>
      <c r="E204" s="5"/>
      <c r="F204" s="5" t="s">
        <v>0</v>
      </c>
      <c r="G204" s="5"/>
      <c r="H204" s="8"/>
      <c r="J204" s="58"/>
      <c r="K204" s="58"/>
      <c r="L204" s="58"/>
    </row>
    <row r="205" spans="1:12" ht="15">
      <c r="A205" s="6"/>
      <c r="B205" s="5" t="s">
        <v>1</v>
      </c>
      <c r="C205" s="105">
        <v>1.5</v>
      </c>
      <c r="E205" s="5"/>
      <c r="G205" s="5"/>
      <c r="H205" s="7"/>
      <c r="J205" s="58"/>
      <c r="K205" s="58"/>
      <c r="L205" s="58"/>
    </row>
    <row r="206" spans="1:12" ht="15">
      <c r="A206" s="25"/>
      <c r="B206" s="79" t="s">
        <v>52</v>
      </c>
      <c r="C206" s="237">
        <v>0.3</v>
      </c>
      <c r="D206" s="10"/>
      <c r="E206" s="53"/>
      <c r="F206" s="53"/>
      <c r="G206" s="53"/>
      <c r="H206" s="65"/>
      <c r="J206" s="58"/>
      <c r="K206" s="58"/>
      <c r="L206" s="58"/>
    </row>
    <row r="207" spans="1:12">
      <c r="B207" s="388"/>
      <c r="C207" s="388"/>
      <c r="D207" s="388"/>
      <c r="J207" s="58"/>
      <c r="K207" s="58" t="s">
        <v>121</v>
      </c>
      <c r="L207" s="58"/>
    </row>
    <row r="208" spans="1:12">
      <c r="A208" s="356" t="s">
        <v>118</v>
      </c>
      <c r="B208" s="357"/>
      <c r="C208" s="357"/>
      <c r="D208" s="357"/>
      <c r="E208" s="357"/>
      <c r="F208" s="357"/>
      <c r="G208" s="357"/>
      <c r="H208" s="358"/>
      <c r="J208" s="58"/>
      <c r="K208" s="58" t="s">
        <v>122</v>
      </c>
      <c r="L208" s="58">
        <f>52-C209</f>
        <v>43</v>
      </c>
    </row>
    <row r="209" spans="1:12" ht="15">
      <c r="A209" s="6"/>
      <c r="B209" s="5" t="s">
        <v>73</v>
      </c>
      <c r="C209" s="104">
        <v>9</v>
      </c>
      <c r="D209" s="43" t="s">
        <v>110</v>
      </c>
      <c r="E209" s="237">
        <v>0.04</v>
      </c>
      <c r="F209" s="5" t="s">
        <v>83</v>
      </c>
      <c r="G209" s="5"/>
      <c r="H209" s="8"/>
      <c r="J209" s="58"/>
      <c r="K209" s="58" t="s">
        <v>75</v>
      </c>
      <c r="L209" s="58">
        <f>E47*1000/52*L208</f>
        <v>4051923.076923077</v>
      </c>
    </row>
    <row r="210" spans="1:12" ht="15">
      <c r="A210" s="6"/>
      <c r="B210" s="5" t="s">
        <v>72</v>
      </c>
      <c r="C210" s="104">
        <v>0</v>
      </c>
      <c r="E210" s="5"/>
      <c r="F210" s="5" t="s">
        <v>84</v>
      </c>
      <c r="G210" s="5"/>
      <c r="H210" s="8"/>
      <c r="J210" s="58"/>
      <c r="K210" s="58" t="s">
        <v>123</v>
      </c>
      <c r="L210" s="288">
        <f>0.0315*L209</f>
        <v>127635.57692307692</v>
      </c>
    </row>
    <row r="211" spans="1:12" ht="15">
      <c r="A211" s="6"/>
      <c r="B211" s="5" t="s">
        <v>74</v>
      </c>
      <c r="C211" s="104">
        <v>40</v>
      </c>
      <c r="E211" s="5"/>
      <c r="F211" s="5" t="s">
        <v>0</v>
      </c>
      <c r="G211" s="5"/>
      <c r="H211" s="8"/>
      <c r="J211" s="58"/>
      <c r="K211" s="58"/>
      <c r="L211" s="58"/>
    </row>
    <row r="212" spans="1:12" ht="15">
      <c r="A212" s="6"/>
      <c r="B212" s="5" t="s">
        <v>1</v>
      </c>
      <c r="C212" s="105">
        <v>1.5</v>
      </c>
      <c r="E212" s="5"/>
      <c r="G212" s="5"/>
      <c r="H212" s="7"/>
      <c r="J212" s="58"/>
      <c r="K212" s="58"/>
      <c r="L212" s="58"/>
    </row>
    <row r="213" spans="1:12" ht="15">
      <c r="A213" s="25"/>
      <c r="B213" s="79" t="s">
        <v>52</v>
      </c>
      <c r="C213" s="237">
        <v>0.3</v>
      </c>
      <c r="D213" s="10"/>
      <c r="E213" s="53"/>
      <c r="F213" s="53"/>
      <c r="G213" s="53"/>
      <c r="H213" s="65"/>
      <c r="J213" s="58"/>
      <c r="K213" s="58"/>
      <c r="L213" s="58"/>
    </row>
  </sheetData>
  <mergeCells count="47">
    <mergeCell ref="A208:H208"/>
    <mergeCell ref="B188:H188"/>
    <mergeCell ref="B190:C190"/>
    <mergeCell ref="F190:G190"/>
    <mergeCell ref="B191:C191"/>
    <mergeCell ref="A201:H201"/>
    <mergeCell ref="B207:D207"/>
    <mergeCell ref="T121:AD121"/>
    <mergeCell ref="A183:B183"/>
    <mergeCell ref="B159:C159"/>
    <mergeCell ref="E159:F159"/>
    <mergeCell ref="H159:I159"/>
    <mergeCell ref="H160:I160"/>
    <mergeCell ref="B161:D161"/>
    <mergeCell ref="E161:G161"/>
    <mergeCell ref="H161:J161"/>
    <mergeCell ref="B167:D167"/>
    <mergeCell ref="E167:G167"/>
    <mergeCell ref="H167:J167"/>
    <mergeCell ref="A174:H174"/>
    <mergeCell ref="A180:B180"/>
    <mergeCell ref="B136:D136"/>
    <mergeCell ref="F136:H136"/>
    <mergeCell ref="B111:D111"/>
    <mergeCell ref="F111:H111"/>
    <mergeCell ref="J84:L84"/>
    <mergeCell ref="A98:H98"/>
    <mergeCell ref="B26:D26"/>
    <mergeCell ref="E26:G26"/>
    <mergeCell ref="H26:J26"/>
    <mergeCell ref="B51:K51"/>
    <mergeCell ref="C62:F62"/>
    <mergeCell ref="G62:K62"/>
    <mergeCell ref="B74:D74"/>
    <mergeCell ref="F74:H74"/>
    <mergeCell ref="B84:D84"/>
    <mergeCell ref="F84:H84"/>
    <mergeCell ref="F99:H100"/>
    <mergeCell ref="A100:E100"/>
    <mergeCell ref="A1:J1"/>
    <mergeCell ref="S1:AA1"/>
    <mergeCell ref="AL1:AQ1"/>
    <mergeCell ref="B3:D3"/>
    <mergeCell ref="E3:G3"/>
    <mergeCell ref="H3:J3"/>
    <mergeCell ref="N3:O3"/>
    <mergeCell ref="P3:Q3"/>
  </mergeCell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F8C14-E477-4EDD-A01B-7B7E3161EE80}">
  <dimension ref="A1:AX213"/>
  <sheetViews>
    <sheetView topLeftCell="A11" workbookViewId="0">
      <selection activeCell="E43" sqref="E43"/>
    </sheetView>
  </sheetViews>
  <sheetFormatPr defaultColWidth="10.7109375" defaultRowHeight="12.75" outlineLevelCol="1"/>
  <cols>
    <col min="1" max="1" width="37.28515625" style="1" bestFit="1" customWidth="1"/>
    <col min="2" max="2" width="16.7109375" style="1" customWidth="1"/>
    <col min="3" max="3" width="13.28515625" style="1" customWidth="1"/>
    <col min="4" max="4" width="13.5703125" style="1" customWidth="1"/>
    <col min="5" max="5" width="12.7109375" style="1" customWidth="1"/>
    <col min="6" max="6" width="12.42578125" style="1" customWidth="1"/>
    <col min="7" max="7" width="14.28515625" style="1" customWidth="1"/>
    <col min="8" max="8" width="12.7109375" style="1" customWidth="1"/>
    <col min="9" max="9" width="10.7109375" style="1"/>
    <col min="10" max="10" width="13" style="1" customWidth="1"/>
    <col min="11" max="11" width="12.28515625" style="1" customWidth="1"/>
    <col min="12" max="12" width="11.28515625" style="1" customWidth="1"/>
    <col min="13" max="13" width="21.7109375" style="1" customWidth="1"/>
    <col min="14" max="14" width="13.42578125" style="1" customWidth="1"/>
    <col min="15" max="15" width="10.7109375" style="1"/>
    <col min="16" max="16" width="12.28515625" style="1" customWidth="1"/>
    <col min="17" max="17" width="9.7109375" style="1" customWidth="1"/>
    <col min="18" max="18" width="2.7109375" style="1" customWidth="1"/>
    <col min="19" max="19" width="12.140625" style="1" bestFit="1" customWidth="1" outlineLevel="1"/>
    <col min="20" max="20" width="11.42578125" style="1" customWidth="1" outlineLevel="1"/>
    <col min="21" max="21" width="17.7109375" style="1" customWidth="1" outlineLevel="1"/>
    <col min="22" max="24" width="15.28515625" style="1" customWidth="1" outlineLevel="1"/>
    <col min="25" max="25" width="14.7109375" style="1" customWidth="1" outlineLevel="1"/>
    <col min="26" max="26" width="12.42578125" style="1" customWidth="1" outlineLevel="1"/>
    <col min="27" max="27" width="15.28515625" style="1" customWidth="1" outlineLevel="1"/>
    <col min="28" max="28" width="12.42578125" style="1" customWidth="1" outlineLevel="1"/>
    <col min="29" max="29" width="9.42578125" style="1" customWidth="1" outlineLevel="1"/>
    <col min="30" max="30" width="13.28515625" style="1" bestFit="1" customWidth="1" outlineLevel="1"/>
    <col min="31" max="31" width="13.28515625" style="1" customWidth="1" outlineLevel="1"/>
    <col min="32" max="32" width="9.5703125" style="1" bestFit="1" customWidth="1" outlineLevel="1"/>
    <col min="33" max="33" width="9.28515625" style="1" customWidth="1" outlineLevel="1"/>
    <col min="34" max="34" width="9.5703125" style="1" bestFit="1" customWidth="1" outlineLevel="1"/>
    <col min="35" max="35" width="12" style="1" customWidth="1" outlineLevel="1"/>
    <col min="36" max="36" width="11.7109375" style="1" customWidth="1" outlineLevel="1"/>
    <col min="37" max="37" width="12.28515625" style="1" customWidth="1" outlineLevel="1"/>
    <col min="38" max="38" width="11.42578125" style="1" customWidth="1" outlineLevel="1"/>
    <col min="39" max="39" width="12.42578125" style="1" customWidth="1" outlineLevel="1"/>
    <col min="40" max="40" width="12.28515625" style="1" customWidth="1" outlineLevel="1"/>
    <col min="41" max="41" width="12.5703125" style="1" customWidth="1" outlineLevel="1"/>
    <col min="42" max="42" width="12.42578125" style="1" customWidth="1" outlineLevel="1"/>
    <col min="43" max="43" width="14.28515625" style="1" customWidth="1" outlineLevel="1"/>
    <col min="44" max="44" width="10.28515625" style="1" customWidth="1" outlineLevel="1"/>
    <col min="45" max="45" width="11.5703125" style="1" customWidth="1" outlineLevel="1"/>
    <col min="46" max="46" width="11.42578125" style="1" customWidth="1" outlineLevel="1"/>
    <col min="47" max="48" width="12.7109375" style="1" customWidth="1" outlineLevel="1"/>
    <col min="49" max="49" width="11" style="1" customWidth="1" outlineLevel="1"/>
    <col min="50" max="50" width="12.7109375" style="1" customWidth="1" outlineLevel="1"/>
    <col min="51" max="250" width="8.7109375" style="1" customWidth="1"/>
    <col min="251" max="16384" width="10.7109375" style="1"/>
  </cols>
  <sheetData>
    <row r="1" spans="1:43" ht="18.75" customHeight="1">
      <c r="A1" s="344" t="s">
        <v>124</v>
      </c>
      <c r="B1" s="344"/>
      <c r="C1" s="344"/>
      <c r="D1" s="344"/>
      <c r="E1" s="344"/>
      <c r="F1" s="344"/>
      <c r="G1" s="344"/>
      <c r="H1" s="344"/>
      <c r="I1" s="344"/>
      <c r="J1" s="344"/>
      <c r="K1" s="91"/>
      <c r="L1" s="91"/>
      <c r="S1" s="345"/>
      <c r="T1" s="345"/>
      <c r="U1" s="345"/>
      <c r="V1" s="345"/>
      <c r="W1" s="345"/>
      <c r="X1" s="345"/>
      <c r="Y1" s="345"/>
      <c r="Z1" s="345"/>
      <c r="AA1" s="345"/>
      <c r="AB1" s="149"/>
      <c r="AC1" s="150"/>
      <c r="AD1" s="150"/>
      <c r="AE1" s="151"/>
      <c r="AF1" s="151"/>
      <c r="AG1" s="151"/>
      <c r="AH1" s="151"/>
      <c r="AI1" s="152"/>
      <c r="AJ1" s="151"/>
      <c r="AK1" s="152"/>
      <c r="AL1" s="346"/>
      <c r="AM1" s="346"/>
      <c r="AN1" s="346"/>
      <c r="AO1" s="346"/>
      <c r="AP1" s="346"/>
      <c r="AQ1" s="346"/>
    </row>
    <row r="2" spans="1:43" ht="36.6" customHeight="1">
      <c r="A2" s="56" t="s">
        <v>59</v>
      </c>
      <c r="B2" s="186"/>
      <c r="C2" s="56"/>
      <c r="D2" s="56"/>
      <c r="E2" s="56"/>
      <c r="F2" s="56"/>
      <c r="G2" s="56"/>
      <c r="H2" s="84"/>
      <c r="I2" s="92"/>
      <c r="J2" s="92"/>
      <c r="K2" s="92"/>
      <c r="L2" s="92"/>
      <c r="S2" s="155"/>
      <c r="T2" s="155"/>
      <c r="U2" s="155"/>
      <c r="V2" s="155"/>
      <c r="W2" s="155"/>
      <c r="X2" s="155"/>
      <c r="Y2" s="155"/>
      <c r="Z2" s="155"/>
      <c r="AA2" s="156"/>
      <c r="AB2" s="182"/>
      <c r="AC2" s="151"/>
      <c r="AD2" s="150"/>
      <c r="AE2" s="157"/>
      <c r="AF2" s="157"/>
      <c r="AG2" s="157"/>
      <c r="AH2" s="157"/>
      <c r="AI2" s="155"/>
      <c r="AJ2" s="157"/>
      <c r="AK2" s="158"/>
      <c r="AL2" s="159"/>
      <c r="AM2" s="234"/>
      <c r="AN2" s="234"/>
      <c r="AO2" s="155"/>
      <c r="AP2" s="155"/>
      <c r="AQ2" s="155"/>
    </row>
    <row r="3" spans="1:43" ht="18" customHeight="1">
      <c r="A3" s="64" t="s">
        <v>20</v>
      </c>
      <c r="B3" s="347" t="s">
        <v>91</v>
      </c>
      <c r="C3" s="348"/>
      <c r="D3" s="348"/>
      <c r="E3" s="347" t="s">
        <v>93</v>
      </c>
      <c r="F3" s="348"/>
      <c r="G3" s="348"/>
      <c r="H3" s="347" t="s">
        <v>94</v>
      </c>
      <c r="I3" s="348"/>
      <c r="J3" s="349"/>
      <c r="M3" s="252"/>
      <c r="N3" s="350"/>
      <c r="O3" s="350"/>
      <c r="P3" s="350"/>
      <c r="Q3" s="351"/>
      <c r="S3" s="160"/>
      <c r="T3" s="161"/>
      <c r="U3" s="160"/>
      <c r="V3" s="160"/>
      <c r="W3" s="160"/>
      <c r="X3" s="160"/>
      <c r="Y3" s="160"/>
      <c r="Z3" s="160"/>
      <c r="AA3" s="161"/>
      <c r="AB3" s="151"/>
      <c r="AC3" s="161"/>
      <c r="AD3" s="161"/>
      <c r="AE3" s="160"/>
      <c r="AF3" s="160"/>
      <c r="AG3" s="160"/>
      <c r="AH3" s="160"/>
      <c r="AI3" s="161"/>
      <c r="AJ3" s="160"/>
      <c r="AK3" s="161"/>
      <c r="AL3" s="161"/>
      <c r="AM3" s="161"/>
      <c r="AN3" s="161"/>
      <c r="AO3" s="161"/>
      <c r="AP3" s="161"/>
      <c r="AQ3" s="161"/>
    </row>
    <row r="4" spans="1:43" s="46" customFormat="1" ht="15">
      <c r="A4" s="66"/>
      <c r="B4" s="218" t="s">
        <v>143</v>
      </c>
      <c r="C4" s="219" t="s">
        <v>114</v>
      </c>
      <c r="D4" s="219" t="s">
        <v>88</v>
      </c>
      <c r="E4" s="218" t="str">
        <f>$B$4</f>
        <v>25 Standard</v>
      </c>
      <c r="F4" s="219" t="str">
        <f>+C4</f>
        <v>23 Actual</v>
      </c>
      <c r="G4" s="219" t="str">
        <f>+D4</f>
        <v>20 Standard</v>
      </c>
      <c r="H4" s="218" t="str">
        <f>+B4</f>
        <v>25 Standard</v>
      </c>
      <c r="I4" s="219" t="str">
        <f>+C4</f>
        <v>23 Actual</v>
      </c>
      <c r="J4" s="220" t="str">
        <f>+D4</f>
        <v>20 Standard</v>
      </c>
      <c r="M4" s="253"/>
      <c r="N4" s="254"/>
      <c r="O4" s="254"/>
      <c r="P4" s="254"/>
      <c r="Q4" s="255"/>
      <c r="S4" s="162"/>
      <c r="T4" s="163"/>
      <c r="U4" s="163"/>
      <c r="V4" s="163"/>
      <c r="W4" s="163"/>
      <c r="X4" s="163"/>
      <c r="Y4" s="163"/>
      <c r="Z4" s="163"/>
      <c r="AA4" s="164"/>
      <c r="AB4" s="165"/>
      <c r="AC4" s="166"/>
      <c r="AD4" s="164"/>
      <c r="AE4" s="164"/>
      <c r="AF4" s="164"/>
      <c r="AG4" s="164"/>
      <c r="AH4" s="164"/>
      <c r="AI4" s="163"/>
      <c r="AJ4" s="164"/>
      <c r="AK4" s="163"/>
      <c r="AL4" s="164"/>
      <c r="AM4" s="164"/>
      <c r="AN4" s="164"/>
      <c r="AO4" s="164"/>
      <c r="AP4" s="164"/>
      <c r="AQ4" s="164"/>
    </row>
    <row r="5" spans="1:43" s="46" customFormat="1">
      <c r="A5" s="66"/>
      <c r="B5" s="221"/>
      <c r="C5" s="202" t="s">
        <v>89</v>
      </c>
      <c r="D5" s="202"/>
      <c r="E5" s="221"/>
      <c r="F5" s="202" t="s">
        <v>89</v>
      </c>
      <c r="G5" s="202"/>
      <c r="H5" s="221"/>
      <c r="I5" s="202" t="s">
        <v>89</v>
      </c>
      <c r="J5" s="222"/>
      <c r="M5" s="253"/>
      <c r="N5" s="256"/>
      <c r="O5" s="256"/>
      <c r="P5" s="257"/>
      <c r="Q5" s="258"/>
      <c r="S5" s="162"/>
      <c r="T5" s="163"/>
      <c r="U5" s="163"/>
      <c r="V5" s="163"/>
      <c r="W5" s="163"/>
      <c r="X5" s="163"/>
      <c r="Y5" s="163"/>
      <c r="Z5" s="163"/>
      <c r="AA5" s="164"/>
      <c r="AB5" s="165"/>
      <c r="AC5" s="166"/>
      <c r="AD5" s="164"/>
      <c r="AE5" s="164"/>
      <c r="AF5" s="164"/>
      <c r="AG5" s="154"/>
      <c r="AH5" s="164"/>
      <c r="AI5" s="163"/>
      <c r="AJ5" s="164"/>
      <c r="AK5" s="163"/>
      <c r="AL5" s="164"/>
      <c r="AM5" s="164"/>
      <c r="AN5" s="164"/>
      <c r="AO5" s="164"/>
      <c r="AP5" s="164"/>
      <c r="AQ5" s="164"/>
    </row>
    <row r="6" spans="1:43">
      <c r="A6" s="30" t="s">
        <v>50</v>
      </c>
      <c r="B6" s="192">
        <f>IF(B24&lt;&gt;0,$D$82,0)</f>
        <v>0</v>
      </c>
      <c r="C6" s="192">
        <v>5.8500000000000003E-2</v>
      </c>
      <c r="D6" s="192">
        <v>4.1565810184720102E-2</v>
      </c>
      <c r="E6" s="204">
        <f>+H82</f>
        <v>0</v>
      </c>
      <c r="F6" s="192">
        <v>0</v>
      </c>
      <c r="G6" s="192">
        <v>0</v>
      </c>
      <c r="H6" s="204">
        <f>+D96</f>
        <v>0</v>
      </c>
      <c r="I6" s="192">
        <v>0</v>
      </c>
      <c r="J6" s="205">
        <v>0</v>
      </c>
      <c r="M6" s="259"/>
      <c r="N6" s="260"/>
      <c r="O6" s="261"/>
      <c r="P6" s="260"/>
      <c r="Q6" s="262"/>
      <c r="S6" s="167"/>
      <c r="T6" s="163"/>
      <c r="U6" s="163"/>
      <c r="V6" s="163"/>
      <c r="W6" s="163"/>
      <c r="X6" s="163"/>
      <c r="Y6" s="163"/>
      <c r="Z6" s="163"/>
      <c r="AA6" s="164"/>
      <c r="AB6" s="165"/>
      <c r="AC6" s="166"/>
      <c r="AD6" s="164"/>
      <c r="AE6" s="164"/>
      <c r="AF6" s="164"/>
      <c r="AG6" s="164"/>
      <c r="AH6" s="164"/>
      <c r="AI6" s="163"/>
      <c r="AJ6" s="164"/>
      <c r="AK6" s="163"/>
      <c r="AL6" s="164"/>
      <c r="AM6" s="164"/>
      <c r="AN6" s="164"/>
      <c r="AO6" s="164"/>
      <c r="AP6" s="164"/>
      <c r="AQ6" s="164"/>
    </row>
    <row r="7" spans="1:43" ht="15">
      <c r="A7" s="30" t="s">
        <v>27</v>
      </c>
      <c r="B7" s="192">
        <f>IF(B24&lt;&gt;0,$D$163,0)</f>
        <v>0</v>
      </c>
      <c r="C7" s="192">
        <v>1.0500000000000001E-2</v>
      </c>
      <c r="D7" s="192">
        <v>2.0277328909623641E-2</v>
      </c>
      <c r="E7" s="204">
        <f>G163</f>
        <v>1.983719966453169E-2</v>
      </c>
      <c r="F7" s="192">
        <v>0</v>
      </c>
      <c r="G7" s="192">
        <v>0</v>
      </c>
      <c r="H7" s="204">
        <f>J163</f>
        <v>1.983719966453169E-2</v>
      </c>
      <c r="I7" s="192">
        <v>0</v>
      </c>
      <c r="J7" s="205">
        <v>0</v>
      </c>
      <c r="M7" s="263"/>
      <c r="N7" s="264"/>
      <c r="O7" s="207"/>
      <c r="P7" s="264"/>
      <c r="Q7" s="208"/>
      <c r="S7" s="168"/>
      <c r="T7" s="168"/>
      <c r="U7" s="168"/>
      <c r="V7" s="168"/>
      <c r="W7" s="168"/>
      <c r="X7" s="168"/>
      <c r="Y7" s="168"/>
      <c r="Z7" s="168"/>
      <c r="AA7" s="168"/>
      <c r="AB7" s="165"/>
      <c r="AC7" s="166"/>
      <c r="AD7" s="169"/>
      <c r="AE7" s="170"/>
      <c r="AF7" s="171"/>
      <c r="AG7" s="171"/>
      <c r="AH7" s="171"/>
      <c r="AI7" s="168"/>
      <c r="AJ7" s="170"/>
      <c r="AK7" s="168"/>
      <c r="AL7" s="169"/>
      <c r="AM7" s="169"/>
      <c r="AN7" s="169"/>
      <c r="AO7" s="169"/>
      <c r="AP7" s="169"/>
      <c r="AQ7" s="169"/>
    </row>
    <row r="8" spans="1:43" ht="15">
      <c r="A8" s="6" t="s">
        <v>49</v>
      </c>
      <c r="B8" s="192">
        <f>IF(B24&lt;&gt;0,$D$164,0)</f>
        <v>0</v>
      </c>
      <c r="C8" s="192">
        <v>1.5599999999999999E-2</v>
      </c>
      <c r="D8" s="192">
        <v>1.4965000000000001E-2</v>
      </c>
      <c r="E8" s="204">
        <f>G164</f>
        <v>1.7100000000000001E-2</v>
      </c>
      <c r="F8" s="192">
        <v>0</v>
      </c>
      <c r="G8" s="192">
        <v>0</v>
      </c>
      <c r="H8" s="204">
        <f>J164</f>
        <v>1.7100000000000001E-2</v>
      </c>
      <c r="I8" s="192">
        <v>0</v>
      </c>
      <c r="J8" s="205">
        <v>0</v>
      </c>
      <c r="M8" s="263"/>
      <c r="N8" s="265"/>
      <c r="O8" s="266"/>
      <c r="P8" s="265"/>
      <c r="Q8" s="267"/>
      <c r="S8" s="168"/>
      <c r="T8" s="168"/>
      <c r="U8" s="168"/>
      <c r="V8" s="168"/>
      <c r="W8" s="168"/>
      <c r="X8" s="168"/>
      <c r="Y8" s="168"/>
      <c r="Z8" s="168"/>
      <c r="AA8" s="168"/>
      <c r="AB8" s="165"/>
      <c r="AC8" s="166"/>
      <c r="AD8" s="169"/>
      <c r="AE8" s="170"/>
      <c r="AF8" s="171"/>
      <c r="AG8" s="171"/>
      <c r="AH8" s="171"/>
      <c r="AI8" s="168"/>
      <c r="AJ8" s="170"/>
      <c r="AK8" s="168"/>
      <c r="AL8" s="169"/>
      <c r="AM8" s="169"/>
      <c r="AN8" s="169"/>
      <c r="AO8" s="169"/>
      <c r="AP8" s="169"/>
      <c r="AQ8" s="169"/>
    </row>
    <row r="9" spans="1:43">
      <c r="A9" s="30" t="s">
        <v>48</v>
      </c>
      <c r="B9" s="192">
        <f>IF(B24&lt;&gt;0,$J$177,0)</f>
        <v>0</v>
      </c>
      <c r="C9" s="192">
        <v>1.9199999999999998E-2</v>
      </c>
      <c r="D9" s="192">
        <v>1.591578947368421E-2</v>
      </c>
      <c r="E9" s="204">
        <f>$H$177</f>
        <v>0.03</v>
      </c>
      <c r="F9" s="192">
        <v>0</v>
      </c>
      <c r="G9" s="192">
        <v>0</v>
      </c>
      <c r="H9" s="204">
        <f>$H$177</f>
        <v>0.03</v>
      </c>
      <c r="I9" s="192">
        <v>0</v>
      </c>
      <c r="J9" s="205">
        <v>0</v>
      </c>
      <c r="M9" s="259"/>
      <c r="N9" s="260"/>
      <c r="O9" s="261"/>
      <c r="P9" s="268"/>
      <c r="Q9" s="262"/>
      <c r="S9" s="168"/>
      <c r="T9" s="168"/>
      <c r="U9" s="168"/>
      <c r="V9" s="168"/>
      <c r="W9" s="168"/>
      <c r="X9" s="168"/>
      <c r="Y9" s="168"/>
      <c r="Z9" s="168"/>
      <c r="AA9" s="168"/>
      <c r="AB9" s="165"/>
      <c r="AC9" s="166"/>
      <c r="AD9" s="169"/>
      <c r="AE9" s="170"/>
      <c r="AF9" s="171"/>
      <c r="AG9" s="171"/>
      <c r="AH9" s="171"/>
      <c r="AI9" s="168"/>
      <c r="AJ9" s="170"/>
      <c r="AK9" s="168"/>
      <c r="AL9" s="169"/>
      <c r="AM9" s="169"/>
      <c r="AN9" s="169"/>
      <c r="AO9" s="169"/>
      <c r="AP9" s="169"/>
      <c r="AQ9" s="169"/>
    </row>
    <row r="10" spans="1:43">
      <c r="A10" s="30" t="s">
        <v>47</v>
      </c>
      <c r="B10" s="192">
        <f>IF(B24&lt;&gt;0,$J$181,0)</f>
        <v>0</v>
      </c>
      <c r="C10" s="192">
        <v>8.0000000000000004E-4</v>
      </c>
      <c r="D10" s="192">
        <v>2.6315789473684214E-3</v>
      </c>
      <c r="E10" s="204">
        <f>$H$181</f>
        <v>5.5102040816326532E-3</v>
      </c>
      <c r="F10" s="192">
        <v>0</v>
      </c>
      <c r="G10" s="192">
        <v>0</v>
      </c>
      <c r="H10" s="204">
        <f>$H$181</f>
        <v>5.5102040816326532E-3</v>
      </c>
      <c r="I10" s="192">
        <v>0</v>
      </c>
      <c r="J10" s="205">
        <v>0</v>
      </c>
      <c r="M10" s="263"/>
      <c r="N10" s="260"/>
      <c r="O10" s="261"/>
      <c r="P10" s="260"/>
      <c r="Q10" s="262"/>
      <c r="S10" s="168"/>
      <c r="T10" s="168"/>
      <c r="U10" s="168"/>
      <c r="V10" s="168"/>
      <c r="W10" s="168"/>
      <c r="X10" s="168"/>
      <c r="Y10" s="168"/>
      <c r="Z10" s="168"/>
      <c r="AA10" s="168"/>
      <c r="AB10" s="165"/>
      <c r="AC10" s="166"/>
      <c r="AD10" s="169"/>
      <c r="AE10" s="170"/>
      <c r="AF10" s="171"/>
      <c r="AG10" s="171"/>
      <c r="AH10" s="171"/>
      <c r="AI10" s="168"/>
      <c r="AJ10" s="170"/>
      <c r="AK10" s="168"/>
      <c r="AL10" s="169"/>
      <c r="AM10" s="169"/>
      <c r="AN10" s="169"/>
      <c r="AO10" s="169"/>
      <c r="AP10" s="169"/>
      <c r="AQ10" s="169"/>
    </row>
    <row r="11" spans="1:43" ht="15">
      <c r="A11" s="30" t="s">
        <v>46</v>
      </c>
      <c r="B11" s="207">
        <f>IF(B24&lt;&gt;0,$J$184,0)</f>
        <v>0</v>
      </c>
      <c r="C11" s="207">
        <v>5.7999999999999996E-3</v>
      </c>
      <c r="D11" s="207">
        <v>9.4736842105263147E-3</v>
      </c>
      <c r="E11" s="206">
        <f>$H$184</f>
        <v>1.1224489795918367E-2</v>
      </c>
      <c r="F11" s="207">
        <v>0</v>
      </c>
      <c r="G11" s="207">
        <v>0</v>
      </c>
      <c r="H11" s="206">
        <f>$H$184</f>
        <v>1.1224489795918367E-2</v>
      </c>
      <c r="I11" s="207">
        <v>0</v>
      </c>
      <c r="J11" s="208">
        <v>0</v>
      </c>
      <c r="M11" s="263"/>
      <c r="N11" s="269"/>
      <c r="O11" s="192"/>
      <c r="P11" s="269"/>
      <c r="Q11" s="205"/>
      <c r="S11" s="174"/>
      <c r="T11" s="174"/>
      <c r="U11" s="174"/>
      <c r="V11" s="174"/>
      <c r="W11" s="174"/>
      <c r="X11" s="174"/>
      <c r="Y11" s="174"/>
      <c r="Z11" s="174"/>
      <c r="AA11" s="174"/>
      <c r="AB11" s="165"/>
      <c r="AC11" s="166"/>
      <c r="AD11" s="169"/>
      <c r="AE11" s="170"/>
      <c r="AF11" s="175"/>
      <c r="AG11" s="175"/>
      <c r="AH11" s="175"/>
      <c r="AI11" s="174"/>
      <c r="AJ11" s="170"/>
      <c r="AK11" s="174"/>
      <c r="AL11" s="169"/>
      <c r="AM11" s="169"/>
      <c r="AN11" s="169"/>
      <c r="AO11" s="169"/>
      <c r="AP11" s="169"/>
      <c r="AQ11" s="169"/>
    </row>
    <row r="12" spans="1:43" ht="15">
      <c r="A12" s="30" t="s">
        <v>45</v>
      </c>
      <c r="B12" s="192">
        <f t="shared" ref="B12:D12" si="0">SUM(B6:B11)</f>
        <v>0</v>
      </c>
      <c r="C12" s="192">
        <f t="shared" si="0"/>
        <v>0.1104</v>
      </c>
      <c r="D12" s="192">
        <f t="shared" si="0"/>
        <v>0.1048291917259227</v>
      </c>
      <c r="E12" s="204">
        <f>SUM(E6:E11)</f>
        <v>8.3671893542082695E-2</v>
      </c>
      <c r="F12" s="192">
        <f t="shared" ref="F12:G12" si="1">SUM(F6:F11)</f>
        <v>0</v>
      </c>
      <c r="G12" s="192">
        <f t="shared" si="1"/>
        <v>0</v>
      </c>
      <c r="H12" s="204">
        <f>SUM(H6:H11)</f>
        <v>8.3671893542082695E-2</v>
      </c>
      <c r="I12" s="192">
        <f t="shared" ref="I12:J12" si="2">SUM(I6:I11)</f>
        <v>0</v>
      </c>
      <c r="J12" s="205">
        <f t="shared" si="2"/>
        <v>0</v>
      </c>
      <c r="M12" s="263"/>
      <c r="N12" s="264"/>
      <c r="O12" s="207"/>
      <c r="P12" s="264"/>
      <c r="Q12" s="208"/>
      <c r="S12" s="168"/>
      <c r="T12" s="168"/>
      <c r="U12" s="168"/>
      <c r="V12" s="168"/>
      <c r="W12" s="168"/>
      <c r="X12" s="168"/>
      <c r="Y12" s="168"/>
      <c r="Z12" s="168"/>
      <c r="AA12" s="168"/>
      <c r="AB12" s="165"/>
      <c r="AC12" s="166"/>
      <c r="AD12" s="164"/>
      <c r="AE12" s="164"/>
      <c r="AF12" s="171"/>
      <c r="AG12" s="171"/>
      <c r="AH12" s="171"/>
      <c r="AI12" s="168"/>
      <c r="AJ12" s="164"/>
      <c r="AK12" s="168"/>
      <c r="AL12" s="164"/>
      <c r="AM12" s="164"/>
      <c r="AN12" s="164"/>
      <c r="AO12" s="164"/>
      <c r="AP12" s="164"/>
      <c r="AQ12" s="164"/>
    </row>
    <row r="13" spans="1:43" ht="15">
      <c r="A13" s="30"/>
      <c r="B13" s="204"/>
      <c r="C13" s="192"/>
      <c r="D13" s="192"/>
      <c r="E13" s="204"/>
      <c r="F13" s="192"/>
      <c r="G13" s="192"/>
      <c r="H13" s="204"/>
      <c r="I13" s="192"/>
      <c r="J13" s="205"/>
      <c r="M13" s="263"/>
      <c r="N13" s="265"/>
      <c r="O13" s="266"/>
      <c r="P13" s="265"/>
      <c r="Q13" s="267"/>
      <c r="S13" s="163"/>
      <c r="T13" s="163"/>
      <c r="U13" s="163"/>
      <c r="V13" s="163"/>
      <c r="W13" s="163"/>
      <c r="X13" s="163"/>
      <c r="Y13" s="163"/>
      <c r="Z13" s="163"/>
      <c r="AA13" s="164"/>
      <c r="AB13" s="165"/>
      <c r="AC13" s="166"/>
      <c r="AD13" s="164"/>
      <c r="AE13" s="164"/>
      <c r="AF13" s="167"/>
      <c r="AG13" s="167"/>
      <c r="AH13" s="167"/>
      <c r="AI13" s="163"/>
      <c r="AJ13" s="164"/>
      <c r="AK13" s="163"/>
      <c r="AL13" s="164"/>
      <c r="AM13" s="164"/>
      <c r="AN13" s="164"/>
      <c r="AO13" s="164"/>
      <c r="AP13" s="164"/>
      <c r="AQ13" s="164"/>
    </row>
    <row r="14" spans="1:43">
      <c r="A14" s="30" t="s">
        <v>31</v>
      </c>
      <c r="B14" s="192">
        <f>IF($B$24&lt;&gt;0,$F$152/B24/1000,0)</f>
        <v>0</v>
      </c>
      <c r="C14" s="192">
        <v>2.46E-2</v>
      </c>
      <c r="D14" s="192">
        <v>7.3599375000000002E-3</v>
      </c>
      <c r="E14" s="204">
        <f>$D$124*$E$108/$B$49/1000</f>
        <v>9.3026761418853253E-4</v>
      </c>
      <c r="F14" s="192">
        <v>0</v>
      </c>
      <c r="G14" s="192">
        <v>0</v>
      </c>
      <c r="H14" s="204">
        <f>$D$124*$E$108/$B$49/1000</f>
        <v>9.3026761418853253E-4</v>
      </c>
      <c r="I14" s="192">
        <v>0</v>
      </c>
      <c r="J14" s="205">
        <v>0</v>
      </c>
      <c r="M14" s="259"/>
      <c r="N14" s="269"/>
      <c r="O14" s="270"/>
      <c r="P14" s="269"/>
      <c r="Q14" s="271"/>
      <c r="S14" s="168"/>
      <c r="T14" s="168"/>
      <c r="U14" s="168"/>
      <c r="V14" s="168"/>
      <c r="W14" s="168"/>
      <c r="X14" s="168"/>
      <c r="Y14" s="168"/>
      <c r="Z14" s="168"/>
      <c r="AA14" s="168"/>
      <c r="AB14" s="165"/>
      <c r="AC14" s="166"/>
      <c r="AD14" s="169"/>
      <c r="AE14" s="170"/>
      <c r="AF14" s="171"/>
      <c r="AG14" s="171"/>
      <c r="AH14" s="171"/>
      <c r="AI14" s="168"/>
      <c r="AJ14" s="170"/>
      <c r="AK14" s="168"/>
      <c r="AL14" s="169"/>
      <c r="AM14" s="169"/>
      <c r="AN14" s="169"/>
      <c r="AO14" s="169"/>
      <c r="AP14" s="169"/>
      <c r="AQ14" s="169"/>
    </row>
    <row r="15" spans="1:43">
      <c r="A15" s="30" t="s">
        <v>44</v>
      </c>
      <c r="B15" s="192">
        <f>IF($B$24&lt;&gt;0,$F$153/$B$24/1000,0)</f>
        <v>0</v>
      </c>
      <c r="C15" s="192">
        <v>8.9999999999999993E-3</v>
      </c>
      <c r="D15" s="192">
        <v>4.2419375E-3</v>
      </c>
      <c r="E15" s="204">
        <f>$H$124*$E$108/$B$49/1000</f>
        <v>0</v>
      </c>
      <c r="F15" s="192">
        <v>0</v>
      </c>
      <c r="G15" s="192">
        <v>0</v>
      </c>
      <c r="H15" s="204">
        <f>$H$124*$E$108/$B$49/1000</f>
        <v>0</v>
      </c>
      <c r="I15" s="192">
        <v>0</v>
      </c>
      <c r="J15" s="205">
        <v>0</v>
      </c>
      <c r="M15" s="263"/>
      <c r="N15" s="269"/>
      <c r="O15" s="268"/>
      <c r="P15" s="269"/>
      <c r="Q15" s="258"/>
      <c r="S15" s="176"/>
      <c r="T15" s="168"/>
      <c r="U15" s="168"/>
      <c r="V15" s="168"/>
      <c r="W15" s="168"/>
      <c r="X15" s="176"/>
      <c r="Y15" s="176"/>
      <c r="Z15" s="176"/>
      <c r="AA15" s="176"/>
      <c r="AB15" s="165"/>
      <c r="AC15" s="166"/>
      <c r="AD15" s="169"/>
      <c r="AE15" s="170"/>
      <c r="AF15" s="167"/>
      <c r="AG15" s="167"/>
      <c r="AH15" s="167"/>
      <c r="AI15" s="176"/>
      <c r="AJ15" s="170"/>
      <c r="AK15" s="176"/>
      <c r="AL15" s="169"/>
      <c r="AM15" s="169"/>
      <c r="AN15" s="169"/>
      <c r="AO15" s="169"/>
      <c r="AP15" s="169"/>
      <c r="AQ15" s="169"/>
    </row>
    <row r="16" spans="1:43">
      <c r="A16" s="30" t="s">
        <v>43</v>
      </c>
      <c r="B16" s="192">
        <f>IF($B$24&lt;&gt;0,$F$155/$B$24/1000,0)</f>
        <v>0</v>
      </c>
      <c r="C16" s="192">
        <v>7.9000000000000008E-3</v>
      </c>
      <c r="D16" s="192">
        <v>5.3897125000000002E-3</v>
      </c>
      <c r="E16" s="204">
        <f>$D$131*$E$108/$B$49/1000</f>
        <v>0</v>
      </c>
      <c r="F16" s="192">
        <v>0</v>
      </c>
      <c r="G16" s="192">
        <v>0</v>
      </c>
      <c r="H16" s="204">
        <f>$D$131*$E$108/$B$49/1000</f>
        <v>0</v>
      </c>
      <c r="I16" s="192">
        <v>0</v>
      </c>
      <c r="J16" s="205">
        <v>0</v>
      </c>
      <c r="M16" s="263"/>
      <c r="N16" s="269"/>
      <c r="O16" s="268"/>
      <c r="P16" s="269"/>
      <c r="Q16" s="258"/>
      <c r="S16" s="168"/>
      <c r="T16" s="168"/>
      <c r="U16" s="168"/>
      <c r="V16" s="168"/>
      <c r="W16" s="168"/>
      <c r="X16" s="168"/>
      <c r="Y16" s="168"/>
      <c r="Z16" s="168"/>
      <c r="AA16" s="176"/>
      <c r="AB16" s="165"/>
      <c r="AC16" s="166"/>
      <c r="AD16" s="169"/>
      <c r="AE16" s="170"/>
      <c r="AF16" s="171"/>
      <c r="AG16" s="171"/>
      <c r="AH16" s="171"/>
      <c r="AI16" s="168"/>
      <c r="AJ16" s="170"/>
      <c r="AK16" s="168"/>
      <c r="AL16" s="169"/>
      <c r="AM16" s="169"/>
      <c r="AN16" s="169"/>
      <c r="AO16" s="169"/>
      <c r="AP16" s="169"/>
      <c r="AQ16" s="169"/>
    </row>
    <row r="17" spans="1:10">
      <c r="A17" s="6" t="s">
        <v>5</v>
      </c>
      <c r="B17" s="192">
        <f>IF($B$24&lt;&gt;0,$F$154/$B$24/1000,0)</f>
        <v>0</v>
      </c>
      <c r="C17" s="192">
        <v>0</v>
      </c>
      <c r="D17" s="192">
        <v>2.6778947368421052E-3</v>
      </c>
      <c r="E17" s="204">
        <f>$F$194</f>
        <v>0</v>
      </c>
      <c r="F17" s="192">
        <v>0</v>
      </c>
      <c r="G17" s="192">
        <v>0</v>
      </c>
      <c r="H17" s="204">
        <f>$F$194</f>
        <v>0</v>
      </c>
      <c r="I17" s="192">
        <v>0</v>
      </c>
      <c r="J17" s="205">
        <v>0</v>
      </c>
    </row>
    <row r="18" spans="1:10">
      <c r="A18" s="6" t="s">
        <v>3</v>
      </c>
      <c r="B18" s="192">
        <f>IF($B$24&lt;&gt;0,$B$196/$B$49/1000,0)</f>
        <v>0</v>
      </c>
      <c r="C18" s="192">
        <v>2.7000000000000001E-3</v>
      </c>
      <c r="D18" s="192">
        <v>0.16719999999999999</v>
      </c>
      <c r="E18" s="204">
        <f>$F$196</f>
        <v>5.5866734693877554E-2</v>
      </c>
      <c r="F18" s="192">
        <v>0</v>
      </c>
      <c r="G18" s="192">
        <v>0</v>
      </c>
      <c r="H18" s="204">
        <f>$F$196</f>
        <v>5.5866734693877554E-2</v>
      </c>
      <c r="I18" s="192">
        <v>0</v>
      </c>
      <c r="J18" s="205">
        <v>0</v>
      </c>
    </row>
    <row r="19" spans="1:10" ht="15">
      <c r="A19" s="6" t="s">
        <v>4</v>
      </c>
      <c r="B19" s="207">
        <f>IF($B$24&lt;&gt;0,$B$195/$B$49/1000,0)</f>
        <v>0</v>
      </c>
      <c r="C19" s="207">
        <v>1.2E-2</v>
      </c>
      <c r="D19" s="207">
        <v>1.2884210526315788E-2</v>
      </c>
      <c r="E19" s="206">
        <f>$F$195</f>
        <v>0.23436734693877551</v>
      </c>
      <c r="F19" s="207">
        <v>0</v>
      </c>
      <c r="G19" s="207">
        <v>0</v>
      </c>
      <c r="H19" s="206">
        <f>$F$195</f>
        <v>0.23436734693877551</v>
      </c>
      <c r="I19" s="207">
        <v>0</v>
      </c>
      <c r="J19" s="208">
        <v>0</v>
      </c>
    </row>
    <row r="20" spans="1:10">
      <c r="A20" s="30" t="s">
        <v>42</v>
      </c>
      <c r="B20" s="192">
        <f t="shared" ref="B20:J20" si="3">SUM(B14:B19)</f>
        <v>0</v>
      </c>
      <c r="C20" s="192">
        <f t="shared" si="3"/>
        <v>5.62E-2</v>
      </c>
      <c r="D20" s="192">
        <f t="shared" si="3"/>
        <v>0.19975369276315788</v>
      </c>
      <c r="E20" s="204">
        <f t="shared" si="3"/>
        <v>0.29116434924684159</v>
      </c>
      <c r="F20" s="192">
        <f t="shared" ref="F20:G20" si="4">SUM(F14:F19)</f>
        <v>0</v>
      </c>
      <c r="G20" s="192">
        <f t="shared" si="4"/>
        <v>0</v>
      </c>
      <c r="H20" s="204">
        <f t="shared" si="3"/>
        <v>0.29116434924684159</v>
      </c>
      <c r="I20" s="192">
        <f t="shared" si="3"/>
        <v>0</v>
      </c>
      <c r="J20" s="205">
        <f t="shared" si="3"/>
        <v>0</v>
      </c>
    </row>
    <row r="21" spans="1:10">
      <c r="A21" s="6"/>
      <c r="B21" s="204"/>
      <c r="C21" s="192"/>
      <c r="D21" s="192"/>
      <c r="E21" s="204"/>
      <c r="F21" s="192"/>
      <c r="G21" s="192"/>
      <c r="H21" s="223"/>
      <c r="I21" s="192"/>
      <c r="J21" s="224"/>
    </row>
    <row r="22" spans="1:10">
      <c r="A22" s="30" t="s">
        <v>41</v>
      </c>
      <c r="B22" s="209">
        <f t="shared" ref="B22:J22" si="5">B12+B20</f>
        <v>0</v>
      </c>
      <c r="C22" s="210">
        <f t="shared" si="5"/>
        <v>0.1666</v>
      </c>
      <c r="D22" s="210">
        <f t="shared" si="5"/>
        <v>0.30458288448908055</v>
      </c>
      <c r="E22" s="209">
        <f t="shared" si="5"/>
        <v>0.3748362427889243</v>
      </c>
      <c r="F22" s="210">
        <f t="shared" si="5"/>
        <v>0</v>
      </c>
      <c r="G22" s="210">
        <f t="shared" si="5"/>
        <v>0</v>
      </c>
      <c r="H22" s="209">
        <f t="shared" si="5"/>
        <v>0.3748362427889243</v>
      </c>
      <c r="I22" s="210">
        <f t="shared" si="5"/>
        <v>0</v>
      </c>
      <c r="J22" s="211">
        <f t="shared" si="5"/>
        <v>0</v>
      </c>
    </row>
    <row r="23" spans="1:10">
      <c r="A23" s="6"/>
      <c r="B23" s="212"/>
      <c r="C23" s="213"/>
      <c r="D23" s="213"/>
      <c r="E23" s="212"/>
      <c r="F23" s="213"/>
      <c r="G23" s="213"/>
      <c r="H23" s="212"/>
      <c r="I23" s="213"/>
      <c r="J23" s="225"/>
    </row>
    <row r="24" spans="1:10">
      <c r="A24" s="25" t="s">
        <v>40</v>
      </c>
      <c r="B24" s="215">
        <f>+B54</f>
        <v>0</v>
      </c>
      <c r="C24" s="226">
        <v>0</v>
      </c>
      <c r="D24" s="226">
        <v>80000</v>
      </c>
      <c r="E24" s="215">
        <f>+B55</f>
        <v>0</v>
      </c>
      <c r="F24" s="226">
        <v>0</v>
      </c>
      <c r="G24" s="216">
        <v>0</v>
      </c>
      <c r="H24" s="215">
        <f>+B56</f>
        <v>0</v>
      </c>
      <c r="I24" s="226">
        <v>0</v>
      </c>
      <c r="J24" s="217">
        <v>0</v>
      </c>
    </row>
    <row r="25" spans="1:10">
      <c r="B25" s="49"/>
      <c r="C25" s="47"/>
      <c r="D25" s="47"/>
      <c r="E25" s="47"/>
      <c r="F25" s="48"/>
      <c r="G25" s="47"/>
      <c r="H25" s="47"/>
      <c r="J25" s="46"/>
    </row>
    <row r="26" spans="1:10" ht="18" customHeight="1">
      <c r="A26" s="64"/>
      <c r="B26" s="359" t="s">
        <v>92</v>
      </c>
      <c r="C26" s="360"/>
      <c r="D26" s="361"/>
      <c r="E26" s="347" t="s">
        <v>90</v>
      </c>
      <c r="F26" s="348"/>
      <c r="G26" s="348"/>
      <c r="H26" s="362" t="s">
        <v>20</v>
      </c>
      <c r="I26" s="363"/>
      <c r="J26" s="364"/>
    </row>
    <row r="27" spans="1:10" s="46" customFormat="1" ht="15">
      <c r="A27" s="66"/>
      <c r="B27" s="198" t="str">
        <f>$B$4</f>
        <v>25 Standard</v>
      </c>
      <c r="C27" s="199" t="str">
        <f>+C4</f>
        <v>23 Actual</v>
      </c>
      <c r="D27" s="200" t="str">
        <f>+D4</f>
        <v>20 Standard</v>
      </c>
      <c r="E27" s="218" t="s">
        <v>113</v>
      </c>
      <c r="F27" s="327" t="s">
        <v>114</v>
      </c>
      <c r="G27" s="219" t="s">
        <v>111</v>
      </c>
      <c r="H27" s="143" t="str">
        <f>+B27</f>
        <v>25 Standard</v>
      </c>
      <c r="I27" s="144" t="str">
        <f>+C27</f>
        <v>23 Actual</v>
      </c>
      <c r="J27" s="145" t="str">
        <f>+D27</f>
        <v>20 Standard</v>
      </c>
    </row>
    <row r="28" spans="1:10" s="46" customFormat="1">
      <c r="A28" s="66"/>
      <c r="B28" s="201"/>
      <c r="C28" s="202" t="s">
        <v>89</v>
      </c>
      <c r="D28" s="203"/>
      <c r="E28" s="201"/>
      <c r="F28" s="202" t="s">
        <v>102</v>
      </c>
      <c r="G28" s="203"/>
      <c r="H28" s="146"/>
      <c r="I28" s="137"/>
      <c r="J28" s="115"/>
    </row>
    <row r="29" spans="1:10">
      <c r="A29" s="30" t="s">
        <v>50</v>
      </c>
      <c r="B29" s="204">
        <f>D82</f>
        <v>6.5965817666666662E-2</v>
      </c>
      <c r="C29" s="192">
        <v>0</v>
      </c>
      <c r="D29" s="205">
        <v>0</v>
      </c>
      <c r="E29" s="192">
        <f>IF(E47&lt;&gt;0,$L$96,0)</f>
        <v>7.0852831853116985E-2</v>
      </c>
      <c r="F29" s="192">
        <v>7.8E-2</v>
      </c>
      <c r="G29" s="205">
        <v>6.0259679999999996E-2</v>
      </c>
      <c r="H29" s="138">
        <v>0</v>
      </c>
      <c r="I29" s="24">
        <v>0</v>
      </c>
      <c r="J29" s="94">
        <v>0</v>
      </c>
    </row>
    <row r="30" spans="1:10">
      <c r="A30" s="30" t="s">
        <v>27</v>
      </c>
      <c r="B30" s="204">
        <f>D169</f>
        <v>0</v>
      </c>
      <c r="C30" s="192">
        <v>0</v>
      </c>
      <c r="D30" s="205">
        <v>0</v>
      </c>
      <c r="E30" s="192">
        <f>IF(E47&lt;&gt;0,$G$169,0)</f>
        <v>4.3918811483700915E-2</v>
      </c>
      <c r="F30" s="192">
        <v>4.3200000000000002E-2</v>
      </c>
      <c r="G30" s="205">
        <v>2.6879417927194393E-2</v>
      </c>
      <c r="H30" s="138">
        <v>0</v>
      </c>
      <c r="I30" s="24">
        <v>0</v>
      </c>
      <c r="J30" s="94">
        <v>0</v>
      </c>
    </row>
    <row r="31" spans="1:10">
      <c r="A31" s="6" t="s">
        <v>49</v>
      </c>
      <c r="B31" s="204">
        <f>D170</f>
        <v>0</v>
      </c>
      <c r="C31" s="192">
        <v>0</v>
      </c>
      <c r="D31" s="205">
        <v>0</v>
      </c>
      <c r="E31" s="192">
        <f>IF(E47&lt;&gt;0,$G$170,0)</f>
        <v>2.5999999999999999E-2</v>
      </c>
      <c r="F31" s="192">
        <v>1.9E-2</v>
      </c>
      <c r="G31" s="205">
        <v>2.8566999999999999E-2</v>
      </c>
      <c r="H31" s="138">
        <f>J170</f>
        <v>0</v>
      </c>
      <c r="I31" s="24">
        <v>0</v>
      </c>
      <c r="J31" s="94">
        <v>0</v>
      </c>
    </row>
    <row r="32" spans="1:10">
      <c r="A32" s="30" t="s">
        <v>48</v>
      </c>
      <c r="B32" s="204">
        <f>IF($B$47&lt;&gt;0,$H$177,0)</f>
        <v>0</v>
      </c>
      <c r="C32" s="192">
        <v>0</v>
      </c>
      <c r="D32" s="205">
        <v>0</v>
      </c>
      <c r="E32" s="192">
        <f>IF(E47&lt;&gt;0,$H$177,0)</f>
        <v>0.03</v>
      </c>
      <c r="F32" s="192">
        <v>2.98E-2</v>
      </c>
      <c r="G32" s="205">
        <v>2.7777777777777776E-2</v>
      </c>
      <c r="H32" s="138">
        <v>0</v>
      </c>
      <c r="I32" s="24">
        <v>0</v>
      </c>
      <c r="J32" s="94">
        <v>0</v>
      </c>
    </row>
    <row r="33" spans="1:13">
      <c r="A33" s="30" t="s">
        <v>47</v>
      </c>
      <c r="B33" s="204">
        <f>IF($B$47&lt;&gt;0,$H$181,0)</f>
        <v>0</v>
      </c>
      <c r="C33" s="192">
        <v>0</v>
      </c>
      <c r="D33" s="205">
        <v>0</v>
      </c>
      <c r="E33" s="192">
        <f>IF(E47&lt;&gt;0,$H$181,0)</f>
        <v>5.5102040816326532E-3</v>
      </c>
      <c r="F33" s="192">
        <v>1.1999999999999999E-3</v>
      </c>
      <c r="G33" s="205">
        <v>6.9444444444444441E-3</v>
      </c>
      <c r="H33" s="138">
        <v>0</v>
      </c>
      <c r="I33" s="24">
        <v>0</v>
      </c>
      <c r="J33" s="94">
        <v>0</v>
      </c>
      <c r="K33" s="24"/>
      <c r="L33" s="24"/>
    </row>
    <row r="34" spans="1:13" ht="15">
      <c r="A34" s="30" t="s">
        <v>46</v>
      </c>
      <c r="B34" s="206">
        <f>IF($B$47&lt;&gt;0,$H$184,0)</f>
        <v>0</v>
      </c>
      <c r="C34" s="207">
        <v>0</v>
      </c>
      <c r="D34" s="208">
        <v>0</v>
      </c>
      <c r="E34" s="207">
        <f>IF(E47&lt;&gt;0,$H$184,0)</f>
        <v>1.1224489795918367E-2</v>
      </c>
      <c r="F34" s="207">
        <v>1.3899999999999999E-2</v>
      </c>
      <c r="G34" s="208">
        <v>1.2500000000000001E-2</v>
      </c>
      <c r="H34" s="139">
        <v>0</v>
      </c>
      <c r="I34" s="67">
        <v>0</v>
      </c>
      <c r="J34" s="95">
        <v>0</v>
      </c>
      <c r="K34" s="67"/>
      <c r="L34" s="67"/>
    </row>
    <row r="35" spans="1:13">
      <c r="A35" s="30" t="s">
        <v>45</v>
      </c>
      <c r="B35" s="204">
        <f>SUM(B29:B34)</f>
        <v>6.5965817666666662E-2</v>
      </c>
      <c r="C35" s="192">
        <f t="shared" ref="C35:D35" si="6">SUM(C29:C34)</f>
        <v>0</v>
      </c>
      <c r="D35" s="192">
        <f t="shared" si="6"/>
        <v>0</v>
      </c>
      <c r="E35" s="192">
        <f t="shared" ref="E35" si="7">SUM(E29:E34)</f>
        <v>0.18750633721436893</v>
      </c>
      <c r="F35" s="192">
        <f>SUM(F29:F34)</f>
        <v>0.18509999999999999</v>
      </c>
      <c r="G35" s="192">
        <f>SUM(G29:G34)</f>
        <v>0.16292832014941663</v>
      </c>
      <c r="H35" s="138">
        <f>SUM(H29:H34)</f>
        <v>0</v>
      </c>
      <c r="I35" s="24">
        <f t="shared" ref="I35" si="8">SUM(I29:I34)</f>
        <v>0</v>
      </c>
      <c r="J35" s="94">
        <f>SUM(J29:J34)</f>
        <v>0</v>
      </c>
      <c r="K35" s="24"/>
      <c r="L35" s="24"/>
    </row>
    <row r="36" spans="1:13">
      <c r="A36" s="30"/>
      <c r="B36" s="204"/>
      <c r="C36" s="192"/>
      <c r="D36" s="205"/>
      <c r="E36" s="204"/>
      <c r="F36" s="192"/>
      <c r="G36" s="205"/>
      <c r="H36" s="138"/>
      <c r="I36" s="24"/>
      <c r="J36" s="94"/>
      <c r="K36" s="24"/>
      <c r="L36" s="24"/>
    </row>
    <row r="37" spans="1:13">
      <c r="A37" s="30" t="s">
        <v>31</v>
      </c>
      <c r="B37" s="204">
        <f>$D$124*$E$108/$B$49/1000</f>
        <v>9.3026761418853253E-4</v>
      </c>
      <c r="C37" s="192">
        <v>0</v>
      </c>
      <c r="D37" s="205">
        <v>0</v>
      </c>
      <c r="E37" s="192">
        <f>IF($E$47&lt;&gt;0,$F$127/$E$47/1000,0)</f>
        <v>4.0001507410106898E-2</v>
      </c>
      <c r="F37" s="192">
        <v>3.5299999999999998E-2</v>
      </c>
      <c r="G37" s="205">
        <v>2.1569210091743118E-2</v>
      </c>
      <c r="H37" s="138">
        <v>0</v>
      </c>
      <c r="I37" s="24">
        <v>0</v>
      </c>
      <c r="J37" s="94">
        <v>0</v>
      </c>
      <c r="K37" s="24"/>
      <c r="L37" s="24"/>
    </row>
    <row r="38" spans="1:13">
      <c r="A38" s="30" t="s">
        <v>44</v>
      </c>
      <c r="B38" s="204">
        <f>$H$124*$E$108/$B$49/1000</f>
        <v>0</v>
      </c>
      <c r="C38" s="192">
        <v>0</v>
      </c>
      <c r="D38" s="205">
        <v>0</v>
      </c>
      <c r="E38" s="192">
        <f>IF($E$47&lt;&gt;0,$F$128/$E$47/1000,0)</f>
        <v>4.806117346938775E-3</v>
      </c>
      <c r="F38" s="192">
        <v>6.7000000000000002E-3</v>
      </c>
      <c r="G38" s="205">
        <v>5.1700857142857144E-3</v>
      </c>
      <c r="H38" s="138">
        <v>0</v>
      </c>
      <c r="I38" s="24">
        <v>0</v>
      </c>
      <c r="J38" s="94">
        <v>0</v>
      </c>
      <c r="K38" s="24"/>
      <c r="L38" s="24"/>
    </row>
    <row r="39" spans="1:13">
      <c r="A39" s="30" t="s">
        <v>43</v>
      </c>
      <c r="B39" s="204">
        <f>$D$131*$E$108/$B$49/1000</f>
        <v>0</v>
      </c>
      <c r="C39" s="192">
        <v>0</v>
      </c>
      <c r="D39" s="205">
        <v>0</v>
      </c>
      <c r="E39" s="192">
        <f>IF($E$47&lt;&gt;0,$F$130/$E$47/1000,0)</f>
        <v>1.2994211179543245E-2</v>
      </c>
      <c r="F39" s="192">
        <v>1.12E-2</v>
      </c>
      <c r="G39" s="205">
        <v>8.0162316187989569E-3</v>
      </c>
      <c r="H39" s="138">
        <v>0</v>
      </c>
      <c r="I39" s="24">
        <v>0</v>
      </c>
      <c r="J39" s="94">
        <v>0</v>
      </c>
      <c r="K39" s="24"/>
      <c r="L39" s="24"/>
    </row>
    <row r="40" spans="1:13">
      <c r="A40" s="6" t="s">
        <v>5</v>
      </c>
      <c r="B40" s="204">
        <f>IF($B$49&lt;&gt;0,$F$194,0)</f>
        <v>0</v>
      </c>
      <c r="C40" s="192">
        <v>0</v>
      </c>
      <c r="D40" s="205">
        <v>0</v>
      </c>
      <c r="E40" s="192">
        <f>IF($E$47&lt;&gt;0,$F$129/$E$47/1000,0)</f>
        <v>0</v>
      </c>
      <c r="F40" s="192">
        <v>0</v>
      </c>
      <c r="G40" s="205">
        <v>4.7638888888888888E-4</v>
      </c>
      <c r="H40" s="138">
        <v>0</v>
      </c>
      <c r="I40" s="24">
        <v>0</v>
      </c>
      <c r="J40" s="94">
        <v>0</v>
      </c>
      <c r="K40" s="24"/>
      <c r="L40" s="24"/>
    </row>
    <row r="41" spans="1:13" ht="15">
      <c r="A41" s="6" t="s">
        <v>3</v>
      </c>
      <c r="B41" s="204">
        <f>IF($B$49&lt;&gt;0,$F$196,0)</f>
        <v>5.5866734693877554E-2</v>
      </c>
      <c r="C41" s="192">
        <v>0</v>
      </c>
      <c r="D41" s="205">
        <v>0</v>
      </c>
      <c r="E41" s="192">
        <f>IF($E$47&lt;&gt;0,$B$196/$B$49/1000/4,0)</f>
        <v>1.1638903061224491E-3</v>
      </c>
      <c r="F41" s="192">
        <v>8.5000000000000006E-3</v>
      </c>
      <c r="G41" s="205">
        <v>5.6777777777777781E-3</v>
      </c>
      <c r="H41" s="138">
        <v>0</v>
      </c>
      <c r="I41" s="24">
        <v>0</v>
      </c>
      <c r="J41" s="94">
        <v>0</v>
      </c>
      <c r="K41" s="67"/>
      <c r="L41" s="67"/>
    </row>
    <row r="42" spans="1:13" ht="15">
      <c r="A42" s="6" t="s">
        <v>4</v>
      </c>
      <c r="B42" s="206">
        <f>IF($B$49&lt;&gt;0,$F$195,0)</f>
        <v>0.23436734693877551</v>
      </c>
      <c r="C42" s="207">
        <v>0</v>
      </c>
      <c r="D42" s="208">
        <v>0</v>
      </c>
      <c r="E42" s="207">
        <f>IF($E$47&lt;&gt;0,$B$195/$B$49/1000/4,0)</f>
        <v>4.8826530612244897E-3</v>
      </c>
      <c r="F42" s="207">
        <v>3.6200000000000003E-2</v>
      </c>
      <c r="G42" s="208">
        <v>2.5861111111111109E-2</v>
      </c>
      <c r="H42" s="139">
        <v>0</v>
      </c>
      <c r="I42" s="67">
        <v>0</v>
      </c>
      <c r="J42" s="95">
        <v>0</v>
      </c>
      <c r="K42" s="24"/>
      <c r="L42" s="24"/>
    </row>
    <row r="43" spans="1:13">
      <c r="A43" s="30" t="s">
        <v>42</v>
      </c>
      <c r="B43" s="204">
        <f t="shared" ref="B43:J43" si="9">SUM(B37:B42)</f>
        <v>0.29116434924684159</v>
      </c>
      <c r="C43" s="192">
        <f t="shared" si="9"/>
        <v>0</v>
      </c>
      <c r="D43" s="192">
        <f t="shared" si="9"/>
        <v>0</v>
      </c>
      <c r="E43" s="192">
        <f t="shared" ref="E43" si="10">SUM(E37:E42)</f>
        <v>6.3848379303935859E-2</v>
      </c>
      <c r="F43" s="192">
        <f>SUM(F37:F42)</f>
        <v>9.7900000000000001E-2</v>
      </c>
      <c r="G43" s="192">
        <f t="shared" si="9"/>
        <v>6.6770805202605574E-2</v>
      </c>
      <c r="H43" s="138">
        <f t="shared" si="9"/>
        <v>0</v>
      </c>
      <c r="I43" s="24">
        <f t="shared" si="9"/>
        <v>0</v>
      </c>
      <c r="J43" s="94">
        <f t="shared" si="9"/>
        <v>0</v>
      </c>
      <c r="K43" s="24"/>
      <c r="L43" s="24"/>
    </row>
    <row r="44" spans="1:13">
      <c r="A44" s="76" t="s">
        <v>112</v>
      </c>
      <c r="B44" s="204"/>
      <c r="C44" s="192"/>
      <c r="D44" s="205"/>
      <c r="E44" s="328"/>
      <c r="F44" s="328">
        <v>-4.5499999999999999E-2</v>
      </c>
      <c r="G44" s="205"/>
      <c r="H44" s="138"/>
      <c r="I44" s="24"/>
      <c r="J44" s="94"/>
      <c r="K44" s="24"/>
      <c r="L44" s="24"/>
    </row>
    <row r="45" spans="1:13">
      <c r="A45" s="30" t="s">
        <v>41</v>
      </c>
      <c r="B45" s="209">
        <f>B35+B43</f>
        <v>0.35713016691350824</v>
      </c>
      <c r="C45" s="210">
        <f t="shared" ref="C45:J45" si="11">C35+C43</f>
        <v>0</v>
      </c>
      <c r="D45" s="211">
        <v>0.19962945623832437</v>
      </c>
      <c r="E45" s="210">
        <f>E35+E43+E44</f>
        <v>0.25135471651830477</v>
      </c>
      <c r="F45" s="210">
        <f>F35+F43+F44</f>
        <v>0.23749999999999999</v>
      </c>
      <c r="G45" s="211">
        <f>+G35+G43</f>
        <v>0.22969912535202219</v>
      </c>
      <c r="H45" s="140">
        <f t="shared" si="11"/>
        <v>0</v>
      </c>
      <c r="I45" s="124">
        <f t="shared" si="11"/>
        <v>0</v>
      </c>
      <c r="J45" s="125">
        <f t="shared" si="11"/>
        <v>0</v>
      </c>
      <c r="K45" s="116"/>
      <c r="L45" s="116">
        <f>E45-0.245</f>
        <v>6.3547165183047705E-3</v>
      </c>
      <c r="M45" s="1">
        <f>E47*1000*L45</f>
        <v>31138.110939693375</v>
      </c>
    </row>
    <row r="46" spans="1:13">
      <c r="A46" s="6"/>
      <c r="B46" s="212"/>
      <c r="C46" s="213"/>
      <c r="D46" s="214"/>
      <c r="E46" s="212"/>
      <c r="F46" s="213"/>
      <c r="G46" s="214"/>
      <c r="H46" s="141"/>
      <c r="I46" s="24"/>
      <c r="J46" s="94"/>
      <c r="K46" s="47"/>
      <c r="L46" s="47"/>
      <c r="M46" s="1">
        <f>M45/12</f>
        <v>2594.8425783077814</v>
      </c>
    </row>
    <row r="47" spans="1:13">
      <c r="A47" s="25" t="s">
        <v>40</v>
      </c>
      <c r="B47" s="215">
        <f>+B57</f>
        <v>0</v>
      </c>
      <c r="C47" s="216">
        <v>0</v>
      </c>
      <c r="D47" s="217">
        <v>0</v>
      </c>
      <c r="E47" s="215">
        <f>+B58</f>
        <v>4900</v>
      </c>
      <c r="F47" s="216">
        <v>15776</v>
      </c>
      <c r="G47" s="217">
        <v>36000</v>
      </c>
      <c r="H47" s="142">
        <f>+B59</f>
        <v>0</v>
      </c>
      <c r="I47" s="112">
        <v>0</v>
      </c>
      <c r="J47" s="147">
        <v>0</v>
      </c>
      <c r="K47" s="117"/>
      <c r="L47" s="117"/>
      <c r="M47" s="251"/>
    </row>
    <row r="49" spans="1:12">
      <c r="A49" s="68" t="s">
        <v>39</v>
      </c>
      <c r="B49" s="114">
        <f>B24+E24+H24+B47+E47+H47</f>
        <v>4900</v>
      </c>
      <c r="C49" s="126">
        <f>C24+F24+I24+C47+F47+I47</f>
        <v>15776</v>
      </c>
      <c r="D49" s="127">
        <f>D24+G24+J24+D47+G47+J47</f>
        <v>116000</v>
      </c>
      <c r="E49" s="113"/>
    </row>
    <row r="50" spans="1:12"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>
      <c r="A51" s="54" t="s">
        <v>38</v>
      </c>
      <c r="B51" s="365" t="s">
        <v>37</v>
      </c>
      <c r="C51" s="365"/>
      <c r="D51" s="365"/>
      <c r="E51" s="365"/>
      <c r="F51" s="365"/>
      <c r="G51" s="365"/>
      <c r="H51" s="365"/>
      <c r="I51" s="365"/>
      <c r="J51" s="365"/>
      <c r="K51" s="365"/>
      <c r="L51" s="12"/>
    </row>
    <row r="52" spans="1:12">
      <c r="A52" s="30"/>
      <c r="L52" s="12"/>
    </row>
    <row r="53" spans="1:12" ht="15">
      <c r="A53" s="82" t="s">
        <v>61</v>
      </c>
      <c r="B53" s="45" t="s">
        <v>62</v>
      </c>
      <c r="C53" s="45" t="s">
        <v>64</v>
      </c>
      <c r="D53" s="185"/>
      <c r="E53" s="5"/>
      <c r="F53" s="45"/>
      <c r="G53" s="5"/>
      <c r="H53" s="5"/>
      <c r="L53" s="12"/>
    </row>
    <row r="54" spans="1:12" ht="15">
      <c r="A54" s="30" t="s">
        <v>95</v>
      </c>
      <c r="B54" s="120">
        <f>'2025 Summary'!$D$11</f>
        <v>0</v>
      </c>
      <c r="C54" s="129">
        <f>B54/$B$60</f>
        <v>0</v>
      </c>
      <c r="D54" s="32"/>
      <c r="E54" s="5">
        <f>9*400000*7</f>
        <v>25200000</v>
      </c>
      <c r="F54" s="44"/>
      <c r="G54" s="5" t="s">
        <v>20</v>
      </c>
      <c r="H54" s="121"/>
      <c r="L54" s="12"/>
    </row>
    <row r="55" spans="1:12" ht="15">
      <c r="A55" s="30" t="s">
        <v>96</v>
      </c>
      <c r="B55" s="120">
        <v>0</v>
      </c>
      <c r="C55" s="129">
        <f t="shared" ref="C55:C60" si="12">B55/$B$60</f>
        <v>0</v>
      </c>
      <c r="D55" s="32"/>
      <c r="E55" s="5"/>
      <c r="F55" s="44"/>
      <c r="G55" s="5" t="s">
        <v>20</v>
      </c>
      <c r="H55" s="121"/>
      <c r="L55" s="12"/>
    </row>
    <row r="56" spans="1:12" ht="15">
      <c r="A56" s="30" t="s">
        <v>97</v>
      </c>
      <c r="B56" s="120">
        <v>0</v>
      </c>
      <c r="C56" s="129">
        <f t="shared" si="12"/>
        <v>0</v>
      </c>
      <c r="D56" s="32"/>
      <c r="E56" s="5"/>
      <c r="F56" s="5"/>
      <c r="G56" s="5"/>
      <c r="H56" s="5"/>
      <c r="L56" s="12"/>
    </row>
    <row r="57" spans="1:12" ht="15">
      <c r="A57" s="30" t="s">
        <v>92</v>
      </c>
      <c r="B57" s="120">
        <v>0</v>
      </c>
      <c r="C57" s="129">
        <f t="shared" si="12"/>
        <v>0</v>
      </c>
      <c r="D57" s="32"/>
      <c r="E57" s="5"/>
      <c r="F57" s="5"/>
      <c r="G57" s="5"/>
      <c r="H57" s="5"/>
      <c r="L57" s="12"/>
    </row>
    <row r="58" spans="1:12" ht="15">
      <c r="A58" s="30" t="s">
        <v>90</v>
      </c>
      <c r="B58" s="103">
        <f>'2025 Summary'!$E$11</f>
        <v>4900</v>
      </c>
      <c r="C58" s="129">
        <f t="shared" si="12"/>
        <v>1</v>
      </c>
      <c r="D58" s="32"/>
      <c r="E58" s="5"/>
      <c r="F58" s="5"/>
      <c r="G58" s="5"/>
      <c r="H58" s="5"/>
      <c r="L58" s="12"/>
    </row>
    <row r="59" spans="1:12" ht="15">
      <c r="A59" s="30" t="s">
        <v>20</v>
      </c>
      <c r="B59" s="120">
        <v>0</v>
      </c>
      <c r="C59" s="130">
        <f t="shared" si="12"/>
        <v>0</v>
      </c>
      <c r="D59" s="32"/>
      <c r="E59" s="5"/>
      <c r="F59" s="5"/>
      <c r="G59" s="5"/>
      <c r="H59" s="5"/>
      <c r="L59" s="12"/>
    </row>
    <row r="60" spans="1:12">
      <c r="A60" s="83" t="s">
        <v>65</v>
      </c>
      <c r="B60" s="112">
        <f>SUM(B54:B59)</f>
        <v>4900</v>
      </c>
      <c r="C60" s="188">
        <f t="shared" si="12"/>
        <v>1</v>
      </c>
      <c r="D60" s="75"/>
      <c r="E60" s="53"/>
      <c r="F60" s="53"/>
      <c r="G60" s="53"/>
      <c r="H60" s="53"/>
      <c r="I60" s="10"/>
      <c r="J60" s="10"/>
      <c r="K60" s="10"/>
      <c r="L60" s="9"/>
    </row>
    <row r="61" spans="1:12">
      <c r="A61" s="16"/>
      <c r="B61" s="5"/>
      <c r="C61" s="5"/>
      <c r="D61" s="5"/>
      <c r="E61" s="5"/>
      <c r="F61" s="5"/>
      <c r="G61" s="5"/>
      <c r="H61" s="122"/>
      <c r="L61" s="12"/>
    </row>
    <row r="62" spans="1:12" ht="15" customHeight="1">
      <c r="A62" s="16"/>
      <c r="B62" s="5"/>
      <c r="C62" s="366" t="s">
        <v>35</v>
      </c>
      <c r="D62" s="366"/>
      <c r="E62" s="366"/>
      <c r="F62" s="366"/>
      <c r="G62" s="367" t="s">
        <v>60</v>
      </c>
      <c r="H62" s="367"/>
      <c r="I62" s="367"/>
      <c r="J62" s="367"/>
      <c r="K62" s="367"/>
      <c r="L62" s="233"/>
    </row>
    <row r="63" spans="1:12" s="36" customFormat="1" ht="15">
      <c r="A63" s="229" t="s">
        <v>66</v>
      </c>
      <c r="B63" s="101" t="s">
        <v>36</v>
      </c>
      <c r="C63" s="184" t="s">
        <v>95</v>
      </c>
      <c r="D63" s="197" t="s">
        <v>96</v>
      </c>
      <c r="E63" s="197" t="s">
        <v>97</v>
      </c>
      <c r="F63" s="197" t="s">
        <v>92</v>
      </c>
      <c r="G63" s="197" t="s">
        <v>98</v>
      </c>
      <c r="H63" s="184" t="s">
        <v>95</v>
      </c>
      <c r="I63" s="197" t="s">
        <v>96</v>
      </c>
      <c r="J63" s="197" t="s">
        <v>97</v>
      </c>
      <c r="K63" s="185" t="s">
        <v>92</v>
      </c>
      <c r="L63" s="197" t="s">
        <v>98</v>
      </c>
    </row>
    <row r="64" spans="1:12" s="36" customFormat="1" ht="15">
      <c r="A64" s="136" t="s">
        <v>71</v>
      </c>
      <c r="B64" s="235">
        <f>11.89*2</f>
        <v>23.78</v>
      </c>
      <c r="C64" s="248">
        <f>$C$76*H64</f>
        <v>0</v>
      </c>
      <c r="D64" s="248">
        <f>$C$86*I64</f>
        <v>0</v>
      </c>
      <c r="E64" s="248">
        <f>$G$86*J64</f>
        <v>0</v>
      </c>
      <c r="F64" s="248">
        <f>$K$86*K64</f>
        <v>0</v>
      </c>
      <c r="G64" s="109">
        <f>$K$86*L64</f>
        <v>0</v>
      </c>
      <c r="H64" s="246">
        <v>0</v>
      </c>
      <c r="I64" s="246">
        <v>0</v>
      </c>
      <c r="J64" s="246">
        <v>0</v>
      </c>
      <c r="K64" s="247">
        <v>0</v>
      </c>
      <c r="L64" s="187">
        <v>0</v>
      </c>
    </row>
    <row r="65" spans="1:12" s="36" customFormat="1" ht="15">
      <c r="A65" s="136"/>
      <c r="B65" s="120">
        <v>0</v>
      </c>
      <c r="C65" s="249">
        <f>$C$76*H65</f>
        <v>0</v>
      </c>
      <c r="D65" s="249">
        <f>$C$86*I65</f>
        <v>0</v>
      </c>
      <c r="E65" s="249">
        <f>$G$86*J65</f>
        <v>0</v>
      </c>
      <c r="F65" s="249">
        <f>$K$86*K65</f>
        <v>0</v>
      </c>
      <c r="G65" s="111">
        <f>$K$86*L65</f>
        <v>0</v>
      </c>
      <c r="H65" s="246">
        <v>0</v>
      </c>
      <c r="I65" s="246">
        <v>0</v>
      </c>
      <c r="J65" s="246">
        <v>0</v>
      </c>
      <c r="K65" s="247">
        <v>0</v>
      </c>
      <c r="L65" s="187">
        <v>0</v>
      </c>
    </row>
    <row r="66" spans="1:12" s="36" customFormat="1">
      <c r="A66" s="136"/>
      <c r="B66" s="42"/>
      <c r="C66" s="109">
        <f>SUM(C64:C65)</f>
        <v>0</v>
      </c>
      <c r="D66" s="109">
        <f>SUM(D64:D65)</f>
        <v>0</v>
      </c>
      <c r="E66" s="109">
        <f>SUM(E64:E65)</f>
        <v>0</v>
      </c>
      <c r="F66" s="109">
        <f>SUM(F64:F65)</f>
        <v>0</v>
      </c>
      <c r="G66" s="109">
        <f>SUM(G64:G65)</f>
        <v>0</v>
      </c>
      <c r="H66" s="80"/>
      <c r="I66" s="80"/>
      <c r="J66" s="80"/>
      <c r="K66" s="110"/>
      <c r="L66" s="110"/>
    </row>
    <row r="67" spans="1:12" s="36" customFormat="1">
      <c r="A67" s="230" t="s">
        <v>70</v>
      </c>
      <c r="B67" s="42"/>
      <c r="C67" s="109"/>
      <c r="D67" s="109"/>
      <c r="E67" s="109"/>
      <c r="F67" s="109"/>
      <c r="G67" s="109"/>
      <c r="H67" s="80"/>
      <c r="I67" s="80"/>
      <c r="J67" s="80"/>
      <c r="K67" s="110"/>
      <c r="L67" s="110"/>
    </row>
    <row r="68" spans="1:12" s="36" customFormat="1" ht="15">
      <c r="A68" s="136" t="s">
        <v>99</v>
      </c>
      <c r="B68" s="235">
        <v>0</v>
      </c>
      <c r="C68" s="248">
        <f>$C$77*H68</f>
        <v>0</v>
      </c>
      <c r="D68" s="248">
        <f>$C$87*I68</f>
        <v>0</v>
      </c>
      <c r="E68" s="248">
        <f>$G$87*J68</f>
        <v>0</v>
      </c>
      <c r="F68" s="248">
        <f t="shared" ref="F68:G71" si="13">$K$87*K68</f>
        <v>0</v>
      </c>
      <c r="G68" s="109">
        <f t="shared" si="13"/>
        <v>0</v>
      </c>
      <c r="H68" s="246">
        <v>0</v>
      </c>
      <c r="I68" s="246">
        <v>0</v>
      </c>
      <c r="J68" s="246">
        <v>0</v>
      </c>
      <c r="K68" s="247">
        <v>0</v>
      </c>
      <c r="L68" s="187">
        <v>0</v>
      </c>
    </row>
    <row r="69" spans="1:12" s="36" customFormat="1" ht="15">
      <c r="A69" s="136" t="s">
        <v>100</v>
      </c>
      <c r="B69" s="235">
        <f>116.72*2</f>
        <v>233.44</v>
      </c>
      <c r="C69" s="248">
        <f>$C$77*H69</f>
        <v>0</v>
      </c>
      <c r="D69" s="248">
        <f>$C$87*I69</f>
        <v>0</v>
      </c>
      <c r="E69" s="248">
        <f>$G$87*J69</f>
        <v>0</v>
      </c>
      <c r="F69" s="248">
        <f t="shared" si="13"/>
        <v>0</v>
      </c>
      <c r="G69" s="109">
        <f t="shared" si="13"/>
        <v>0</v>
      </c>
      <c r="H69" s="246">
        <v>0</v>
      </c>
      <c r="I69" s="246">
        <v>0</v>
      </c>
      <c r="J69" s="246">
        <v>0</v>
      </c>
      <c r="K69" s="247">
        <v>0</v>
      </c>
      <c r="L69" s="187">
        <v>0</v>
      </c>
    </row>
    <row r="70" spans="1:12" s="36" customFormat="1" ht="15">
      <c r="A70" s="136" t="s">
        <v>20</v>
      </c>
      <c r="B70" s="120">
        <v>0</v>
      </c>
      <c r="C70" s="248">
        <v>0</v>
      </c>
      <c r="D70" s="248">
        <f>$C$87*I70</f>
        <v>0</v>
      </c>
      <c r="E70" s="248">
        <f>$G$87*J70</f>
        <v>0</v>
      </c>
      <c r="F70" s="248">
        <f t="shared" si="13"/>
        <v>0</v>
      </c>
      <c r="G70" s="109">
        <f t="shared" si="13"/>
        <v>0</v>
      </c>
      <c r="H70" s="246">
        <v>0</v>
      </c>
      <c r="I70" s="246">
        <v>0</v>
      </c>
      <c r="J70" s="246">
        <v>0</v>
      </c>
      <c r="K70" s="247">
        <v>0</v>
      </c>
      <c r="L70" s="187">
        <v>0</v>
      </c>
    </row>
    <row r="71" spans="1:12" s="36" customFormat="1" ht="15">
      <c r="A71" s="136"/>
      <c r="B71" s="120">
        <v>0</v>
      </c>
      <c r="C71" s="249">
        <v>0</v>
      </c>
      <c r="D71" s="249">
        <f>$C$87*I71</f>
        <v>0</v>
      </c>
      <c r="E71" s="249">
        <f>$G$87*J71</f>
        <v>0</v>
      </c>
      <c r="F71" s="249">
        <f t="shared" si="13"/>
        <v>0</v>
      </c>
      <c r="G71" s="111">
        <f t="shared" si="13"/>
        <v>0</v>
      </c>
      <c r="H71" s="246">
        <v>0</v>
      </c>
      <c r="I71" s="246">
        <v>0</v>
      </c>
      <c r="J71" s="246">
        <v>0</v>
      </c>
      <c r="K71" s="247">
        <v>0</v>
      </c>
      <c r="L71" s="187">
        <v>0</v>
      </c>
    </row>
    <row r="72" spans="1:12" s="36" customFormat="1">
      <c r="A72" s="148"/>
      <c r="B72" s="42"/>
      <c r="C72" s="109">
        <f>SUM(C68:C71)</f>
        <v>0</v>
      </c>
      <c r="D72" s="109">
        <f>SUM(D68:D71)</f>
        <v>0</v>
      </c>
      <c r="E72" s="109">
        <f>SUM(E68:E71)</f>
        <v>0</v>
      </c>
      <c r="F72" s="109">
        <f>SUM(F68:F71)</f>
        <v>0</v>
      </c>
      <c r="G72" s="109">
        <f>SUM(G68:G71)</f>
        <v>0</v>
      </c>
      <c r="H72" s="80"/>
      <c r="I72" s="80"/>
      <c r="L72" s="119"/>
    </row>
    <row r="73" spans="1:12" s="36" customFormat="1">
      <c r="A73" s="148"/>
      <c r="B73" s="42"/>
      <c r="C73" s="109"/>
      <c r="D73" s="109"/>
      <c r="E73" s="109"/>
      <c r="F73" s="80"/>
      <c r="G73" s="80"/>
      <c r="H73" s="80"/>
      <c r="I73" s="80"/>
      <c r="L73" s="119"/>
    </row>
    <row r="74" spans="1:12" s="36" customFormat="1" ht="15">
      <c r="A74" s="6"/>
      <c r="B74" s="354" t="s">
        <v>95</v>
      </c>
      <c r="C74" s="354"/>
      <c r="D74" s="354"/>
      <c r="E74" s="37"/>
      <c r="F74" s="354" t="s">
        <v>96</v>
      </c>
      <c r="G74" s="354"/>
      <c r="H74" s="354"/>
      <c r="I74" s="185"/>
      <c r="L74" s="119"/>
    </row>
    <row r="75" spans="1:12" s="36" customFormat="1" ht="15" customHeight="1">
      <c r="A75" s="229"/>
      <c r="B75" s="278" t="s">
        <v>34</v>
      </c>
      <c r="C75" s="279" t="s">
        <v>35</v>
      </c>
      <c r="D75" s="35" t="s">
        <v>63</v>
      </c>
      <c r="E75" s="37"/>
      <c r="F75" s="35" t="s">
        <v>34</v>
      </c>
      <c r="G75" s="41" t="s">
        <v>35</v>
      </c>
      <c r="H75" s="35" t="s">
        <v>63</v>
      </c>
      <c r="I75" s="35"/>
      <c r="L75" s="119"/>
    </row>
    <row r="76" spans="1:12" s="36" customFormat="1" ht="15">
      <c r="A76" s="30" t="s">
        <v>66</v>
      </c>
      <c r="B76" s="280">
        <f>0.011</f>
        <v>1.0999999999999999E-2</v>
      </c>
      <c r="C76" s="242">
        <f>AVERAGE(3.6826,3.5997, 2.6808)</f>
        <v>3.3210333333333328</v>
      </c>
      <c r="D76" s="33">
        <f>B76*C76</f>
        <v>3.6531366666666662E-2</v>
      </c>
      <c r="F76" s="73">
        <v>0</v>
      </c>
      <c r="G76" s="118">
        <v>0</v>
      </c>
      <c r="H76" s="33">
        <f>F76*G76</f>
        <v>0</v>
      </c>
      <c r="I76" s="33"/>
      <c r="L76" s="119"/>
    </row>
    <row r="77" spans="1:12" s="36" customFormat="1" ht="15">
      <c r="A77" s="231" t="s">
        <v>69</v>
      </c>
      <c r="B77" s="272">
        <f>($B$68*$H$68+$B$69*$H$69+$B$70*$H$70+$B$71*$H$71)/2000</f>
        <v>0</v>
      </c>
      <c r="C77" s="242">
        <v>0</v>
      </c>
      <c r="D77" s="52">
        <f>B77*C77</f>
        <v>0</v>
      </c>
      <c r="F77" s="24">
        <f>($B$68*$L$68+$B$69*$L$69+$B$70*$L$70+$B$71*$L$71)/2000</f>
        <v>0</v>
      </c>
      <c r="G77" s="118">
        <v>0</v>
      </c>
      <c r="H77" s="52">
        <f>F77*G77</f>
        <v>0</v>
      </c>
      <c r="I77" s="52"/>
      <c r="L77" s="228"/>
    </row>
    <row r="78" spans="1:12" s="36" customFormat="1" ht="15">
      <c r="A78" s="30" t="s">
        <v>104</v>
      </c>
      <c r="B78" s="281">
        <v>1.8380000000000001</v>
      </c>
      <c r="C78" s="242">
        <v>8.0999999999999996E-3</v>
      </c>
      <c r="D78" s="52">
        <f>B78*C78</f>
        <v>1.48878E-2</v>
      </c>
      <c r="F78" s="24">
        <f>+B78</f>
        <v>1.8380000000000001</v>
      </c>
      <c r="G78" s="118">
        <v>0</v>
      </c>
      <c r="H78" s="52">
        <f>F78*G78</f>
        <v>0</v>
      </c>
      <c r="I78" s="52"/>
      <c r="L78" s="119"/>
    </row>
    <row r="79" spans="1:12" s="36" customFormat="1" ht="15">
      <c r="A79" s="30" t="s">
        <v>105</v>
      </c>
      <c r="B79" s="272">
        <f>750/1000</f>
        <v>0.75</v>
      </c>
      <c r="C79" s="242">
        <v>1.61E-2</v>
      </c>
      <c r="D79" s="52">
        <f t="shared" ref="D79:D80" si="14">B79*C79</f>
        <v>1.2074999999999999E-2</v>
      </c>
      <c r="F79" s="24">
        <f>+B79</f>
        <v>0.75</v>
      </c>
      <c r="G79" s="118">
        <v>0</v>
      </c>
      <c r="H79" s="52"/>
      <c r="I79" s="52"/>
      <c r="L79" s="119"/>
    </row>
    <row r="80" spans="1:12" s="36" customFormat="1" ht="16.5">
      <c r="A80" s="30" t="s">
        <v>103</v>
      </c>
      <c r="B80" s="272">
        <f>157.43/1000</f>
        <v>0.15743000000000001</v>
      </c>
      <c r="C80" s="242">
        <v>1.5699999999999999E-2</v>
      </c>
      <c r="D80" s="52">
        <f t="shared" si="14"/>
        <v>2.4716510000000001E-3</v>
      </c>
      <c r="F80" s="24">
        <f>+B80</f>
        <v>0.15743000000000001</v>
      </c>
      <c r="G80" s="118">
        <v>0</v>
      </c>
      <c r="H80" s="40">
        <v>0</v>
      </c>
      <c r="I80" s="40"/>
      <c r="L80" s="119"/>
    </row>
    <row r="82" spans="1:12" s="36" customFormat="1">
      <c r="A82" s="76" t="s">
        <v>67</v>
      </c>
      <c r="B82" s="74"/>
      <c r="C82" s="39"/>
      <c r="D82" s="38">
        <f>SUM(D76:D80)</f>
        <v>6.5965817666666662E-2</v>
      </c>
      <c r="F82" s="74"/>
      <c r="G82" s="39"/>
      <c r="H82" s="38">
        <f>SUM(H76:H80)</f>
        <v>0</v>
      </c>
      <c r="I82" s="38"/>
      <c r="L82" s="119"/>
    </row>
    <row r="83" spans="1:12" s="36" customFormat="1">
      <c r="A83" s="30"/>
      <c r="E83" s="37"/>
      <c r="F83" s="43"/>
      <c r="G83" s="42"/>
      <c r="H83" s="42"/>
      <c r="I83" s="42"/>
      <c r="L83" s="119"/>
    </row>
    <row r="84" spans="1:12" ht="15">
      <c r="A84" s="6"/>
      <c r="B84" s="354" t="s">
        <v>97</v>
      </c>
      <c r="C84" s="354"/>
      <c r="D84" s="354"/>
      <c r="E84" s="5"/>
      <c r="F84" s="354" t="s">
        <v>92</v>
      </c>
      <c r="G84" s="354"/>
      <c r="H84" s="354"/>
      <c r="I84" s="185"/>
      <c r="J84" s="354" t="s">
        <v>98</v>
      </c>
      <c r="K84" s="354"/>
      <c r="L84" s="355"/>
    </row>
    <row r="85" spans="1:12" ht="28.9" customHeight="1">
      <c r="A85" s="6"/>
      <c r="B85" s="35" t="s">
        <v>34</v>
      </c>
      <c r="C85" s="196" t="s">
        <v>101</v>
      </c>
      <c r="D85" s="35" t="s">
        <v>63</v>
      </c>
      <c r="F85" s="35" t="s">
        <v>34</v>
      </c>
      <c r="G85" s="41" t="s">
        <v>35</v>
      </c>
      <c r="H85" s="35" t="s">
        <v>63</v>
      </c>
      <c r="I85" s="35"/>
      <c r="J85" s="35" t="s">
        <v>34</v>
      </c>
      <c r="K85" s="41" t="s">
        <v>35</v>
      </c>
      <c r="L85" s="34" t="s">
        <v>63</v>
      </c>
    </row>
    <row r="86" spans="1:12" ht="15">
      <c r="A86" s="232" t="s">
        <v>68</v>
      </c>
      <c r="B86" s="73">
        <f>($B$64*$I$64+$B$65*$I$65)/2000</f>
        <v>0</v>
      </c>
      <c r="C86" s="118">
        <v>0</v>
      </c>
      <c r="D86" s="33">
        <f>B86*C86</f>
        <v>0</v>
      </c>
      <c r="F86" s="73">
        <f>($B$64*$J$64+$B$65*$J$65)/2000</f>
        <v>0</v>
      </c>
      <c r="G86" s="118">
        <v>0</v>
      </c>
      <c r="H86" s="89">
        <f>F86*G86</f>
        <v>0</v>
      </c>
      <c r="I86" s="89"/>
      <c r="J86" s="73">
        <f>($B$64*$K$64+$B$65*$K$65)/2000</f>
        <v>0</v>
      </c>
      <c r="K86" s="118">
        <v>0</v>
      </c>
      <c r="L86" s="50">
        <f>J86*K86</f>
        <v>0</v>
      </c>
    </row>
    <row r="87" spans="1:12" ht="15">
      <c r="A87" s="6" t="s">
        <v>69</v>
      </c>
      <c r="B87" s="24">
        <f>($B$68*$I$68+$B$69*$I$69+$B$70*$I$70+$B$71*$I$71)/2000</f>
        <v>0</v>
      </c>
      <c r="C87" s="118">
        <v>0</v>
      </c>
      <c r="D87" s="13">
        <f t="shared" ref="D87:D92" si="15">B87*C87</f>
        <v>0</v>
      </c>
      <c r="F87" s="24">
        <f>($B$68*$J$68+$B$69*$J$69+$B$70*$J$70+$B$71*$J$71)/2000</f>
        <v>0</v>
      </c>
      <c r="G87" s="118">
        <v>0</v>
      </c>
      <c r="H87" s="100">
        <f t="shared" ref="H87:H92" si="16">F87*G87</f>
        <v>0</v>
      </c>
      <c r="I87" s="13"/>
      <c r="J87" s="24">
        <f>($B$68*$K$68+$B$69*$K$69+$B$70*$K$70+$B$71*$K$71)/2000</f>
        <v>0</v>
      </c>
      <c r="K87" s="118">
        <v>0</v>
      </c>
      <c r="L87" s="31">
        <f t="shared" ref="L87:L94" si="17">J87*K87</f>
        <v>0</v>
      </c>
    </row>
    <row r="88" spans="1:12" ht="16.5">
      <c r="A88" s="30" t="s">
        <v>104</v>
      </c>
      <c r="B88" s="47">
        <v>2.54</v>
      </c>
      <c r="C88" s="118">
        <v>0</v>
      </c>
      <c r="D88" s="13">
        <f t="shared" si="15"/>
        <v>0</v>
      </c>
      <c r="F88" s="24">
        <f>+B88</f>
        <v>2.54</v>
      </c>
      <c r="G88" s="118">
        <v>0</v>
      </c>
      <c r="H88" s="100">
        <f t="shared" si="16"/>
        <v>0</v>
      </c>
      <c r="I88" s="88"/>
      <c r="J88" s="272">
        <v>1.964</v>
      </c>
      <c r="K88" s="118">
        <v>2.0848163962425278E-2</v>
      </c>
      <c r="L88" s="190">
        <f t="shared" si="17"/>
        <v>4.0945794022203247E-2</v>
      </c>
    </row>
    <row r="89" spans="1:12" ht="16.5">
      <c r="A89" s="30" t="s">
        <v>105</v>
      </c>
      <c r="B89" s="24">
        <f>750/1000</f>
        <v>0.75</v>
      </c>
      <c r="C89" s="118">
        <v>0</v>
      </c>
      <c r="D89" s="13">
        <f t="shared" si="15"/>
        <v>0</v>
      </c>
      <c r="F89" s="24">
        <f>+B89</f>
        <v>0.75</v>
      </c>
      <c r="G89" s="118">
        <v>0</v>
      </c>
      <c r="H89" s="100">
        <f t="shared" si="16"/>
        <v>0</v>
      </c>
      <c r="I89" s="88"/>
      <c r="J89" s="272">
        <v>0.59099999999999997</v>
      </c>
      <c r="K89" s="118">
        <v>3.101451750640478E-3</v>
      </c>
      <c r="L89" s="190">
        <f t="shared" si="17"/>
        <v>1.8329579846285225E-3</v>
      </c>
    </row>
    <row r="90" spans="1:12" ht="16.5">
      <c r="A90" s="30" t="s">
        <v>103</v>
      </c>
      <c r="B90" s="24">
        <f>157.43/1000</f>
        <v>0.15743000000000001</v>
      </c>
      <c r="C90" s="118">
        <v>0</v>
      </c>
      <c r="D90" s="13">
        <f t="shared" si="15"/>
        <v>0</v>
      </c>
      <c r="F90" s="24">
        <f>+B90</f>
        <v>0.15743000000000001</v>
      </c>
      <c r="G90" s="118">
        <v>0</v>
      </c>
      <c r="H90" s="100">
        <f t="shared" si="16"/>
        <v>0</v>
      </c>
      <c r="I90" s="88"/>
      <c r="J90" s="272">
        <v>0.105</v>
      </c>
      <c r="K90" s="118">
        <v>0.1</v>
      </c>
      <c r="L90" s="190">
        <f t="shared" si="17"/>
        <v>1.0500000000000001E-2</v>
      </c>
    </row>
    <row r="91" spans="1:12" ht="16.5">
      <c r="A91" s="30" t="s">
        <v>106</v>
      </c>
      <c r="B91" s="24"/>
      <c r="C91" s="118">
        <v>0</v>
      </c>
      <c r="D91" s="13">
        <f t="shared" si="15"/>
        <v>0</v>
      </c>
      <c r="F91" s="24">
        <f>+B91</f>
        <v>0</v>
      </c>
      <c r="G91" s="118">
        <v>0</v>
      </c>
      <c r="H91" s="100">
        <f t="shared" si="16"/>
        <v>0</v>
      </c>
      <c r="I91" s="88"/>
      <c r="J91" s="272">
        <v>1.0269999999999999</v>
      </c>
      <c r="K91" s="118">
        <v>2.1752348420153713E-3</v>
      </c>
      <c r="L91" s="190">
        <f t="shared" si="17"/>
        <v>2.2339661827497862E-3</v>
      </c>
    </row>
    <row r="92" spans="1:12" ht="16.5">
      <c r="A92" s="30" t="s">
        <v>107</v>
      </c>
      <c r="B92" s="24"/>
      <c r="C92" s="118">
        <v>0</v>
      </c>
      <c r="D92" s="13">
        <f t="shared" si="15"/>
        <v>0</v>
      </c>
      <c r="F92" s="24">
        <f>+B92</f>
        <v>0</v>
      </c>
      <c r="G92" s="118">
        <v>0</v>
      </c>
      <c r="H92" s="100">
        <f t="shared" si="16"/>
        <v>0</v>
      </c>
      <c r="I92" s="88"/>
      <c r="J92" s="272">
        <v>1.389</v>
      </c>
      <c r="K92" s="118">
        <v>2.3312553373185311E-3</v>
      </c>
      <c r="L92" s="190">
        <f t="shared" si="17"/>
        <v>3.2381136635354396E-3</v>
      </c>
    </row>
    <row r="93" spans="1:12" ht="16.5">
      <c r="A93" s="30" t="s">
        <v>108</v>
      </c>
      <c r="B93" s="239"/>
      <c r="C93" s="118"/>
      <c r="D93" s="13"/>
      <c r="F93" s="24"/>
      <c r="G93" s="118"/>
      <c r="H93" s="100"/>
      <c r="I93" s="88"/>
      <c r="J93" s="273">
        <v>18.84</v>
      </c>
      <c r="K93" s="118">
        <v>5.9999999999999995E-4</v>
      </c>
      <c r="L93" s="190">
        <f t="shared" si="17"/>
        <v>1.1303999999999998E-2</v>
      </c>
    </row>
    <row r="94" spans="1:12" ht="16.5">
      <c r="A94" s="30" t="s">
        <v>109</v>
      </c>
      <c r="B94" s="238"/>
      <c r="C94" s="118"/>
      <c r="D94" s="13"/>
      <c r="F94" s="24"/>
      <c r="G94" s="118"/>
      <c r="H94" s="100"/>
      <c r="I94" s="88"/>
      <c r="J94" s="274">
        <v>1.33</v>
      </c>
      <c r="K94" s="118">
        <v>5.9999999999999995E-4</v>
      </c>
      <c r="L94" s="190">
        <f t="shared" si="17"/>
        <v>7.9799999999999999E-4</v>
      </c>
    </row>
    <row r="95" spans="1:12" ht="16.5">
      <c r="A95" s="30"/>
      <c r="B95" s="191"/>
      <c r="C95" s="191"/>
      <c r="D95" s="40">
        <v>0</v>
      </c>
      <c r="F95" s="191"/>
      <c r="G95" s="191"/>
      <c r="H95" s="40">
        <v>0</v>
      </c>
      <c r="I95" s="88"/>
      <c r="J95" s="191"/>
      <c r="K95" s="191"/>
      <c r="L95" s="240">
        <v>0</v>
      </c>
    </row>
    <row r="96" spans="1:12">
      <c r="A96" s="83" t="s">
        <v>67</v>
      </c>
      <c r="B96" s="53"/>
      <c r="C96" s="75"/>
      <c r="D96" s="189">
        <f>SUM(D86:D95)</f>
        <v>0</v>
      </c>
      <c r="E96" s="53"/>
      <c r="F96" s="53"/>
      <c r="G96" s="75"/>
      <c r="H96" s="189">
        <f>SUM(H86:H95)</f>
        <v>0</v>
      </c>
      <c r="I96" s="123"/>
      <c r="J96" s="53"/>
      <c r="K96" s="75"/>
      <c r="L96" s="241">
        <f>SUM(L86:L95)</f>
        <v>7.0852831853116985E-2</v>
      </c>
    </row>
    <row r="98" spans="1:9">
      <c r="A98" s="356" t="s">
        <v>33</v>
      </c>
      <c r="B98" s="357"/>
      <c r="C98" s="357"/>
      <c r="D98" s="357"/>
      <c r="E98" s="357"/>
      <c r="F98" s="357"/>
      <c r="G98" s="357"/>
      <c r="H98" s="358"/>
    </row>
    <row r="99" spans="1:9" ht="14.65" customHeight="1">
      <c r="A99" s="71"/>
      <c r="B99" s="72"/>
      <c r="C99" s="72"/>
      <c r="D99" s="72"/>
      <c r="E99" s="72"/>
      <c r="F99" s="368" t="s">
        <v>53</v>
      </c>
      <c r="G99" s="368"/>
      <c r="H99" s="369"/>
    </row>
    <row r="100" spans="1:9" ht="15">
      <c r="A100" s="370" t="s">
        <v>55</v>
      </c>
      <c r="B100" s="371"/>
      <c r="C100" s="371"/>
      <c r="D100" s="371"/>
      <c r="E100" s="371"/>
      <c r="F100" s="368"/>
      <c r="G100" s="368"/>
      <c r="H100" s="369"/>
    </row>
    <row r="101" spans="1:9" ht="16.5">
      <c r="A101" s="16"/>
      <c r="B101" s="185" t="s">
        <v>56</v>
      </c>
      <c r="C101" s="185" t="s">
        <v>85</v>
      </c>
      <c r="D101" s="185" t="s">
        <v>32</v>
      </c>
      <c r="E101" s="185" t="s">
        <v>54</v>
      </c>
      <c r="F101" s="103">
        <v>1</v>
      </c>
      <c r="G101" s="128" t="s">
        <v>58</v>
      </c>
      <c r="H101" s="85">
        <f>(F101*C202*C204)+((F101*C202*C204*D113))</f>
        <v>345498296</v>
      </c>
    </row>
    <row r="102" spans="1:9" ht="15">
      <c r="A102" s="30" t="s">
        <v>95</v>
      </c>
      <c r="B102" s="28">
        <f>B54</f>
        <v>0</v>
      </c>
      <c r="C102" s="286">
        <v>550</v>
      </c>
      <c r="D102" s="28">
        <f>B102/C102</f>
        <v>0</v>
      </c>
      <c r="E102" s="21">
        <f t="shared" ref="E102:E108" si="18">D102/D$108</f>
        <v>0</v>
      </c>
      <c r="F102" s="86">
        <f>(F101*C202*C204*C116)+((F101*C202*C204*D113)*C118)</f>
        <v>18643340.973099794</v>
      </c>
      <c r="G102" s="5" t="s">
        <v>29</v>
      </c>
      <c r="H102" s="87">
        <f>F102/$H$101</f>
        <v>5.3960732046851527E-2</v>
      </c>
      <c r="I102" s="287" t="s">
        <v>120</v>
      </c>
    </row>
    <row r="103" spans="1:9" ht="15">
      <c r="A103" s="30" t="s">
        <v>96</v>
      </c>
      <c r="B103" s="43">
        <f t="shared" ref="B103:B107" si="19">B55</f>
        <v>0</v>
      </c>
      <c r="C103" s="108">
        <v>0</v>
      </c>
      <c r="D103" s="28">
        <v>0</v>
      </c>
      <c r="E103" s="21">
        <f t="shared" si="18"/>
        <v>0</v>
      </c>
      <c r="F103" s="195">
        <f>F102*C206</f>
        <v>5593002.2919299379</v>
      </c>
      <c r="G103" s="5" t="s">
        <v>28</v>
      </c>
      <c r="H103" s="87">
        <f>F103/$H$101</f>
        <v>1.6188219614055456E-2</v>
      </c>
    </row>
    <row r="104" spans="1:9" ht="15">
      <c r="A104" s="30" t="s">
        <v>97</v>
      </c>
      <c r="B104" s="43">
        <f t="shared" si="19"/>
        <v>0</v>
      </c>
      <c r="C104" s="108">
        <v>0</v>
      </c>
      <c r="D104" s="28">
        <v>0</v>
      </c>
      <c r="E104" s="21">
        <f t="shared" si="18"/>
        <v>0</v>
      </c>
      <c r="F104" s="86"/>
      <c r="G104" s="5"/>
      <c r="H104" s="87"/>
    </row>
    <row r="105" spans="1:9" ht="15">
      <c r="A105" s="30" t="s">
        <v>92</v>
      </c>
      <c r="B105" s="43">
        <f t="shared" si="19"/>
        <v>0</v>
      </c>
      <c r="C105" s="108">
        <v>0</v>
      </c>
      <c r="D105" s="28">
        <v>0</v>
      </c>
      <c r="E105" s="21">
        <f t="shared" si="18"/>
        <v>0</v>
      </c>
      <c r="F105" s="86"/>
      <c r="G105" s="5"/>
      <c r="H105" s="87"/>
    </row>
    <row r="106" spans="1:9" ht="15">
      <c r="A106" s="30" t="s">
        <v>90</v>
      </c>
      <c r="B106" s="43">
        <f t="shared" si="19"/>
        <v>4900</v>
      </c>
      <c r="C106" s="286">
        <v>110</v>
      </c>
      <c r="D106" s="28">
        <f t="shared" ref="D106" si="20">B106/C106</f>
        <v>44.545454545454547</v>
      </c>
      <c r="E106" s="21">
        <f>D106/D$108</f>
        <v>1</v>
      </c>
      <c r="F106" s="86"/>
      <c r="G106" s="5"/>
      <c r="H106" s="87"/>
      <c r="I106" s="287" t="s">
        <v>119</v>
      </c>
    </row>
    <row r="107" spans="1:9" ht="15">
      <c r="A107" s="83" t="s">
        <v>20</v>
      </c>
      <c r="B107" s="112">
        <f t="shared" si="19"/>
        <v>0</v>
      </c>
      <c r="C107" s="108">
        <v>0</v>
      </c>
      <c r="D107" s="106">
        <v>0</v>
      </c>
      <c r="E107" s="107">
        <f t="shared" si="18"/>
        <v>0</v>
      </c>
      <c r="H107" s="12"/>
    </row>
    <row r="108" spans="1:9">
      <c r="A108" s="96"/>
      <c r="B108" s="69">
        <f>SUM(B102:B107)</f>
        <v>4900</v>
      </c>
      <c r="C108" s="70">
        <f>B108/D108</f>
        <v>110</v>
      </c>
      <c r="D108" s="70">
        <f>SUM(D102:D107)</f>
        <v>44.545454545454547</v>
      </c>
      <c r="E108" s="314">
        <f t="shared" si="18"/>
        <v>1</v>
      </c>
      <c r="H108" s="27"/>
    </row>
    <row r="109" spans="1:9">
      <c r="A109" s="315" t="s">
        <v>115</v>
      </c>
      <c r="B109" s="69"/>
      <c r="C109" s="70"/>
      <c r="D109" s="70"/>
      <c r="E109" s="314"/>
      <c r="F109" s="4"/>
      <c r="G109" s="4"/>
      <c r="H109" s="316"/>
    </row>
    <row r="110" spans="1:9" ht="15">
      <c r="A110" s="6"/>
      <c r="B110" s="289"/>
      <c r="C110" s="289"/>
      <c r="D110" s="289"/>
      <c r="E110" s="289"/>
      <c r="F110" s="289"/>
      <c r="G110" s="289"/>
      <c r="H110" s="290"/>
    </row>
    <row r="111" spans="1:9">
      <c r="A111" s="6"/>
      <c r="B111" s="352"/>
      <c r="C111" s="352"/>
      <c r="D111" s="352"/>
      <c r="F111" s="352"/>
      <c r="G111" s="352"/>
      <c r="H111" s="353"/>
    </row>
    <row r="112" spans="1:9" ht="15">
      <c r="A112" s="6"/>
      <c r="B112" t="s">
        <v>125</v>
      </c>
      <c r="C112" t="s">
        <v>126</v>
      </c>
      <c r="D112" t="s">
        <v>127</v>
      </c>
      <c r="E112" t="s">
        <v>128</v>
      </c>
      <c r="F112" s="317" t="s">
        <v>129</v>
      </c>
      <c r="G112" s="317" t="s">
        <v>130</v>
      </c>
      <c r="H112" s="291" t="s">
        <v>131</v>
      </c>
    </row>
    <row r="113" spans="1:30" ht="15">
      <c r="A113" s="292" t="s">
        <v>31</v>
      </c>
      <c r="B113" s="293">
        <v>119702.77</v>
      </c>
      <c r="C113" s="293">
        <v>140371.43</v>
      </c>
      <c r="D113" s="293">
        <v>166103.95000000001</v>
      </c>
      <c r="E113" s="293">
        <v>166766.85999999999</v>
      </c>
      <c r="F113" s="294">
        <v>105842.43</v>
      </c>
      <c r="G113" s="294">
        <v>147383.65</v>
      </c>
      <c r="H113" s="295">
        <v>163283.07</v>
      </c>
      <c r="U113" s="178"/>
      <c r="V113" s="178"/>
      <c r="W113" s="178"/>
      <c r="X113" s="178"/>
      <c r="Z113" s="178"/>
      <c r="AA113" s="166"/>
      <c r="AB113" s="180"/>
      <c r="AC113" s="152"/>
      <c r="AD113" s="93"/>
    </row>
    <row r="114" spans="1:30" ht="15">
      <c r="A114" s="292" t="s">
        <v>30</v>
      </c>
      <c r="B114" s="293">
        <v>15222.93</v>
      </c>
      <c r="C114" s="293">
        <v>23913.55</v>
      </c>
      <c r="D114" s="293">
        <v>19670.79</v>
      </c>
      <c r="E114" s="293">
        <v>41336.57</v>
      </c>
      <c r="F114" s="294">
        <v>23672.31</v>
      </c>
      <c r="G114" s="294">
        <v>9419.99</v>
      </c>
      <c r="H114" s="295">
        <v>18308.82</v>
      </c>
      <c r="U114" s="178"/>
      <c r="V114" s="178"/>
      <c r="W114" s="178"/>
      <c r="X114" s="178"/>
      <c r="Z114" s="178"/>
      <c r="AA114" s="166"/>
      <c r="AB114" s="180"/>
      <c r="AC114" s="152"/>
      <c r="AD114" s="93"/>
    </row>
    <row r="115" spans="1:30" ht="15">
      <c r="A115" s="292" t="s">
        <v>28</v>
      </c>
      <c r="B115" s="293">
        <v>11228.99</v>
      </c>
      <c r="C115" s="293">
        <v>10794.51</v>
      </c>
      <c r="D115" s="293">
        <v>10146.4</v>
      </c>
      <c r="E115" s="293">
        <v>8112.73</v>
      </c>
      <c r="F115" s="294">
        <v>-1917.2</v>
      </c>
      <c r="G115" s="294">
        <v>49379.56</v>
      </c>
      <c r="H115" s="295">
        <v>50660.85</v>
      </c>
      <c r="U115" s="178"/>
      <c r="V115" s="178"/>
      <c r="W115" s="178"/>
      <c r="X115" s="178"/>
      <c r="Z115" s="178"/>
      <c r="AA115" s="166"/>
      <c r="AB115" s="180"/>
      <c r="AC115" s="152"/>
      <c r="AD115" s="93"/>
    </row>
    <row r="116" spans="1:30" ht="16.5">
      <c r="A116" s="296" t="s">
        <v>5</v>
      </c>
      <c r="B116" s="293">
        <v>3928.57</v>
      </c>
      <c r="C116" s="293">
        <v>-3928.57</v>
      </c>
      <c r="D116" s="293">
        <v>0</v>
      </c>
      <c r="E116" s="293">
        <v>-1311.46</v>
      </c>
      <c r="F116" s="294">
        <v>841.1</v>
      </c>
      <c r="G116" s="294">
        <v>0</v>
      </c>
      <c r="H116" s="295">
        <v>0</v>
      </c>
      <c r="I116" s="62"/>
      <c r="U116" s="179"/>
      <c r="V116" s="179"/>
      <c r="W116" s="179"/>
      <c r="X116" s="179"/>
      <c r="Z116" s="179"/>
      <c r="AA116" s="166"/>
      <c r="AB116" s="180"/>
      <c r="AC116" s="152"/>
      <c r="AD116" s="93"/>
    </row>
    <row r="117" spans="1:30" ht="16.5">
      <c r="A117" s="296" t="s">
        <v>132</v>
      </c>
      <c r="B117">
        <v>37953</v>
      </c>
      <c r="C117">
        <v>21274</v>
      </c>
      <c r="D117">
        <v>55365</v>
      </c>
      <c r="E117">
        <v>3960</v>
      </c>
      <c r="F117">
        <v>26641</v>
      </c>
      <c r="G117">
        <v>11698</v>
      </c>
      <c r="H117" s="318">
        <v>35168</v>
      </c>
      <c r="I117" s="62"/>
      <c r="U117" s="179"/>
      <c r="V117" s="179"/>
      <c r="W117" s="179"/>
      <c r="X117" s="179"/>
      <c r="Z117" s="179"/>
      <c r="AA117" s="166"/>
      <c r="AB117" s="180"/>
      <c r="AC117" s="152"/>
      <c r="AD117" s="93"/>
    </row>
    <row r="118" spans="1:30" ht="15">
      <c r="A118" s="296" t="s">
        <v>133</v>
      </c>
      <c r="B118" s="297">
        <f>B115/(B113+B114+B116-B117)</f>
        <v>0.11128690451567158</v>
      </c>
      <c r="C118" s="297">
        <f t="shared" ref="C118:H118" si="21">C115/(C113+C114+C116-C117)</f>
        <v>7.7612330703789228E-2</v>
      </c>
      <c r="D118" s="297">
        <f t="shared" si="21"/>
        <v>7.7804004516840525E-2</v>
      </c>
      <c r="E118" s="297">
        <f t="shared" si="21"/>
        <v>3.9997294312134321E-2</v>
      </c>
      <c r="F118" s="297">
        <f t="shared" si="21"/>
        <v>-1.848530065707087E-2</v>
      </c>
      <c r="G118" s="297">
        <f t="shared" si="21"/>
        <v>0.34030076294760153</v>
      </c>
      <c r="H118" s="300">
        <f t="shared" si="21"/>
        <v>0.34598759806203749</v>
      </c>
      <c r="U118" s="168"/>
      <c r="V118" s="168"/>
      <c r="W118" s="168"/>
      <c r="X118" s="168"/>
      <c r="Z118" s="168"/>
      <c r="AA118" s="151"/>
      <c r="AB118" s="177"/>
      <c r="AC118" s="181"/>
      <c r="AD118" s="5"/>
    </row>
    <row r="119" spans="1:30" ht="15">
      <c r="A119" s="296"/>
      <c r="B119" s="297"/>
      <c r="C119" s="297"/>
      <c r="D119" s="297"/>
      <c r="E119" s="297"/>
      <c r="F119" s="297"/>
      <c r="G119" s="297"/>
      <c r="H119" s="300"/>
    </row>
    <row r="120" spans="1:30">
      <c r="A120" s="6"/>
      <c r="B120" s="43"/>
      <c r="C120" s="301"/>
      <c r="D120" s="15" t="s">
        <v>134</v>
      </c>
      <c r="E120" s="63"/>
      <c r="F120" s="43" t="s">
        <v>135</v>
      </c>
      <c r="G120" s="301"/>
      <c r="H120" s="302"/>
    </row>
    <row r="121" spans="1:30" ht="15">
      <c r="A121" s="292" t="s">
        <v>136</v>
      </c>
      <c r="B121" s="303">
        <v>28</v>
      </c>
      <c r="C121" s="29"/>
      <c r="D121" s="26">
        <f>(AVERAGE((C113-C117),(G113-G117),(H113-H117)))/B121</f>
        <v>4558.3113095238095</v>
      </c>
      <c r="E121" s="63"/>
      <c r="F121" s="304">
        <f>D121*B121</f>
        <v>127632.71666666667</v>
      </c>
      <c r="G121" s="29"/>
      <c r="H121" s="12"/>
      <c r="S121" s="57"/>
      <c r="T121" s="372"/>
      <c r="U121" s="372"/>
      <c r="V121" s="372"/>
      <c r="W121" s="372"/>
      <c r="X121" s="372"/>
      <c r="Y121" s="372"/>
      <c r="Z121" s="372"/>
      <c r="AA121" s="372"/>
      <c r="AB121" s="372"/>
      <c r="AC121" s="372"/>
      <c r="AD121" s="372"/>
    </row>
    <row r="122" spans="1:30" ht="15">
      <c r="A122" s="292" t="s">
        <v>137</v>
      </c>
      <c r="B122" s="303">
        <v>2</v>
      </c>
      <c r="C122" s="78"/>
      <c r="D122" s="26">
        <f>AVERAGE(G114)/B122</f>
        <v>4709.9949999999999</v>
      </c>
      <c r="E122" s="63"/>
      <c r="F122" s="304">
        <f>D122*B122</f>
        <v>9419.99</v>
      </c>
      <c r="G122" s="305"/>
      <c r="H122" s="12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</row>
    <row r="123" spans="1:30">
      <c r="A123" s="76"/>
      <c r="B123" s="117"/>
      <c r="C123" s="284"/>
      <c r="D123" s="306"/>
      <c r="E123" s="63"/>
      <c r="F123" s="307"/>
      <c r="G123" s="319"/>
      <c r="H123" s="308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</row>
    <row r="124" spans="1:30">
      <c r="A124" s="309" t="s">
        <v>138</v>
      </c>
      <c r="B124" s="117">
        <v>15</v>
      </c>
      <c r="C124" s="284"/>
      <c r="D124" s="26">
        <f>D121</f>
        <v>4558.3113095238095</v>
      </c>
      <c r="E124" s="63"/>
      <c r="F124" s="304">
        <f>D124*B124</f>
        <v>68374.669642857145</v>
      </c>
      <c r="G124" s="91"/>
      <c r="H124" s="308"/>
      <c r="I124" s="63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</row>
    <row r="125" spans="1:30">
      <c r="A125" s="309" t="s">
        <v>139</v>
      </c>
      <c r="B125" s="117">
        <v>3</v>
      </c>
      <c r="C125" s="284"/>
      <c r="D125" s="26">
        <f>D122</f>
        <v>4709.9949999999999</v>
      </c>
      <c r="E125" s="63"/>
      <c r="F125" s="304">
        <f>D125*B125</f>
        <v>14129.985000000001</v>
      </c>
      <c r="G125" s="319"/>
      <c r="H125" s="310"/>
      <c r="I125" s="63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</row>
    <row r="126" spans="1:30">
      <c r="A126" s="6"/>
      <c r="B126" s="320"/>
      <c r="F126" s="311"/>
      <c r="H126" s="12"/>
      <c r="I126" s="63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</row>
    <row r="127" spans="1:30">
      <c r="A127" s="6" t="s">
        <v>140</v>
      </c>
      <c r="B127" s="43">
        <f>B121+B124</f>
        <v>43</v>
      </c>
      <c r="C127" s="29"/>
      <c r="D127" s="26">
        <f>D124</f>
        <v>4558.3113095238095</v>
      </c>
      <c r="F127" s="312">
        <f>D127*B127</f>
        <v>196007.3863095238</v>
      </c>
      <c r="H127" s="12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</row>
    <row r="128" spans="1:30">
      <c r="A128" s="6" t="s">
        <v>141</v>
      </c>
      <c r="B128" s="43">
        <f>B122+B125</f>
        <v>5</v>
      </c>
      <c r="C128" s="78"/>
      <c r="D128" s="26">
        <f>D125</f>
        <v>4709.9949999999999</v>
      </c>
      <c r="F128" s="312">
        <f>D128*B128</f>
        <v>23549.974999999999</v>
      </c>
      <c r="H128" s="12"/>
      <c r="S128" s="58"/>
      <c r="T128" s="58"/>
      <c r="U128" s="58"/>
      <c r="V128" s="58"/>
      <c r="W128" s="58"/>
      <c r="X128" s="58"/>
      <c r="Y128" s="58"/>
      <c r="Z128" s="58"/>
      <c r="AA128" s="58"/>
      <c r="AB128" s="59"/>
      <c r="AC128" s="58"/>
      <c r="AD128" s="58"/>
    </row>
    <row r="129" spans="1:8">
      <c r="A129" s="76" t="s">
        <v>132</v>
      </c>
      <c r="B129" s="43"/>
      <c r="C129" s="29"/>
      <c r="D129" s="77"/>
      <c r="F129" s="313">
        <v>0</v>
      </c>
      <c r="H129" s="12"/>
    </row>
    <row r="130" spans="1:8" ht="16.5" customHeight="1">
      <c r="A130" s="83" t="s">
        <v>28</v>
      </c>
      <c r="B130" s="321"/>
      <c r="C130" s="322"/>
      <c r="D130" s="323"/>
      <c r="E130" s="10"/>
      <c r="F130" s="324">
        <f>(F127+F128)*0.29</f>
        <v>63671.634779761902</v>
      </c>
      <c r="G130" s="10"/>
      <c r="H130" s="9"/>
    </row>
    <row r="131" spans="1:8">
      <c r="A131" s="283"/>
      <c r="B131" s="117"/>
      <c r="C131" s="284"/>
      <c r="D131" s="285"/>
      <c r="E131" s="63"/>
    </row>
    <row r="132" spans="1:8">
      <c r="A132" s="283"/>
      <c r="B132" s="117"/>
      <c r="C132" s="284"/>
      <c r="D132" s="285"/>
      <c r="E132" s="63"/>
    </row>
    <row r="133" spans="1:8">
      <c r="A133" s="283"/>
      <c r="B133" s="117"/>
      <c r="C133" s="284"/>
      <c r="D133" s="285"/>
      <c r="E133" s="63"/>
    </row>
    <row r="134" spans="1:8">
      <c r="A134" s="315" t="s">
        <v>116</v>
      </c>
      <c r="B134" s="69"/>
      <c r="C134" s="70"/>
      <c r="D134" s="70"/>
      <c r="E134" s="314"/>
      <c r="F134" s="4"/>
      <c r="G134" s="4"/>
      <c r="H134" s="316"/>
    </row>
    <row r="135" spans="1:8" ht="15">
      <c r="A135" s="6"/>
      <c r="B135" s="289"/>
      <c r="C135" s="289"/>
      <c r="D135" s="289"/>
      <c r="E135" s="289"/>
      <c r="F135" s="289"/>
      <c r="G135" s="289"/>
      <c r="H135" s="290"/>
    </row>
    <row r="136" spans="1:8">
      <c r="A136" s="6"/>
      <c r="B136" s="352"/>
      <c r="C136" s="352"/>
      <c r="D136" s="352"/>
      <c r="F136" s="352"/>
      <c r="G136" s="352"/>
      <c r="H136" s="353"/>
    </row>
    <row r="137" spans="1:8" ht="15">
      <c r="A137" s="6"/>
      <c r="B137" t="s">
        <v>125</v>
      </c>
      <c r="C137" t="s">
        <v>126</v>
      </c>
      <c r="D137" t="s">
        <v>127</v>
      </c>
      <c r="E137" t="s">
        <v>128</v>
      </c>
      <c r="F137" t="s">
        <v>129</v>
      </c>
      <c r="G137" s="317" t="s">
        <v>130</v>
      </c>
      <c r="H137" s="291" t="s">
        <v>131</v>
      </c>
    </row>
    <row r="138" spans="1:8" ht="15">
      <c r="A138" s="292" t="s">
        <v>31</v>
      </c>
      <c r="B138" s="294">
        <v>268968.01</v>
      </c>
      <c r="C138" s="294">
        <v>288390.24</v>
      </c>
      <c r="D138" s="293">
        <v>154345.41</v>
      </c>
      <c r="E138" s="293">
        <v>13412.75</v>
      </c>
      <c r="F138" s="325">
        <v>229529.76</v>
      </c>
      <c r="G138" s="294">
        <v>274156.28999999998</v>
      </c>
      <c r="H138" s="295">
        <v>267092.21000000002</v>
      </c>
    </row>
    <row r="139" spans="1:8" ht="15">
      <c r="A139" s="292" t="s">
        <v>30</v>
      </c>
      <c r="B139" s="294">
        <v>67812.91</v>
      </c>
      <c r="C139" s="294">
        <v>64354.51</v>
      </c>
      <c r="D139" s="293">
        <v>40616.39</v>
      </c>
      <c r="E139" s="293">
        <v>14950.76</v>
      </c>
      <c r="F139" s="325">
        <v>74301.16</v>
      </c>
      <c r="G139" s="294">
        <v>85619.44</v>
      </c>
      <c r="H139" s="295">
        <v>74393.95</v>
      </c>
    </row>
    <row r="140" spans="1:8" ht="15">
      <c r="A140" s="292" t="s">
        <v>28</v>
      </c>
      <c r="B140" s="294">
        <v>102162.56</v>
      </c>
      <c r="C140" s="294">
        <v>97023.8</v>
      </c>
      <c r="D140" s="293">
        <v>87771.29</v>
      </c>
      <c r="E140" s="293">
        <v>18740.91</v>
      </c>
      <c r="F140" s="325">
        <v>135347.70000000001</v>
      </c>
      <c r="G140" s="294">
        <v>89284.14</v>
      </c>
      <c r="H140" s="295">
        <v>88862.54</v>
      </c>
    </row>
    <row r="141" spans="1:8" ht="15">
      <c r="A141" s="292" t="s">
        <v>5</v>
      </c>
      <c r="B141" s="294">
        <v>6248.2</v>
      </c>
      <c r="C141" s="294">
        <v>7823.13</v>
      </c>
      <c r="D141" s="293">
        <v>4541.8500000000004</v>
      </c>
      <c r="E141" s="293">
        <v>10625.36</v>
      </c>
      <c r="F141" s="325">
        <v>11684.3</v>
      </c>
      <c r="G141" s="294">
        <v>7724.39</v>
      </c>
      <c r="H141" s="295">
        <v>6820.85</v>
      </c>
    </row>
    <row r="142" spans="1:8" ht="15">
      <c r="A142" s="296" t="s">
        <v>132</v>
      </c>
      <c r="B142" s="317">
        <v>35640</v>
      </c>
      <c r="C142" s="317">
        <v>61311</v>
      </c>
      <c r="D142">
        <v>50554</v>
      </c>
      <c r="E142"/>
      <c r="F142">
        <v>65416</v>
      </c>
      <c r="G142">
        <v>62538</v>
      </c>
      <c r="H142" s="318">
        <v>37211</v>
      </c>
    </row>
    <row r="143" spans="1:8" ht="15">
      <c r="A143" s="296" t="s">
        <v>133</v>
      </c>
      <c r="B143" s="298">
        <f>B140/(B138+B139-B142+B141)</f>
        <v>0.3323558101210608</v>
      </c>
      <c r="C143" s="298">
        <f t="shared" ref="C143:H143" si="22">C140/(C138+C139-C142+C141)</f>
        <v>0.3242157707451872</v>
      </c>
      <c r="D143" s="298">
        <f t="shared" si="22"/>
        <v>0.58926818559157401</v>
      </c>
      <c r="E143" s="298">
        <f t="shared" si="22"/>
        <v>0.48067333061973838</v>
      </c>
      <c r="F143" s="298">
        <f t="shared" si="22"/>
        <v>0.54117601806195159</v>
      </c>
      <c r="G143" s="298">
        <f t="shared" si="22"/>
        <v>0.29277124647480807</v>
      </c>
      <c r="H143" s="299">
        <f t="shared" si="22"/>
        <v>0.28564345778655276</v>
      </c>
    </row>
    <row r="145" spans="1:10">
      <c r="A145" s="6"/>
      <c r="B145" s="43"/>
      <c r="C145" s="301"/>
      <c r="D145" s="15" t="s">
        <v>134</v>
      </c>
      <c r="E145" s="63"/>
      <c r="F145" s="43" t="s">
        <v>135</v>
      </c>
      <c r="G145" s="301"/>
      <c r="H145" s="302"/>
      <c r="J145" s="283"/>
    </row>
    <row r="146" spans="1:10" ht="15">
      <c r="A146" s="292" t="s">
        <v>136</v>
      </c>
      <c r="B146" s="303">
        <v>46</v>
      </c>
      <c r="C146" s="29"/>
      <c r="D146" s="26">
        <f>(AVERAGE((B138-B142),(C138-C142),(G138-G142),(H138-H142)))/B146</f>
        <v>4901.667119565217</v>
      </c>
      <c r="E146" s="63"/>
      <c r="F146" s="304">
        <f>D146*B146</f>
        <v>225476.68749999997</v>
      </c>
      <c r="G146" s="29"/>
      <c r="H146" s="326"/>
      <c r="J146" s="283"/>
    </row>
    <row r="147" spans="1:10" ht="15">
      <c r="A147" s="292" t="s">
        <v>137</v>
      </c>
      <c r="B147" s="303">
        <v>16</v>
      </c>
      <c r="C147" s="78"/>
      <c r="D147" s="26">
        <f>AVERAGE($G$99:$H$99,B139:C139)/B147</f>
        <v>4130.2318750000004</v>
      </c>
      <c r="E147" s="63"/>
      <c r="F147" s="304">
        <f>D147*B147</f>
        <v>66083.710000000006</v>
      </c>
      <c r="G147" s="305"/>
      <c r="H147" s="12"/>
      <c r="J147" s="283"/>
    </row>
    <row r="148" spans="1:10">
      <c r="A148" s="76"/>
      <c r="B148" s="117"/>
      <c r="C148" s="284"/>
      <c r="D148" s="306"/>
      <c r="E148" s="63"/>
      <c r="F148" s="307"/>
      <c r="G148" s="319"/>
      <c r="H148" s="308"/>
      <c r="J148" s="283"/>
    </row>
    <row r="149" spans="1:10">
      <c r="A149" s="309" t="s">
        <v>138</v>
      </c>
      <c r="B149" s="117">
        <v>6</v>
      </c>
      <c r="C149" s="284"/>
      <c r="D149" s="26">
        <f>D146</f>
        <v>4901.667119565217</v>
      </c>
      <c r="E149" s="63"/>
      <c r="F149" s="304">
        <f>D149*B149</f>
        <v>29410.002717391304</v>
      </c>
      <c r="G149" s="91"/>
      <c r="H149" s="308"/>
      <c r="J149" s="283"/>
    </row>
    <row r="150" spans="1:10">
      <c r="A150" s="309" t="s">
        <v>139</v>
      </c>
      <c r="B150" s="117">
        <v>6</v>
      </c>
      <c r="C150" s="284"/>
      <c r="D150" s="26">
        <f>D147</f>
        <v>4130.2318750000004</v>
      </c>
      <c r="E150" s="63"/>
      <c r="F150" s="304">
        <f>D150*B150</f>
        <v>24781.391250000001</v>
      </c>
      <c r="G150" s="319"/>
      <c r="H150" s="310"/>
      <c r="J150" s="283"/>
    </row>
    <row r="151" spans="1:10">
      <c r="A151" s="6"/>
      <c r="B151" s="320"/>
      <c r="F151" s="311"/>
      <c r="H151" s="12"/>
      <c r="J151" s="283"/>
    </row>
    <row r="152" spans="1:10">
      <c r="A152" s="6" t="s">
        <v>140</v>
      </c>
      <c r="B152" s="43">
        <f>B146+B149</f>
        <v>52</v>
      </c>
      <c r="C152" s="29"/>
      <c r="D152" s="26">
        <f>D146</f>
        <v>4901.667119565217</v>
      </c>
      <c r="F152" s="312">
        <f>D152*B152</f>
        <v>254886.6902173913</v>
      </c>
      <c r="H152" s="12"/>
      <c r="J152" s="283"/>
    </row>
    <row r="153" spans="1:10">
      <c r="A153" s="6" t="s">
        <v>141</v>
      </c>
      <c r="B153" s="43">
        <f>B147+B150</f>
        <v>22</v>
      </c>
      <c r="C153" s="78"/>
      <c r="D153" s="26">
        <f>D146</f>
        <v>4901.667119565217</v>
      </c>
      <c r="F153" s="312">
        <f>D153*B153</f>
        <v>107836.67663043477</v>
      </c>
      <c r="H153" s="12"/>
      <c r="J153" s="283"/>
    </row>
    <row r="154" spans="1:10">
      <c r="A154" s="76" t="s">
        <v>5</v>
      </c>
      <c r="B154" s="43"/>
      <c r="C154" s="29"/>
      <c r="D154" s="77"/>
      <c r="F154" s="313">
        <v>7154</v>
      </c>
      <c r="H154" s="12"/>
      <c r="J154" s="283"/>
    </row>
    <row r="155" spans="1:10" ht="15">
      <c r="A155" s="83" t="s">
        <v>28</v>
      </c>
      <c r="B155" s="321"/>
      <c r="C155" s="322"/>
      <c r="D155" s="323"/>
      <c r="E155" s="10"/>
      <c r="F155" s="324">
        <f>(F152+F153+F154)*0.3</f>
        <v>110963.21005434782</v>
      </c>
      <c r="G155" s="10"/>
      <c r="H155" s="9"/>
      <c r="J155" s="283"/>
    </row>
    <row r="156" spans="1:10">
      <c r="A156" s="283"/>
      <c r="B156" s="117"/>
      <c r="C156" s="284"/>
      <c r="D156" s="285"/>
      <c r="E156" s="63"/>
      <c r="J156" s="283"/>
    </row>
    <row r="157" spans="1:10" ht="12.75" customHeight="1">
      <c r="J157" s="57"/>
    </row>
    <row r="158" spans="1:10" ht="15">
      <c r="A158" s="55" t="s">
        <v>26</v>
      </c>
      <c r="B158" s="183"/>
      <c r="C158" s="183"/>
      <c r="D158" s="132">
        <v>4.5</v>
      </c>
      <c r="E158" s="183"/>
      <c r="F158" s="183"/>
      <c r="G158" s="245"/>
      <c r="H158" s="183"/>
      <c r="I158" s="4"/>
      <c r="J158" s="131"/>
    </row>
    <row r="159" spans="1:10" ht="15">
      <c r="A159" s="6"/>
      <c r="B159" s="374" t="s">
        <v>25</v>
      </c>
      <c r="C159" s="375"/>
      <c r="D159" s="132">
        <v>4.5</v>
      </c>
      <c r="E159" s="374" t="s">
        <v>24</v>
      </c>
      <c r="F159" s="375"/>
      <c r="G159" s="132">
        <f>762256/10182780</f>
        <v>7.4857357224647883E-2</v>
      </c>
      <c r="H159" s="376" t="s">
        <v>86</v>
      </c>
      <c r="I159" s="377"/>
      <c r="J159" s="244">
        <f>30000*365</f>
        <v>10950000</v>
      </c>
    </row>
    <row r="160" spans="1:10">
      <c r="A160" s="6"/>
      <c r="B160" s="5"/>
      <c r="C160" s="5"/>
      <c r="D160" s="5"/>
      <c r="E160" s="5"/>
      <c r="F160" s="5"/>
      <c r="G160" s="5"/>
      <c r="H160" s="378" t="s">
        <v>87</v>
      </c>
      <c r="I160" s="379"/>
      <c r="J160" s="135">
        <f>ROUND(J159/B49/1000,3)</f>
        <v>2.2349999999999999</v>
      </c>
    </row>
    <row r="161" spans="1:10" ht="15" customHeight="1">
      <c r="A161" s="6"/>
      <c r="B161" s="380" t="s">
        <v>95</v>
      </c>
      <c r="C161" s="381"/>
      <c r="D161" s="382"/>
      <c r="E161" s="380" t="s">
        <v>96</v>
      </c>
      <c r="F161" s="381"/>
      <c r="G161" s="382"/>
      <c r="H161" s="380" t="s">
        <v>97</v>
      </c>
      <c r="I161" s="381"/>
      <c r="J161" s="382"/>
    </row>
    <row r="162" spans="1:10" ht="25.5">
      <c r="A162" s="6"/>
      <c r="B162" s="133" t="s">
        <v>79</v>
      </c>
      <c r="C162" s="61" t="s">
        <v>80</v>
      </c>
      <c r="D162" s="22" t="s">
        <v>81</v>
      </c>
      <c r="E162" s="133" t="s">
        <v>79</v>
      </c>
      <c r="F162" s="61" t="s">
        <v>80</v>
      </c>
      <c r="G162" s="22" t="s">
        <v>81</v>
      </c>
      <c r="H162" s="133" t="s">
        <v>79</v>
      </c>
      <c r="I162" s="61" t="s">
        <v>80</v>
      </c>
      <c r="J162" s="22" t="s">
        <v>81</v>
      </c>
    </row>
    <row r="163" spans="1:10" ht="15">
      <c r="A163" s="6" t="s">
        <v>23</v>
      </c>
      <c r="B163" s="275">
        <v>0.11509999999999999</v>
      </c>
      <c r="C163" s="282">
        <v>8.7999999999999995E-2</v>
      </c>
      <c r="D163" s="90">
        <f>B163*C163</f>
        <v>1.0128799999999999E-2</v>
      </c>
      <c r="E163" s="243">
        <v>0.26500000000000001</v>
      </c>
      <c r="F163" s="60">
        <f>G159</f>
        <v>7.4857357224647883E-2</v>
      </c>
      <c r="G163" s="90">
        <f>E163*F163</f>
        <v>1.983719966453169E-2</v>
      </c>
      <c r="H163" s="243">
        <v>0.26500000000000001</v>
      </c>
      <c r="I163" s="60">
        <f>$G$159</f>
        <v>7.4857357224647883E-2</v>
      </c>
      <c r="J163" s="90">
        <f>H163*I163</f>
        <v>1.983719966453169E-2</v>
      </c>
    </row>
    <row r="164" spans="1:10" ht="16.5">
      <c r="A164" s="6" t="s">
        <v>22</v>
      </c>
      <c r="B164" s="275">
        <v>6.4999999999999997E-3</v>
      </c>
      <c r="C164" s="276">
        <v>4</v>
      </c>
      <c r="D164" s="51">
        <f>B164*C164</f>
        <v>2.5999999999999999E-2</v>
      </c>
      <c r="E164" s="243">
        <v>3.8E-3</v>
      </c>
      <c r="F164" s="29">
        <f>$D$159</f>
        <v>4.5</v>
      </c>
      <c r="G164" s="51">
        <f>E164*F164</f>
        <v>1.7100000000000001E-2</v>
      </c>
      <c r="H164" s="243">
        <v>3.8E-3</v>
      </c>
      <c r="I164" s="29">
        <f>$D$159</f>
        <v>4.5</v>
      </c>
      <c r="J164" s="51">
        <f>H164*I164</f>
        <v>1.7100000000000001E-2</v>
      </c>
    </row>
    <row r="165" spans="1:10" ht="15">
      <c r="A165" s="6" t="s">
        <v>21</v>
      </c>
      <c r="B165" s="6"/>
      <c r="C165" s="5"/>
      <c r="D165" s="227">
        <f>SUM(D163:D164)</f>
        <v>3.6128799999999996E-2</v>
      </c>
      <c r="E165" s="6"/>
      <c r="F165" s="5"/>
      <c r="G165" s="227">
        <f>SUM(G163:G164)</f>
        <v>3.6937199664531691E-2</v>
      </c>
      <c r="H165" s="6"/>
      <c r="I165" s="5"/>
      <c r="J165" s="227">
        <f>SUM(J163:J164)</f>
        <v>3.6937199664531691E-2</v>
      </c>
    </row>
    <row r="166" spans="1:10">
      <c r="A166" s="16"/>
      <c r="B166" s="16"/>
      <c r="D166" s="12"/>
      <c r="E166" s="16"/>
      <c r="G166" s="12"/>
      <c r="H166" s="16"/>
      <c r="J166" s="12"/>
    </row>
    <row r="167" spans="1:10" ht="15" customHeight="1">
      <c r="A167" s="6"/>
      <c r="B167" s="383" t="s">
        <v>92</v>
      </c>
      <c r="C167" s="384"/>
      <c r="D167" s="385"/>
      <c r="E167" s="383" t="s">
        <v>90</v>
      </c>
      <c r="F167" s="384"/>
      <c r="G167" s="385"/>
      <c r="H167" s="383" t="s">
        <v>92</v>
      </c>
      <c r="I167" s="384"/>
      <c r="J167" s="385"/>
    </row>
    <row r="168" spans="1:10" ht="25.5">
      <c r="A168" s="6"/>
      <c r="B168" s="133" t="s">
        <v>79</v>
      </c>
      <c r="C168" s="61" t="s">
        <v>80</v>
      </c>
      <c r="D168" s="22" t="s">
        <v>81</v>
      </c>
      <c r="E168" s="133" t="s">
        <v>79</v>
      </c>
      <c r="F168" s="61" t="s">
        <v>80</v>
      </c>
      <c r="G168" s="22" t="s">
        <v>81</v>
      </c>
      <c r="H168" s="133" t="s">
        <v>79</v>
      </c>
      <c r="I168" s="61" t="s">
        <v>80</v>
      </c>
      <c r="J168" s="22" t="s">
        <v>81</v>
      </c>
    </row>
    <row r="169" spans="1:10" ht="15">
      <c r="A169" s="6" t="s">
        <v>23</v>
      </c>
      <c r="B169" s="275"/>
      <c r="C169" s="282"/>
      <c r="D169" s="90">
        <f>B169*C169</f>
        <v>0</v>
      </c>
      <c r="E169" s="275">
        <v>0.5867</v>
      </c>
      <c r="F169" s="60">
        <f>G159</f>
        <v>7.4857357224647883E-2</v>
      </c>
      <c r="G169" s="90">
        <f>E169*F169</f>
        <v>4.3918811483700915E-2</v>
      </c>
      <c r="H169" s="243">
        <v>0</v>
      </c>
      <c r="I169" s="60">
        <f>$G$159</f>
        <v>7.4857357224647883E-2</v>
      </c>
      <c r="J169" s="90">
        <f>H169*I169</f>
        <v>0</v>
      </c>
    </row>
    <row r="170" spans="1:10" ht="16.5">
      <c r="A170" s="6" t="s">
        <v>22</v>
      </c>
      <c r="B170" s="275"/>
      <c r="C170" s="276"/>
      <c r="D170" s="51">
        <f>B170*C170</f>
        <v>0</v>
      </c>
      <c r="E170" s="275">
        <v>6.4999999999999997E-3</v>
      </c>
      <c r="F170" s="276">
        <v>4</v>
      </c>
      <c r="G170" s="51">
        <f>E170*F170</f>
        <v>2.5999999999999999E-2</v>
      </c>
      <c r="H170" s="243">
        <v>0</v>
      </c>
      <c r="I170" s="29">
        <f>$D$159</f>
        <v>4.5</v>
      </c>
      <c r="J170" s="51">
        <f>H170*I170</f>
        <v>0</v>
      </c>
    </row>
    <row r="171" spans="1:10" ht="15">
      <c r="A171" s="25" t="s">
        <v>21</v>
      </c>
      <c r="B171" s="25"/>
      <c r="C171" s="53"/>
      <c r="D171" s="134">
        <f>SUM(D169:D170)</f>
        <v>0</v>
      </c>
      <c r="E171" s="25"/>
      <c r="F171" s="53"/>
      <c r="G171" s="134">
        <f>SUM(G169:G170)</f>
        <v>6.991881148370091E-2</v>
      </c>
      <c r="H171" s="25"/>
      <c r="I171" s="53"/>
      <c r="J171" s="134">
        <f>SUM(J169:J170)</f>
        <v>0</v>
      </c>
    </row>
    <row r="172" spans="1:10">
      <c r="J172" s="58"/>
    </row>
    <row r="173" spans="1:10">
      <c r="J173" s="58"/>
    </row>
    <row r="174" spans="1:10">
      <c r="A174" s="356" t="s">
        <v>19</v>
      </c>
      <c r="B174" s="357"/>
      <c r="C174" s="357"/>
      <c r="D174" s="357"/>
      <c r="E174" s="357"/>
      <c r="F174" s="357"/>
      <c r="G174" s="357"/>
      <c r="H174" s="358"/>
      <c r="J174" s="58"/>
    </row>
    <row r="175" spans="1:10" ht="25.5">
      <c r="A175" s="6" t="s">
        <v>18</v>
      </c>
      <c r="B175" s="98">
        <v>256000000</v>
      </c>
      <c r="C175" s="5"/>
      <c r="D175" s="5"/>
      <c r="E175" s="5"/>
      <c r="F175" s="5"/>
      <c r="G175" s="23" t="s">
        <v>17</v>
      </c>
      <c r="H175" s="22" t="s">
        <v>57</v>
      </c>
      <c r="J175" s="58"/>
    </row>
    <row r="176" spans="1:10">
      <c r="A176" s="6" t="s">
        <v>16</v>
      </c>
      <c r="B176" s="21">
        <f>G177/B175</f>
        <v>5.7421874999999997E-4</v>
      </c>
      <c r="C176" s="5"/>
      <c r="D176" s="5"/>
      <c r="E176" s="5"/>
      <c r="F176" s="5"/>
      <c r="G176" s="5" t="s">
        <v>142</v>
      </c>
      <c r="H176" s="5" t="s">
        <v>142</v>
      </c>
      <c r="I176" s="1" t="s">
        <v>95</v>
      </c>
      <c r="J176" s="1" t="s">
        <v>95</v>
      </c>
    </row>
    <row r="177" spans="1:10" ht="16.5">
      <c r="A177" s="6" t="s">
        <v>15</v>
      </c>
      <c r="B177" s="5"/>
      <c r="C177" s="5"/>
      <c r="D177" s="5"/>
      <c r="E177" s="5"/>
      <c r="F177" s="5"/>
      <c r="G177" s="277">
        <v>147000</v>
      </c>
      <c r="H177" s="20">
        <f>G177/(E$47*1000)</f>
        <v>0.03</v>
      </c>
      <c r="I177" s="277">
        <v>353000</v>
      </c>
      <c r="J177" s="20" t="e">
        <f>I177/B24/1000</f>
        <v>#DIV/0!</v>
      </c>
    </row>
    <row r="178" spans="1:10">
      <c r="A178" s="16"/>
      <c r="H178" s="12"/>
      <c r="J178" s="12"/>
    </row>
    <row r="179" spans="1:10">
      <c r="A179" s="16"/>
      <c r="F179" s="2"/>
      <c r="G179" s="63"/>
      <c r="H179" s="12"/>
      <c r="I179" s="63"/>
      <c r="J179" s="12"/>
    </row>
    <row r="180" spans="1:10">
      <c r="A180" s="373" t="s">
        <v>51</v>
      </c>
      <c r="B180" s="365"/>
      <c r="C180" s="5"/>
      <c r="D180" s="5"/>
      <c r="E180" s="5"/>
      <c r="F180" s="5"/>
      <c r="G180" s="5" t="s">
        <v>142</v>
      </c>
      <c r="H180" s="5" t="s">
        <v>142</v>
      </c>
      <c r="I180" s="5"/>
      <c r="J180" s="5"/>
    </row>
    <row r="181" spans="1:10" ht="16.5">
      <c r="A181" s="6" t="s">
        <v>14</v>
      </c>
      <c r="B181" s="5"/>
      <c r="C181" s="5"/>
      <c r="D181" s="5"/>
      <c r="E181" s="5"/>
      <c r="F181" s="5"/>
      <c r="G181" s="102">
        <v>27000</v>
      </c>
      <c r="H181" s="20">
        <f>G181/(E$47*1000)</f>
        <v>5.5102040816326532E-3</v>
      </c>
      <c r="I181" s="102">
        <v>75000</v>
      </c>
      <c r="J181" s="20" t="e">
        <f>I181/B24/1000</f>
        <v>#DIV/0!</v>
      </c>
    </row>
    <row r="182" spans="1:10">
      <c r="A182" s="6"/>
      <c r="B182" s="5"/>
      <c r="C182" s="5"/>
      <c r="D182" s="5"/>
      <c r="E182" s="5"/>
      <c r="F182" s="5"/>
      <c r="G182" s="5"/>
      <c r="H182" s="8"/>
      <c r="I182" s="5"/>
      <c r="J182" s="8"/>
    </row>
    <row r="183" spans="1:10">
      <c r="A183" s="373" t="s">
        <v>13</v>
      </c>
      <c r="B183" s="365"/>
      <c r="C183" s="5"/>
      <c r="D183" s="5"/>
      <c r="E183" s="5"/>
      <c r="F183" s="5"/>
      <c r="G183" s="5" t="s">
        <v>142</v>
      </c>
      <c r="H183" s="5" t="s">
        <v>142</v>
      </c>
      <c r="I183" s="5"/>
      <c r="J183" s="5"/>
    </row>
    <row r="184" spans="1:10" ht="16.5">
      <c r="A184" s="6" t="s">
        <v>12</v>
      </c>
      <c r="B184" s="5"/>
      <c r="C184" s="5"/>
      <c r="D184" s="5"/>
      <c r="E184" s="5"/>
      <c r="F184" s="5"/>
      <c r="G184" s="277">
        <v>55000</v>
      </c>
      <c r="H184" s="20">
        <f>G184/(E$47*1000)</f>
        <v>1.1224489795918367E-2</v>
      </c>
      <c r="I184" s="277">
        <v>57000</v>
      </c>
      <c r="J184" s="20" t="e">
        <f>I184/B24/1000</f>
        <v>#DIV/0!</v>
      </c>
    </row>
    <row r="185" spans="1:10">
      <c r="A185" s="11"/>
      <c r="B185" s="10"/>
      <c r="C185" s="19"/>
      <c r="D185" s="10"/>
      <c r="E185" s="10"/>
      <c r="F185" s="10"/>
      <c r="G185" s="10"/>
      <c r="H185" s="9"/>
      <c r="J185" s="58"/>
    </row>
    <row r="186" spans="1:10">
      <c r="C186" s="18"/>
      <c r="J186" s="58"/>
    </row>
    <row r="187" spans="1:10">
      <c r="J187" s="58"/>
    </row>
    <row r="188" spans="1:10">
      <c r="A188" s="55" t="s">
        <v>11</v>
      </c>
      <c r="B188" s="386" t="s">
        <v>10</v>
      </c>
      <c r="C188" s="386"/>
      <c r="D188" s="386"/>
      <c r="E188" s="386"/>
      <c r="F188" s="386"/>
      <c r="G188" s="386"/>
      <c r="H188" s="387"/>
      <c r="J188" s="58"/>
    </row>
    <row r="189" spans="1:10">
      <c r="A189" s="16"/>
      <c r="H189" s="12"/>
      <c r="J189" s="58"/>
    </row>
    <row r="190" spans="1:10">
      <c r="A190" s="16"/>
      <c r="B190" s="365" t="s">
        <v>9</v>
      </c>
      <c r="C190" s="365"/>
      <c r="D190" s="15">
        <f>B49</f>
        <v>4900</v>
      </c>
      <c r="E190" s="5"/>
      <c r="F190" s="365" t="s">
        <v>8</v>
      </c>
      <c r="G190" s="365"/>
      <c r="H190" s="17">
        <f>D190/D191</f>
        <v>4.8999999999999998E-3</v>
      </c>
      <c r="J190" s="58"/>
    </row>
    <row r="191" spans="1:10">
      <c r="A191" s="16"/>
      <c r="B191" s="365" t="s">
        <v>7</v>
      </c>
      <c r="C191" s="365"/>
      <c r="D191" s="15">
        <v>1000000</v>
      </c>
      <c r="E191" s="5"/>
      <c r="F191" s="5"/>
      <c r="G191" s="5"/>
      <c r="H191" s="14"/>
      <c r="J191" s="58"/>
    </row>
    <row r="193" spans="1:12" ht="33" customHeight="1">
      <c r="A193" s="6"/>
      <c r="B193" s="61" t="s">
        <v>82</v>
      </c>
      <c r="C193" s="61" t="s">
        <v>6</v>
      </c>
      <c r="D193" s="61" t="s">
        <v>75</v>
      </c>
      <c r="E193" s="193" t="s">
        <v>76</v>
      </c>
      <c r="F193" s="61" t="s">
        <v>63</v>
      </c>
      <c r="G193" s="61" t="s">
        <v>77</v>
      </c>
      <c r="H193" s="97" t="s">
        <v>78</v>
      </c>
      <c r="J193" s="58"/>
      <c r="K193" s="58"/>
      <c r="L193" s="58"/>
    </row>
    <row r="194" spans="1:12" ht="15">
      <c r="A194" s="6" t="s">
        <v>5</v>
      </c>
      <c r="B194" s="3">
        <f>C194/12</f>
        <v>0</v>
      </c>
      <c r="C194" s="250">
        <v>0</v>
      </c>
      <c r="D194" s="98">
        <f>ROUND($C$202/($C$202+$C$203)*12,0)*$B194</f>
        <v>0</v>
      </c>
      <c r="E194" s="194">
        <f>ROUND($C$203/($C$202+$C$203)*12,0)*$B194</f>
        <v>0</v>
      </c>
      <c r="F194" s="89">
        <f>$D194/$D$190/1000</f>
        <v>0</v>
      </c>
      <c r="G194" s="89">
        <f>$E194/$D$190/1000</f>
        <v>0</v>
      </c>
      <c r="H194" s="99">
        <f>SUM(F194:G194)</f>
        <v>0</v>
      </c>
      <c r="J194" s="58"/>
      <c r="K194" s="58"/>
      <c r="L194" s="58"/>
    </row>
    <row r="195" spans="1:12" ht="15">
      <c r="A195" s="6" t="s">
        <v>4</v>
      </c>
      <c r="B195" s="98">
        <f>C195/12</f>
        <v>95700</v>
      </c>
      <c r="C195" s="236">
        <f>+(95700*12)</f>
        <v>1148400</v>
      </c>
      <c r="D195" s="98">
        <f>ROUND($C$202/($C$202+$C$203)*12,0)*$B195</f>
        <v>1148400</v>
      </c>
      <c r="E195" s="194">
        <f>ROUND($C$203/($C$202+$C$203)*12,0)*$B195</f>
        <v>0</v>
      </c>
      <c r="F195" s="100">
        <f>$D195/D$190/1000</f>
        <v>0.23436734693877551</v>
      </c>
      <c r="G195" s="100">
        <f>$E195/$D$190/1000</f>
        <v>0</v>
      </c>
      <c r="H195" s="94">
        <f t="shared" ref="H195:H196" si="23">SUM(F195:G195)</f>
        <v>0.23436734693877551</v>
      </c>
      <c r="J195" s="58"/>
      <c r="K195" s="58"/>
      <c r="L195" s="58"/>
    </row>
    <row r="196" spans="1:12" ht="16.5">
      <c r="A196" s="6" t="s">
        <v>3</v>
      </c>
      <c r="B196" s="98">
        <f>C196/12</f>
        <v>22812.25</v>
      </c>
      <c r="C196" s="236">
        <f>(273747/12*12)</f>
        <v>273747</v>
      </c>
      <c r="D196" s="98">
        <f>ROUND($C$202/($C$202+$C$203)*12,0)*$B196</f>
        <v>273747</v>
      </c>
      <c r="E196" s="194">
        <f>ROUND($C$203/($C$202+$C$203)*12,0)*$B196</f>
        <v>0</v>
      </c>
      <c r="F196" s="88">
        <f>$D196/D$190/1000</f>
        <v>5.5866734693877554E-2</v>
      </c>
      <c r="G196" s="88">
        <f>$E196/$D$190/1000</f>
        <v>0</v>
      </c>
      <c r="H196" s="95">
        <f t="shared" si="23"/>
        <v>5.5866734693877554E-2</v>
      </c>
      <c r="J196" s="58"/>
      <c r="K196" s="58"/>
      <c r="L196" s="58"/>
    </row>
    <row r="197" spans="1:12">
      <c r="A197" s="6" t="s">
        <v>2</v>
      </c>
      <c r="F197" s="89">
        <f>SUM(F194:F196)</f>
        <v>0.29023408163265307</v>
      </c>
      <c r="G197" s="89">
        <f>SUM(G194:G196)</f>
        <v>0</v>
      </c>
      <c r="H197" s="99">
        <f>SUM(H194:H196)</f>
        <v>0.29023408163265307</v>
      </c>
      <c r="J197" s="58"/>
      <c r="K197" s="58"/>
      <c r="L197" s="58"/>
    </row>
    <row r="198" spans="1:12">
      <c r="A198" s="11"/>
      <c r="B198" s="10"/>
      <c r="C198" s="10"/>
      <c r="D198" s="10"/>
      <c r="E198" s="10"/>
      <c r="F198" s="10"/>
      <c r="G198" s="10"/>
      <c r="H198" s="9"/>
      <c r="J198" s="58"/>
      <c r="K198" s="58"/>
      <c r="L198" s="58"/>
    </row>
    <row r="199" spans="1:12">
      <c r="J199" s="58"/>
      <c r="K199" s="58"/>
      <c r="L199" s="58"/>
    </row>
    <row r="200" spans="1:12">
      <c r="J200" s="58"/>
      <c r="K200" s="58"/>
      <c r="L200" s="58"/>
    </row>
    <row r="201" spans="1:12">
      <c r="A201" s="356" t="s">
        <v>117</v>
      </c>
      <c r="B201" s="357"/>
      <c r="C201" s="357"/>
      <c r="D201" s="357"/>
      <c r="E201" s="357"/>
      <c r="F201" s="357"/>
      <c r="G201" s="357"/>
      <c r="H201" s="358"/>
      <c r="J201" s="58"/>
      <c r="K201" s="58"/>
      <c r="L201" s="58"/>
    </row>
    <row r="202" spans="1:12" ht="15">
      <c r="A202" s="6"/>
      <c r="B202" s="5" t="s">
        <v>73</v>
      </c>
      <c r="C202" s="104">
        <v>52</v>
      </c>
      <c r="D202" s="43" t="s">
        <v>110</v>
      </c>
      <c r="E202" s="237">
        <v>0.04</v>
      </c>
      <c r="F202" s="5" t="s">
        <v>83</v>
      </c>
      <c r="G202" s="5"/>
      <c r="H202" s="8"/>
      <c r="J202" s="58"/>
      <c r="K202" s="58"/>
      <c r="L202" s="58"/>
    </row>
    <row r="203" spans="1:12" ht="15">
      <c r="A203" s="6"/>
      <c r="B203" s="5" t="s">
        <v>72</v>
      </c>
      <c r="C203" s="104">
        <v>0</v>
      </c>
      <c r="E203" s="5"/>
      <c r="F203" s="5" t="s">
        <v>84</v>
      </c>
      <c r="G203" s="5"/>
      <c r="H203" s="8"/>
      <c r="J203" s="58"/>
      <c r="K203" s="58"/>
      <c r="L203" s="58"/>
    </row>
    <row r="204" spans="1:12" ht="15">
      <c r="A204" s="6"/>
      <c r="B204" s="5" t="s">
        <v>74</v>
      </c>
      <c r="C204" s="104">
        <v>40</v>
      </c>
      <c r="E204" s="5"/>
      <c r="F204" s="5" t="s">
        <v>0</v>
      </c>
      <c r="G204" s="5"/>
      <c r="H204" s="8"/>
      <c r="J204" s="58"/>
      <c r="K204" s="58"/>
      <c r="L204" s="58"/>
    </row>
    <row r="205" spans="1:12" ht="15">
      <c r="A205" s="6"/>
      <c r="B205" s="5" t="s">
        <v>1</v>
      </c>
      <c r="C205" s="105">
        <v>1.5</v>
      </c>
      <c r="E205" s="5"/>
      <c r="G205" s="5"/>
      <c r="H205" s="7"/>
      <c r="J205" s="58"/>
      <c r="K205" s="58"/>
      <c r="L205" s="58"/>
    </row>
    <row r="206" spans="1:12" ht="15">
      <c r="A206" s="25"/>
      <c r="B206" s="79" t="s">
        <v>52</v>
      </c>
      <c r="C206" s="237">
        <v>0.3</v>
      </c>
      <c r="D206" s="10"/>
      <c r="E206" s="53"/>
      <c r="F206" s="53"/>
      <c r="G206" s="53"/>
      <c r="H206" s="65"/>
      <c r="J206" s="58"/>
      <c r="K206" s="58"/>
      <c r="L206" s="58"/>
    </row>
    <row r="207" spans="1:12">
      <c r="B207" s="388"/>
      <c r="C207" s="388"/>
      <c r="D207" s="388"/>
      <c r="J207" s="58"/>
      <c r="K207" s="58" t="s">
        <v>121</v>
      </c>
      <c r="L207" s="58"/>
    </row>
    <row r="208" spans="1:12">
      <c r="A208" s="356" t="s">
        <v>118</v>
      </c>
      <c r="B208" s="357"/>
      <c r="C208" s="357"/>
      <c r="D208" s="357"/>
      <c r="E208" s="357"/>
      <c r="F208" s="357"/>
      <c r="G208" s="357"/>
      <c r="H208" s="358"/>
      <c r="J208" s="58"/>
      <c r="K208" s="58" t="s">
        <v>122</v>
      </c>
      <c r="L208" s="58">
        <f>52-C209</f>
        <v>43</v>
      </c>
    </row>
    <row r="209" spans="1:12" ht="15">
      <c r="A209" s="6"/>
      <c r="B209" s="5" t="s">
        <v>73</v>
      </c>
      <c r="C209" s="104">
        <v>9</v>
      </c>
      <c r="D209" s="43" t="s">
        <v>110</v>
      </c>
      <c r="E209" s="237">
        <v>0.04</v>
      </c>
      <c r="F209" s="5" t="s">
        <v>83</v>
      </c>
      <c r="G209" s="5"/>
      <c r="H209" s="8"/>
      <c r="J209" s="58"/>
      <c r="K209" s="58" t="s">
        <v>75</v>
      </c>
      <c r="L209" s="58">
        <f>E47*1000/52*L208</f>
        <v>4051923.076923077</v>
      </c>
    </row>
    <row r="210" spans="1:12" ht="15">
      <c r="A210" s="6"/>
      <c r="B210" s="5" t="s">
        <v>72</v>
      </c>
      <c r="C210" s="104">
        <v>0</v>
      </c>
      <c r="E210" s="5"/>
      <c r="F210" s="5" t="s">
        <v>84</v>
      </c>
      <c r="G210" s="5"/>
      <c r="H210" s="8"/>
      <c r="J210" s="58"/>
      <c r="K210" s="58" t="s">
        <v>123</v>
      </c>
      <c r="L210" s="288">
        <f>0.0315*L209</f>
        <v>127635.57692307692</v>
      </c>
    </row>
    <row r="211" spans="1:12" ht="15">
      <c r="A211" s="6"/>
      <c r="B211" s="5" t="s">
        <v>74</v>
      </c>
      <c r="C211" s="104">
        <v>40</v>
      </c>
      <c r="E211" s="5"/>
      <c r="F211" s="5" t="s">
        <v>0</v>
      </c>
      <c r="G211" s="5"/>
      <c r="H211" s="8"/>
      <c r="J211" s="58"/>
      <c r="K211" s="58"/>
      <c r="L211" s="58"/>
    </row>
    <row r="212" spans="1:12" ht="15">
      <c r="A212" s="6"/>
      <c r="B212" s="5" t="s">
        <v>1</v>
      </c>
      <c r="C212" s="105">
        <v>1.5</v>
      </c>
      <c r="E212" s="5"/>
      <c r="G212" s="5"/>
      <c r="H212" s="7"/>
      <c r="J212" s="58"/>
      <c r="K212" s="58"/>
      <c r="L212" s="58"/>
    </row>
    <row r="213" spans="1:12" ht="15">
      <c r="A213" s="25"/>
      <c r="B213" s="79" t="s">
        <v>52</v>
      </c>
      <c r="C213" s="237">
        <v>0.3</v>
      </c>
      <c r="D213" s="10"/>
      <c r="E213" s="53"/>
      <c r="F213" s="53"/>
      <c r="G213" s="53"/>
      <c r="H213" s="65"/>
      <c r="J213" s="58"/>
      <c r="K213" s="58"/>
      <c r="L213" s="58"/>
    </row>
  </sheetData>
  <mergeCells count="47">
    <mergeCell ref="A208:H208"/>
    <mergeCell ref="B188:H188"/>
    <mergeCell ref="B190:C190"/>
    <mergeCell ref="F190:G190"/>
    <mergeCell ref="B191:C191"/>
    <mergeCell ref="A201:H201"/>
    <mergeCell ref="B207:D207"/>
    <mergeCell ref="T121:AD121"/>
    <mergeCell ref="A183:B183"/>
    <mergeCell ref="B159:C159"/>
    <mergeCell ref="E159:F159"/>
    <mergeCell ref="H159:I159"/>
    <mergeCell ref="H160:I160"/>
    <mergeCell ref="B161:D161"/>
    <mergeCell ref="E161:G161"/>
    <mergeCell ref="H161:J161"/>
    <mergeCell ref="B167:D167"/>
    <mergeCell ref="E167:G167"/>
    <mergeCell ref="H167:J167"/>
    <mergeCell ref="A174:H174"/>
    <mergeCell ref="A180:B180"/>
    <mergeCell ref="B136:D136"/>
    <mergeCell ref="F136:H136"/>
    <mergeCell ref="B111:D111"/>
    <mergeCell ref="F111:H111"/>
    <mergeCell ref="J84:L84"/>
    <mergeCell ref="A98:H98"/>
    <mergeCell ref="B26:D26"/>
    <mergeCell ref="E26:G26"/>
    <mergeCell ref="H26:J26"/>
    <mergeCell ref="B51:K51"/>
    <mergeCell ref="C62:F62"/>
    <mergeCell ref="G62:K62"/>
    <mergeCell ref="B74:D74"/>
    <mergeCell ref="F74:H74"/>
    <mergeCell ref="B84:D84"/>
    <mergeCell ref="F84:H84"/>
    <mergeCell ref="F99:H100"/>
    <mergeCell ref="A100:E100"/>
    <mergeCell ref="A1:J1"/>
    <mergeCell ref="S1:AA1"/>
    <mergeCell ref="AL1:AQ1"/>
    <mergeCell ref="B3:D3"/>
    <mergeCell ref="E3:G3"/>
    <mergeCell ref="H3:J3"/>
    <mergeCell ref="N3:O3"/>
    <mergeCell ref="P3:Q3"/>
  </mergeCells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9A233-CF95-4A13-8EA7-F15495F73EDB}">
  <dimension ref="A1:AX213"/>
  <sheetViews>
    <sheetView topLeftCell="A19" workbookViewId="0">
      <selection activeCell="E43" sqref="E43"/>
    </sheetView>
  </sheetViews>
  <sheetFormatPr defaultColWidth="10.7109375" defaultRowHeight="12.75" outlineLevelCol="1"/>
  <cols>
    <col min="1" max="1" width="37.28515625" style="1" bestFit="1" customWidth="1"/>
    <col min="2" max="2" width="16.7109375" style="1" customWidth="1"/>
    <col min="3" max="3" width="13.28515625" style="1" customWidth="1"/>
    <col min="4" max="4" width="13.5703125" style="1" customWidth="1"/>
    <col min="5" max="5" width="12.7109375" style="1" customWidth="1"/>
    <col min="6" max="6" width="12.42578125" style="1" customWidth="1"/>
    <col min="7" max="7" width="14.28515625" style="1" customWidth="1"/>
    <col min="8" max="8" width="12.7109375" style="1" customWidth="1"/>
    <col min="9" max="9" width="10.7109375" style="1"/>
    <col min="10" max="10" width="13" style="1" customWidth="1"/>
    <col min="11" max="11" width="12.28515625" style="1" customWidth="1"/>
    <col min="12" max="12" width="11.28515625" style="1" customWidth="1"/>
    <col min="13" max="13" width="21.7109375" style="1" customWidth="1"/>
    <col min="14" max="14" width="13.42578125" style="1" customWidth="1"/>
    <col min="15" max="15" width="10.7109375" style="1"/>
    <col min="16" max="16" width="12.28515625" style="1" customWidth="1"/>
    <col min="17" max="17" width="9.7109375" style="1" customWidth="1"/>
    <col min="18" max="18" width="2.7109375" style="1" customWidth="1"/>
    <col min="19" max="19" width="12.140625" style="1" bestFit="1" customWidth="1" outlineLevel="1"/>
    <col min="20" max="20" width="11.42578125" style="1" customWidth="1" outlineLevel="1"/>
    <col min="21" max="21" width="17.7109375" style="1" customWidth="1" outlineLevel="1"/>
    <col min="22" max="24" width="15.28515625" style="1" customWidth="1" outlineLevel="1"/>
    <col min="25" max="25" width="14.7109375" style="1" customWidth="1" outlineLevel="1"/>
    <col min="26" max="26" width="12.42578125" style="1" customWidth="1" outlineLevel="1"/>
    <col min="27" max="27" width="15.28515625" style="1" customWidth="1" outlineLevel="1"/>
    <col min="28" max="28" width="12.42578125" style="1" customWidth="1" outlineLevel="1"/>
    <col min="29" max="29" width="9.42578125" style="1" customWidth="1" outlineLevel="1"/>
    <col min="30" max="30" width="13.28515625" style="1" bestFit="1" customWidth="1" outlineLevel="1"/>
    <col min="31" max="31" width="13.28515625" style="1" customWidth="1" outlineLevel="1"/>
    <col min="32" max="32" width="9.5703125" style="1" bestFit="1" customWidth="1" outlineLevel="1"/>
    <col min="33" max="33" width="9.28515625" style="1" customWidth="1" outlineLevel="1"/>
    <col min="34" max="34" width="9.5703125" style="1" bestFit="1" customWidth="1" outlineLevel="1"/>
    <col min="35" max="35" width="12" style="1" customWidth="1" outlineLevel="1"/>
    <col min="36" max="36" width="11.7109375" style="1" customWidth="1" outlineLevel="1"/>
    <col min="37" max="37" width="12.28515625" style="1" customWidth="1" outlineLevel="1"/>
    <col min="38" max="38" width="11.42578125" style="1" customWidth="1" outlineLevel="1"/>
    <col min="39" max="39" width="12.42578125" style="1" customWidth="1" outlineLevel="1"/>
    <col min="40" max="40" width="12.28515625" style="1" customWidth="1" outlineLevel="1"/>
    <col min="41" max="41" width="12.5703125" style="1" customWidth="1" outlineLevel="1"/>
    <col min="42" max="42" width="12.42578125" style="1" customWidth="1" outlineLevel="1"/>
    <col min="43" max="43" width="14.28515625" style="1" customWidth="1" outlineLevel="1"/>
    <col min="44" max="44" width="10.28515625" style="1" customWidth="1" outlineLevel="1"/>
    <col min="45" max="45" width="11.5703125" style="1" customWidth="1" outlineLevel="1"/>
    <col min="46" max="46" width="11.42578125" style="1" customWidth="1" outlineLevel="1"/>
    <col min="47" max="48" width="12.7109375" style="1" customWidth="1" outlineLevel="1"/>
    <col min="49" max="49" width="11" style="1" customWidth="1" outlineLevel="1"/>
    <col min="50" max="50" width="12.7109375" style="1" customWidth="1" outlineLevel="1"/>
    <col min="51" max="250" width="8.7109375" style="1" customWidth="1"/>
    <col min="251" max="16384" width="10.7109375" style="1"/>
  </cols>
  <sheetData>
    <row r="1" spans="1:43" ht="18.75" customHeight="1">
      <c r="A1" s="344" t="s">
        <v>124</v>
      </c>
      <c r="B1" s="344"/>
      <c r="C1" s="344"/>
      <c r="D1" s="344"/>
      <c r="E1" s="344"/>
      <c r="F1" s="344"/>
      <c r="G1" s="344"/>
      <c r="H1" s="344"/>
      <c r="I1" s="344"/>
      <c r="J1" s="344"/>
      <c r="K1" s="91"/>
      <c r="L1" s="91"/>
      <c r="S1" s="345"/>
      <c r="T1" s="345"/>
      <c r="U1" s="345"/>
      <c r="V1" s="345"/>
      <c r="W1" s="345"/>
      <c r="X1" s="345"/>
      <c r="Y1" s="345"/>
      <c r="Z1" s="345"/>
      <c r="AA1" s="345"/>
      <c r="AB1" s="149"/>
      <c r="AC1" s="150"/>
      <c r="AD1" s="150"/>
      <c r="AE1" s="151"/>
      <c r="AF1" s="151"/>
      <c r="AG1" s="151"/>
      <c r="AH1" s="151"/>
      <c r="AI1" s="152"/>
      <c r="AJ1" s="151"/>
      <c r="AK1" s="152"/>
      <c r="AL1" s="346"/>
      <c r="AM1" s="346"/>
      <c r="AN1" s="346"/>
      <c r="AO1" s="346"/>
      <c r="AP1" s="346"/>
      <c r="AQ1" s="346"/>
    </row>
    <row r="2" spans="1:43" ht="36.6" customHeight="1">
      <c r="A2" s="56" t="s">
        <v>59</v>
      </c>
      <c r="B2" s="186"/>
      <c r="C2" s="56"/>
      <c r="D2" s="56"/>
      <c r="E2" s="56"/>
      <c r="F2" s="56"/>
      <c r="G2" s="56"/>
      <c r="H2" s="84"/>
      <c r="I2" s="92"/>
      <c r="J2" s="92"/>
      <c r="K2" s="92"/>
      <c r="L2" s="92"/>
      <c r="S2" s="155"/>
      <c r="T2" s="155"/>
      <c r="U2" s="155"/>
      <c r="V2" s="155"/>
      <c r="W2" s="155"/>
      <c r="X2" s="155"/>
      <c r="Y2" s="155"/>
      <c r="Z2" s="155"/>
      <c r="AA2" s="156"/>
      <c r="AB2" s="182"/>
      <c r="AC2" s="151"/>
      <c r="AD2" s="150"/>
      <c r="AE2" s="157"/>
      <c r="AF2" s="157"/>
      <c r="AG2" s="157"/>
      <c r="AH2" s="157"/>
      <c r="AI2" s="155"/>
      <c r="AJ2" s="157"/>
      <c r="AK2" s="158"/>
      <c r="AL2" s="159"/>
      <c r="AM2" s="234"/>
      <c r="AN2" s="234"/>
      <c r="AO2" s="155"/>
      <c r="AP2" s="155"/>
      <c r="AQ2" s="155"/>
    </row>
    <row r="3" spans="1:43" ht="18" customHeight="1">
      <c r="A3" s="64" t="s">
        <v>20</v>
      </c>
      <c r="B3" s="347" t="s">
        <v>91</v>
      </c>
      <c r="C3" s="348"/>
      <c r="D3" s="348"/>
      <c r="E3" s="347" t="s">
        <v>93</v>
      </c>
      <c r="F3" s="348"/>
      <c r="G3" s="348"/>
      <c r="H3" s="347" t="s">
        <v>94</v>
      </c>
      <c r="I3" s="348"/>
      <c r="J3" s="349"/>
      <c r="M3" s="252"/>
      <c r="N3" s="350"/>
      <c r="O3" s="350"/>
      <c r="P3" s="350"/>
      <c r="Q3" s="351"/>
      <c r="S3" s="160"/>
      <c r="T3" s="161"/>
      <c r="U3" s="160"/>
      <c r="V3" s="160"/>
      <c r="W3" s="160"/>
      <c r="X3" s="160"/>
      <c r="Y3" s="160"/>
      <c r="Z3" s="160"/>
      <c r="AA3" s="161"/>
      <c r="AB3" s="151"/>
      <c r="AC3" s="161"/>
      <c r="AD3" s="161"/>
      <c r="AE3" s="160"/>
      <c r="AF3" s="160"/>
      <c r="AG3" s="160"/>
      <c r="AH3" s="160"/>
      <c r="AI3" s="161"/>
      <c r="AJ3" s="160"/>
      <c r="AK3" s="161"/>
      <c r="AL3" s="161"/>
      <c r="AM3" s="161"/>
      <c r="AN3" s="161"/>
      <c r="AO3" s="161"/>
      <c r="AP3" s="161"/>
      <c r="AQ3" s="161"/>
    </row>
    <row r="4" spans="1:43" s="46" customFormat="1" ht="15">
      <c r="A4" s="66"/>
      <c r="B4" s="218" t="s">
        <v>143</v>
      </c>
      <c r="C4" s="219" t="s">
        <v>114</v>
      </c>
      <c r="D4" s="219" t="s">
        <v>88</v>
      </c>
      <c r="E4" s="218" t="str">
        <f>$B$4</f>
        <v>25 Standard</v>
      </c>
      <c r="F4" s="219" t="str">
        <f>+C4</f>
        <v>23 Actual</v>
      </c>
      <c r="G4" s="219" t="str">
        <f>+D4</f>
        <v>20 Standard</v>
      </c>
      <c r="H4" s="218" t="str">
        <f>+B4</f>
        <v>25 Standard</v>
      </c>
      <c r="I4" s="219" t="str">
        <f>+C4</f>
        <v>23 Actual</v>
      </c>
      <c r="J4" s="220" t="str">
        <f>+D4</f>
        <v>20 Standard</v>
      </c>
      <c r="M4" s="253"/>
      <c r="N4" s="254"/>
      <c r="O4" s="254"/>
      <c r="P4" s="254"/>
      <c r="Q4" s="255"/>
      <c r="S4" s="162"/>
      <c r="T4" s="163"/>
      <c r="U4" s="163"/>
      <c r="V4" s="163"/>
      <c r="W4" s="163"/>
      <c r="X4" s="163"/>
      <c r="Y4" s="163"/>
      <c r="Z4" s="163"/>
      <c r="AA4" s="164"/>
      <c r="AB4" s="165"/>
      <c r="AC4" s="166"/>
      <c r="AD4" s="164"/>
      <c r="AE4" s="164"/>
      <c r="AF4" s="164"/>
      <c r="AG4" s="164"/>
      <c r="AH4" s="164"/>
      <c r="AI4" s="163"/>
      <c r="AJ4" s="164"/>
      <c r="AK4" s="163"/>
      <c r="AL4" s="164"/>
      <c r="AM4" s="164"/>
      <c r="AN4" s="164"/>
      <c r="AO4" s="164"/>
      <c r="AP4" s="164"/>
      <c r="AQ4" s="164"/>
    </row>
    <row r="5" spans="1:43" s="46" customFormat="1">
      <c r="A5" s="66"/>
      <c r="B5" s="221"/>
      <c r="C5" s="202" t="s">
        <v>89</v>
      </c>
      <c r="D5" s="202"/>
      <c r="E5" s="221"/>
      <c r="F5" s="202" t="s">
        <v>89</v>
      </c>
      <c r="G5" s="202"/>
      <c r="H5" s="221"/>
      <c r="I5" s="202" t="s">
        <v>89</v>
      </c>
      <c r="J5" s="222"/>
      <c r="M5" s="253"/>
      <c r="N5" s="256"/>
      <c r="O5" s="256"/>
      <c r="P5" s="257"/>
      <c r="Q5" s="258"/>
      <c r="S5" s="162"/>
      <c r="T5" s="163"/>
      <c r="U5" s="163"/>
      <c r="V5" s="163"/>
      <c r="W5" s="163"/>
      <c r="X5" s="163"/>
      <c r="Y5" s="163"/>
      <c r="Z5" s="163"/>
      <c r="AA5" s="164"/>
      <c r="AB5" s="165"/>
      <c r="AC5" s="166"/>
      <c r="AD5" s="164"/>
      <c r="AE5" s="164"/>
      <c r="AF5" s="164"/>
      <c r="AG5" s="154"/>
      <c r="AH5" s="164"/>
      <c r="AI5" s="163"/>
      <c r="AJ5" s="164"/>
      <c r="AK5" s="163"/>
      <c r="AL5" s="164"/>
      <c r="AM5" s="164"/>
      <c r="AN5" s="164"/>
      <c r="AO5" s="164"/>
      <c r="AP5" s="164"/>
      <c r="AQ5" s="164"/>
    </row>
    <row r="6" spans="1:43">
      <c r="A6" s="30" t="s">
        <v>50</v>
      </c>
      <c r="B6" s="192">
        <f>IF(B24&lt;&gt;0,$D$82,0)</f>
        <v>0</v>
      </c>
      <c r="C6" s="192">
        <v>5.8500000000000003E-2</v>
      </c>
      <c r="D6" s="192">
        <v>4.1565810184720102E-2</v>
      </c>
      <c r="E6" s="204">
        <f>+H82</f>
        <v>0</v>
      </c>
      <c r="F6" s="192">
        <v>0</v>
      </c>
      <c r="G6" s="192">
        <v>0</v>
      </c>
      <c r="H6" s="204">
        <f>+D96</f>
        <v>0</v>
      </c>
      <c r="I6" s="192">
        <v>0</v>
      </c>
      <c r="J6" s="205">
        <v>0</v>
      </c>
      <c r="M6" s="259"/>
      <c r="N6" s="260"/>
      <c r="O6" s="261"/>
      <c r="P6" s="260"/>
      <c r="Q6" s="262"/>
      <c r="S6" s="167"/>
      <c r="T6" s="163"/>
      <c r="U6" s="163"/>
      <c r="V6" s="163"/>
      <c r="W6" s="163"/>
      <c r="X6" s="163"/>
      <c r="Y6" s="163"/>
      <c r="Z6" s="163"/>
      <c r="AA6" s="164"/>
      <c r="AB6" s="165"/>
      <c r="AC6" s="166"/>
      <c r="AD6" s="164"/>
      <c r="AE6" s="164"/>
      <c r="AF6" s="164"/>
      <c r="AG6" s="164"/>
      <c r="AH6" s="164"/>
      <c r="AI6" s="163"/>
      <c r="AJ6" s="164"/>
      <c r="AK6" s="163"/>
      <c r="AL6" s="164"/>
      <c r="AM6" s="164"/>
      <c r="AN6" s="164"/>
      <c r="AO6" s="164"/>
      <c r="AP6" s="164"/>
      <c r="AQ6" s="164"/>
    </row>
    <row r="7" spans="1:43" ht="15">
      <c r="A7" s="30" t="s">
        <v>27</v>
      </c>
      <c r="B7" s="192">
        <f>IF(B24&lt;&gt;0,$D$163,0)</f>
        <v>0</v>
      </c>
      <c r="C7" s="192">
        <v>1.0500000000000001E-2</v>
      </c>
      <c r="D7" s="192">
        <v>2.0277328909623641E-2</v>
      </c>
      <c r="E7" s="204">
        <f>G163</f>
        <v>1.983719966453169E-2</v>
      </c>
      <c r="F7" s="192">
        <v>0</v>
      </c>
      <c r="G7" s="192">
        <v>0</v>
      </c>
      <c r="H7" s="204">
        <f>J163</f>
        <v>1.983719966453169E-2</v>
      </c>
      <c r="I7" s="192">
        <v>0</v>
      </c>
      <c r="J7" s="205">
        <v>0</v>
      </c>
      <c r="M7" s="263"/>
      <c r="N7" s="264"/>
      <c r="O7" s="207"/>
      <c r="P7" s="264"/>
      <c r="Q7" s="208"/>
      <c r="S7" s="168"/>
      <c r="T7" s="168"/>
      <c r="U7" s="168"/>
      <c r="V7" s="168"/>
      <c r="W7" s="168"/>
      <c r="X7" s="168"/>
      <c r="Y7" s="168"/>
      <c r="Z7" s="168"/>
      <c r="AA7" s="168"/>
      <c r="AB7" s="165"/>
      <c r="AC7" s="166"/>
      <c r="AD7" s="169"/>
      <c r="AE7" s="170"/>
      <c r="AF7" s="171"/>
      <c r="AG7" s="171"/>
      <c r="AH7" s="171"/>
      <c r="AI7" s="168"/>
      <c r="AJ7" s="170"/>
      <c r="AK7" s="168"/>
      <c r="AL7" s="169"/>
      <c r="AM7" s="169"/>
      <c r="AN7" s="169"/>
      <c r="AO7" s="169"/>
      <c r="AP7" s="169"/>
      <c r="AQ7" s="169"/>
    </row>
    <row r="8" spans="1:43" ht="15">
      <c r="A8" s="6" t="s">
        <v>49</v>
      </c>
      <c r="B8" s="192">
        <f>IF(B24&lt;&gt;0,$D$164,0)</f>
        <v>0</v>
      </c>
      <c r="C8" s="192">
        <v>1.5599999999999999E-2</v>
      </c>
      <c r="D8" s="192">
        <v>1.4965000000000001E-2</v>
      </c>
      <c r="E8" s="204">
        <f>G164</f>
        <v>1.7100000000000001E-2</v>
      </c>
      <c r="F8" s="192">
        <v>0</v>
      </c>
      <c r="G8" s="192">
        <v>0</v>
      </c>
      <c r="H8" s="204">
        <f>J164</f>
        <v>1.7100000000000001E-2</v>
      </c>
      <c r="I8" s="192">
        <v>0</v>
      </c>
      <c r="J8" s="205">
        <v>0</v>
      </c>
      <c r="M8" s="263"/>
      <c r="N8" s="265"/>
      <c r="O8" s="266"/>
      <c r="P8" s="265"/>
      <c r="Q8" s="267"/>
      <c r="S8" s="168"/>
      <c r="T8" s="168"/>
      <c r="U8" s="168"/>
      <c r="V8" s="168"/>
      <c r="W8" s="168"/>
      <c r="X8" s="168"/>
      <c r="Y8" s="168"/>
      <c r="Z8" s="168"/>
      <c r="AA8" s="168"/>
      <c r="AB8" s="165"/>
      <c r="AC8" s="166"/>
      <c r="AD8" s="169"/>
      <c r="AE8" s="170"/>
      <c r="AF8" s="171"/>
      <c r="AG8" s="171"/>
      <c r="AH8" s="171"/>
      <c r="AI8" s="168"/>
      <c r="AJ8" s="170"/>
      <c r="AK8" s="168"/>
      <c r="AL8" s="169"/>
      <c r="AM8" s="169"/>
      <c r="AN8" s="169"/>
      <c r="AO8" s="169"/>
      <c r="AP8" s="169"/>
      <c r="AQ8" s="169"/>
    </row>
    <row r="9" spans="1:43">
      <c r="A9" s="30" t="s">
        <v>48</v>
      </c>
      <c r="B9" s="192">
        <f>IF(B24&lt;&gt;0,$J$177,0)</f>
        <v>0</v>
      </c>
      <c r="C9" s="192">
        <v>1.9199999999999998E-2</v>
      </c>
      <c r="D9" s="192">
        <v>1.591578947368421E-2</v>
      </c>
      <c r="E9" s="204">
        <f>$H$177</f>
        <v>0.03</v>
      </c>
      <c r="F9" s="192">
        <v>0</v>
      </c>
      <c r="G9" s="192">
        <v>0</v>
      </c>
      <c r="H9" s="204">
        <f>$H$177</f>
        <v>0.03</v>
      </c>
      <c r="I9" s="192">
        <v>0</v>
      </c>
      <c r="J9" s="205">
        <v>0</v>
      </c>
      <c r="M9" s="259"/>
      <c r="N9" s="260"/>
      <c r="O9" s="261"/>
      <c r="P9" s="268"/>
      <c r="Q9" s="262"/>
      <c r="S9" s="168"/>
      <c r="T9" s="168"/>
      <c r="U9" s="168"/>
      <c r="V9" s="168"/>
      <c r="W9" s="168"/>
      <c r="X9" s="168"/>
      <c r="Y9" s="168"/>
      <c r="Z9" s="168"/>
      <c r="AA9" s="168"/>
      <c r="AB9" s="165"/>
      <c r="AC9" s="166"/>
      <c r="AD9" s="169"/>
      <c r="AE9" s="170"/>
      <c r="AF9" s="171"/>
      <c r="AG9" s="171"/>
      <c r="AH9" s="171"/>
      <c r="AI9" s="168"/>
      <c r="AJ9" s="170"/>
      <c r="AK9" s="168"/>
      <c r="AL9" s="169"/>
      <c r="AM9" s="169"/>
      <c r="AN9" s="169"/>
      <c r="AO9" s="169"/>
      <c r="AP9" s="169"/>
      <c r="AQ9" s="169"/>
    </row>
    <row r="10" spans="1:43">
      <c r="A10" s="30" t="s">
        <v>47</v>
      </c>
      <c r="B10" s="192">
        <f>IF(B24&lt;&gt;0,$J$181,0)</f>
        <v>0</v>
      </c>
      <c r="C10" s="192">
        <v>8.0000000000000004E-4</v>
      </c>
      <c r="D10" s="192">
        <v>2.6315789473684214E-3</v>
      </c>
      <c r="E10" s="204">
        <f>$H$181</f>
        <v>5.5102040816326532E-3</v>
      </c>
      <c r="F10" s="192">
        <v>0</v>
      </c>
      <c r="G10" s="192">
        <v>0</v>
      </c>
      <c r="H10" s="204">
        <f>$H$181</f>
        <v>5.5102040816326532E-3</v>
      </c>
      <c r="I10" s="192">
        <v>0</v>
      </c>
      <c r="J10" s="205">
        <v>0</v>
      </c>
      <c r="M10" s="263"/>
      <c r="N10" s="260"/>
      <c r="O10" s="261"/>
      <c r="P10" s="260"/>
      <c r="Q10" s="262"/>
      <c r="S10" s="168"/>
      <c r="T10" s="168"/>
      <c r="U10" s="168"/>
      <c r="V10" s="168"/>
      <c r="W10" s="168"/>
      <c r="X10" s="168"/>
      <c r="Y10" s="168"/>
      <c r="Z10" s="168"/>
      <c r="AA10" s="168"/>
      <c r="AB10" s="165"/>
      <c r="AC10" s="166"/>
      <c r="AD10" s="169"/>
      <c r="AE10" s="170"/>
      <c r="AF10" s="171"/>
      <c r="AG10" s="171"/>
      <c r="AH10" s="171"/>
      <c r="AI10" s="168"/>
      <c r="AJ10" s="170"/>
      <c r="AK10" s="168"/>
      <c r="AL10" s="169"/>
      <c r="AM10" s="169"/>
      <c r="AN10" s="169"/>
      <c r="AO10" s="169"/>
      <c r="AP10" s="169"/>
      <c r="AQ10" s="169"/>
    </row>
    <row r="11" spans="1:43" ht="15">
      <c r="A11" s="30" t="s">
        <v>46</v>
      </c>
      <c r="B11" s="207">
        <f>IF(B24&lt;&gt;0,$J$184,0)</f>
        <v>0</v>
      </c>
      <c r="C11" s="207">
        <v>5.7999999999999996E-3</v>
      </c>
      <c r="D11" s="207">
        <v>9.4736842105263147E-3</v>
      </c>
      <c r="E11" s="206">
        <f>$H$184</f>
        <v>1.1224489795918367E-2</v>
      </c>
      <c r="F11" s="207">
        <v>0</v>
      </c>
      <c r="G11" s="207">
        <v>0</v>
      </c>
      <c r="H11" s="206">
        <f>$H$184</f>
        <v>1.1224489795918367E-2</v>
      </c>
      <c r="I11" s="207">
        <v>0</v>
      </c>
      <c r="J11" s="208">
        <v>0</v>
      </c>
      <c r="M11" s="263"/>
      <c r="N11" s="269"/>
      <c r="O11" s="192"/>
      <c r="P11" s="269"/>
      <c r="Q11" s="205"/>
      <c r="S11" s="174"/>
      <c r="T11" s="174"/>
      <c r="U11" s="174"/>
      <c r="V11" s="174"/>
      <c r="W11" s="174"/>
      <c r="X11" s="174"/>
      <c r="Y11" s="174"/>
      <c r="Z11" s="174"/>
      <c r="AA11" s="174"/>
      <c r="AB11" s="165"/>
      <c r="AC11" s="166"/>
      <c r="AD11" s="169"/>
      <c r="AE11" s="170"/>
      <c r="AF11" s="175"/>
      <c r="AG11" s="175"/>
      <c r="AH11" s="175"/>
      <c r="AI11" s="174"/>
      <c r="AJ11" s="170"/>
      <c r="AK11" s="174"/>
      <c r="AL11" s="169"/>
      <c r="AM11" s="169"/>
      <c r="AN11" s="169"/>
      <c r="AO11" s="169"/>
      <c r="AP11" s="169"/>
      <c r="AQ11" s="169"/>
    </row>
    <row r="12" spans="1:43" ht="15">
      <c r="A12" s="30" t="s">
        <v>45</v>
      </c>
      <c r="B12" s="192">
        <f t="shared" ref="B12:D12" si="0">SUM(B6:B11)</f>
        <v>0</v>
      </c>
      <c r="C12" s="192">
        <f t="shared" si="0"/>
        <v>0.1104</v>
      </c>
      <c r="D12" s="192">
        <f t="shared" si="0"/>
        <v>0.1048291917259227</v>
      </c>
      <c r="E12" s="204">
        <f>SUM(E6:E11)</f>
        <v>8.3671893542082695E-2</v>
      </c>
      <c r="F12" s="192">
        <f t="shared" ref="F12:G12" si="1">SUM(F6:F11)</f>
        <v>0</v>
      </c>
      <c r="G12" s="192">
        <f t="shared" si="1"/>
        <v>0</v>
      </c>
      <c r="H12" s="204">
        <f>SUM(H6:H11)</f>
        <v>8.3671893542082695E-2</v>
      </c>
      <c r="I12" s="192">
        <f t="shared" ref="I12:J12" si="2">SUM(I6:I11)</f>
        <v>0</v>
      </c>
      <c r="J12" s="205">
        <f t="shared" si="2"/>
        <v>0</v>
      </c>
      <c r="M12" s="263"/>
      <c r="N12" s="264"/>
      <c r="O12" s="207"/>
      <c r="P12" s="264"/>
      <c r="Q12" s="208"/>
      <c r="S12" s="168"/>
      <c r="T12" s="168"/>
      <c r="U12" s="168"/>
      <c r="V12" s="168"/>
      <c r="W12" s="168"/>
      <c r="X12" s="168"/>
      <c r="Y12" s="168"/>
      <c r="Z12" s="168"/>
      <c r="AA12" s="168"/>
      <c r="AB12" s="165"/>
      <c r="AC12" s="166"/>
      <c r="AD12" s="164"/>
      <c r="AE12" s="164"/>
      <c r="AF12" s="171"/>
      <c r="AG12" s="171"/>
      <c r="AH12" s="171"/>
      <c r="AI12" s="168"/>
      <c r="AJ12" s="164"/>
      <c r="AK12" s="168"/>
      <c r="AL12" s="164"/>
      <c r="AM12" s="164"/>
      <c r="AN12" s="164"/>
      <c r="AO12" s="164"/>
      <c r="AP12" s="164"/>
      <c r="AQ12" s="164"/>
    </row>
    <row r="13" spans="1:43" ht="15">
      <c r="A13" s="30"/>
      <c r="B13" s="204"/>
      <c r="C13" s="192"/>
      <c r="D13" s="192"/>
      <c r="E13" s="204"/>
      <c r="F13" s="192"/>
      <c r="G13" s="192"/>
      <c r="H13" s="204"/>
      <c r="I13" s="192"/>
      <c r="J13" s="205"/>
      <c r="M13" s="263"/>
      <c r="N13" s="265"/>
      <c r="O13" s="266"/>
      <c r="P13" s="265"/>
      <c r="Q13" s="267"/>
      <c r="S13" s="163"/>
      <c r="T13" s="163"/>
      <c r="U13" s="163"/>
      <c r="V13" s="163"/>
      <c r="W13" s="163"/>
      <c r="X13" s="163"/>
      <c r="Y13" s="163"/>
      <c r="Z13" s="163"/>
      <c r="AA13" s="164"/>
      <c r="AB13" s="165"/>
      <c r="AC13" s="166"/>
      <c r="AD13" s="164"/>
      <c r="AE13" s="164"/>
      <c r="AF13" s="167"/>
      <c r="AG13" s="167"/>
      <c r="AH13" s="167"/>
      <c r="AI13" s="163"/>
      <c r="AJ13" s="164"/>
      <c r="AK13" s="163"/>
      <c r="AL13" s="164"/>
      <c r="AM13" s="164"/>
      <c r="AN13" s="164"/>
      <c r="AO13" s="164"/>
      <c r="AP13" s="164"/>
      <c r="AQ13" s="164"/>
    </row>
    <row r="14" spans="1:43">
      <c r="A14" s="30" t="s">
        <v>31</v>
      </c>
      <c r="B14" s="192">
        <f>IF($B$24&lt;&gt;0,$F$152/B24/1000,0)</f>
        <v>0</v>
      </c>
      <c r="C14" s="192">
        <v>2.46E-2</v>
      </c>
      <c r="D14" s="192">
        <v>7.3599375000000002E-3</v>
      </c>
      <c r="E14" s="204">
        <f>$D$124*$E$108/$B$49/1000</f>
        <v>9.3026761418853253E-4</v>
      </c>
      <c r="F14" s="192">
        <v>0</v>
      </c>
      <c r="G14" s="192">
        <v>0</v>
      </c>
      <c r="H14" s="204">
        <f>$D$124*$E$108/$B$49/1000</f>
        <v>9.3026761418853253E-4</v>
      </c>
      <c r="I14" s="192">
        <v>0</v>
      </c>
      <c r="J14" s="205">
        <v>0</v>
      </c>
      <c r="M14" s="259"/>
      <c r="N14" s="269"/>
      <c r="O14" s="270"/>
      <c r="P14" s="269"/>
      <c r="Q14" s="271"/>
      <c r="S14" s="168"/>
      <c r="T14" s="168"/>
      <c r="U14" s="168"/>
      <c r="V14" s="168"/>
      <c r="W14" s="168"/>
      <c r="X14" s="168"/>
      <c r="Y14" s="168"/>
      <c r="Z14" s="168"/>
      <c r="AA14" s="168"/>
      <c r="AB14" s="165"/>
      <c r="AC14" s="166"/>
      <c r="AD14" s="169"/>
      <c r="AE14" s="170"/>
      <c r="AF14" s="171"/>
      <c r="AG14" s="171"/>
      <c r="AH14" s="171"/>
      <c r="AI14" s="168"/>
      <c r="AJ14" s="170"/>
      <c r="AK14" s="168"/>
      <c r="AL14" s="169"/>
      <c r="AM14" s="169"/>
      <c r="AN14" s="169"/>
      <c r="AO14" s="169"/>
      <c r="AP14" s="169"/>
      <c r="AQ14" s="169"/>
    </row>
    <row r="15" spans="1:43">
      <c r="A15" s="30" t="s">
        <v>44</v>
      </c>
      <c r="B15" s="192">
        <f>IF($B$24&lt;&gt;0,$F$153/$B$24/1000,0)</f>
        <v>0</v>
      </c>
      <c r="C15" s="192">
        <v>8.9999999999999993E-3</v>
      </c>
      <c r="D15" s="192">
        <v>4.2419375E-3</v>
      </c>
      <c r="E15" s="204">
        <f>$H$124*$E$108/$B$49/1000</f>
        <v>0</v>
      </c>
      <c r="F15" s="192">
        <v>0</v>
      </c>
      <c r="G15" s="192">
        <v>0</v>
      </c>
      <c r="H15" s="204">
        <f>$H$124*$E$108/$B$49/1000</f>
        <v>0</v>
      </c>
      <c r="I15" s="192">
        <v>0</v>
      </c>
      <c r="J15" s="205">
        <v>0</v>
      </c>
      <c r="M15" s="263"/>
      <c r="N15" s="269"/>
      <c r="O15" s="268"/>
      <c r="P15" s="269"/>
      <c r="Q15" s="258"/>
      <c r="S15" s="176"/>
      <c r="T15" s="168"/>
      <c r="U15" s="168"/>
      <c r="V15" s="168"/>
      <c r="W15" s="168"/>
      <c r="X15" s="176"/>
      <c r="Y15" s="176"/>
      <c r="Z15" s="176"/>
      <c r="AA15" s="176"/>
      <c r="AB15" s="165"/>
      <c r="AC15" s="166"/>
      <c r="AD15" s="169"/>
      <c r="AE15" s="170"/>
      <c r="AF15" s="167"/>
      <c r="AG15" s="167"/>
      <c r="AH15" s="167"/>
      <c r="AI15" s="176"/>
      <c r="AJ15" s="170"/>
      <c r="AK15" s="176"/>
      <c r="AL15" s="169"/>
      <c r="AM15" s="169"/>
      <c r="AN15" s="169"/>
      <c r="AO15" s="169"/>
      <c r="AP15" s="169"/>
      <c r="AQ15" s="169"/>
    </row>
    <row r="16" spans="1:43">
      <c r="A16" s="30" t="s">
        <v>43</v>
      </c>
      <c r="B16" s="192">
        <f>IF($B$24&lt;&gt;0,$F$155/$B$24/1000,0)</f>
        <v>0</v>
      </c>
      <c r="C16" s="192">
        <v>7.9000000000000008E-3</v>
      </c>
      <c r="D16" s="192">
        <v>5.3897125000000002E-3</v>
      </c>
      <c r="E16" s="204">
        <f>$D$131*$E$108/$B$49/1000</f>
        <v>0</v>
      </c>
      <c r="F16" s="192">
        <v>0</v>
      </c>
      <c r="G16" s="192">
        <v>0</v>
      </c>
      <c r="H16" s="204">
        <f>$D$131*$E$108/$B$49/1000</f>
        <v>0</v>
      </c>
      <c r="I16" s="192">
        <v>0</v>
      </c>
      <c r="J16" s="205">
        <v>0</v>
      </c>
      <c r="M16" s="263"/>
      <c r="N16" s="269"/>
      <c r="O16" s="268"/>
      <c r="P16" s="269"/>
      <c r="Q16" s="258"/>
      <c r="S16" s="168"/>
      <c r="T16" s="168"/>
      <c r="U16" s="168"/>
      <c r="V16" s="168"/>
      <c r="W16" s="168"/>
      <c r="X16" s="168"/>
      <c r="Y16" s="168"/>
      <c r="Z16" s="168"/>
      <c r="AA16" s="176"/>
      <c r="AB16" s="165"/>
      <c r="AC16" s="166"/>
      <c r="AD16" s="169"/>
      <c r="AE16" s="170"/>
      <c r="AF16" s="171"/>
      <c r="AG16" s="171"/>
      <c r="AH16" s="171"/>
      <c r="AI16" s="168"/>
      <c r="AJ16" s="170"/>
      <c r="AK16" s="168"/>
      <c r="AL16" s="169"/>
      <c r="AM16" s="169"/>
      <c r="AN16" s="169"/>
      <c r="AO16" s="169"/>
      <c r="AP16" s="169"/>
      <c r="AQ16" s="169"/>
    </row>
    <row r="17" spans="1:10">
      <c r="A17" s="6" t="s">
        <v>5</v>
      </c>
      <c r="B17" s="192">
        <f>IF($B$24&lt;&gt;0,$F$154/$B$24/1000,0)</f>
        <v>0</v>
      </c>
      <c r="C17" s="192">
        <v>0</v>
      </c>
      <c r="D17" s="192">
        <v>2.6778947368421052E-3</v>
      </c>
      <c r="E17" s="204">
        <f>$F$194</f>
        <v>0</v>
      </c>
      <c r="F17" s="192">
        <v>0</v>
      </c>
      <c r="G17" s="192">
        <v>0</v>
      </c>
      <c r="H17" s="204">
        <f>$F$194</f>
        <v>0</v>
      </c>
      <c r="I17" s="192">
        <v>0</v>
      </c>
      <c r="J17" s="205">
        <v>0</v>
      </c>
    </row>
    <row r="18" spans="1:10">
      <c r="A18" s="6" t="s">
        <v>3</v>
      </c>
      <c r="B18" s="192">
        <f>IF($B$24&lt;&gt;0,$B$196/$B$49/1000,0)</f>
        <v>0</v>
      </c>
      <c r="C18" s="192">
        <v>2.7000000000000001E-3</v>
      </c>
      <c r="D18" s="192">
        <v>0.16719999999999999</v>
      </c>
      <c r="E18" s="204">
        <f>$F$196</f>
        <v>5.5866734693877554E-2</v>
      </c>
      <c r="F18" s="192">
        <v>0</v>
      </c>
      <c r="G18" s="192">
        <v>0</v>
      </c>
      <c r="H18" s="204">
        <f>$F$196</f>
        <v>5.5866734693877554E-2</v>
      </c>
      <c r="I18" s="192">
        <v>0</v>
      </c>
      <c r="J18" s="205">
        <v>0</v>
      </c>
    </row>
    <row r="19" spans="1:10" ht="15">
      <c r="A19" s="6" t="s">
        <v>4</v>
      </c>
      <c r="B19" s="207">
        <f>IF($B$24&lt;&gt;0,$B$195/$B$49/1000,0)</f>
        <v>0</v>
      </c>
      <c r="C19" s="207">
        <v>1.2E-2</v>
      </c>
      <c r="D19" s="207">
        <v>1.2884210526315788E-2</v>
      </c>
      <c r="E19" s="206">
        <f>$F$195</f>
        <v>0.23436734693877551</v>
      </c>
      <c r="F19" s="207">
        <v>0</v>
      </c>
      <c r="G19" s="207">
        <v>0</v>
      </c>
      <c r="H19" s="206">
        <f>$F$195</f>
        <v>0.23436734693877551</v>
      </c>
      <c r="I19" s="207">
        <v>0</v>
      </c>
      <c r="J19" s="208">
        <v>0</v>
      </c>
    </row>
    <row r="20" spans="1:10">
      <c r="A20" s="30" t="s">
        <v>42</v>
      </c>
      <c r="B20" s="192">
        <f t="shared" ref="B20:J20" si="3">SUM(B14:B19)</f>
        <v>0</v>
      </c>
      <c r="C20" s="192">
        <f t="shared" si="3"/>
        <v>5.62E-2</v>
      </c>
      <c r="D20" s="192">
        <f t="shared" si="3"/>
        <v>0.19975369276315788</v>
      </c>
      <c r="E20" s="204">
        <f t="shared" si="3"/>
        <v>0.29116434924684159</v>
      </c>
      <c r="F20" s="192">
        <f t="shared" ref="F20:G20" si="4">SUM(F14:F19)</f>
        <v>0</v>
      </c>
      <c r="G20" s="192">
        <f t="shared" si="4"/>
        <v>0</v>
      </c>
      <c r="H20" s="204">
        <f t="shared" si="3"/>
        <v>0.29116434924684159</v>
      </c>
      <c r="I20" s="192">
        <f t="shared" si="3"/>
        <v>0</v>
      </c>
      <c r="J20" s="205">
        <f t="shared" si="3"/>
        <v>0</v>
      </c>
    </row>
    <row r="21" spans="1:10">
      <c r="A21" s="6"/>
      <c r="B21" s="204"/>
      <c r="C21" s="192"/>
      <c r="D21" s="192"/>
      <c r="E21" s="204"/>
      <c r="F21" s="192"/>
      <c r="G21" s="192"/>
      <c r="H21" s="223"/>
      <c r="I21" s="192"/>
      <c r="J21" s="224"/>
    </row>
    <row r="22" spans="1:10">
      <c r="A22" s="30" t="s">
        <v>41</v>
      </c>
      <c r="B22" s="209">
        <f t="shared" ref="B22:J22" si="5">B12+B20</f>
        <v>0</v>
      </c>
      <c r="C22" s="210">
        <f t="shared" si="5"/>
        <v>0.1666</v>
      </c>
      <c r="D22" s="210">
        <f t="shared" si="5"/>
        <v>0.30458288448908055</v>
      </c>
      <c r="E22" s="209">
        <f t="shared" si="5"/>
        <v>0.3748362427889243</v>
      </c>
      <c r="F22" s="210">
        <f t="shared" si="5"/>
        <v>0</v>
      </c>
      <c r="G22" s="210">
        <f t="shared" si="5"/>
        <v>0</v>
      </c>
      <c r="H22" s="209">
        <f t="shared" si="5"/>
        <v>0.3748362427889243</v>
      </c>
      <c r="I22" s="210">
        <f t="shared" si="5"/>
        <v>0</v>
      </c>
      <c r="J22" s="211">
        <f t="shared" si="5"/>
        <v>0</v>
      </c>
    </row>
    <row r="23" spans="1:10">
      <c r="A23" s="6"/>
      <c r="B23" s="212"/>
      <c r="C23" s="213"/>
      <c r="D23" s="213"/>
      <c r="E23" s="212"/>
      <c r="F23" s="213"/>
      <c r="G23" s="213"/>
      <c r="H23" s="212"/>
      <c r="I23" s="213"/>
      <c r="J23" s="225"/>
    </row>
    <row r="24" spans="1:10">
      <c r="A24" s="25" t="s">
        <v>40</v>
      </c>
      <c r="B24" s="215">
        <f>+B54</f>
        <v>0</v>
      </c>
      <c r="C24" s="226">
        <v>0</v>
      </c>
      <c r="D24" s="226">
        <v>80000</v>
      </c>
      <c r="E24" s="215">
        <f>+B55</f>
        <v>0</v>
      </c>
      <c r="F24" s="226">
        <v>0</v>
      </c>
      <c r="G24" s="216">
        <v>0</v>
      </c>
      <c r="H24" s="215">
        <f>+B56</f>
        <v>0</v>
      </c>
      <c r="I24" s="226">
        <v>0</v>
      </c>
      <c r="J24" s="217">
        <v>0</v>
      </c>
    </row>
    <row r="25" spans="1:10">
      <c r="B25" s="49"/>
      <c r="C25" s="47"/>
      <c r="D25" s="47"/>
      <c r="E25" s="47"/>
      <c r="F25" s="48"/>
      <c r="G25" s="47"/>
      <c r="H25" s="47"/>
      <c r="J25" s="46"/>
    </row>
    <row r="26" spans="1:10" ht="18" customHeight="1">
      <c r="A26" s="64"/>
      <c r="B26" s="359" t="s">
        <v>92</v>
      </c>
      <c r="C26" s="360"/>
      <c r="D26" s="361"/>
      <c r="E26" s="347" t="s">
        <v>90</v>
      </c>
      <c r="F26" s="348"/>
      <c r="G26" s="348"/>
      <c r="H26" s="362" t="s">
        <v>20</v>
      </c>
      <c r="I26" s="363"/>
      <c r="J26" s="364"/>
    </row>
    <row r="27" spans="1:10" s="46" customFormat="1" ht="15">
      <c r="A27" s="66"/>
      <c r="B27" s="198" t="str">
        <f>$B$4</f>
        <v>25 Standard</v>
      </c>
      <c r="C27" s="199" t="str">
        <f>+C4</f>
        <v>23 Actual</v>
      </c>
      <c r="D27" s="200" t="str">
        <f>+D4</f>
        <v>20 Standard</v>
      </c>
      <c r="E27" s="218" t="s">
        <v>113</v>
      </c>
      <c r="F27" s="327" t="s">
        <v>114</v>
      </c>
      <c r="G27" s="219" t="s">
        <v>111</v>
      </c>
      <c r="H27" s="143" t="str">
        <f>+B27</f>
        <v>25 Standard</v>
      </c>
      <c r="I27" s="144" t="str">
        <f>+C27</f>
        <v>23 Actual</v>
      </c>
      <c r="J27" s="145" t="str">
        <f>+D27</f>
        <v>20 Standard</v>
      </c>
    </row>
    <row r="28" spans="1:10" s="46" customFormat="1">
      <c r="A28" s="66"/>
      <c r="B28" s="201"/>
      <c r="C28" s="202" t="s">
        <v>89</v>
      </c>
      <c r="D28" s="203"/>
      <c r="E28" s="201"/>
      <c r="F28" s="202" t="s">
        <v>102</v>
      </c>
      <c r="G28" s="203"/>
      <c r="H28" s="146"/>
      <c r="I28" s="137"/>
      <c r="J28" s="115"/>
    </row>
    <row r="29" spans="1:10">
      <c r="A29" s="30" t="s">
        <v>50</v>
      </c>
      <c r="B29" s="204">
        <f>D82</f>
        <v>6.5965817666666662E-2</v>
      </c>
      <c r="C29" s="192">
        <v>0</v>
      </c>
      <c r="D29" s="205">
        <v>0</v>
      </c>
      <c r="E29" s="192">
        <f>IF(E47&lt;&gt;0,$L$96,0)</f>
        <v>7.0852831853116985E-2</v>
      </c>
      <c r="F29" s="192">
        <v>7.8E-2</v>
      </c>
      <c r="G29" s="205">
        <v>6.0259679999999996E-2</v>
      </c>
      <c r="H29" s="138">
        <v>0</v>
      </c>
      <c r="I29" s="24">
        <v>0</v>
      </c>
      <c r="J29" s="94">
        <v>0</v>
      </c>
    </row>
    <row r="30" spans="1:10">
      <c r="A30" s="30" t="s">
        <v>27</v>
      </c>
      <c r="B30" s="204">
        <f>D169</f>
        <v>0</v>
      </c>
      <c r="C30" s="192">
        <v>0</v>
      </c>
      <c r="D30" s="205">
        <v>0</v>
      </c>
      <c r="E30" s="192">
        <f>IF(E47&lt;&gt;0,$G$169,0)</f>
        <v>4.3918811483700915E-2</v>
      </c>
      <c r="F30" s="192">
        <v>4.3200000000000002E-2</v>
      </c>
      <c r="G30" s="205">
        <v>2.6879417927194393E-2</v>
      </c>
      <c r="H30" s="138">
        <v>0</v>
      </c>
      <c r="I30" s="24">
        <v>0</v>
      </c>
      <c r="J30" s="94">
        <v>0</v>
      </c>
    </row>
    <row r="31" spans="1:10">
      <c r="A31" s="6" t="s">
        <v>49</v>
      </c>
      <c r="B31" s="204">
        <f>D170</f>
        <v>0</v>
      </c>
      <c r="C31" s="192">
        <v>0</v>
      </c>
      <c r="D31" s="205">
        <v>0</v>
      </c>
      <c r="E31" s="192">
        <f>IF(E47&lt;&gt;0,$G$170,0)</f>
        <v>2.5999999999999999E-2</v>
      </c>
      <c r="F31" s="192">
        <v>1.9E-2</v>
      </c>
      <c r="G31" s="205">
        <v>2.8566999999999999E-2</v>
      </c>
      <c r="H31" s="138">
        <f>J170</f>
        <v>0</v>
      </c>
      <c r="I31" s="24">
        <v>0</v>
      </c>
      <c r="J31" s="94">
        <v>0</v>
      </c>
    </row>
    <row r="32" spans="1:10">
      <c r="A32" s="30" t="s">
        <v>48</v>
      </c>
      <c r="B32" s="204">
        <f>IF($B$47&lt;&gt;0,$H$177,0)</f>
        <v>0</v>
      </c>
      <c r="C32" s="192">
        <v>0</v>
      </c>
      <c r="D32" s="205">
        <v>0</v>
      </c>
      <c r="E32" s="192">
        <f>IF(E47&lt;&gt;0,$H$177,0)</f>
        <v>0.03</v>
      </c>
      <c r="F32" s="192">
        <v>2.98E-2</v>
      </c>
      <c r="G32" s="205">
        <v>2.7777777777777776E-2</v>
      </c>
      <c r="H32" s="138">
        <v>0</v>
      </c>
      <c r="I32" s="24">
        <v>0</v>
      </c>
      <c r="J32" s="94">
        <v>0</v>
      </c>
    </row>
    <row r="33" spans="1:13">
      <c r="A33" s="30" t="s">
        <v>47</v>
      </c>
      <c r="B33" s="204">
        <f>IF($B$47&lt;&gt;0,$H$181,0)</f>
        <v>0</v>
      </c>
      <c r="C33" s="192">
        <v>0</v>
      </c>
      <c r="D33" s="205">
        <v>0</v>
      </c>
      <c r="E33" s="192">
        <f>IF(E47&lt;&gt;0,$H$181,0)</f>
        <v>5.5102040816326532E-3</v>
      </c>
      <c r="F33" s="192">
        <v>1.1999999999999999E-3</v>
      </c>
      <c r="G33" s="205">
        <v>6.9444444444444441E-3</v>
      </c>
      <c r="H33" s="138">
        <v>0</v>
      </c>
      <c r="I33" s="24">
        <v>0</v>
      </c>
      <c r="J33" s="94">
        <v>0</v>
      </c>
      <c r="K33" s="24"/>
      <c r="L33" s="24"/>
    </row>
    <row r="34" spans="1:13" ht="15">
      <c r="A34" s="30" t="s">
        <v>46</v>
      </c>
      <c r="B34" s="206">
        <f>IF($B$47&lt;&gt;0,$H$184,0)</f>
        <v>0</v>
      </c>
      <c r="C34" s="207">
        <v>0</v>
      </c>
      <c r="D34" s="208">
        <v>0</v>
      </c>
      <c r="E34" s="207">
        <f>IF(E47&lt;&gt;0,$H$184,0)</f>
        <v>1.1224489795918367E-2</v>
      </c>
      <c r="F34" s="207">
        <v>1.3899999999999999E-2</v>
      </c>
      <c r="G34" s="208">
        <v>1.2500000000000001E-2</v>
      </c>
      <c r="H34" s="139">
        <v>0</v>
      </c>
      <c r="I34" s="67">
        <v>0</v>
      </c>
      <c r="J34" s="95">
        <v>0</v>
      </c>
      <c r="K34" s="67"/>
      <c r="L34" s="67"/>
    </row>
    <row r="35" spans="1:13">
      <c r="A35" s="30" t="s">
        <v>45</v>
      </c>
      <c r="B35" s="204">
        <f>SUM(B29:B34)</f>
        <v>6.5965817666666662E-2</v>
      </c>
      <c r="C35" s="192">
        <f t="shared" ref="C35:D35" si="6">SUM(C29:C34)</f>
        <v>0</v>
      </c>
      <c r="D35" s="192">
        <f t="shared" si="6"/>
        <v>0</v>
      </c>
      <c r="E35" s="192">
        <f t="shared" ref="E35" si="7">SUM(E29:E34)</f>
        <v>0.18750633721436893</v>
      </c>
      <c r="F35" s="192">
        <f>SUM(F29:F34)</f>
        <v>0.18509999999999999</v>
      </c>
      <c r="G35" s="192">
        <f>SUM(G29:G34)</f>
        <v>0.16292832014941663</v>
      </c>
      <c r="H35" s="138">
        <f>SUM(H29:H34)</f>
        <v>0</v>
      </c>
      <c r="I35" s="24">
        <f t="shared" ref="I35" si="8">SUM(I29:I34)</f>
        <v>0</v>
      </c>
      <c r="J35" s="94">
        <f>SUM(J29:J34)</f>
        <v>0</v>
      </c>
      <c r="K35" s="24"/>
      <c r="L35" s="24"/>
    </row>
    <row r="36" spans="1:13">
      <c r="A36" s="30"/>
      <c r="B36" s="204"/>
      <c r="C36" s="192"/>
      <c r="D36" s="205"/>
      <c r="E36" s="204"/>
      <c r="F36" s="192"/>
      <c r="G36" s="205"/>
      <c r="H36" s="138"/>
      <c r="I36" s="24"/>
      <c r="J36" s="94"/>
      <c r="K36" s="24"/>
      <c r="L36" s="24"/>
    </row>
    <row r="37" spans="1:13">
      <c r="A37" s="30" t="s">
        <v>31</v>
      </c>
      <c r="B37" s="204">
        <f>$D$124*$E$108/$B$49/1000</f>
        <v>9.3026761418853253E-4</v>
      </c>
      <c r="C37" s="192">
        <v>0</v>
      </c>
      <c r="D37" s="205">
        <v>0</v>
      </c>
      <c r="E37" s="192">
        <f>IF($E$47&lt;&gt;0,$F$127/$E$47/1000,0)</f>
        <v>4.0001507410106898E-2</v>
      </c>
      <c r="F37" s="192">
        <v>3.5299999999999998E-2</v>
      </c>
      <c r="G37" s="205">
        <v>2.1569210091743118E-2</v>
      </c>
      <c r="H37" s="138">
        <v>0</v>
      </c>
      <c r="I37" s="24">
        <v>0</v>
      </c>
      <c r="J37" s="94">
        <v>0</v>
      </c>
      <c r="K37" s="24"/>
      <c r="L37" s="24"/>
    </row>
    <row r="38" spans="1:13">
      <c r="A38" s="30" t="s">
        <v>44</v>
      </c>
      <c r="B38" s="204">
        <f>$H$124*$E$108/$B$49/1000</f>
        <v>0</v>
      </c>
      <c r="C38" s="192">
        <v>0</v>
      </c>
      <c r="D38" s="205">
        <v>0</v>
      </c>
      <c r="E38" s="192">
        <f>IF($E$47&lt;&gt;0,$F$128/$E$47/1000,0)</f>
        <v>4.806117346938775E-3</v>
      </c>
      <c r="F38" s="192">
        <v>6.7000000000000002E-3</v>
      </c>
      <c r="G38" s="205">
        <v>5.1700857142857144E-3</v>
      </c>
      <c r="H38" s="138">
        <v>0</v>
      </c>
      <c r="I38" s="24">
        <v>0</v>
      </c>
      <c r="J38" s="94">
        <v>0</v>
      </c>
      <c r="K38" s="24"/>
      <c r="L38" s="24"/>
    </row>
    <row r="39" spans="1:13">
      <c r="A39" s="30" t="s">
        <v>43</v>
      </c>
      <c r="B39" s="204">
        <f>$D$131*$E$108/$B$49/1000</f>
        <v>0</v>
      </c>
      <c r="C39" s="192">
        <v>0</v>
      </c>
      <c r="D39" s="205">
        <v>0</v>
      </c>
      <c r="E39" s="192">
        <f>IF($E$47&lt;&gt;0,$F$130/$E$47/1000,0)</f>
        <v>1.2994211179543245E-2</v>
      </c>
      <c r="F39" s="192">
        <v>1.12E-2</v>
      </c>
      <c r="G39" s="205">
        <v>8.0162316187989569E-3</v>
      </c>
      <c r="H39" s="138">
        <v>0</v>
      </c>
      <c r="I39" s="24">
        <v>0</v>
      </c>
      <c r="J39" s="94">
        <v>0</v>
      </c>
      <c r="K39" s="24"/>
      <c r="L39" s="24"/>
    </row>
    <row r="40" spans="1:13">
      <c r="A40" s="6" t="s">
        <v>5</v>
      </c>
      <c r="B40" s="204">
        <f>IF($B$49&lt;&gt;0,$F$194,0)</f>
        <v>0</v>
      </c>
      <c r="C40" s="192">
        <v>0</v>
      </c>
      <c r="D40" s="205">
        <v>0</v>
      </c>
      <c r="E40" s="192">
        <f>IF($E$47&lt;&gt;0,$F$129/$E$47/1000,0)</f>
        <v>0</v>
      </c>
      <c r="F40" s="192">
        <v>0</v>
      </c>
      <c r="G40" s="205">
        <v>4.7638888888888888E-4</v>
      </c>
      <c r="H40" s="138">
        <v>0</v>
      </c>
      <c r="I40" s="24">
        <v>0</v>
      </c>
      <c r="J40" s="94">
        <v>0</v>
      </c>
      <c r="K40" s="24"/>
      <c r="L40" s="24"/>
    </row>
    <row r="41" spans="1:13" ht="15">
      <c r="A41" s="6" t="s">
        <v>3</v>
      </c>
      <c r="B41" s="204">
        <f>IF($B$49&lt;&gt;0,$F$196,0)</f>
        <v>5.5866734693877554E-2</v>
      </c>
      <c r="C41" s="192">
        <v>0</v>
      </c>
      <c r="D41" s="205">
        <v>0</v>
      </c>
      <c r="E41" s="192">
        <f>IF($E$47&lt;&gt;0,$B$196/$B$49/1000/4,0)</f>
        <v>1.1638903061224491E-3</v>
      </c>
      <c r="F41" s="192">
        <v>8.5000000000000006E-3</v>
      </c>
      <c r="G41" s="205">
        <v>5.6777777777777781E-3</v>
      </c>
      <c r="H41" s="138">
        <v>0</v>
      </c>
      <c r="I41" s="24">
        <v>0</v>
      </c>
      <c r="J41" s="94">
        <v>0</v>
      </c>
      <c r="K41" s="67"/>
      <c r="L41" s="67"/>
    </row>
    <row r="42" spans="1:13" ht="15">
      <c r="A42" s="6" t="s">
        <v>4</v>
      </c>
      <c r="B42" s="206">
        <f>IF($B$49&lt;&gt;0,$F$195,0)</f>
        <v>0.23436734693877551</v>
      </c>
      <c r="C42" s="207">
        <v>0</v>
      </c>
      <c r="D42" s="208">
        <v>0</v>
      </c>
      <c r="E42" s="207">
        <f>IF($E$47&lt;&gt;0,$B$195/$B$49/1000/4,0)</f>
        <v>4.8826530612244897E-3</v>
      </c>
      <c r="F42" s="207">
        <v>3.6200000000000003E-2</v>
      </c>
      <c r="G42" s="208">
        <v>2.5861111111111109E-2</v>
      </c>
      <c r="H42" s="139">
        <v>0</v>
      </c>
      <c r="I42" s="67">
        <v>0</v>
      </c>
      <c r="J42" s="95">
        <v>0</v>
      </c>
      <c r="K42" s="24"/>
      <c r="L42" s="24"/>
    </row>
    <row r="43" spans="1:13">
      <c r="A43" s="30" t="s">
        <v>42</v>
      </c>
      <c r="B43" s="204">
        <f t="shared" ref="B43:J43" si="9">SUM(B37:B42)</f>
        <v>0.29116434924684159</v>
      </c>
      <c r="C43" s="192">
        <f t="shared" si="9"/>
        <v>0</v>
      </c>
      <c r="D43" s="192">
        <f t="shared" si="9"/>
        <v>0</v>
      </c>
      <c r="E43" s="192">
        <f t="shared" ref="E43" si="10">SUM(E37:E42)</f>
        <v>6.3848379303935859E-2</v>
      </c>
      <c r="F43" s="192">
        <f>SUM(F37:F42)</f>
        <v>9.7900000000000001E-2</v>
      </c>
      <c r="G43" s="192">
        <f t="shared" si="9"/>
        <v>6.6770805202605574E-2</v>
      </c>
      <c r="H43" s="138">
        <f t="shared" si="9"/>
        <v>0</v>
      </c>
      <c r="I43" s="24">
        <f t="shared" si="9"/>
        <v>0</v>
      </c>
      <c r="J43" s="94">
        <f t="shared" si="9"/>
        <v>0</v>
      </c>
      <c r="K43" s="24"/>
      <c r="L43" s="24"/>
    </row>
    <row r="44" spans="1:13">
      <c r="A44" s="76" t="s">
        <v>112</v>
      </c>
      <c r="B44" s="204"/>
      <c r="C44" s="192"/>
      <c r="D44" s="205"/>
      <c r="E44" s="328"/>
      <c r="F44" s="328">
        <v>-4.5499999999999999E-2</v>
      </c>
      <c r="G44" s="205"/>
      <c r="H44" s="138"/>
      <c r="I44" s="24"/>
      <c r="J44" s="94"/>
      <c r="K44" s="24"/>
      <c r="L44" s="24"/>
    </row>
    <row r="45" spans="1:13">
      <c r="A45" s="30" t="s">
        <v>41</v>
      </c>
      <c r="B45" s="209">
        <f>B35+B43</f>
        <v>0.35713016691350824</v>
      </c>
      <c r="C45" s="210">
        <f t="shared" ref="C45:J45" si="11">C35+C43</f>
        <v>0</v>
      </c>
      <c r="D45" s="211">
        <v>0.19962945623832437</v>
      </c>
      <c r="E45" s="210">
        <f>E35+E43+E44</f>
        <v>0.25135471651830477</v>
      </c>
      <c r="F45" s="210">
        <f>F35+F43+F44</f>
        <v>0.23749999999999999</v>
      </c>
      <c r="G45" s="211">
        <f>+G35+G43</f>
        <v>0.22969912535202219</v>
      </c>
      <c r="H45" s="140">
        <f t="shared" si="11"/>
        <v>0</v>
      </c>
      <c r="I45" s="124">
        <f t="shared" si="11"/>
        <v>0</v>
      </c>
      <c r="J45" s="125">
        <f t="shared" si="11"/>
        <v>0</v>
      </c>
      <c r="K45" s="116"/>
      <c r="L45" s="116">
        <f>E45-0.245</f>
        <v>6.3547165183047705E-3</v>
      </c>
      <c r="M45" s="1">
        <f>E47*1000*L45</f>
        <v>31138.110939693375</v>
      </c>
    </row>
    <row r="46" spans="1:13">
      <c r="A46" s="6"/>
      <c r="B46" s="212"/>
      <c r="C46" s="213"/>
      <c r="D46" s="214"/>
      <c r="E46" s="212"/>
      <c r="F46" s="213"/>
      <c r="G46" s="214"/>
      <c r="H46" s="141"/>
      <c r="I46" s="24"/>
      <c r="J46" s="94"/>
      <c r="K46" s="47"/>
      <c r="L46" s="47"/>
      <c r="M46" s="1">
        <f>M45/12</f>
        <v>2594.8425783077814</v>
      </c>
    </row>
    <row r="47" spans="1:13">
      <c r="A47" s="25" t="s">
        <v>40</v>
      </c>
      <c r="B47" s="215">
        <f>+B57</f>
        <v>0</v>
      </c>
      <c r="C47" s="216">
        <v>0</v>
      </c>
      <c r="D47" s="217">
        <v>0</v>
      </c>
      <c r="E47" s="215">
        <f>+B58</f>
        <v>4900</v>
      </c>
      <c r="F47" s="216">
        <v>15776</v>
      </c>
      <c r="G47" s="217">
        <v>36000</v>
      </c>
      <c r="H47" s="142">
        <f>+B59</f>
        <v>0</v>
      </c>
      <c r="I47" s="112">
        <v>0</v>
      </c>
      <c r="J47" s="147">
        <v>0</v>
      </c>
      <c r="K47" s="117"/>
      <c r="L47" s="117"/>
      <c r="M47" s="251"/>
    </row>
    <row r="49" spans="1:12">
      <c r="A49" s="68" t="s">
        <v>39</v>
      </c>
      <c r="B49" s="114">
        <f>B24+E24+H24+B47+E47+H47</f>
        <v>4900</v>
      </c>
      <c r="C49" s="126">
        <f>C24+F24+I24+C47+F47+I47</f>
        <v>15776</v>
      </c>
      <c r="D49" s="127">
        <f>D24+G24+J24+D47+G47+J47</f>
        <v>116000</v>
      </c>
      <c r="E49" s="113"/>
    </row>
    <row r="50" spans="1:12"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>
      <c r="A51" s="54" t="s">
        <v>38</v>
      </c>
      <c r="B51" s="365" t="s">
        <v>37</v>
      </c>
      <c r="C51" s="365"/>
      <c r="D51" s="365"/>
      <c r="E51" s="365"/>
      <c r="F51" s="365"/>
      <c r="G51" s="365"/>
      <c r="H51" s="365"/>
      <c r="I51" s="365"/>
      <c r="J51" s="365"/>
      <c r="K51" s="365"/>
      <c r="L51" s="12"/>
    </row>
    <row r="52" spans="1:12">
      <c r="A52" s="30"/>
      <c r="L52" s="12"/>
    </row>
    <row r="53" spans="1:12" ht="15">
      <c r="A53" s="82" t="s">
        <v>61</v>
      </c>
      <c r="B53" s="45" t="s">
        <v>62</v>
      </c>
      <c r="C53" s="45" t="s">
        <v>64</v>
      </c>
      <c r="D53" s="185"/>
      <c r="E53" s="5"/>
      <c r="F53" s="45"/>
      <c r="G53" s="5"/>
      <c r="H53" s="5"/>
      <c r="L53" s="12"/>
    </row>
    <row r="54" spans="1:12" ht="15">
      <c r="A54" s="30" t="s">
        <v>95</v>
      </c>
      <c r="B54" s="120">
        <f>'2025 Summary'!$D$12</f>
        <v>0</v>
      </c>
      <c r="C54" s="129">
        <f>B54/$B$60</f>
        <v>0</v>
      </c>
      <c r="D54" s="32"/>
      <c r="E54" s="5">
        <f>9*400000*7</f>
        <v>25200000</v>
      </c>
      <c r="F54" s="44"/>
      <c r="G54" s="5" t="s">
        <v>20</v>
      </c>
      <c r="H54" s="121"/>
      <c r="L54" s="12"/>
    </row>
    <row r="55" spans="1:12" ht="15">
      <c r="A55" s="30" t="s">
        <v>96</v>
      </c>
      <c r="B55" s="120">
        <v>0</v>
      </c>
      <c r="C55" s="129">
        <f t="shared" ref="C55:C60" si="12">B55/$B$60</f>
        <v>0</v>
      </c>
      <c r="D55" s="32"/>
      <c r="E55" s="5"/>
      <c r="F55" s="44"/>
      <c r="G55" s="5" t="s">
        <v>20</v>
      </c>
      <c r="H55" s="121"/>
      <c r="L55" s="12"/>
    </row>
    <row r="56" spans="1:12" ht="15">
      <c r="A56" s="30" t="s">
        <v>97</v>
      </c>
      <c r="B56" s="120">
        <v>0</v>
      </c>
      <c r="C56" s="129">
        <f t="shared" si="12"/>
        <v>0</v>
      </c>
      <c r="D56" s="32"/>
      <c r="E56" s="5"/>
      <c r="F56" s="5"/>
      <c r="G56" s="5"/>
      <c r="H56" s="5"/>
      <c r="L56" s="12"/>
    </row>
    <row r="57" spans="1:12" ht="15">
      <c r="A57" s="30" t="s">
        <v>92</v>
      </c>
      <c r="B57" s="120">
        <v>0</v>
      </c>
      <c r="C57" s="129">
        <f t="shared" si="12"/>
        <v>0</v>
      </c>
      <c r="D57" s="32"/>
      <c r="E57" s="5"/>
      <c r="F57" s="5"/>
      <c r="G57" s="5"/>
      <c r="H57" s="5"/>
      <c r="L57" s="12"/>
    </row>
    <row r="58" spans="1:12" ht="15">
      <c r="A58" s="30" t="s">
        <v>90</v>
      </c>
      <c r="B58" s="103">
        <f>'2025 Summary'!$E$12</f>
        <v>4900</v>
      </c>
      <c r="C58" s="129">
        <f t="shared" si="12"/>
        <v>1</v>
      </c>
      <c r="D58" s="32"/>
      <c r="E58" s="5"/>
      <c r="F58" s="5"/>
      <c r="G58" s="5"/>
      <c r="H58" s="5"/>
      <c r="L58" s="12"/>
    </row>
    <row r="59" spans="1:12" ht="15">
      <c r="A59" s="30" t="s">
        <v>20</v>
      </c>
      <c r="B59" s="120">
        <v>0</v>
      </c>
      <c r="C59" s="130">
        <f t="shared" si="12"/>
        <v>0</v>
      </c>
      <c r="D59" s="32"/>
      <c r="E59" s="5"/>
      <c r="F59" s="5"/>
      <c r="G59" s="5"/>
      <c r="H59" s="5"/>
      <c r="L59" s="12"/>
    </row>
    <row r="60" spans="1:12">
      <c r="A60" s="83" t="s">
        <v>65</v>
      </c>
      <c r="B60" s="112">
        <f>SUM(B54:B59)</f>
        <v>4900</v>
      </c>
      <c r="C60" s="188">
        <f t="shared" si="12"/>
        <v>1</v>
      </c>
      <c r="D60" s="75"/>
      <c r="E60" s="53"/>
      <c r="F60" s="53"/>
      <c r="G60" s="53"/>
      <c r="H60" s="53"/>
      <c r="I60" s="10"/>
      <c r="J60" s="10"/>
      <c r="K60" s="10"/>
      <c r="L60" s="9"/>
    </row>
    <row r="61" spans="1:12">
      <c r="A61" s="16"/>
      <c r="B61" s="5"/>
      <c r="C61" s="5"/>
      <c r="D61" s="5"/>
      <c r="E61" s="5"/>
      <c r="F61" s="5"/>
      <c r="G61" s="5"/>
      <c r="H61" s="122"/>
      <c r="L61" s="12"/>
    </row>
    <row r="62" spans="1:12" ht="15" customHeight="1">
      <c r="A62" s="16"/>
      <c r="B62" s="5"/>
      <c r="C62" s="366" t="s">
        <v>35</v>
      </c>
      <c r="D62" s="366"/>
      <c r="E62" s="366"/>
      <c r="F62" s="366"/>
      <c r="G62" s="367" t="s">
        <v>60</v>
      </c>
      <c r="H62" s="367"/>
      <c r="I62" s="367"/>
      <c r="J62" s="367"/>
      <c r="K62" s="367"/>
      <c r="L62" s="233"/>
    </row>
    <row r="63" spans="1:12" s="36" customFormat="1" ht="15">
      <c r="A63" s="229" t="s">
        <v>66</v>
      </c>
      <c r="B63" s="101" t="s">
        <v>36</v>
      </c>
      <c r="C63" s="184" t="s">
        <v>95</v>
      </c>
      <c r="D63" s="197" t="s">
        <v>96</v>
      </c>
      <c r="E63" s="197" t="s">
        <v>97</v>
      </c>
      <c r="F63" s="197" t="s">
        <v>92</v>
      </c>
      <c r="G63" s="197" t="s">
        <v>98</v>
      </c>
      <c r="H63" s="184" t="s">
        <v>95</v>
      </c>
      <c r="I63" s="197" t="s">
        <v>96</v>
      </c>
      <c r="J63" s="197" t="s">
        <v>97</v>
      </c>
      <c r="K63" s="185" t="s">
        <v>92</v>
      </c>
      <c r="L63" s="197" t="s">
        <v>98</v>
      </c>
    </row>
    <row r="64" spans="1:12" s="36" customFormat="1" ht="15">
      <c r="A64" s="136" t="s">
        <v>71</v>
      </c>
      <c r="B64" s="235">
        <f>11.89*2</f>
        <v>23.78</v>
      </c>
      <c r="C64" s="248">
        <f>$C$76*H64</f>
        <v>0</v>
      </c>
      <c r="D64" s="248">
        <f>$C$86*I64</f>
        <v>0</v>
      </c>
      <c r="E64" s="248">
        <f>$G$86*J64</f>
        <v>0</v>
      </c>
      <c r="F64" s="248">
        <f>$K$86*K64</f>
        <v>0</v>
      </c>
      <c r="G64" s="109">
        <f>$K$86*L64</f>
        <v>0</v>
      </c>
      <c r="H64" s="246">
        <v>0</v>
      </c>
      <c r="I64" s="246">
        <v>0</v>
      </c>
      <c r="J64" s="246">
        <v>0</v>
      </c>
      <c r="K64" s="247">
        <v>0</v>
      </c>
      <c r="L64" s="187">
        <v>0</v>
      </c>
    </row>
    <row r="65" spans="1:12" s="36" customFormat="1" ht="15">
      <c r="A65" s="136"/>
      <c r="B65" s="120">
        <v>0</v>
      </c>
      <c r="C65" s="249">
        <f>$C$76*H65</f>
        <v>0</v>
      </c>
      <c r="D65" s="249">
        <f>$C$86*I65</f>
        <v>0</v>
      </c>
      <c r="E65" s="249">
        <f>$G$86*J65</f>
        <v>0</v>
      </c>
      <c r="F65" s="249">
        <f>$K$86*K65</f>
        <v>0</v>
      </c>
      <c r="G65" s="111">
        <f>$K$86*L65</f>
        <v>0</v>
      </c>
      <c r="H65" s="246">
        <v>0</v>
      </c>
      <c r="I65" s="246">
        <v>0</v>
      </c>
      <c r="J65" s="246">
        <v>0</v>
      </c>
      <c r="K65" s="247">
        <v>0</v>
      </c>
      <c r="L65" s="187">
        <v>0</v>
      </c>
    </row>
    <row r="66" spans="1:12" s="36" customFormat="1">
      <c r="A66" s="136"/>
      <c r="B66" s="42"/>
      <c r="C66" s="109">
        <f>SUM(C64:C65)</f>
        <v>0</v>
      </c>
      <c r="D66" s="109">
        <f>SUM(D64:D65)</f>
        <v>0</v>
      </c>
      <c r="E66" s="109">
        <f>SUM(E64:E65)</f>
        <v>0</v>
      </c>
      <c r="F66" s="109">
        <f>SUM(F64:F65)</f>
        <v>0</v>
      </c>
      <c r="G66" s="109">
        <f>SUM(G64:G65)</f>
        <v>0</v>
      </c>
      <c r="H66" s="80"/>
      <c r="I66" s="80"/>
      <c r="J66" s="80"/>
      <c r="K66" s="110"/>
      <c r="L66" s="110"/>
    </row>
    <row r="67" spans="1:12" s="36" customFormat="1">
      <c r="A67" s="230" t="s">
        <v>70</v>
      </c>
      <c r="B67" s="42"/>
      <c r="C67" s="109"/>
      <c r="D67" s="109"/>
      <c r="E67" s="109"/>
      <c r="F67" s="109"/>
      <c r="G67" s="109"/>
      <c r="H67" s="80"/>
      <c r="I67" s="80"/>
      <c r="J67" s="80"/>
      <c r="K67" s="110"/>
      <c r="L67" s="110"/>
    </row>
    <row r="68" spans="1:12" s="36" customFormat="1" ht="15">
      <c r="A68" s="136" t="s">
        <v>99</v>
      </c>
      <c r="B68" s="235">
        <v>0</v>
      </c>
      <c r="C68" s="248">
        <f>$C$77*H68</f>
        <v>0</v>
      </c>
      <c r="D68" s="248">
        <f>$C$87*I68</f>
        <v>0</v>
      </c>
      <c r="E68" s="248">
        <f>$G$87*J68</f>
        <v>0</v>
      </c>
      <c r="F68" s="248">
        <f t="shared" ref="F68:G71" si="13">$K$87*K68</f>
        <v>0</v>
      </c>
      <c r="G68" s="109">
        <f t="shared" si="13"/>
        <v>0</v>
      </c>
      <c r="H68" s="246">
        <v>0</v>
      </c>
      <c r="I68" s="246">
        <v>0</v>
      </c>
      <c r="J68" s="246">
        <v>0</v>
      </c>
      <c r="K68" s="247">
        <v>0</v>
      </c>
      <c r="L68" s="187">
        <v>0</v>
      </c>
    </row>
    <row r="69" spans="1:12" s="36" customFormat="1" ht="15">
      <c r="A69" s="136" t="s">
        <v>100</v>
      </c>
      <c r="B69" s="235">
        <f>116.72*2</f>
        <v>233.44</v>
      </c>
      <c r="C69" s="248">
        <f>$C$77*H69</f>
        <v>0</v>
      </c>
      <c r="D69" s="248">
        <f>$C$87*I69</f>
        <v>0</v>
      </c>
      <c r="E69" s="248">
        <f>$G$87*J69</f>
        <v>0</v>
      </c>
      <c r="F69" s="248">
        <f t="shared" si="13"/>
        <v>0</v>
      </c>
      <c r="G69" s="109">
        <f t="shared" si="13"/>
        <v>0</v>
      </c>
      <c r="H69" s="246">
        <v>0</v>
      </c>
      <c r="I69" s="246">
        <v>0</v>
      </c>
      <c r="J69" s="246">
        <v>0</v>
      </c>
      <c r="K69" s="247">
        <v>0</v>
      </c>
      <c r="L69" s="187">
        <v>0</v>
      </c>
    </row>
    <row r="70" spans="1:12" s="36" customFormat="1" ht="15">
      <c r="A70" s="136" t="s">
        <v>20</v>
      </c>
      <c r="B70" s="120">
        <v>0</v>
      </c>
      <c r="C70" s="248">
        <v>0</v>
      </c>
      <c r="D70" s="248">
        <f>$C$87*I70</f>
        <v>0</v>
      </c>
      <c r="E70" s="248">
        <f>$G$87*J70</f>
        <v>0</v>
      </c>
      <c r="F70" s="248">
        <f t="shared" si="13"/>
        <v>0</v>
      </c>
      <c r="G70" s="109">
        <f t="shared" si="13"/>
        <v>0</v>
      </c>
      <c r="H70" s="246">
        <v>0</v>
      </c>
      <c r="I70" s="246">
        <v>0</v>
      </c>
      <c r="J70" s="246">
        <v>0</v>
      </c>
      <c r="K70" s="247">
        <v>0</v>
      </c>
      <c r="L70" s="187">
        <v>0</v>
      </c>
    </row>
    <row r="71" spans="1:12" s="36" customFormat="1" ht="15">
      <c r="A71" s="136"/>
      <c r="B71" s="120">
        <v>0</v>
      </c>
      <c r="C71" s="249">
        <v>0</v>
      </c>
      <c r="D71" s="249">
        <f>$C$87*I71</f>
        <v>0</v>
      </c>
      <c r="E71" s="249">
        <f>$G$87*J71</f>
        <v>0</v>
      </c>
      <c r="F71" s="249">
        <f t="shared" si="13"/>
        <v>0</v>
      </c>
      <c r="G71" s="111">
        <f t="shared" si="13"/>
        <v>0</v>
      </c>
      <c r="H71" s="246">
        <v>0</v>
      </c>
      <c r="I71" s="246">
        <v>0</v>
      </c>
      <c r="J71" s="246">
        <v>0</v>
      </c>
      <c r="K71" s="247">
        <v>0</v>
      </c>
      <c r="L71" s="187">
        <v>0</v>
      </c>
    </row>
    <row r="72" spans="1:12" s="36" customFormat="1">
      <c r="A72" s="148"/>
      <c r="B72" s="42"/>
      <c r="C72" s="109">
        <f>SUM(C68:C71)</f>
        <v>0</v>
      </c>
      <c r="D72" s="109">
        <f>SUM(D68:D71)</f>
        <v>0</v>
      </c>
      <c r="E72" s="109">
        <f>SUM(E68:E71)</f>
        <v>0</v>
      </c>
      <c r="F72" s="109">
        <f>SUM(F68:F71)</f>
        <v>0</v>
      </c>
      <c r="G72" s="109">
        <f>SUM(G68:G71)</f>
        <v>0</v>
      </c>
      <c r="H72" s="80"/>
      <c r="I72" s="80"/>
      <c r="L72" s="119"/>
    </row>
    <row r="73" spans="1:12" s="36" customFormat="1">
      <c r="A73" s="148"/>
      <c r="B73" s="42"/>
      <c r="C73" s="109"/>
      <c r="D73" s="109"/>
      <c r="E73" s="109"/>
      <c r="F73" s="80"/>
      <c r="G73" s="80"/>
      <c r="H73" s="80"/>
      <c r="I73" s="80"/>
      <c r="L73" s="119"/>
    </row>
    <row r="74" spans="1:12" s="36" customFormat="1" ht="15">
      <c r="A74" s="6"/>
      <c r="B74" s="354" t="s">
        <v>95</v>
      </c>
      <c r="C74" s="354"/>
      <c r="D74" s="354"/>
      <c r="E74" s="37"/>
      <c r="F74" s="354" t="s">
        <v>96</v>
      </c>
      <c r="G74" s="354"/>
      <c r="H74" s="354"/>
      <c r="I74" s="185"/>
      <c r="L74" s="119"/>
    </row>
    <row r="75" spans="1:12" s="36" customFormat="1" ht="15" customHeight="1">
      <c r="A75" s="229"/>
      <c r="B75" s="278" t="s">
        <v>34</v>
      </c>
      <c r="C75" s="279" t="s">
        <v>35</v>
      </c>
      <c r="D75" s="35" t="s">
        <v>63</v>
      </c>
      <c r="E75" s="37"/>
      <c r="F75" s="35" t="s">
        <v>34</v>
      </c>
      <c r="G75" s="41" t="s">
        <v>35</v>
      </c>
      <c r="H75" s="35" t="s">
        <v>63</v>
      </c>
      <c r="I75" s="35"/>
      <c r="L75" s="119"/>
    </row>
    <row r="76" spans="1:12" s="36" customFormat="1" ht="15">
      <c r="A76" s="30" t="s">
        <v>66</v>
      </c>
      <c r="B76" s="280">
        <f>0.011</f>
        <v>1.0999999999999999E-2</v>
      </c>
      <c r="C76" s="242">
        <f>AVERAGE(3.6826,3.5997, 2.6808)</f>
        <v>3.3210333333333328</v>
      </c>
      <c r="D76" s="33">
        <f>B76*C76</f>
        <v>3.6531366666666662E-2</v>
      </c>
      <c r="F76" s="73">
        <v>0</v>
      </c>
      <c r="G76" s="118">
        <v>0</v>
      </c>
      <c r="H76" s="33">
        <f>F76*G76</f>
        <v>0</v>
      </c>
      <c r="I76" s="33"/>
      <c r="L76" s="119"/>
    </row>
    <row r="77" spans="1:12" s="36" customFormat="1" ht="15">
      <c r="A77" s="231" t="s">
        <v>69</v>
      </c>
      <c r="B77" s="272">
        <f>($B$68*$H$68+$B$69*$H$69+$B$70*$H$70+$B$71*$H$71)/2000</f>
        <v>0</v>
      </c>
      <c r="C77" s="242">
        <v>0</v>
      </c>
      <c r="D77" s="52">
        <f>B77*C77</f>
        <v>0</v>
      </c>
      <c r="F77" s="24">
        <f>($B$68*$L$68+$B$69*$L$69+$B$70*$L$70+$B$71*$L$71)/2000</f>
        <v>0</v>
      </c>
      <c r="G77" s="118">
        <v>0</v>
      </c>
      <c r="H77" s="52">
        <f>F77*G77</f>
        <v>0</v>
      </c>
      <c r="I77" s="52"/>
      <c r="L77" s="228"/>
    </row>
    <row r="78" spans="1:12" s="36" customFormat="1" ht="15">
      <c r="A78" s="30" t="s">
        <v>104</v>
      </c>
      <c r="B78" s="281">
        <v>1.8380000000000001</v>
      </c>
      <c r="C78" s="242">
        <v>8.0999999999999996E-3</v>
      </c>
      <c r="D78" s="52">
        <f>B78*C78</f>
        <v>1.48878E-2</v>
      </c>
      <c r="F78" s="24">
        <f>+B78</f>
        <v>1.8380000000000001</v>
      </c>
      <c r="G78" s="118">
        <v>0</v>
      </c>
      <c r="H78" s="52">
        <f>F78*G78</f>
        <v>0</v>
      </c>
      <c r="I78" s="52"/>
      <c r="L78" s="119"/>
    </row>
    <row r="79" spans="1:12" s="36" customFormat="1" ht="15">
      <c r="A79" s="30" t="s">
        <v>105</v>
      </c>
      <c r="B79" s="272">
        <f>750/1000</f>
        <v>0.75</v>
      </c>
      <c r="C79" s="242">
        <v>1.61E-2</v>
      </c>
      <c r="D79" s="52">
        <f t="shared" ref="D79:D80" si="14">B79*C79</f>
        <v>1.2074999999999999E-2</v>
      </c>
      <c r="F79" s="24">
        <f>+B79</f>
        <v>0.75</v>
      </c>
      <c r="G79" s="118">
        <v>0</v>
      </c>
      <c r="H79" s="52"/>
      <c r="I79" s="52"/>
      <c r="L79" s="119"/>
    </row>
    <row r="80" spans="1:12" s="36" customFormat="1" ht="16.5">
      <c r="A80" s="30" t="s">
        <v>103</v>
      </c>
      <c r="B80" s="272">
        <f>157.43/1000</f>
        <v>0.15743000000000001</v>
      </c>
      <c r="C80" s="242">
        <v>1.5699999999999999E-2</v>
      </c>
      <c r="D80" s="52">
        <f t="shared" si="14"/>
        <v>2.4716510000000001E-3</v>
      </c>
      <c r="F80" s="24">
        <f>+B80</f>
        <v>0.15743000000000001</v>
      </c>
      <c r="G80" s="118">
        <v>0</v>
      </c>
      <c r="H80" s="40">
        <v>0</v>
      </c>
      <c r="I80" s="40"/>
      <c r="L80" s="119"/>
    </row>
    <row r="82" spans="1:12" s="36" customFormat="1">
      <c r="A82" s="76" t="s">
        <v>67</v>
      </c>
      <c r="B82" s="74"/>
      <c r="C82" s="39"/>
      <c r="D82" s="38">
        <f>SUM(D76:D80)</f>
        <v>6.5965817666666662E-2</v>
      </c>
      <c r="F82" s="74"/>
      <c r="G82" s="39"/>
      <c r="H82" s="38">
        <f>SUM(H76:H80)</f>
        <v>0</v>
      </c>
      <c r="I82" s="38"/>
      <c r="L82" s="119"/>
    </row>
    <row r="83" spans="1:12" s="36" customFormat="1">
      <c r="A83" s="30"/>
      <c r="E83" s="37"/>
      <c r="F83" s="43"/>
      <c r="G83" s="42"/>
      <c r="H83" s="42"/>
      <c r="I83" s="42"/>
      <c r="L83" s="119"/>
    </row>
    <row r="84" spans="1:12" ht="15">
      <c r="A84" s="6"/>
      <c r="B84" s="354" t="s">
        <v>97</v>
      </c>
      <c r="C84" s="354"/>
      <c r="D84" s="354"/>
      <c r="E84" s="5"/>
      <c r="F84" s="354" t="s">
        <v>92</v>
      </c>
      <c r="G84" s="354"/>
      <c r="H84" s="354"/>
      <c r="I84" s="185"/>
      <c r="J84" s="354" t="s">
        <v>98</v>
      </c>
      <c r="K84" s="354"/>
      <c r="L84" s="355"/>
    </row>
    <row r="85" spans="1:12" ht="28.9" customHeight="1">
      <c r="A85" s="6"/>
      <c r="B85" s="35" t="s">
        <v>34</v>
      </c>
      <c r="C85" s="196" t="s">
        <v>101</v>
      </c>
      <c r="D85" s="35" t="s">
        <v>63</v>
      </c>
      <c r="F85" s="35" t="s">
        <v>34</v>
      </c>
      <c r="G85" s="41" t="s">
        <v>35</v>
      </c>
      <c r="H85" s="35" t="s">
        <v>63</v>
      </c>
      <c r="I85" s="35"/>
      <c r="J85" s="35" t="s">
        <v>34</v>
      </c>
      <c r="K85" s="41" t="s">
        <v>35</v>
      </c>
      <c r="L85" s="34" t="s">
        <v>63</v>
      </c>
    </row>
    <row r="86" spans="1:12" ht="15">
      <c r="A86" s="232" t="s">
        <v>68</v>
      </c>
      <c r="B86" s="73">
        <f>($B$64*$I$64+$B$65*$I$65)/2000</f>
        <v>0</v>
      </c>
      <c r="C86" s="118">
        <v>0</v>
      </c>
      <c r="D86" s="33">
        <f>B86*C86</f>
        <v>0</v>
      </c>
      <c r="F86" s="73">
        <f>($B$64*$J$64+$B$65*$J$65)/2000</f>
        <v>0</v>
      </c>
      <c r="G86" s="118">
        <v>0</v>
      </c>
      <c r="H86" s="89">
        <f>F86*G86</f>
        <v>0</v>
      </c>
      <c r="I86" s="89"/>
      <c r="J86" s="73">
        <f>($B$64*$K$64+$B$65*$K$65)/2000</f>
        <v>0</v>
      </c>
      <c r="K86" s="118">
        <v>0</v>
      </c>
      <c r="L86" s="50">
        <f>J86*K86</f>
        <v>0</v>
      </c>
    </row>
    <row r="87" spans="1:12" ht="15">
      <c r="A87" s="6" t="s">
        <v>69</v>
      </c>
      <c r="B87" s="24">
        <f>($B$68*$I$68+$B$69*$I$69+$B$70*$I$70+$B$71*$I$71)/2000</f>
        <v>0</v>
      </c>
      <c r="C87" s="118">
        <v>0</v>
      </c>
      <c r="D87" s="13">
        <f t="shared" ref="D87:D92" si="15">B87*C87</f>
        <v>0</v>
      </c>
      <c r="F87" s="24">
        <f>($B$68*$J$68+$B$69*$J$69+$B$70*$J$70+$B$71*$J$71)/2000</f>
        <v>0</v>
      </c>
      <c r="G87" s="118">
        <v>0</v>
      </c>
      <c r="H87" s="100">
        <f t="shared" ref="H87:H92" si="16">F87*G87</f>
        <v>0</v>
      </c>
      <c r="I87" s="13"/>
      <c r="J87" s="24">
        <f>($B$68*$K$68+$B$69*$K$69+$B$70*$K$70+$B$71*$K$71)/2000</f>
        <v>0</v>
      </c>
      <c r="K87" s="118">
        <v>0</v>
      </c>
      <c r="L87" s="31">
        <f t="shared" ref="L87:L94" si="17">J87*K87</f>
        <v>0</v>
      </c>
    </row>
    <row r="88" spans="1:12" ht="16.5">
      <c r="A88" s="30" t="s">
        <v>104</v>
      </c>
      <c r="B88" s="47">
        <v>2.54</v>
      </c>
      <c r="C88" s="118">
        <v>0</v>
      </c>
      <c r="D88" s="13">
        <f t="shared" si="15"/>
        <v>0</v>
      </c>
      <c r="F88" s="24">
        <f>+B88</f>
        <v>2.54</v>
      </c>
      <c r="G88" s="118">
        <v>0</v>
      </c>
      <c r="H88" s="100">
        <f t="shared" si="16"/>
        <v>0</v>
      </c>
      <c r="I88" s="88"/>
      <c r="J88" s="272">
        <v>1.964</v>
      </c>
      <c r="K88" s="118">
        <v>2.0848163962425278E-2</v>
      </c>
      <c r="L88" s="190">
        <f t="shared" si="17"/>
        <v>4.0945794022203247E-2</v>
      </c>
    </row>
    <row r="89" spans="1:12" ht="16.5">
      <c r="A89" s="30" t="s">
        <v>105</v>
      </c>
      <c r="B89" s="24">
        <f>750/1000</f>
        <v>0.75</v>
      </c>
      <c r="C89" s="118">
        <v>0</v>
      </c>
      <c r="D89" s="13">
        <f t="shared" si="15"/>
        <v>0</v>
      </c>
      <c r="F89" s="24">
        <f>+B89</f>
        <v>0.75</v>
      </c>
      <c r="G89" s="118">
        <v>0</v>
      </c>
      <c r="H89" s="100">
        <f t="shared" si="16"/>
        <v>0</v>
      </c>
      <c r="I89" s="88"/>
      <c r="J89" s="272">
        <v>0.59099999999999997</v>
      </c>
      <c r="K89" s="118">
        <v>3.101451750640478E-3</v>
      </c>
      <c r="L89" s="190">
        <f t="shared" si="17"/>
        <v>1.8329579846285225E-3</v>
      </c>
    </row>
    <row r="90" spans="1:12" ht="16.5">
      <c r="A90" s="30" t="s">
        <v>103</v>
      </c>
      <c r="B90" s="24">
        <f>157.43/1000</f>
        <v>0.15743000000000001</v>
      </c>
      <c r="C90" s="118">
        <v>0</v>
      </c>
      <c r="D90" s="13">
        <f t="shared" si="15"/>
        <v>0</v>
      </c>
      <c r="F90" s="24">
        <f>+B90</f>
        <v>0.15743000000000001</v>
      </c>
      <c r="G90" s="118">
        <v>0</v>
      </c>
      <c r="H90" s="100">
        <f t="shared" si="16"/>
        <v>0</v>
      </c>
      <c r="I90" s="88"/>
      <c r="J90" s="272">
        <v>0.105</v>
      </c>
      <c r="K90" s="118">
        <v>0.1</v>
      </c>
      <c r="L90" s="190">
        <f t="shared" si="17"/>
        <v>1.0500000000000001E-2</v>
      </c>
    </row>
    <row r="91" spans="1:12" ht="16.5">
      <c r="A91" s="30" t="s">
        <v>106</v>
      </c>
      <c r="B91" s="24"/>
      <c r="C91" s="118">
        <v>0</v>
      </c>
      <c r="D91" s="13">
        <f t="shared" si="15"/>
        <v>0</v>
      </c>
      <c r="F91" s="24">
        <f>+B91</f>
        <v>0</v>
      </c>
      <c r="G91" s="118">
        <v>0</v>
      </c>
      <c r="H91" s="100">
        <f t="shared" si="16"/>
        <v>0</v>
      </c>
      <c r="I91" s="88"/>
      <c r="J91" s="272">
        <v>1.0269999999999999</v>
      </c>
      <c r="K91" s="118">
        <v>2.1752348420153713E-3</v>
      </c>
      <c r="L91" s="190">
        <f t="shared" si="17"/>
        <v>2.2339661827497862E-3</v>
      </c>
    </row>
    <row r="92" spans="1:12" ht="16.5">
      <c r="A92" s="30" t="s">
        <v>107</v>
      </c>
      <c r="B92" s="24"/>
      <c r="C92" s="118">
        <v>0</v>
      </c>
      <c r="D92" s="13">
        <f t="shared" si="15"/>
        <v>0</v>
      </c>
      <c r="F92" s="24">
        <f>+B92</f>
        <v>0</v>
      </c>
      <c r="G92" s="118">
        <v>0</v>
      </c>
      <c r="H92" s="100">
        <f t="shared" si="16"/>
        <v>0</v>
      </c>
      <c r="I92" s="88"/>
      <c r="J92" s="272">
        <v>1.389</v>
      </c>
      <c r="K92" s="118">
        <v>2.3312553373185311E-3</v>
      </c>
      <c r="L92" s="190">
        <f t="shared" si="17"/>
        <v>3.2381136635354396E-3</v>
      </c>
    </row>
    <row r="93" spans="1:12" ht="16.5">
      <c r="A93" s="30" t="s">
        <v>108</v>
      </c>
      <c r="B93" s="239"/>
      <c r="C93" s="118"/>
      <c r="D93" s="13"/>
      <c r="F93" s="24"/>
      <c r="G93" s="118"/>
      <c r="H93" s="100"/>
      <c r="I93" s="88"/>
      <c r="J93" s="273">
        <v>18.84</v>
      </c>
      <c r="K93" s="118">
        <v>5.9999999999999995E-4</v>
      </c>
      <c r="L93" s="190">
        <f t="shared" si="17"/>
        <v>1.1303999999999998E-2</v>
      </c>
    </row>
    <row r="94" spans="1:12" ht="16.5">
      <c r="A94" s="30" t="s">
        <v>109</v>
      </c>
      <c r="B94" s="238"/>
      <c r="C94" s="118"/>
      <c r="D94" s="13"/>
      <c r="F94" s="24"/>
      <c r="G94" s="118"/>
      <c r="H94" s="100"/>
      <c r="I94" s="88"/>
      <c r="J94" s="274">
        <v>1.33</v>
      </c>
      <c r="K94" s="118">
        <v>5.9999999999999995E-4</v>
      </c>
      <c r="L94" s="190">
        <f t="shared" si="17"/>
        <v>7.9799999999999999E-4</v>
      </c>
    </row>
    <row r="95" spans="1:12" ht="16.5">
      <c r="A95" s="30"/>
      <c r="B95" s="191"/>
      <c r="C95" s="191"/>
      <c r="D95" s="40">
        <v>0</v>
      </c>
      <c r="F95" s="191"/>
      <c r="G95" s="191"/>
      <c r="H95" s="40">
        <v>0</v>
      </c>
      <c r="I95" s="88"/>
      <c r="J95" s="191"/>
      <c r="K95" s="191"/>
      <c r="L95" s="240">
        <v>0</v>
      </c>
    </row>
    <row r="96" spans="1:12">
      <c r="A96" s="83" t="s">
        <v>67</v>
      </c>
      <c r="B96" s="53"/>
      <c r="C96" s="75"/>
      <c r="D96" s="189">
        <f>SUM(D86:D95)</f>
        <v>0</v>
      </c>
      <c r="E96" s="53"/>
      <c r="F96" s="53"/>
      <c r="G96" s="75"/>
      <c r="H96" s="189">
        <f>SUM(H86:H95)</f>
        <v>0</v>
      </c>
      <c r="I96" s="123"/>
      <c r="J96" s="53"/>
      <c r="K96" s="75"/>
      <c r="L96" s="241">
        <f>SUM(L86:L95)</f>
        <v>7.0852831853116985E-2</v>
      </c>
    </row>
    <row r="98" spans="1:9">
      <c r="A98" s="356" t="s">
        <v>33</v>
      </c>
      <c r="B98" s="357"/>
      <c r="C98" s="357"/>
      <c r="D98" s="357"/>
      <c r="E98" s="357"/>
      <c r="F98" s="357"/>
      <c r="G98" s="357"/>
      <c r="H98" s="358"/>
    </row>
    <row r="99" spans="1:9" ht="14.65" customHeight="1">
      <c r="A99" s="71"/>
      <c r="B99" s="72"/>
      <c r="C99" s="72"/>
      <c r="D99" s="72"/>
      <c r="E99" s="72"/>
      <c r="F99" s="368" t="s">
        <v>53</v>
      </c>
      <c r="G99" s="368"/>
      <c r="H99" s="369"/>
    </row>
    <row r="100" spans="1:9" ht="15">
      <c r="A100" s="370" t="s">
        <v>55</v>
      </c>
      <c r="B100" s="371"/>
      <c r="C100" s="371"/>
      <c r="D100" s="371"/>
      <c r="E100" s="371"/>
      <c r="F100" s="368"/>
      <c r="G100" s="368"/>
      <c r="H100" s="369"/>
    </row>
    <row r="101" spans="1:9" ht="16.5">
      <c r="A101" s="16"/>
      <c r="B101" s="185" t="s">
        <v>56</v>
      </c>
      <c r="C101" s="185" t="s">
        <v>85</v>
      </c>
      <c r="D101" s="185" t="s">
        <v>32</v>
      </c>
      <c r="E101" s="185" t="s">
        <v>54</v>
      </c>
      <c r="F101" s="103">
        <v>1</v>
      </c>
      <c r="G101" s="128" t="s">
        <v>58</v>
      </c>
      <c r="H101" s="85">
        <f>(F101*C202*C204)+((F101*C202*C204*D113))</f>
        <v>345498296</v>
      </c>
    </row>
    <row r="102" spans="1:9" ht="15">
      <c r="A102" s="30" t="s">
        <v>95</v>
      </c>
      <c r="B102" s="28">
        <f>B54</f>
        <v>0</v>
      </c>
      <c r="C102" s="286">
        <v>550</v>
      </c>
      <c r="D102" s="28">
        <f>B102/C102</f>
        <v>0</v>
      </c>
      <c r="E102" s="21">
        <f t="shared" ref="E102:E108" si="18">D102/D$108</f>
        <v>0</v>
      </c>
      <c r="F102" s="86">
        <f>(F101*C202*C204*C116)+((F101*C202*C204*D113)*C118)</f>
        <v>18643340.973099794</v>
      </c>
      <c r="G102" s="5" t="s">
        <v>29</v>
      </c>
      <c r="H102" s="87">
        <f>F102/$H$101</f>
        <v>5.3960732046851527E-2</v>
      </c>
      <c r="I102" s="287" t="s">
        <v>120</v>
      </c>
    </row>
    <row r="103" spans="1:9" ht="15">
      <c r="A103" s="30" t="s">
        <v>96</v>
      </c>
      <c r="B103" s="43">
        <f t="shared" ref="B103:B107" si="19">B55</f>
        <v>0</v>
      </c>
      <c r="C103" s="108">
        <v>0</v>
      </c>
      <c r="D103" s="28">
        <v>0</v>
      </c>
      <c r="E103" s="21">
        <f t="shared" si="18"/>
        <v>0</v>
      </c>
      <c r="F103" s="195">
        <f>F102*C206</f>
        <v>5593002.2919299379</v>
      </c>
      <c r="G103" s="5" t="s">
        <v>28</v>
      </c>
      <c r="H103" s="87">
        <f>F103/$H$101</f>
        <v>1.6188219614055456E-2</v>
      </c>
    </row>
    <row r="104" spans="1:9" ht="15">
      <c r="A104" s="30" t="s">
        <v>97</v>
      </c>
      <c r="B104" s="43">
        <f t="shared" si="19"/>
        <v>0</v>
      </c>
      <c r="C104" s="108">
        <v>0</v>
      </c>
      <c r="D104" s="28">
        <v>0</v>
      </c>
      <c r="E104" s="21">
        <f t="shared" si="18"/>
        <v>0</v>
      </c>
      <c r="F104" s="86"/>
      <c r="G104" s="5"/>
      <c r="H104" s="87"/>
    </row>
    <row r="105" spans="1:9" ht="15">
      <c r="A105" s="30" t="s">
        <v>92</v>
      </c>
      <c r="B105" s="43">
        <f t="shared" si="19"/>
        <v>0</v>
      </c>
      <c r="C105" s="108">
        <v>0</v>
      </c>
      <c r="D105" s="28">
        <v>0</v>
      </c>
      <c r="E105" s="21">
        <f t="shared" si="18"/>
        <v>0</v>
      </c>
      <c r="F105" s="86"/>
      <c r="G105" s="5"/>
      <c r="H105" s="87"/>
    </row>
    <row r="106" spans="1:9" ht="15">
      <c r="A106" s="30" t="s">
        <v>90</v>
      </c>
      <c r="B106" s="43">
        <f t="shared" si="19"/>
        <v>4900</v>
      </c>
      <c r="C106" s="286">
        <v>110</v>
      </c>
      <c r="D106" s="28">
        <f t="shared" ref="D106" si="20">B106/C106</f>
        <v>44.545454545454547</v>
      </c>
      <c r="E106" s="21">
        <f>D106/D$108</f>
        <v>1</v>
      </c>
      <c r="F106" s="86"/>
      <c r="G106" s="5"/>
      <c r="H106" s="87"/>
      <c r="I106" s="287" t="s">
        <v>119</v>
      </c>
    </row>
    <row r="107" spans="1:9" ht="15">
      <c r="A107" s="83" t="s">
        <v>20</v>
      </c>
      <c r="B107" s="112">
        <f t="shared" si="19"/>
        <v>0</v>
      </c>
      <c r="C107" s="108">
        <v>0</v>
      </c>
      <c r="D107" s="106">
        <v>0</v>
      </c>
      <c r="E107" s="107">
        <f t="shared" si="18"/>
        <v>0</v>
      </c>
      <c r="H107" s="12"/>
    </row>
    <row r="108" spans="1:9">
      <c r="A108" s="96"/>
      <c r="B108" s="69">
        <f>SUM(B102:B107)</f>
        <v>4900</v>
      </c>
      <c r="C108" s="70">
        <f>B108/D108</f>
        <v>110</v>
      </c>
      <c r="D108" s="70">
        <f>SUM(D102:D107)</f>
        <v>44.545454545454547</v>
      </c>
      <c r="E108" s="314">
        <f t="shared" si="18"/>
        <v>1</v>
      </c>
      <c r="H108" s="27"/>
    </row>
    <row r="109" spans="1:9">
      <c r="A109" s="315" t="s">
        <v>115</v>
      </c>
      <c r="B109" s="69"/>
      <c r="C109" s="70"/>
      <c r="D109" s="70"/>
      <c r="E109" s="314"/>
      <c r="F109" s="4"/>
      <c r="G109" s="4"/>
      <c r="H109" s="316"/>
    </row>
    <row r="110" spans="1:9" ht="15">
      <c r="A110" s="6"/>
      <c r="B110" s="289"/>
      <c r="C110" s="289"/>
      <c r="D110" s="289"/>
      <c r="E110" s="289"/>
      <c r="F110" s="289"/>
      <c r="G110" s="289"/>
      <c r="H110" s="290"/>
    </row>
    <row r="111" spans="1:9">
      <c r="A111" s="6"/>
      <c r="B111" s="352"/>
      <c r="C111" s="352"/>
      <c r="D111" s="352"/>
      <c r="F111" s="352"/>
      <c r="G111" s="352"/>
      <c r="H111" s="353"/>
    </row>
    <row r="112" spans="1:9" ht="15">
      <c r="A112" s="6"/>
      <c r="B112" t="s">
        <v>125</v>
      </c>
      <c r="C112" t="s">
        <v>126</v>
      </c>
      <c r="D112" t="s">
        <v>127</v>
      </c>
      <c r="E112" t="s">
        <v>128</v>
      </c>
      <c r="F112" s="317" t="s">
        <v>129</v>
      </c>
      <c r="G112" s="317" t="s">
        <v>130</v>
      </c>
      <c r="H112" s="291" t="s">
        <v>131</v>
      </c>
    </row>
    <row r="113" spans="1:30" ht="15">
      <c r="A113" s="292" t="s">
        <v>31</v>
      </c>
      <c r="B113" s="293">
        <v>119702.77</v>
      </c>
      <c r="C113" s="293">
        <v>140371.43</v>
      </c>
      <c r="D113" s="293">
        <v>166103.95000000001</v>
      </c>
      <c r="E113" s="293">
        <v>166766.85999999999</v>
      </c>
      <c r="F113" s="294">
        <v>105842.43</v>
      </c>
      <c r="G113" s="294">
        <v>147383.65</v>
      </c>
      <c r="H113" s="295">
        <v>163283.07</v>
      </c>
      <c r="U113" s="178"/>
      <c r="V113" s="178"/>
      <c r="W113" s="178"/>
      <c r="X113" s="178"/>
      <c r="Z113" s="178"/>
      <c r="AA113" s="166"/>
      <c r="AB113" s="180"/>
      <c r="AC113" s="152"/>
      <c r="AD113" s="93"/>
    </row>
    <row r="114" spans="1:30" ht="15">
      <c r="A114" s="292" t="s">
        <v>30</v>
      </c>
      <c r="B114" s="293">
        <v>15222.93</v>
      </c>
      <c r="C114" s="293">
        <v>23913.55</v>
      </c>
      <c r="D114" s="293">
        <v>19670.79</v>
      </c>
      <c r="E114" s="293">
        <v>41336.57</v>
      </c>
      <c r="F114" s="294">
        <v>23672.31</v>
      </c>
      <c r="G114" s="294">
        <v>9419.99</v>
      </c>
      <c r="H114" s="295">
        <v>18308.82</v>
      </c>
      <c r="U114" s="178"/>
      <c r="V114" s="178"/>
      <c r="W114" s="178"/>
      <c r="X114" s="178"/>
      <c r="Z114" s="178"/>
      <c r="AA114" s="166"/>
      <c r="AB114" s="180"/>
      <c r="AC114" s="152"/>
      <c r="AD114" s="93"/>
    </row>
    <row r="115" spans="1:30" ht="15">
      <c r="A115" s="292" t="s">
        <v>28</v>
      </c>
      <c r="B115" s="293">
        <v>11228.99</v>
      </c>
      <c r="C115" s="293">
        <v>10794.51</v>
      </c>
      <c r="D115" s="293">
        <v>10146.4</v>
      </c>
      <c r="E115" s="293">
        <v>8112.73</v>
      </c>
      <c r="F115" s="294">
        <v>-1917.2</v>
      </c>
      <c r="G115" s="294">
        <v>49379.56</v>
      </c>
      <c r="H115" s="295">
        <v>50660.85</v>
      </c>
      <c r="U115" s="178"/>
      <c r="V115" s="178"/>
      <c r="W115" s="178"/>
      <c r="X115" s="178"/>
      <c r="Z115" s="178"/>
      <c r="AA115" s="166"/>
      <c r="AB115" s="180"/>
      <c r="AC115" s="152"/>
      <c r="AD115" s="93"/>
    </row>
    <row r="116" spans="1:30" ht="16.5">
      <c r="A116" s="296" t="s">
        <v>5</v>
      </c>
      <c r="B116" s="293">
        <v>3928.57</v>
      </c>
      <c r="C116" s="293">
        <v>-3928.57</v>
      </c>
      <c r="D116" s="293">
        <v>0</v>
      </c>
      <c r="E116" s="293">
        <v>-1311.46</v>
      </c>
      <c r="F116" s="294">
        <v>841.1</v>
      </c>
      <c r="G116" s="294">
        <v>0</v>
      </c>
      <c r="H116" s="295">
        <v>0</v>
      </c>
      <c r="I116" s="62"/>
      <c r="U116" s="179"/>
      <c r="V116" s="179"/>
      <c r="W116" s="179"/>
      <c r="X116" s="179"/>
      <c r="Z116" s="179"/>
      <c r="AA116" s="166"/>
      <c r="AB116" s="180"/>
      <c r="AC116" s="152"/>
      <c r="AD116" s="93"/>
    </row>
    <row r="117" spans="1:30" ht="16.5">
      <c r="A117" s="296" t="s">
        <v>132</v>
      </c>
      <c r="B117">
        <v>37953</v>
      </c>
      <c r="C117">
        <v>21274</v>
      </c>
      <c r="D117">
        <v>55365</v>
      </c>
      <c r="E117">
        <v>3960</v>
      </c>
      <c r="F117">
        <v>26641</v>
      </c>
      <c r="G117">
        <v>11698</v>
      </c>
      <c r="H117" s="318">
        <v>35168</v>
      </c>
      <c r="I117" s="62"/>
      <c r="U117" s="179"/>
      <c r="V117" s="179"/>
      <c r="W117" s="179"/>
      <c r="X117" s="179"/>
      <c r="Z117" s="179"/>
      <c r="AA117" s="166"/>
      <c r="AB117" s="180"/>
      <c r="AC117" s="152"/>
      <c r="AD117" s="93"/>
    </row>
    <row r="118" spans="1:30" ht="15">
      <c r="A118" s="296" t="s">
        <v>133</v>
      </c>
      <c r="B118" s="297">
        <f>B115/(B113+B114+B116-B117)</f>
        <v>0.11128690451567158</v>
      </c>
      <c r="C118" s="297">
        <f t="shared" ref="C118:H118" si="21">C115/(C113+C114+C116-C117)</f>
        <v>7.7612330703789228E-2</v>
      </c>
      <c r="D118" s="297">
        <f t="shared" si="21"/>
        <v>7.7804004516840525E-2</v>
      </c>
      <c r="E118" s="297">
        <f t="shared" si="21"/>
        <v>3.9997294312134321E-2</v>
      </c>
      <c r="F118" s="297">
        <f t="shared" si="21"/>
        <v>-1.848530065707087E-2</v>
      </c>
      <c r="G118" s="297">
        <f t="shared" si="21"/>
        <v>0.34030076294760153</v>
      </c>
      <c r="H118" s="300">
        <f t="shared" si="21"/>
        <v>0.34598759806203749</v>
      </c>
      <c r="U118" s="168"/>
      <c r="V118" s="168"/>
      <c r="W118" s="168"/>
      <c r="X118" s="168"/>
      <c r="Z118" s="168"/>
      <c r="AA118" s="151"/>
      <c r="AB118" s="177"/>
      <c r="AC118" s="181"/>
      <c r="AD118" s="5"/>
    </row>
    <row r="119" spans="1:30" ht="15">
      <c r="A119" s="296"/>
      <c r="B119" s="297"/>
      <c r="C119" s="297"/>
      <c r="D119" s="297"/>
      <c r="E119" s="297"/>
      <c r="F119" s="297"/>
      <c r="G119" s="297"/>
      <c r="H119" s="300"/>
    </row>
    <row r="120" spans="1:30">
      <c r="A120" s="6"/>
      <c r="B120" s="43"/>
      <c r="C120" s="301"/>
      <c r="D120" s="15" t="s">
        <v>134</v>
      </c>
      <c r="E120" s="63"/>
      <c r="F120" s="43" t="s">
        <v>135</v>
      </c>
      <c r="G120" s="301"/>
      <c r="H120" s="302"/>
    </row>
    <row r="121" spans="1:30" ht="15">
      <c r="A121" s="292" t="s">
        <v>136</v>
      </c>
      <c r="B121" s="303">
        <v>28</v>
      </c>
      <c r="C121" s="29"/>
      <c r="D121" s="26">
        <f>(AVERAGE((C113-C117),(G113-G117),(H113-H117)))/B121</f>
        <v>4558.3113095238095</v>
      </c>
      <c r="E121" s="63"/>
      <c r="F121" s="304">
        <f>D121*B121</f>
        <v>127632.71666666667</v>
      </c>
      <c r="G121" s="29"/>
      <c r="H121" s="12"/>
      <c r="S121" s="57"/>
      <c r="T121" s="372"/>
      <c r="U121" s="372"/>
      <c r="V121" s="372"/>
      <c r="W121" s="372"/>
      <c r="X121" s="372"/>
      <c r="Y121" s="372"/>
      <c r="Z121" s="372"/>
      <c r="AA121" s="372"/>
      <c r="AB121" s="372"/>
      <c r="AC121" s="372"/>
      <c r="AD121" s="372"/>
    </row>
    <row r="122" spans="1:30" ht="15">
      <c r="A122" s="292" t="s">
        <v>137</v>
      </c>
      <c r="B122" s="303">
        <v>2</v>
      </c>
      <c r="C122" s="78"/>
      <c r="D122" s="26">
        <f>AVERAGE(G114)/B122</f>
        <v>4709.9949999999999</v>
      </c>
      <c r="E122" s="63"/>
      <c r="F122" s="304">
        <f>D122*B122</f>
        <v>9419.99</v>
      </c>
      <c r="G122" s="305"/>
      <c r="H122" s="12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</row>
    <row r="123" spans="1:30">
      <c r="A123" s="76"/>
      <c r="B123" s="117"/>
      <c r="C123" s="284"/>
      <c r="D123" s="306"/>
      <c r="E123" s="63"/>
      <c r="F123" s="307"/>
      <c r="G123" s="319"/>
      <c r="H123" s="308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</row>
    <row r="124" spans="1:30">
      <c r="A124" s="309" t="s">
        <v>138</v>
      </c>
      <c r="B124" s="117">
        <v>15</v>
      </c>
      <c r="C124" s="284"/>
      <c r="D124" s="26">
        <f>D121</f>
        <v>4558.3113095238095</v>
      </c>
      <c r="E124" s="63"/>
      <c r="F124" s="304">
        <f>D124*B124</f>
        <v>68374.669642857145</v>
      </c>
      <c r="G124" s="91"/>
      <c r="H124" s="308"/>
      <c r="I124" s="63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</row>
    <row r="125" spans="1:30">
      <c r="A125" s="309" t="s">
        <v>139</v>
      </c>
      <c r="B125" s="117">
        <v>3</v>
      </c>
      <c r="C125" s="284"/>
      <c r="D125" s="26">
        <f>D122</f>
        <v>4709.9949999999999</v>
      </c>
      <c r="E125" s="63"/>
      <c r="F125" s="304">
        <f>D125*B125</f>
        <v>14129.985000000001</v>
      </c>
      <c r="G125" s="319"/>
      <c r="H125" s="310"/>
      <c r="I125" s="63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</row>
    <row r="126" spans="1:30">
      <c r="A126" s="6"/>
      <c r="B126" s="320"/>
      <c r="F126" s="311"/>
      <c r="H126" s="12"/>
      <c r="I126" s="63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</row>
    <row r="127" spans="1:30">
      <c r="A127" s="6" t="s">
        <v>140</v>
      </c>
      <c r="B127" s="43">
        <f>B121+B124</f>
        <v>43</v>
      </c>
      <c r="C127" s="29"/>
      <c r="D127" s="26">
        <f>D124</f>
        <v>4558.3113095238095</v>
      </c>
      <c r="F127" s="312">
        <f>D127*B127</f>
        <v>196007.3863095238</v>
      </c>
      <c r="H127" s="12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</row>
    <row r="128" spans="1:30">
      <c r="A128" s="6" t="s">
        <v>141</v>
      </c>
      <c r="B128" s="43">
        <f>B122+B125</f>
        <v>5</v>
      </c>
      <c r="C128" s="78"/>
      <c r="D128" s="26">
        <f>D125</f>
        <v>4709.9949999999999</v>
      </c>
      <c r="F128" s="312">
        <f>D128*B128</f>
        <v>23549.974999999999</v>
      </c>
      <c r="H128" s="12"/>
      <c r="S128" s="58"/>
      <c r="T128" s="58"/>
      <c r="U128" s="58"/>
      <c r="V128" s="58"/>
      <c r="W128" s="58"/>
      <c r="X128" s="58"/>
      <c r="Y128" s="58"/>
      <c r="Z128" s="58"/>
      <c r="AA128" s="58"/>
      <c r="AB128" s="59"/>
      <c r="AC128" s="58"/>
      <c r="AD128" s="58"/>
    </row>
    <row r="129" spans="1:8">
      <c r="A129" s="76" t="s">
        <v>132</v>
      </c>
      <c r="B129" s="43"/>
      <c r="C129" s="29"/>
      <c r="D129" s="77"/>
      <c r="F129" s="313">
        <v>0</v>
      </c>
      <c r="H129" s="12"/>
    </row>
    <row r="130" spans="1:8" ht="16.5" customHeight="1">
      <c r="A130" s="83" t="s">
        <v>28</v>
      </c>
      <c r="B130" s="321"/>
      <c r="C130" s="322"/>
      <c r="D130" s="323"/>
      <c r="E130" s="10"/>
      <c r="F130" s="324">
        <f>(F127+F128)*0.29</f>
        <v>63671.634779761902</v>
      </c>
      <c r="G130" s="10"/>
      <c r="H130" s="9"/>
    </row>
    <row r="131" spans="1:8">
      <c r="A131" s="283"/>
      <c r="B131" s="117"/>
      <c r="C131" s="284"/>
      <c r="D131" s="285"/>
      <c r="E131" s="63"/>
    </row>
    <row r="132" spans="1:8">
      <c r="A132" s="283"/>
      <c r="B132" s="117"/>
      <c r="C132" s="284"/>
      <c r="D132" s="285"/>
      <c r="E132" s="63"/>
    </row>
    <row r="133" spans="1:8">
      <c r="A133" s="283"/>
      <c r="B133" s="117"/>
      <c r="C133" s="284"/>
      <c r="D133" s="285"/>
      <c r="E133" s="63"/>
    </row>
    <row r="134" spans="1:8">
      <c r="A134" s="315" t="s">
        <v>116</v>
      </c>
      <c r="B134" s="69"/>
      <c r="C134" s="70"/>
      <c r="D134" s="70"/>
      <c r="E134" s="314"/>
      <c r="F134" s="4"/>
      <c r="G134" s="4"/>
      <c r="H134" s="316"/>
    </row>
    <row r="135" spans="1:8" ht="15">
      <c r="A135" s="6"/>
      <c r="B135" s="289"/>
      <c r="C135" s="289"/>
      <c r="D135" s="289"/>
      <c r="E135" s="289"/>
      <c r="F135" s="289"/>
      <c r="G135" s="289"/>
      <c r="H135" s="290"/>
    </row>
    <row r="136" spans="1:8">
      <c r="A136" s="6"/>
      <c r="B136" s="352"/>
      <c r="C136" s="352"/>
      <c r="D136" s="352"/>
      <c r="F136" s="352"/>
      <c r="G136" s="352"/>
      <c r="H136" s="353"/>
    </row>
    <row r="137" spans="1:8" ht="15">
      <c r="A137" s="6"/>
      <c r="B137" t="s">
        <v>125</v>
      </c>
      <c r="C137" t="s">
        <v>126</v>
      </c>
      <c r="D137" t="s">
        <v>127</v>
      </c>
      <c r="E137" t="s">
        <v>128</v>
      </c>
      <c r="F137" t="s">
        <v>129</v>
      </c>
      <c r="G137" s="317" t="s">
        <v>130</v>
      </c>
      <c r="H137" s="291" t="s">
        <v>131</v>
      </c>
    </row>
    <row r="138" spans="1:8" ht="15">
      <c r="A138" s="292" t="s">
        <v>31</v>
      </c>
      <c r="B138" s="294">
        <v>268968.01</v>
      </c>
      <c r="C138" s="294">
        <v>288390.24</v>
      </c>
      <c r="D138" s="293">
        <v>154345.41</v>
      </c>
      <c r="E138" s="293">
        <v>13412.75</v>
      </c>
      <c r="F138" s="325">
        <v>229529.76</v>
      </c>
      <c r="G138" s="294">
        <v>274156.28999999998</v>
      </c>
      <c r="H138" s="295">
        <v>267092.21000000002</v>
      </c>
    </row>
    <row r="139" spans="1:8" ht="15">
      <c r="A139" s="292" t="s">
        <v>30</v>
      </c>
      <c r="B139" s="294">
        <v>67812.91</v>
      </c>
      <c r="C139" s="294">
        <v>64354.51</v>
      </c>
      <c r="D139" s="293">
        <v>40616.39</v>
      </c>
      <c r="E139" s="293">
        <v>14950.76</v>
      </c>
      <c r="F139" s="325">
        <v>74301.16</v>
      </c>
      <c r="G139" s="294">
        <v>85619.44</v>
      </c>
      <c r="H139" s="295">
        <v>74393.95</v>
      </c>
    </row>
    <row r="140" spans="1:8" ht="15">
      <c r="A140" s="292" t="s">
        <v>28</v>
      </c>
      <c r="B140" s="294">
        <v>102162.56</v>
      </c>
      <c r="C140" s="294">
        <v>97023.8</v>
      </c>
      <c r="D140" s="293">
        <v>87771.29</v>
      </c>
      <c r="E140" s="293">
        <v>18740.91</v>
      </c>
      <c r="F140" s="325">
        <v>135347.70000000001</v>
      </c>
      <c r="G140" s="294">
        <v>89284.14</v>
      </c>
      <c r="H140" s="295">
        <v>88862.54</v>
      </c>
    </row>
    <row r="141" spans="1:8" ht="15">
      <c r="A141" s="292" t="s">
        <v>5</v>
      </c>
      <c r="B141" s="294">
        <v>6248.2</v>
      </c>
      <c r="C141" s="294">
        <v>7823.13</v>
      </c>
      <c r="D141" s="293">
        <v>4541.8500000000004</v>
      </c>
      <c r="E141" s="293">
        <v>10625.36</v>
      </c>
      <c r="F141" s="325">
        <v>11684.3</v>
      </c>
      <c r="G141" s="294">
        <v>7724.39</v>
      </c>
      <c r="H141" s="295">
        <v>6820.85</v>
      </c>
    </row>
    <row r="142" spans="1:8" ht="15">
      <c r="A142" s="296" t="s">
        <v>132</v>
      </c>
      <c r="B142" s="317">
        <v>35640</v>
      </c>
      <c r="C142" s="317">
        <v>61311</v>
      </c>
      <c r="D142">
        <v>50554</v>
      </c>
      <c r="E142"/>
      <c r="F142">
        <v>65416</v>
      </c>
      <c r="G142">
        <v>62538</v>
      </c>
      <c r="H142" s="318">
        <v>37211</v>
      </c>
    </row>
    <row r="143" spans="1:8" ht="15">
      <c r="A143" s="296" t="s">
        <v>133</v>
      </c>
      <c r="B143" s="298">
        <f>B140/(B138+B139-B142+B141)</f>
        <v>0.3323558101210608</v>
      </c>
      <c r="C143" s="298">
        <f t="shared" ref="C143:H143" si="22">C140/(C138+C139-C142+C141)</f>
        <v>0.3242157707451872</v>
      </c>
      <c r="D143" s="298">
        <f t="shared" si="22"/>
        <v>0.58926818559157401</v>
      </c>
      <c r="E143" s="298">
        <f t="shared" si="22"/>
        <v>0.48067333061973838</v>
      </c>
      <c r="F143" s="298">
        <f t="shared" si="22"/>
        <v>0.54117601806195159</v>
      </c>
      <c r="G143" s="298">
        <f t="shared" si="22"/>
        <v>0.29277124647480807</v>
      </c>
      <c r="H143" s="299">
        <f t="shared" si="22"/>
        <v>0.28564345778655276</v>
      </c>
    </row>
    <row r="145" spans="1:10">
      <c r="A145" s="6"/>
      <c r="B145" s="43"/>
      <c r="C145" s="301"/>
      <c r="D145" s="15" t="s">
        <v>134</v>
      </c>
      <c r="E145" s="63"/>
      <c r="F145" s="43" t="s">
        <v>135</v>
      </c>
      <c r="G145" s="301"/>
      <c r="H145" s="302"/>
      <c r="J145" s="283"/>
    </row>
    <row r="146" spans="1:10" ht="15">
      <c r="A146" s="292" t="s">
        <v>136</v>
      </c>
      <c r="B146" s="303">
        <v>46</v>
      </c>
      <c r="C146" s="29"/>
      <c r="D146" s="26">
        <f>(AVERAGE((B138-B142),(C138-C142),(G138-G142),(H138-H142)))/B146</f>
        <v>4901.667119565217</v>
      </c>
      <c r="E146" s="63"/>
      <c r="F146" s="304">
        <f>D146*B146</f>
        <v>225476.68749999997</v>
      </c>
      <c r="G146" s="29"/>
      <c r="H146" s="326"/>
      <c r="J146" s="283"/>
    </row>
    <row r="147" spans="1:10" ht="15">
      <c r="A147" s="292" t="s">
        <v>137</v>
      </c>
      <c r="B147" s="303">
        <v>16</v>
      </c>
      <c r="C147" s="78"/>
      <c r="D147" s="26">
        <f>AVERAGE($G$99:$H$99,B139:C139)/B147</f>
        <v>4130.2318750000004</v>
      </c>
      <c r="E147" s="63"/>
      <c r="F147" s="304">
        <f>D147*B147</f>
        <v>66083.710000000006</v>
      </c>
      <c r="G147" s="305"/>
      <c r="H147" s="12"/>
      <c r="J147" s="283"/>
    </row>
    <row r="148" spans="1:10">
      <c r="A148" s="76"/>
      <c r="B148" s="117"/>
      <c r="C148" s="284"/>
      <c r="D148" s="306"/>
      <c r="E148" s="63"/>
      <c r="F148" s="307"/>
      <c r="G148" s="319"/>
      <c r="H148" s="308"/>
      <c r="J148" s="283"/>
    </row>
    <row r="149" spans="1:10">
      <c r="A149" s="309" t="s">
        <v>138</v>
      </c>
      <c r="B149" s="117">
        <v>6</v>
      </c>
      <c r="C149" s="284"/>
      <c r="D149" s="26">
        <f>D146</f>
        <v>4901.667119565217</v>
      </c>
      <c r="E149" s="63"/>
      <c r="F149" s="304">
        <f>D149*B149</f>
        <v>29410.002717391304</v>
      </c>
      <c r="G149" s="91"/>
      <c r="H149" s="308"/>
      <c r="J149" s="283"/>
    </row>
    <row r="150" spans="1:10">
      <c r="A150" s="309" t="s">
        <v>139</v>
      </c>
      <c r="B150" s="117">
        <v>6</v>
      </c>
      <c r="C150" s="284"/>
      <c r="D150" s="26">
        <f>D147</f>
        <v>4130.2318750000004</v>
      </c>
      <c r="E150" s="63"/>
      <c r="F150" s="304">
        <f>D150*B150</f>
        <v>24781.391250000001</v>
      </c>
      <c r="G150" s="319"/>
      <c r="H150" s="310"/>
      <c r="J150" s="283"/>
    </row>
    <row r="151" spans="1:10">
      <c r="A151" s="6"/>
      <c r="B151" s="320"/>
      <c r="F151" s="311"/>
      <c r="H151" s="12"/>
      <c r="J151" s="283"/>
    </row>
    <row r="152" spans="1:10">
      <c r="A152" s="6" t="s">
        <v>140</v>
      </c>
      <c r="B152" s="43">
        <f>B146+B149</f>
        <v>52</v>
      </c>
      <c r="C152" s="29"/>
      <c r="D152" s="26">
        <f>D146</f>
        <v>4901.667119565217</v>
      </c>
      <c r="F152" s="312">
        <f>D152*B152</f>
        <v>254886.6902173913</v>
      </c>
      <c r="H152" s="12"/>
      <c r="J152" s="283"/>
    </row>
    <row r="153" spans="1:10">
      <c r="A153" s="6" t="s">
        <v>141</v>
      </c>
      <c r="B153" s="43">
        <f>B147+B150</f>
        <v>22</v>
      </c>
      <c r="C153" s="78"/>
      <c r="D153" s="26">
        <f>D146</f>
        <v>4901.667119565217</v>
      </c>
      <c r="F153" s="312">
        <f>D153*B153</f>
        <v>107836.67663043477</v>
      </c>
      <c r="H153" s="12"/>
      <c r="J153" s="283"/>
    </row>
    <row r="154" spans="1:10">
      <c r="A154" s="76" t="s">
        <v>5</v>
      </c>
      <c r="B154" s="43"/>
      <c r="C154" s="29"/>
      <c r="D154" s="77"/>
      <c r="F154" s="313">
        <v>7154</v>
      </c>
      <c r="H154" s="12"/>
      <c r="J154" s="283"/>
    </row>
    <row r="155" spans="1:10" ht="15">
      <c r="A155" s="83" t="s">
        <v>28</v>
      </c>
      <c r="B155" s="321"/>
      <c r="C155" s="322"/>
      <c r="D155" s="323"/>
      <c r="E155" s="10"/>
      <c r="F155" s="324">
        <f>(F152+F153+F154)*0.3</f>
        <v>110963.21005434782</v>
      </c>
      <c r="G155" s="10"/>
      <c r="H155" s="9"/>
      <c r="J155" s="283"/>
    </row>
    <row r="156" spans="1:10">
      <c r="A156" s="283"/>
      <c r="B156" s="117"/>
      <c r="C156" s="284"/>
      <c r="D156" s="285"/>
      <c r="E156" s="63"/>
      <c r="J156" s="283"/>
    </row>
    <row r="157" spans="1:10" ht="12.75" customHeight="1">
      <c r="J157" s="57"/>
    </row>
    <row r="158" spans="1:10" ht="15">
      <c r="A158" s="55" t="s">
        <v>26</v>
      </c>
      <c r="B158" s="183"/>
      <c r="C158" s="183"/>
      <c r="D158" s="132">
        <v>4.5</v>
      </c>
      <c r="E158" s="183"/>
      <c r="F158" s="183"/>
      <c r="G158" s="245"/>
      <c r="H158" s="183"/>
      <c r="I158" s="4"/>
      <c r="J158" s="131"/>
    </row>
    <row r="159" spans="1:10" ht="15">
      <c r="A159" s="6"/>
      <c r="B159" s="374" t="s">
        <v>25</v>
      </c>
      <c r="C159" s="375"/>
      <c r="D159" s="132">
        <v>4.5</v>
      </c>
      <c r="E159" s="374" t="s">
        <v>24</v>
      </c>
      <c r="F159" s="375"/>
      <c r="G159" s="132">
        <f>762256/10182780</f>
        <v>7.4857357224647883E-2</v>
      </c>
      <c r="H159" s="376" t="s">
        <v>86</v>
      </c>
      <c r="I159" s="377"/>
      <c r="J159" s="244">
        <f>30000*365</f>
        <v>10950000</v>
      </c>
    </row>
    <row r="160" spans="1:10">
      <c r="A160" s="6"/>
      <c r="B160" s="5"/>
      <c r="C160" s="5"/>
      <c r="D160" s="5"/>
      <c r="E160" s="5"/>
      <c r="F160" s="5"/>
      <c r="G160" s="5"/>
      <c r="H160" s="378" t="s">
        <v>87</v>
      </c>
      <c r="I160" s="379"/>
      <c r="J160" s="135">
        <f>ROUND(J159/B49/1000,3)</f>
        <v>2.2349999999999999</v>
      </c>
    </row>
    <row r="161" spans="1:10" ht="15" customHeight="1">
      <c r="A161" s="6"/>
      <c r="B161" s="380" t="s">
        <v>95</v>
      </c>
      <c r="C161" s="381"/>
      <c r="D161" s="382"/>
      <c r="E161" s="380" t="s">
        <v>96</v>
      </c>
      <c r="F161" s="381"/>
      <c r="G161" s="382"/>
      <c r="H161" s="380" t="s">
        <v>97</v>
      </c>
      <c r="I161" s="381"/>
      <c r="J161" s="382"/>
    </row>
    <row r="162" spans="1:10" ht="25.5">
      <c r="A162" s="6"/>
      <c r="B162" s="133" t="s">
        <v>79</v>
      </c>
      <c r="C162" s="61" t="s">
        <v>80</v>
      </c>
      <c r="D162" s="22" t="s">
        <v>81</v>
      </c>
      <c r="E162" s="133" t="s">
        <v>79</v>
      </c>
      <c r="F162" s="61" t="s">
        <v>80</v>
      </c>
      <c r="G162" s="22" t="s">
        <v>81</v>
      </c>
      <c r="H162" s="133" t="s">
        <v>79</v>
      </c>
      <c r="I162" s="61" t="s">
        <v>80</v>
      </c>
      <c r="J162" s="22" t="s">
        <v>81</v>
      </c>
    </row>
    <row r="163" spans="1:10" ht="15">
      <c r="A163" s="6" t="s">
        <v>23</v>
      </c>
      <c r="B163" s="275">
        <v>0.11509999999999999</v>
      </c>
      <c r="C163" s="282">
        <v>8.7999999999999995E-2</v>
      </c>
      <c r="D163" s="90">
        <f>B163*C163</f>
        <v>1.0128799999999999E-2</v>
      </c>
      <c r="E163" s="243">
        <v>0.26500000000000001</v>
      </c>
      <c r="F163" s="60">
        <f>G159</f>
        <v>7.4857357224647883E-2</v>
      </c>
      <c r="G163" s="90">
        <f>E163*F163</f>
        <v>1.983719966453169E-2</v>
      </c>
      <c r="H163" s="243">
        <v>0.26500000000000001</v>
      </c>
      <c r="I163" s="60">
        <f>$G$159</f>
        <v>7.4857357224647883E-2</v>
      </c>
      <c r="J163" s="90">
        <f>H163*I163</f>
        <v>1.983719966453169E-2</v>
      </c>
    </row>
    <row r="164" spans="1:10" ht="16.5">
      <c r="A164" s="6" t="s">
        <v>22</v>
      </c>
      <c r="B164" s="275">
        <v>6.4999999999999997E-3</v>
      </c>
      <c r="C164" s="276">
        <v>4</v>
      </c>
      <c r="D164" s="51">
        <f>B164*C164</f>
        <v>2.5999999999999999E-2</v>
      </c>
      <c r="E164" s="243">
        <v>3.8E-3</v>
      </c>
      <c r="F164" s="29">
        <f>$D$159</f>
        <v>4.5</v>
      </c>
      <c r="G164" s="51">
        <f>E164*F164</f>
        <v>1.7100000000000001E-2</v>
      </c>
      <c r="H164" s="243">
        <v>3.8E-3</v>
      </c>
      <c r="I164" s="29">
        <f>$D$159</f>
        <v>4.5</v>
      </c>
      <c r="J164" s="51">
        <f>H164*I164</f>
        <v>1.7100000000000001E-2</v>
      </c>
    </row>
    <row r="165" spans="1:10" ht="15">
      <c r="A165" s="6" t="s">
        <v>21</v>
      </c>
      <c r="B165" s="6"/>
      <c r="C165" s="5"/>
      <c r="D165" s="227">
        <f>SUM(D163:D164)</f>
        <v>3.6128799999999996E-2</v>
      </c>
      <c r="E165" s="6"/>
      <c r="F165" s="5"/>
      <c r="G165" s="227">
        <f>SUM(G163:G164)</f>
        <v>3.6937199664531691E-2</v>
      </c>
      <c r="H165" s="6"/>
      <c r="I165" s="5"/>
      <c r="J165" s="227">
        <f>SUM(J163:J164)</f>
        <v>3.6937199664531691E-2</v>
      </c>
    </row>
    <row r="166" spans="1:10">
      <c r="A166" s="16"/>
      <c r="B166" s="16"/>
      <c r="D166" s="12"/>
      <c r="E166" s="16"/>
      <c r="G166" s="12"/>
      <c r="H166" s="16"/>
      <c r="J166" s="12"/>
    </row>
    <row r="167" spans="1:10" ht="15" customHeight="1">
      <c r="A167" s="6"/>
      <c r="B167" s="383" t="s">
        <v>92</v>
      </c>
      <c r="C167" s="384"/>
      <c r="D167" s="385"/>
      <c r="E167" s="383" t="s">
        <v>90</v>
      </c>
      <c r="F167" s="384"/>
      <c r="G167" s="385"/>
      <c r="H167" s="383" t="s">
        <v>92</v>
      </c>
      <c r="I167" s="384"/>
      <c r="J167" s="385"/>
    </row>
    <row r="168" spans="1:10" ht="25.5">
      <c r="A168" s="6"/>
      <c r="B168" s="133" t="s">
        <v>79</v>
      </c>
      <c r="C168" s="61" t="s">
        <v>80</v>
      </c>
      <c r="D168" s="22" t="s">
        <v>81</v>
      </c>
      <c r="E168" s="133" t="s">
        <v>79</v>
      </c>
      <c r="F168" s="61" t="s">
        <v>80</v>
      </c>
      <c r="G168" s="22" t="s">
        <v>81</v>
      </c>
      <c r="H168" s="133" t="s">
        <v>79</v>
      </c>
      <c r="I168" s="61" t="s">
        <v>80</v>
      </c>
      <c r="J168" s="22" t="s">
        <v>81</v>
      </c>
    </row>
    <row r="169" spans="1:10" ht="15">
      <c r="A169" s="6" t="s">
        <v>23</v>
      </c>
      <c r="B169" s="275"/>
      <c r="C169" s="282"/>
      <c r="D169" s="90">
        <f>B169*C169</f>
        <v>0</v>
      </c>
      <c r="E169" s="275">
        <v>0.5867</v>
      </c>
      <c r="F169" s="60">
        <f>G159</f>
        <v>7.4857357224647883E-2</v>
      </c>
      <c r="G169" s="90">
        <f>E169*F169</f>
        <v>4.3918811483700915E-2</v>
      </c>
      <c r="H169" s="243">
        <v>0</v>
      </c>
      <c r="I169" s="60">
        <f>$G$159</f>
        <v>7.4857357224647883E-2</v>
      </c>
      <c r="J169" s="90">
        <f>H169*I169</f>
        <v>0</v>
      </c>
    </row>
    <row r="170" spans="1:10" ht="16.5">
      <c r="A170" s="6" t="s">
        <v>22</v>
      </c>
      <c r="B170" s="275"/>
      <c r="C170" s="276"/>
      <c r="D170" s="51">
        <f>B170*C170</f>
        <v>0</v>
      </c>
      <c r="E170" s="275">
        <v>6.4999999999999997E-3</v>
      </c>
      <c r="F170" s="276">
        <v>4</v>
      </c>
      <c r="G170" s="51">
        <f>E170*F170</f>
        <v>2.5999999999999999E-2</v>
      </c>
      <c r="H170" s="243">
        <v>0</v>
      </c>
      <c r="I170" s="29">
        <f>$D$159</f>
        <v>4.5</v>
      </c>
      <c r="J170" s="51">
        <f>H170*I170</f>
        <v>0</v>
      </c>
    </row>
    <row r="171" spans="1:10" ht="15">
      <c r="A171" s="25" t="s">
        <v>21</v>
      </c>
      <c r="B171" s="25"/>
      <c r="C171" s="53"/>
      <c r="D171" s="134">
        <f>SUM(D169:D170)</f>
        <v>0</v>
      </c>
      <c r="E171" s="25"/>
      <c r="F171" s="53"/>
      <c r="G171" s="134">
        <f>SUM(G169:G170)</f>
        <v>6.991881148370091E-2</v>
      </c>
      <c r="H171" s="25"/>
      <c r="I171" s="53"/>
      <c r="J171" s="134">
        <f>SUM(J169:J170)</f>
        <v>0</v>
      </c>
    </row>
    <row r="172" spans="1:10">
      <c r="J172" s="58"/>
    </row>
    <row r="173" spans="1:10">
      <c r="J173" s="58"/>
    </row>
    <row r="174" spans="1:10">
      <c r="A174" s="356" t="s">
        <v>19</v>
      </c>
      <c r="B174" s="357"/>
      <c r="C174" s="357"/>
      <c r="D174" s="357"/>
      <c r="E174" s="357"/>
      <c r="F174" s="357"/>
      <c r="G174" s="357"/>
      <c r="H174" s="358"/>
      <c r="J174" s="58"/>
    </row>
    <row r="175" spans="1:10" ht="25.5">
      <c r="A175" s="6" t="s">
        <v>18</v>
      </c>
      <c r="B175" s="98">
        <v>256000000</v>
      </c>
      <c r="C175" s="5"/>
      <c r="D175" s="5"/>
      <c r="E175" s="5"/>
      <c r="F175" s="5"/>
      <c r="G175" s="23" t="s">
        <v>17</v>
      </c>
      <c r="H175" s="22" t="s">
        <v>57</v>
      </c>
      <c r="J175" s="58"/>
    </row>
    <row r="176" spans="1:10">
      <c r="A176" s="6" t="s">
        <v>16</v>
      </c>
      <c r="B176" s="21">
        <f>G177/B175</f>
        <v>5.7421874999999997E-4</v>
      </c>
      <c r="C176" s="5"/>
      <c r="D176" s="5"/>
      <c r="E176" s="5"/>
      <c r="F176" s="5"/>
      <c r="G176" s="5" t="s">
        <v>142</v>
      </c>
      <c r="H176" s="5" t="s">
        <v>142</v>
      </c>
      <c r="I176" s="1" t="s">
        <v>95</v>
      </c>
      <c r="J176" s="1" t="s">
        <v>95</v>
      </c>
    </row>
    <row r="177" spans="1:10" ht="16.5">
      <c r="A177" s="6" t="s">
        <v>15</v>
      </c>
      <c r="B177" s="5"/>
      <c r="C177" s="5"/>
      <c r="D177" s="5"/>
      <c r="E177" s="5"/>
      <c r="F177" s="5"/>
      <c r="G177" s="277">
        <v>147000</v>
      </c>
      <c r="H177" s="20">
        <f>G177/(E$47*1000)</f>
        <v>0.03</v>
      </c>
      <c r="I177" s="277">
        <v>353000</v>
      </c>
      <c r="J177" s="20" t="e">
        <f>I177/B24/1000</f>
        <v>#DIV/0!</v>
      </c>
    </row>
    <row r="178" spans="1:10">
      <c r="A178" s="16"/>
      <c r="H178" s="12"/>
      <c r="J178" s="12"/>
    </row>
    <row r="179" spans="1:10">
      <c r="A179" s="16"/>
      <c r="F179" s="2"/>
      <c r="G179" s="63"/>
      <c r="H179" s="12"/>
      <c r="I179" s="63"/>
      <c r="J179" s="12"/>
    </row>
    <row r="180" spans="1:10">
      <c r="A180" s="373" t="s">
        <v>51</v>
      </c>
      <c r="B180" s="365"/>
      <c r="C180" s="5"/>
      <c r="D180" s="5"/>
      <c r="E180" s="5"/>
      <c r="F180" s="5"/>
      <c r="G180" s="5" t="s">
        <v>142</v>
      </c>
      <c r="H180" s="5" t="s">
        <v>142</v>
      </c>
      <c r="I180" s="5"/>
      <c r="J180" s="5"/>
    </row>
    <row r="181" spans="1:10" ht="16.5">
      <c r="A181" s="6" t="s">
        <v>14</v>
      </c>
      <c r="B181" s="5"/>
      <c r="C181" s="5"/>
      <c r="D181" s="5"/>
      <c r="E181" s="5"/>
      <c r="F181" s="5"/>
      <c r="G181" s="102">
        <v>27000</v>
      </c>
      <c r="H181" s="20">
        <f>G181/(E$47*1000)</f>
        <v>5.5102040816326532E-3</v>
      </c>
      <c r="I181" s="102">
        <v>75000</v>
      </c>
      <c r="J181" s="20" t="e">
        <f>I181/B24/1000</f>
        <v>#DIV/0!</v>
      </c>
    </row>
    <row r="182" spans="1:10">
      <c r="A182" s="6"/>
      <c r="B182" s="5"/>
      <c r="C182" s="5"/>
      <c r="D182" s="5"/>
      <c r="E182" s="5"/>
      <c r="F182" s="5"/>
      <c r="G182" s="5"/>
      <c r="H182" s="8"/>
      <c r="I182" s="5"/>
      <c r="J182" s="8"/>
    </row>
    <row r="183" spans="1:10">
      <c r="A183" s="373" t="s">
        <v>13</v>
      </c>
      <c r="B183" s="365"/>
      <c r="C183" s="5"/>
      <c r="D183" s="5"/>
      <c r="E183" s="5"/>
      <c r="F183" s="5"/>
      <c r="G183" s="5" t="s">
        <v>142</v>
      </c>
      <c r="H183" s="5" t="s">
        <v>142</v>
      </c>
      <c r="I183" s="5"/>
      <c r="J183" s="5"/>
    </row>
    <row r="184" spans="1:10" ht="16.5">
      <c r="A184" s="6" t="s">
        <v>12</v>
      </c>
      <c r="B184" s="5"/>
      <c r="C184" s="5"/>
      <c r="D184" s="5"/>
      <c r="E184" s="5"/>
      <c r="F184" s="5"/>
      <c r="G184" s="277">
        <v>55000</v>
      </c>
      <c r="H184" s="20">
        <f>G184/(E$47*1000)</f>
        <v>1.1224489795918367E-2</v>
      </c>
      <c r="I184" s="277">
        <v>57000</v>
      </c>
      <c r="J184" s="20" t="e">
        <f>I184/B24/1000</f>
        <v>#DIV/0!</v>
      </c>
    </row>
    <row r="185" spans="1:10">
      <c r="A185" s="11"/>
      <c r="B185" s="10"/>
      <c r="C185" s="19"/>
      <c r="D185" s="10"/>
      <c r="E185" s="10"/>
      <c r="F185" s="10"/>
      <c r="G185" s="10"/>
      <c r="H185" s="9"/>
      <c r="J185" s="58"/>
    </row>
    <row r="186" spans="1:10">
      <c r="C186" s="18"/>
      <c r="J186" s="58"/>
    </row>
    <row r="187" spans="1:10">
      <c r="J187" s="58"/>
    </row>
    <row r="188" spans="1:10">
      <c r="A188" s="55" t="s">
        <v>11</v>
      </c>
      <c r="B188" s="386" t="s">
        <v>10</v>
      </c>
      <c r="C188" s="386"/>
      <c r="D188" s="386"/>
      <c r="E188" s="386"/>
      <c r="F188" s="386"/>
      <c r="G188" s="386"/>
      <c r="H188" s="387"/>
      <c r="J188" s="58"/>
    </row>
    <row r="189" spans="1:10">
      <c r="A189" s="16"/>
      <c r="H189" s="12"/>
      <c r="J189" s="58"/>
    </row>
    <row r="190" spans="1:10">
      <c r="A190" s="16"/>
      <c r="B190" s="365" t="s">
        <v>9</v>
      </c>
      <c r="C190" s="365"/>
      <c r="D190" s="15">
        <f>B49</f>
        <v>4900</v>
      </c>
      <c r="E190" s="5"/>
      <c r="F190" s="365" t="s">
        <v>8</v>
      </c>
      <c r="G190" s="365"/>
      <c r="H190" s="17">
        <f>D190/D191</f>
        <v>4.8999999999999998E-3</v>
      </c>
      <c r="J190" s="58"/>
    </row>
    <row r="191" spans="1:10">
      <c r="A191" s="16"/>
      <c r="B191" s="365" t="s">
        <v>7</v>
      </c>
      <c r="C191" s="365"/>
      <c r="D191" s="15">
        <v>1000000</v>
      </c>
      <c r="E191" s="5"/>
      <c r="F191" s="5"/>
      <c r="G191" s="5"/>
      <c r="H191" s="14"/>
      <c r="J191" s="58"/>
    </row>
    <row r="193" spans="1:12" ht="33" customHeight="1">
      <c r="A193" s="6"/>
      <c r="B193" s="61" t="s">
        <v>82</v>
      </c>
      <c r="C193" s="61" t="s">
        <v>6</v>
      </c>
      <c r="D193" s="61" t="s">
        <v>75</v>
      </c>
      <c r="E193" s="193" t="s">
        <v>76</v>
      </c>
      <c r="F193" s="61" t="s">
        <v>63</v>
      </c>
      <c r="G193" s="61" t="s">
        <v>77</v>
      </c>
      <c r="H193" s="97" t="s">
        <v>78</v>
      </c>
      <c r="J193" s="58"/>
      <c r="K193" s="58"/>
      <c r="L193" s="58"/>
    </row>
    <row r="194" spans="1:12" ht="15">
      <c r="A194" s="6" t="s">
        <v>5</v>
      </c>
      <c r="B194" s="3">
        <f>C194/12</f>
        <v>0</v>
      </c>
      <c r="C194" s="250">
        <v>0</v>
      </c>
      <c r="D194" s="98">
        <f>ROUND($C$202/($C$202+$C$203)*12,0)*$B194</f>
        <v>0</v>
      </c>
      <c r="E194" s="194">
        <f>ROUND($C$203/($C$202+$C$203)*12,0)*$B194</f>
        <v>0</v>
      </c>
      <c r="F194" s="89">
        <f>$D194/$D$190/1000</f>
        <v>0</v>
      </c>
      <c r="G194" s="89">
        <f>$E194/$D$190/1000</f>
        <v>0</v>
      </c>
      <c r="H194" s="99">
        <f>SUM(F194:G194)</f>
        <v>0</v>
      </c>
      <c r="J194" s="58"/>
      <c r="K194" s="58"/>
      <c r="L194" s="58"/>
    </row>
    <row r="195" spans="1:12" ht="15">
      <c r="A195" s="6" t="s">
        <v>4</v>
      </c>
      <c r="B195" s="98">
        <f>C195/12</f>
        <v>95700</v>
      </c>
      <c r="C195" s="236">
        <f>+(95700*12)</f>
        <v>1148400</v>
      </c>
      <c r="D195" s="98">
        <f>ROUND($C$202/($C$202+$C$203)*12,0)*$B195</f>
        <v>1148400</v>
      </c>
      <c r="E195" s="194">
        <f>ROUND($C$203/($C$202+$C$203)*12,0)*$B195</f>
        <v>0</v>
      </c>
      <c r="F195" s="100">
        <f>$D195/D$190/1000</f>
        <v>0.23436734693877551</v>
      </c>
      <c r="G195" s="100">
        <f>$E195/$D$190/1000</f>
        <v>0</v>
      </c>
      <c r="H195" s="94">
        <f t="shared" ref="H195:H196" si="23">SUM(F195:G195)</f>
        <v>0.23436734693877551</v>
      </c>
      <c r="J195" s="58"/>
      <c r="K195" s="58"/>
      <c r="L195" s="58"/>
    </row>
    <row r="196" spans="1:12" ht="16.5">
      <c r="A196" s="6" t="s">
        <v>3</v>
      </c>
      <c r="B196" s="98">
        <f>C196/12</f>
        <v>22812.25</v>
      </c>
      <c r="C196" s="236">
        <f>(273747/12*12)</f>
        <v>273747</v>
      </c>
      <c r="D196" s="98">
        <f>ROUND($C$202/($C$202+$C$203)*12,0)*$B196</f>
        <v>273747</v>
      </c>
      <c r="E196" s="194">
        <f>ROUND($C$203/($C$202+$C$203)*12,0)*$B196</f>
        <v>0</v>
      </c>
      <c r="F196" s="88">
        <f>$D196/D$190/1000</f>
        <v>5.5866734693877554E-2</v>
      </c>
      <c r="G196" s="88">
        <f>$E196/$D$190/1000</f>
        <v>0</v>
      </c>
      <c r="H196" s="95">
        <f t="shared" si="23"/>
        <v>5.5866734693877554E-2</v>
      </c>
      <c r="J196" s="58"/>
      <c r="K196" s="58"/>
      <c r="L196" s="58"/>
    </row>
    <row r="197" spans="1:12">
      <c r="A197" s="6" t="s">
        <v>2</v>
      </c>
      <c r="F197" s="89">
        <f>SUM(F194:F196)</f>
        <v>0.29023408163265307</v>
      </c>
      <c r="G197" s="89">
        <f>SUM(G194:G196)</f>
        <v>0</v>
      </c>
      <c r="H197" s="99">
        <f>SUM(H194:H196)</f>
        <v>0.29023408163265307</v>
      </c>
      <c r="J197" s="58"/>
      <c r="K197" s="58"/>
      <c r="L197" s="58"/>
    </row>
    <row r="198" spans="1:12">
      <c r="A198" s="11"/>
      <c r="B198" s="10"/>
      <c r="C198" s="10"/>
      <c r="D198" s="10"/>
      <c r="E198" s="10"/>
      <c r="F198" s="10"/>
      <c r="G198" s="10"/>
      <c r="H198" s="9"/>
      <c r="J198" s="58"/>
      <c r="K198" s="58"/>
      <c r="L198" s="58"/>
    </row>
    <row r="199" spans="1:12">
      <c r="J199" s="58"/>
      <c r="K199" s="58"/>
      <c r="L199" s="58"/>
    </row>
    <row r="200" spans="1:12">
      <c r="J200" s="58"/>
      <c r="K200" s="58"/>
      <c r="L200" s="58"/>
    </row>
    <row r="201" spans="1:12">
      <c r="A201" s="356" t="s">
        <v>117</v>
      </c>
      <c r="B201" s="357"/>
      <c r="C201" s="357"/>
      <c r="D201" s="357"/>
      <c r="E201" s="357"/>
      <c r="F201" s="357"/>
      <c r="G201" s="357"/>
      <c r="H201" s="358"/>
      <c r="J201" s="58"/>
      <c r="K201" s="58"/>
      <c r="L201" s="58"/>
    </row>
    <row r="202" spans="1:12" ht="15">
      <c r="A202" s="6"/>
      <c r="B202" s="5" t="s">
        <v>73</v>
      </c>
      <c r="C202" s="104">
        <v>52</v>
      </c>
      <c r="D202" s="43" t="s">
        <v>110</v>
      </c>
      <c r="E202" s="237">
        <v>0.04</v>
      </c>
      <c r="F202" s="5" t="s">
        <v>83</v>
      </c>
      <c r="G202" s="5"/>
      <c r="H202" s="8"/>
      <c r="J202" s="58"/>
      <c r="K202" s="58"/>
      <c r="L202" s="58"/>
    </row>
    <row r="203" spans="1:12" ht="15">
      <c r="A203" s="6"/>
      <c r="B203" s="5" t="s">
        <v>72</v>
      </c>
      <c r="C203" s="104">
        <v>0</v>
      </c>
      <c r="E203" s="5"/>
      <c r="F203" s="5" t="s">
        <v>84</v>
      </c>
      <c r="G203" s="5"/>
      <c r="H203" s="8"/>
      <c r="J203" s="58"/>
      <c r="K203" s="58"/>
      <c r="L203" s="58"/>
    </row>
    <row r="204" spans="1:12" ht="15">
      <c r="A204" s="6"/>
      <c r="B204" s="5" t="s">
        <v>74</v>
      </c>
      <c r="C204" s="104">
        <v>40</v>
      </c>
      <c r="E204" s="5"/>
      <c r="F204" s="5" t="s">
        <v>0</v>
      </c>
      <c r="G204" s="5"/>
      <c r="H204" s="8"/>
      <c r="J204" s="58"/>
      <c r="K204" s="58"/>
      <c r="L204" s="58"/>
    </row>
    <row r="205" spans="1:12" ht="15">
      <c r="A205" s="6"/>
      <c r="B205" s="5" t="s">
        <v>1</v>
      </c>
      <c r="C205" s="105">
        <v>1.5</v>
      </c>
      <c r="E205" s="5"/>
      <c r="G205" s="5"/>
      <c r="H205" s="7"/>
      <c r="J205" s="58"/>
      <c r="K205" s="58"/>
      <c r="L205" s="58"/>
    </row>
    <row r="206" spans="1:12" ht="15">
      <c r="A206" s="25"/>
      <c r="B206" s="79" t="s">
        <v>52</v>
      </c>
      <c r="C206" s="237">
        <v>0.3</v>
      </c>
      <c r="D206" s="10"/>
      <c r="E206" s="53"/>
      <c r="F206" s="53"/>
      <c r="G206" s="53"/>
      <c r="H206" s="65"/>
      <c r="J206" s="58"/>
      <c r="K206" s="58"/>
      <c r="L206" s="58"/>
    </row>
    <row r="207" spans="1:12">
      <c r="B207" s="388"/>
      <c r="C207" s="388"/>
      <c r="D207" s="388"/>
      <c r="J207" s="58"/>
      <c r="K207" s="58" t="s">
        <v>121</v>
      </c>
      <c r="L207" s="58"/>
    </row>
    <row r="208" spans="1:12">
      <c r="A208" s="356" t="s">
        <v>118</v>
      </c>
      <c r="B208" s="357"/>
      <c r="C208" s="357"/>
      <c r="D208" s="357"/>
      <c r="E208" s="357"/>
      <c r="F208" s="357"/>
      <c r="G208" s="357"/>
      <c r="H208" s="358"/>
      <c r="J208" s="58"/>
      <c r="K208" s="58" t="s">
        <v>122</v>
      </c>
      <c r="L208" s="58">
        <f>52-C209</f>
        <v>43</v>
      </c>
    </row>
    <row r="209" spans="1:12" ht="15">
      <c r="A209" s="6"/>
      <c r="B209" s="5" t="s">
        <v>73</v>
      </c>
      <c r="C209" s="104">
        <v>9</v>
      </c>
      <c r="D209" s="43" t="s">
        <v>110</v>
      </c>
      <c r="E209" s="237">
        <v>0.04</v>
      </c>
      <c r="F209" s="5" t="s">
        <v>83</v>
      </c>
      <c r="G209" s="5"/>
      <c r="H209" s="8"/>
      <c r="J209" s="58"/>
      <c r="K209" s="58" t="s">
        <v>75</v>
      </c>
      <c r="L209" s="58">
        <f>E47*1000/52*L208</f>
        <v>4051923.076923077</v>
      </c>
    </row>
    <row r="210" spans="1:12" ht="15">
      <c r="A210" s="6"/>
      <c r="B210" s="5" t="s">
        <v>72</v>
      </c>
      <c r="C210" s="104">
        <v>0</v>
      </c>
      <c r="E210" s="5"/>
      <c r="F210" s="5" t="s">
        <v>84</v>
      </c>
      <c r="G210" s="5"/>
      <c r="H210" s="8"/>
      <c r="J210" s="58"/>
      <c r="K210" s="58" t="s">
        <v>123</v>
      </c>
      <c r="L210" s="288">
        <f>0.0315*L209</f>
        <v>127635.57692307692</v>
      </c>
    </row>
    <row r="211" spans="1:12" ht="15">
      <c r="A211" s="6"/>
      <c r="B211" s="5" t="s">
        <v>74</v>
      </c>
      <c r="C211" s="104">
        <v>40</v>
      </c>
      <c r="E211" s="5"/>
      <c r="F211" s="5" t="s">
        <v>0</v>
      </c>
      <c r="G211" s="5"/>
      <c r="H211" s="8"/>
      <c r="J211" s="58"/>
      <c r="K211" s="58"/>
      <c r="L211" s="58"/>
    </row>
    <row r="212" spans="1:12" ht="15">
      <c r="A212" s="6"/>
      <c r="B212" s="5" t="s">
        <v>1</v>
      </c>
      <c r="C212" s="105">
        <v>1.5</v>
      </c>
      <c r="E212" s="5"/>
      <c r="G212" s="5"/>
      <c r="H212" s="7"/>
      <c r="J212" s="58"/>
      <c r="K212" s="58"/>
      <c r="L212" s="58"/>
    </row>
    <row r="213" spans="1:12" ht="15">
      <c r="A213" s="25"/>
      <c r="B213" s="79" t="s">
        <v>52</v>
      </c>
      <c r="C213" s="237">
        <v>0.3</v>
      </c>
      <c r="D213" s="10"/>
      <c r="E213" s="53"/>
      <c r="F213" s="53"/>
      <c r="G213" s="53"/>
      <c r="H213" s="65"/>
      <c r="J213" s="58"/>
      <c r="K213" s="58"/>
      <c r="L213" s="58"/>
    </row>
  </sheetData>
  <mergeCells count="47">
    <mergeCell ref="A208:H208"/>
    <mergeCell ref="B188:H188"/>
    <mergeCell ref="B190:C190"/>
    <mergeCell ref="F190:G190"/>
    <mergeCell ref="B191:C191"/>
    <mergeCell ref="A201:H201"/>
    <mergeCell ref="B207:D207"/>
    <mergeCell ref="T121:AD121"/>
    <mergeCell ref="A183:B183"/>
    <mergeCell ref="B159:C159"/>
    <mergeCell ref="E159:F159"/>
    <mergeCell ref="H159:I159"/>
    <mergeCell ref="H160:I160"/>
    <mergeCell ref="B161:D161"/>
    <mergeCell ref="E161:G161"/>
    <mergeCell ref="H161:J161"/>
    <mergeCell ref="B167:D167"/>
    <mergeCell ref="E167:G167"/>
    <mergeCell ref="H167:J167"/>
    <mergeCell ref="A174:H174"/>
    <mergeCell ref="A180:B180"/>
    <mergeCell ref="B136:D136"/>
    <mergeCell ref="F136:H136"/>
    <mergeCell ref="B111:D111"/>
    <mergeCell ref="F111:H111"/>
    <mergeCell ref="J84:L84"/>
    <mergeCell ref="A98:H98"/>
    <mergeCell ref="B26:D26"/>
    <mergeCell ref="E26:G26"/>
    <mergeCell ref="H26:J26"/>
    <mergeCell ref="B51:K51"/>
    <mergeCell ref="C62:F62"/>
    <mergeCell ref="G62:K62"/>
    <mergeCell ref="B74:D74"/>
    <mergeCell ref="F74:H74"/>
    <mergeCell ref="B84:D84"/>
    <mergeCell ref="F84:H84"/>
    <mergeCell ref="F99:H100"/>
    <mergeCell ref="A100:E100"/>
    <mergeCell ref="A1:J1"/>
    <mergeCell ref="S1:AA1"/>
    <mergeCell ref="AL1:AQ1"/>
    <mergeCell ref="B3:D3"/>
    <mergeCell ref="E3:G3"/>
    <mergeCell ref="H3:J3"/>
    <mergeCell ref="N3:O3"/>
    <mergeCell ref="P3:Q3"/>
  </mergeCells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88C34-0B03-46A4-91B9-9A3C9B5CE3EA}">
  <dimension ref="A1:AX213"/>
  <sheetViews>
    <sheetView topLeftCell="A19" workbookViewId="0">
      <selection activeCell="E43" sqref="E43"/>
    </sheetView>
  </sheetViews>
  <sheetFormatPr defaultColWidth="10.7109375" defaultRowHeight="12.75" outlineLevelCol="1"/>
  <cols>
    <col min="1" max="1" width="37.28515625" style="1" bestFit="1" customWidth="1"/>
    <col min="2" max="2" width="16.7109375" style="1" customWidth="1"/>
    <col min="3" max="3" width="13.28515625" style="1" customWidth="1"/>
    <col min="4" max="4" width="13.5703125" style="1" customWidth="1"/>
    <col min="5" max="5" width="12.7109375" style="1" customWidth="1"/>
    <col min="6" max="6" width="12.42578125" style="1" customWidth="1"/>
    <col min="7" max="7" width="14.28515625" style="1" customWidth="1"/>
    <col min="8" max="8" width="12.7109375" style="1" customWidth="1"/>
    <col min="9" max="9" width="10.7109375" style="1"/>
    <col min="10" max="10" width="13" style="1" customWidth="1"/>
    <col min="11" max="11" width="12.28515625" style="1" customWidth="1"/>
    <col min="12" max="12" width="11.28515625" style="1" customWidth="1"/>
    <col min="13" max="13" width="21.7109375" style="1" customWidth="1"/>
    <col min="14" max="14" width="13.42578125" style="1" customWidth="1"/>
    <col min="15" max="15" width="10.7109375" style="1"/>
    <col min="16" max="16" width="12.28515625" style="1" customWidth="1"/>
    <col min="17" max="17" width="9.7109375" style="1" customWidth="1"/>
    <col min="18" max="18" width="2.7109375" style="1" customWidth="1"/>
    <col min="19" max="19" width="12.140625" style="1" bestFit="1" customWidth="1" outlineLevel="1"/>
    <col min="20" max="20" width="11.42578125" style="1" customWidth="1" outlineLevel="1"/>
    <col min="21" max="21" width="17.7109375" style="1" customWidth="1" outlineLevel="1"/>
    <col min="22" max="24" width="15.28515625" style="1" customWidth="1" outlineLevel="1"/>
    <col min="25" max="25" width="14.7109375" style="1" customWidth="1" outlineLevel="1"/>
    <col min="26" max="26" width="12.42578125" style="1" customWidth="1" outlineLevel="1"/>
    <col min="27" max="27" width="15.28515625" style="1" customWidth="1" outlineLevel="1"/>
    <col min="28" max="28" width="12.42578125" style="1" customWidth="1" outlineLevel="1"/>
    <col min="29" max="29" width="9.42578125" style="1" customWidth="1" outlineLevel="1"/>
    <col min="30" max="30" width="13.28515625" style="1" bestFit="1" customWidth="1" outlineLevel="1"/>
    <col min="31" max="31" width="13.28515625" style="1" customWidth="1" outlineLevel="1"/>
    <col min="32" max="32" width="9.5703125" style="1" bestFit="1" customWidth="1" outlineLevel="1"/>
    <col min="33" max="33" width="9.28515625" style="1" customWidth="1" outlineLevel="1"/>
    <col min="34" max="34" width="9.5703125" style="1" bestFit="1" customWidth="1" outlineLevel="1"/>
    <col min="35" max="35" width="12" style="1" customWidth="1" outlineLevel="1"/>
    <col min="36" max="36" width="11.7109375" style="1" customWidth="1" outlineLevel="1"/>
    <col min="37" max="37" width="12.28515625" style="1" customWidth="1" outlineLevel="1"/>
    <col min="38" max="38" width="11.42578125" style="1" customWidth="1" outlineLevel="1"/>
    <col min="39" max="39" width="12.42578125" style="1" customWidth="1" outlineLevel="1"/>
    <col min="40" max="40" width="12.28515625" style="1" customWidth="1" outlineLevel="1"/>
    <col min="41" max="41" width="12.5703125" style="1" customWidth="1" outlineLevel="1"/>
    <col min="42" max="42" width="12.42578125" style="1" customWidth="1" outlineLevel="1"/>
    <col min="43" max="43" width="14.28515625" style="1" customWidth="1" outlineLevel="1"/>
    <col min="44" max="44" width="10.28515625" style="1" customWidth="1" outlineLevel="1"/>
    <col min="45" max="45" width="11.5703125" style="1" customWidth="1" outlineLevel="1"/>
    <col min="46" max="46" width="11.42578125" style="1" customWidth="1" outlineLevel="1"/>
    <col min="47" max="48" width="12.7109375" style="1" customWidth="1" outlineLevel="1"/>
    <col min="49" max="49" width="11" style="1" customWidth="1" outlineLevel="1"/>
    <col min="50" max="50" width="12.7109375" style="1" customWidth="1" outlineLevel="1"/>
    <col min="51" max="250" width="8.7109375" style="1" customWidth="1"/>
    <col min="251" max="16384" width="10.7109375" style="1"/>
  </cols>
  <sheetData>
    <row r="1" spans="1:43" ht="18.75" customHeight="1">
      <c r="A1" s="344" t="s">
        <v>124</v>
      </c>
      <c r="B1" s="344"/>
      <c r="C1" s="344"/>
      <c r="D1" s="344"/>
      <c r="E1" s="344"/>
      <c r="F1" s="344"/>
      <c r="G1" s="344"/>
      <c r="H1" s="344"/>
      <c r="I1" s="344"/>
      <c r="J1" s="344"/>
      <c r="K1" s="91"/>
      <c r="L1" s="91"/>
      <c r="S1" s="345"/>
      <c r="T1" s="345"/>
      <c r="U1" s="345"/>
      <c r="V1" s="345"/>
      <c r="W1" s="345"/>
      <c r="X1" s="345"/>
      <c r="Y1" s="345"/>
      <c r="Z1" s="345"/>
      <c r="AA1" s="345"/>
      <c r="AB1" s="149"/>
      <c r="AC1" s="150"/>
      <c r="AD1" s="150"/>
      <c r="AE1" s="151"/>
      <c r="AF1" s="151"/>
      <c r="AG1" s="151"/>
      <c r="AH1" s="151"/>
      <c r="AI1" s="152"/>
      <c r="AJ1" s="151"/>
      <c r="AK1" s="152"/>
      <c r="AL1" s="346"/>
      <c r="AM1" s="346"/>
      <c r="AN1" s="346"/>
      <c r="AO1" s="346"/>
      <c r="AP1" s="346"/>
      <c r="AQ1" s="346"/>
    </row>
    <row r="2" spans="1:43" ht="36.6" customHeight="1">
      <c r="A2" s="56" t="s">
        <v>59</v>
      </c>
      <c r="B2" s="186"/>
      <c r="C2" s="56"/>
      <c r="D2" s="56"/>
      <c r="E2" s="56"/>
      <c r="F2" s="56"/>
      <c r="G2" s="56"/>
      <c r="H2" s="84"/>
      <c r="I2" s="92"/>
      <c r="J2" s="92"/>
      <c r="K2" s="92"/>
      <c r="L2" s="92"/>
      <c r="S2" s="155"/>
      <c r="T2" s="155"/>
      <c r="U2" s="155"/>
      <c r="V2" s="155"/>
      <c r="W2" s="155"/>
      <c r="X2" s="155"/>
      <c r="Y2" s="155"/>
      <c r="Z2" s="155"/>
      <c r="AA2" s="156"/>
      <c r="AB2" s="182"/>
      <c r="AC2" s="151"/>
      <c r="AD2" s="150"/>
      <c r="AE2" s="157"/>
      <c r="AF2" s="157"/>
      <c r="AG2" s="157"/>
      <c r="AH2" s="157"/>
      <c r="AI2" s="155"/>
      <c r="AJ2" s="157"/>
      <c r="AK2" s="158"/>
      <c r="AL2" s="159"/>
      <c r="AM2" s="234"/>
      <c r="AN2" s="234"/>
      <c r="AO2" s="155"/>
      <c r="AP2" s="155"/>
      <c r="AQ2" s="155"/>
    </row>
    <row r="3" spans="1:43" ht="18" customHeight="1">
      <c r="A3" s="64" t="s">
        <v>20</v>
      </c>
      <c r="B3" s="347" t="s">
        <v>91</v>
      </c>
      <c r="C3" s="348"/>
      <c r="D3" s="348"/>
      <c r="E3" s="347" t="s">
        <v>93</v>
      </c>
      <c r="F3" s="348"/>
      <c r="G3" s="348"/>
      <c r="H3" s="347" t="s">
        <v>94</v>
      </c>
      <c r="I3" s="348"/>
      <c r="J3" s="349"/>
      <c r="M3" s="252"/>
      <c r="N3" s="350"/>
      <c r="O3" s="350"/>
      <c r="P3" s="350"/>
      <c r="Q3" s="351"/>
      <c r="S3" s="160"/>
      <c r="T3" s="161"/>
      <c r="U3" s="160"/>
      <c r="V3" s="160"/>
      <c r="W3" s="160"/>
      <c r="X3" s="160"/>
      <c r="Y3" s="160"/>
      <c r="Z3" s="160"/>
      <c r="AA3" s="161"/>
      <c r="AB3" s="151"/>
      <c r="AC3" s="161"/>
      <c r="AD3" s="161"/>
      <c r="AE3" s="160"/>
      <c r="AF3" s="160"/>
      <c r="AG3" s="160"/>
      <c r="AH3" s="160"/>
      <c r="AI3" s="161"/>
      <c r="AJ3" s="160"/>
      <c r="AK3" s="161"/>
      <c r="AL3" s="161"/>
      <c r="AM3" s="161"/>
      <c r="AN3" s="161"/>
      <c r="AO3" s="161"/>
      <c r="AP3" s="161"/>
      <c r="AQ3" s="161"/>
    </row>
    <row r="4" spans="1:43" s="46" customFormat="1" ht="15">
      <c r="A4" s="66"/>
      <c r="B4" s="218" t="s">
        <v>143</v>
      </c>
      <c r="C4" s="219" t="s">
        <v>114</v>
      </c>
      <c r="D4" s="219" t="s">
        <v>88</v>
      </c>
      <c r="E4" s="218" t="str">
        <f>$B$4</f>
        <v>25 Standard</v>
      </c>
      <c r="F4" s="219" t="str">
        <f>+C4</f>
        <v>23 Actual</v>
      </c>
      <c r="G4" s="219" t="str">
        <f>+D4</f>
        <v>20 Standard</v>
      </c>
      <c r="H4" s="218" t="str">
        <f>+B4</f>
        <v>25 Standard</v>
      </c>
      <c r="I4" s="219" t="str">
        <f>+C4</f>
        <v>23 Actual</v>
      </c>
      <c r="J4" s="220" t="str">
        <f>+D4</f>
        <v>20 Standard</v>
      </c>
      <c r="M4" s="253"/>
      <c r="N4" s="254"/>
      <c r="O4" s="254"/>
      <c r="P4" s="254"/>
      <c r="Q4" s="255"/>
      <c r="S4" s="162"/>
      <c r="T4" s="163"/>
      <c r="U4" s="163"/>
      <c r="V4" s="163"/>
      <c r="W4" s="163"/>
      <c r="X4" s="163"/>
      <c r="Y4" s="163"/>
      <c r="Z4" s="163"/>
      <c r="AA4" s="164"/>
      <c r="AB4" s="165"/>
      <c r="AC4" s="166"/>
      <c r="AD4" s="164"/>
      <c r="AE4" s="164"/>
      <c r="AF4" s="164"/>
      <c r="AG4" s="164"/>
      <c r="AH4" s="164"/>
      <c r="AI4" s="163"/>
      <c r="AJ4" s="164"/>
      <c r="AK4" s="163"/>
      <c r="AL4" s="164"/>
      <c r="AM4" s="164"/>
      <c r="AN4" s="164"/>
      <c r="AO4" s="164"/>
      <c r="AP4" s="164"/>
      <c r="AQ4" s="164"/>
    </row>
    <row r="5" spans="1:43" s="46" customFormat="1">
      <c r="A5" s="66"/>
      <c r="B5" s="221"/>
      <c r="C5" s="202" t="s">
        <v>89</v>
      </c>
      <c r="D5" s="202"/>
      <c r="E5" s="221"/>
      <c r="F5" s="202" t="s">
        <v>89</v>
      </c>
      <c r="G5" s="202"/>
      <c r="H5" s="221"/>
      <c r="I5" s="202" t="s">
        <v>89</v>
      </c>
      <c r="J5" s="222"/>
      <c r="M5" s="253"/>
      <c r="N5" s="256"/>
      <c r="O5" s="256"/>
      <c r="P5" s="257"/>
      <c r="Q5" s="258"/>
      <c r="S5" s="162"/>
      <c r="T5" s="163"/>
      <c r="U5" s="163"/>
      <c r="V5" s="163"/>
      <c r="W5" s="163"/>
      <c r="X5" s="163"/>
      <c r="Y5" s="163"/>
      <c r="Z5" s="163"/>
      <c r="AA5" s="164"/>
      <c r="AB5" s="165"/>
      <c r="AC5" s="166"/>
      <c r="AD5" s="164"/>
      <c r="AE5" s="164"/>
      <c r="AF5" s="164"/>
      <c r="AG5" s="154"/>
      <c r="AH5" s="164"/>
      <c r="AI5" s="163"/>
      <c r="AJ5" s="164"/>
      <c r="AK5" s="163"/>
      <c r="AL5" s="164"/>
      <c r="AM5" s="164"/>
      <c r="AN5" s="164"/>
      <c r="AO5" s="164"/>
      <c r="AP5" s="164"/>
      <c r="AQ5" s="164"/>
    </row>
    <row r="6" spans="1:43">
      <c r="A6" s="30" t="s">
        <v>50</v>
      </c>
      <c r="B6" s="192">
        <f>IF(B24&lt;&gt;0,$D$82,0)</f>
        <v>0</v>
      </c>
      <c r="C6" s="192">
        <v>5.8500000000000003E-2</v>
      </c>
      <c r="D6" s="192">
        <v>4.1565810184720102E-2</v>
      </c>
      <c r="E6" s="204">
        <f>+H82</f>
        <v>0</v>
      </c>
      <c r="F6" s="192">
        <v>0</v>
      </c>
      <c r="G6" s="192">
        <v>0</v>
      </c>
      <c r="H6" s="204">
        <f>+D96</f>
        <v>0</v>
      </c>
      <c r="I6" s="192">
        <v>0</v>
      </c>
      <c r="J6" s="205">
        <v>0</v>
      </c>
      <c r="M6" s="259"/>
      <c r="N6" s="260"/>
      <c r="O6" s="261"/>
      <c r="P6" s="260"/>
      <c r="Q6" s="262"/>
      <c r="S6" s="167"/>
      <c r="T6" s="163"/>
      <c r="U6" s="163"/>
      <c r="V6" s="163"/>
      <c r="W6" s="163"/>
      <c r="X6" s="163"/>
      <c r="Y6" s="163"/>
      <c r="Z6" s="163"/>
      <c r="AA6" s="164"/>
      <c r="AB6" s="165"/>
      <c r="AC6" s="166"/>
      <c r="AD6" s="164"/>
      <c r="AE6" s="164"/>
      <c r="AF6" s="164"/>
      <c r="AG6" s="164"/>
      <c r="AH6" s="164"/>
      <c r="AI6" s="163"/>
      <c r="AJ6" s="164"/>
      <c r="AK6" s="163"/>
      <c r="AL6" s="164"/>
      <c r="AM6" s="164"/>
      <c r="AN6" s="164"/>
      <c r="AO6" s="164"/>
      <c r="AP6" s="164"/>
      <c r="AQ6" s="164"/>
    </row>
    <row r="7" spans="1:43" ht="15">
      <c r="A7" s="30" t="s">
        <v>27</v>
      </c>
      <c r="B7" s="192">
        <f>IF(B24&lt;&gt;0,$D$163,0)</f>
        <v>0</v>
      </c>
      <c r="C7" s="192">
        <v>1.0500000000000001E-2</v>
      </c>
      <c r="D7" s="192">
        <v>2.0277328909623641E-2</v>
      </c>
      <c r="E7" s="204">
        <f>G163</f>
        <v>1.983719966453169E-2</v>
      </c>
      <c r="F7" s="192">
        <v>0</v>
      </c>
      <c r="G7" s="192">
        <v>0</v>
      </c>
      <c r="H7" s="204">
        <f>J163</f>
        <v>1.983719966453169E-2</v>
      </c>
      <c r="I7" s="192">
        <v>0</v>
      </c>
      <c r="J7" s="205">
        <v>0</v>
      </c>
      <c r="M7" s="263"/>
      <c r="N7" s="264"/>
      <c r="O7" s="207"/>
      <c r="P7" s="264"/>
      <c r="Q7" s="208"/>
      <c r="S7" s="168"/>
      <c r="T7" s="168"/>
      <c r="U7" s="168"/>
      <c r="V7" s="168"/>
      <c r="W7" s="168"/>
      <c r="X7" s="168"/>
      <c r="Y7" s="168"/>
      <c r="Z7" s="168"/>
      <c r="AA7" s="168"/>
      <c r="AB7" s="165"/>
      <c r="AC7" s="166"/>
      <c r="AD7" s="169"/>
      <c r="AE7" s="170"/>
      <c r="AF7" s="171"/>
      <c r="AG7" s="171"/>
      <c r="AH7" s="171"/>
      <c r="AI7" s="168"/>
      <c r="AJ7" s="170"/>
      <c r="AK7" s="168"/>
      <c r="AL7" s="169"/>
      <c r="AM7" s="169"/>
      <c r="AN7" s="169"/>
      <c r="AO7" s="169"/>
      <c r="AP7" s="169"/>
      <c r="AQ7" s="169"/>
    </row>
    <row r="8" spans="1:43" ht="15">
      <c r="A8" s="6" t="s">
        <v>49</v>
      </c>
      <c r="B8" s="192">
        <f>IF(B24&lt;&gt;0,$D$164,0)</f>
        <v>0</v>
      </c>
      <c r="C8" s="192">
        <v>1.5599999999999999E-2</v>
      </c>
      <c r="D8" s="192">
        <v>1.4965000000000001E-2</v>
      </c>
      <c r="E8" s="204">
        <f>G164</f>
        <v>1.7100000000000001E-2</v>
      </c>
      <c r="F8" s="192">
        <v>0</v>
      </c>
      <c r="G8" s="192">
        <v>0</v>
      </c>
      <c r="H8" s="204">
        <f>J164</f>
        <v>1.7100000000000001E-2</v>
      </c>
      <c r="I8" s="192">
        <v>0</v>
      </c>
      <c r="J8" s="205">
        <v>0</v>
      </c>
      <c r="M8" s="263"/>
      <c r="N8" s="265"/>
      <c r="O8" s="266"/>
      <c r="P8" s="265"/>
      <c r="Q8" s="267"/>
      <c r="S8" s="168"/>
      <c r="T8" s="168"/>
      <c r="U8" s="168"/>
      <c r="V8" s="168"/>
      <c r="W8" s="168"/>
      <c r="X8" s="168"/>
      <c r="Y8" s="168"/>
      <c r="Z8" s="168"/>
      <c r="AA8" s="168"/>
      <c r="AB8" s="165"/>
      <c r="AC8" s="166"/>
      <c r="AD8" s="169"/>
      <c r="AE8" s="170"/>
      <c r="AF8" s="171"/>
      <c r="AG8" s="171"/>
      <c r="AH8" s="171"/>
      <c r="AI8" s="168"/>
      <c r="AJ8" s="170"/>
      <c r="AK8" s="168"/>
      <c r="AL8" s="169"/>
      <c r="AM8" s="169"/>
      <c r="AN8" s="169"/>
      <c r="AO8" s="169"/>
      <c r="AP8" s="169"/>
      <c r="AQ8" s="169"/>
    </row>
    <row r="9" spans="1:43">
      <c r="A9" s="30" t="s">
        <v>48</v>
      </c>
      <c r="B9" s="192">
        <f>IF(B24&lt;&gt;0,$J$177,0)</f>
        <v>0</v>
      </c>
      <c r="C9" s="192">
        <v>1.9199999999999998E-2</v>
      </c>
      <c r="D9" s="192">
        <v>1.591578947368421E-2</v>
      </c>
      <c r="E9" s="204">
        <f>$H$177</f>
        <v>0.03</v>
      </c>
      <c r="F9" s="192">
        <v>0</v>
      </c>
      <c r="G9" s="192">
        <v>0</v>
      </c>
      <c r="H9" s="204">
        <f>$H$177</f>
        <v>0.03</v>
      </c>
      <c r="I9" s="192">
        <v>0</v>
      </c>
      <c r="J9" s="205">
        <v>0</v>
      </c>
      <c r="M9" s="259"/>
      <c r="N9" s="260"/>
      <c r="O9" s="261"/>
      <c r="P9" s="268"/>
      <c r="Q9" s="262"/>
      <c r="S9" s="168"/>
      <c r="T9" s="168"/>
      <c r="U9" s="168"/>
      <c r="V9" s="168"/>
      <c r="W9" s="168"/>
      <c r="X9" s="168"/>
      <c r="Y9" s="168"/>
      <c r="Z9" s="168"/>
      <c r="AA9" s="168"/>
      <c r="AB9" s="165"/>
      <c r="AC9" s="166"/>
      <c r="AD9" s="169"/>
      <c r="AE9" s="170"/>
      <c r="AF9" s="171"/>
      <c r="AG9" s="171"/>
      <c r="AH9" s="171"/>
      <c r="AI9" s="168"/>
      <c r="AJ9" s="170"/>
      <c r="AK9" s="168"/>
      <c r="AL9" s="169"/>
      <c r="AM9" s="169"/>
      <c r="AN9" s="169"/>
      <c r="AO9" s="169"/>
      <c r="AP9" s="169"/>
      <c r="AQ9" s="169"/>
    </row>
    <row r="10" spans="1:43">
      <c r="A10" s="30" t="s">
        <v>47</v>
      </c>
      <c r="B10" s="192">
        <f>IF(B24&lt;&gt;0,$J$181,0)</f>
        <v>0</v>
      </c>
      <c r="C10" s="192">
        <v>8.0000000000000004E-4</v>
      </c>
      <c r="D10" s="192">
        <v>2.6315789473684214E-3</v>
      </c>
      <c r="E10" s="204">
        <f>$H$181</f>
        <v>5.5102040816326532E-3</v>
      </c>
      <c r="F10" s="192">
        <v>0</v>
      </c>
      <c r="G10" s="192">
        <v>0</v>
      </c>
      <c r="H10" s="204">
        <f>$H$181</f>
        <v>5.5102040816326532E-3</v>
      </c>
      <c r="I10" s="192">
        <v>0</v>
      </c>
      <c r="J10" s="205">
        <v>0</v>
      </c>
      <c r="M10" s="263"/>
      <c r="N10" s="260"/>
      <c r="O10" s="261"/>
      <c r="P10" s="260"/>
      <c r="Q10" s="262"/>
      <c r="S10" s="168"/>
      <c r="T10" s="168"/>
      <c r="U10" s="168"/>
      <c r="V10" s="168"/>
      <c r="W10" s="168"/>
      <c r="X10" s="168"/>
      <c r="Y10" s="168"/>
      <c r="Z10" s="168"/>
      <c r="AA10" s="168"/>
      <c r="AB10" s="165"/>
      <c r="AC10" s="166"/>
      <c r="AD10" s="169"/>
      <c r="AE10" s="170"/>
      <c r="AF10" s="171"/>
      <c r="AG10" s="171"/>
      <c r="AH10" s="171"/>
      <c r="AI10" s="168"/>
      <c r="AJ10" s="170"/>
      <c r="AK10" s="168"/>
      <c r="AL10" s="169"/>
      <c r="AM10" s="169"/>
      <c r="AN10" s="169"/>
      <c r="AO10" s="169"/>
      <c r="AP10" s="169"/>
      <c r="AQ10" s="169"/>
    </row>
    <row r="11" spans="1:43" ht="15">
      <c r="A11" s="30" t="s">
        <v>46</v>
      </c>
      <c r="B11" s="207">
        <f>IF(B24&lt;&gt;0,$J$184,0)</f>
        <v>0</v>
      </c>
      <c r="C11" s="207">
        <v>5.7999999999999996E-3</v>
      </c>
      <c r="D11" s="207">
        <v>9.4736842105263147E-3</v>
      </c>
      <c r="E11" s="206">
        <f>$H$184</f>
        <v>1.1224489795918367E-2</v>
      </c>
      <c r="F11" s="207">
        <v>0</v>
      </c>
      <c r="G11" s="207">
        <v>0</v>
      </c>
      <c r="H11" s="206">
        <f>$H$184</f>
        <v>1.1224489795918367E-2</v>
      </c>
      <c r="I11" s="207">
        <v>0</v>
      </c>
      <c r="J11" s="208">
        <v>0</v>
      </c>
      <c r="M11" s="263"/>
      <c r="N11" s="269"/>
      <c r="O11" s="192"/>
      <c r="P11" s="269"/>
      <c r="Q11" s="205"/>
      <c r="S11" s="174"/>
      <c r="T11" s="174"/>
      <c r="U11" s="174"/>
      <c r="V11" s="174"/>
      <c r="W11" s="174"/>
      <c r="X11" s="174"/>
      <c r="Y11" s="174"/>
      <c r="Z11" s="174"/>
      <c r="AA11" s="174"/>
      <c r="AB11" s="165"/>
      <c r="AC11" s="166"/>
      <c r="AD11" s="169"/>
      <c r="AE11" s="170"/>
      <c r="AF11" s="175"/>
      <c r="AG11" s="175"/>
      <c r="AH11" s="175"/>
      <c r="AI11" s="174"/>
      <c r="AJ11" s="170"/>
      <c r="AK11" s="174"/>
      <c r="AL11" s="169"/>
      <c r="AM11" s="169"/>
      <c r="AN11" s="169"/>
      <c r="AO11" s="169"/>
      <c r="AP11" s="169"/>
      <c r="AQ11" s="169"/>
    </row>
    <row r="12" spans="1:43" ht="15">
      <c r="A12" s="30" t="s">
        <v>45</v>
      </c>
      <c r="B12" s="192">
        <f t="shared" ref="B12:D12" si="0">SUM(B6:B11)</f>
        <v>0</v>
      </c>
      <c r="C12" s="192">
        <f t="shared" si="0"/>
        <v>0.1104</v>
      </c>
      <c r="D12" s="192">
        <f t="shared" si="0"/>
        <v>0.1048291917259227</v>
      </c>
      <c r="E12" s="204">
        <f>SUM(E6:E11)</f>
        <v>8.3671893542082695E-2</v>
      </c>
      <c r="F12" s="192">
        <f t="shared" ref="F12:G12" si="1">SUM(F6:F11)</f>
        <v>0</v>
      </c>
      <c r="G12" s="192">
        <f t="shared" si="1"/>
        <v>0</v>
      </c>
      <c r="H12" s="204">
        <f>SUM(H6:H11)</f>
        <v>8.3671893542082695E-2</v>
      </c>
      <c r="I12" s="192">
        <f t="shared" ref="I12:J12" si="2">SUM(I6:I11)</f>
        <v>0</v>
      </c>
      <c r="J12" s="205">
        <f t="shared" si="2"/>
        <v>0</v>
      </c>
      <c r="M12" s="263"/>
      <c r="N12" s="264"/>
      <c r="O12" s="207"/>
      <c r="P12" s="264"/>
      <c r="Q12" s="208"/>
      <c r="S12" s="168"/>
      <c r="T12" s="168"/>
      <c r="U12" s="168"/>
      <c r="V12" s="168"/>
      <c r="W12" s="168"/>
      <c r="X12" s="168"/>
      <c r="Y12" s="168"/>
      <c r="Z12" s="168"/>
      <c r="AA12" s="168"/>
      <c r="AB12" s="165"/>
      <c r="AC12" s="166"/>
      <c r="AD12" s="164"/>
      <c r="AE12" s="164"/>
      <c r="AF12" s="171"/>
      <c r="AG12" s="171"/>
      <c r="AH12" s="171"/>
      <c r="AI12" s="168"/>
      <c r="AJ12" s="164"/>
      <c r="AK12" s="168"/>
      <c r="AL12" s="164"/>
      <c r="AM12" s="164"/>
      <c r="AN12" s="164"/>
      <c r="AO12" s="164"/>
      <c r="AP12" s="164"/>
      <c r="AQ12" s="164"/>
    </row>
    <row r="13" spans="1:43" ht="15">
      <c r="A13" s="30"/>
      <c r="B13" s="204"/>
      <c r="C13" s="192"/>
      <c r="D13" s="192"/>
      <c r="E13" s="204"/>
      <c r="F13" s="192"/>
      <c r="G13" s="192"/>
      <c r="H13" s="204"/>
      <c r="I13" s="192"/>
      <c r="J13" s="205"/>
      <c r="M13" s="263"/>
      <c r="N13" s="265"/>
      <c r="O13" s="266"/>
      <c r="P13" s="265"/>
      <c r="Q13" s="267"/>
      <c r="S13" s="163"/>
      <c r="T13" s="163"/>
      <c r="U13" s="163"/>
      <c r="V13" s="163"/>
      <c r="W13" s="163"/>
      <c r="X13" s="163"/>
      <c r="Y13" s="163"/>
      <c r="Z13" s="163"/>
      <c r="AA13" s="164"/>
      <c r="AB13" s="165"/>
      <c r="AC13" s="166"/>
      <c r="AD13" s="164"/>
      <c r="AE13" s="164"/>
      <c r="AF13" s="167"/>
      <c r="AG13" s="167"/>
      <c r="AH13" s="167"/>
      <c r="AI13" s="163"/>
      <c r="AJ13" s="164"/>
      <c r="AK13" s="163"/>
      <c r="AL13" s="164"/>
      <c r="AM13" s="164"/>
      <c r="AN13" s="164"/>
      <c r="AO13" s="164"/>
      <c r="AP13" s="164"/>
      <c r="AQ13" s="164"/>
    </row>
    <row r="14" spans="1:43">
      <c r="A14" s="30" t="s">
        <v>31</v>
      </c>
      <c r="B14" s="192">
        <f>IF($B$24&lt;&gt;0,$F$152/B24/1000,0)</f>
        <v>0</v>
      </c>
      <c r="C14" s="192">
        <v>2.46E-2</v>
      </c>
      <c r="D14" s="192">
        <v>7.3599375000000002E-3</v>
      </c>
      <c r="E14" s="204">
        <f>$D$124*$E$108/$B$49/1000</f>
        <v>9.3026761418853253E-4</v>
      </c>
      <c r="F14" s="192">
        <v>0</v>
      </c>
      <c r="G14" s="192">
        <v>0</v>
      </c>
      <c r="H14" s="204">
        <f>$D$124*$E$108/$B$49/1000</f>
        <v>9.3026761418853253E-4</v>
      </c>
      <c r="I14" s="192">
        <v>0</v>
      </c>
      <c r="J14" s="205">
        <v>0</v>
      </c>
      <c r="M14" s="259"/>
      <c r="N14" s="269"/>
      <c r="O14" s="270"/>
      <c r="P14" s="269"/>
      <c r="Q14" s="271"/>
      <c r="S14" s="168"/>
      <c r="T14" s="168"/>
      <c r="U14" s="168"/>
      <c r="V14" s="168"/>
      <c r="W14" s="168"/>
      <c r="X14" s="168"/>
      <c r="Y14" s="168"/>
      <c r="Z14" s="168"/>
      <c r="AA14" s="168"/>
      <c r="AB14" s="165"/>
      <c r="AC14" s="166"/>
      <c r="AD14" s="169"/>
      <c r="AE14" s="170"/>
      <c r="AF14" s="171"/>
      <c r="AG14" s="171"/>
      <c r="AH14" s="171"/>
      <c r="AI14" s="168"/>
      <c r="AJ14" s="170"/>
      <c r="AK14" s="168"/>
      <c r="AL14" s="169"/>
      <c r="AM14" s="169"/>
      <c r="AN14" s="169"/>
      <c r="AO14" s="169"/>
      <c r="AP14" s="169"/>
      <c r="AQ14" s="169"/>
    </row>
    <row r="15" spans="1:43">
      <c r="A15" s="30" t="s">
        <v>44</v>
      </c>
      <c r="B15" s="192">
        <f>IF($B$24&lt;&gt;0,$F$153/$B$24/1000,0)</f>
        <v>0</v>
      </c>
      <c r="C15" s="192">
        <v>8.9999999999999993E-3</v>
      </c>
      <c r="D15" s="192">
        <v>4.2419375E-3</v>
      </c>
      <c r="E15" s="204">
        <f>$H$124*$E$108/$B$49/1000</f>
        <v>0</v>
      </c>
      <c r="F15" s="192">
        <v>0</v>
      </c>
      <c r="G15" s="192">
        <v>0</v>
      </c>
      <c r="H15" s="204">
        <f>$H$124*$E$108/$B$49/1000</f>
        <v>0</v>
      </c>
      <c r="I15" s="192">
        <v>0</v>
      </c>
      <c r="J15" s="205">
        <v>0</v>
      </c>
      <c r="M15" s="263"/>
      <c r="N15" s="269"/>
      <c r="O15" s="268"/>
      <c r="P15" s="269"/>
      <c r="Q15" s="258"/>
      <c r="S15" s="176"/>
      <c r="T15" s="168"/>
      <c r="U15" s="168"/>
      <c r="V15" s="168"/>
      <c r="W15" s="168"/>
      <c r="X15" s="176"/>
      <c r="Y15" s="176"/>
      <c r="Z15" s="176"/>
      <c r="AA15" s="176"/>
      <c r="AB15" s="165"/>
      <c r="AC15" s="166"/>
      <c r="AD15" s="169"/>
      <c r="AE15" s="170"/>
      <c r="AF15" s="167"/>
      <c r="AG15" s="167"/>
      <c r="AH15" s="167"/>
      <c r="AI15" s="176"/>
      <c r="AJ15" s="170"/>
      <c r="AK15" s="176"/>
      <c r="AL15" s="169"/>
      <c r="AM15" s="169"/>
      <c r="AN15" s="169"/>
      <c r="AO15" s="169"/>
      <c r="AP15" s="169"/>
      <c r="AQ15" s="169"/>
    </row>
    <row r="16" spans="1:43">
      <c r="A16" s="30" t="s">
        <v>43</v>
      </c>
      <c r="B16" s="192">
        <f>IF($B$24&lt;&gt;0,$F$155/$B$24/1000,0)</f>
        <v>0</v>
      </c>
      <c r="C16" s="192">
        <v>7.9000000000000008E-3</v>
      </c>
      <c r="D16" s="192">
        <v>5.3897125000000002E-3</v>
      </c>
      <c r="E16" s="204">
        <f>$D$131*$E$108/$B$49/1000</f>
        <v>0</v>
      </c>
      <c r="F16" s="192">
        <v>0</v>
      </c>
      <c r="G16" s="192">
        <v>0</v>
      </c>
      <c r="H16" s="204">
        <f>$D$131*$E$108/$B$49/1000</f>
        <v>0</v>
      </c>
      <c r="I16" s="192">
        <v>0</v>
      </c>
      <c r="J16" s="205">
        <v>0</v>
      </c>
      <c r="M16" s="263"/>
      <c r="N16" s="269"/>
      <c r="O16" s="268"/>
      <c r="P16" s="269"/>
      <c r="Q16" s="258"/>
      <c r="S16" s="168"/>
      <c r="T16" s="168"/>
      <c r="U16" s="168"/>
      <c r="V16" s="168"/>
      <c r="W16" s="168"/>
      <c r="X16" s="168"/>
      <c r="Y16" s="168"/>
      <c r="Z16" s="168"/>
      <c r="AA16" s="176"/>
      <c r="AB16" s="165"/>
      <c r="AC16" s="166"/>
      <c r="AD16" s="169"/>
      <c r="AE16" s="170"/>
      <c r="AF16" s="171"/>
      <c r="AG16" s="171"/>
      <c r="AH16" s="171"/>
      <c r="AI16" s="168"/>
      <c r="AJ16" s="170"/>
      <c r="AK16" s="168"/>
      <c r="AL16" s="169"/>
      <c r="AM16" s="169"/>
      <c r="AN16" s="169"/>
      <c r="AO16" s="169"/>
      <c r="AP16" s="169"/>
      <c r="AQ16" s="169"/>
    </row>
    <row r="17" spans="1:10">
      <c r="A17" s="6" t="s">
        <v>5</v>
      </c>
      <c r="B17" s="192">
        <f>IF($B$24&lt;&gt;0,$F$154/$B$24/1000,0)</f>
        <v>0</v>
      </c>
      <c r="C17" s="192">
        <v>0</v>
      </c>
      <c r="D17" s="192">
        <v>2.6778947368421052E-3</v>
      </c>
      <c r="E17" s="204">
        <f>$F$194</f>
        <v>0</v>
      </c>
      <c r="F17" s="192">
        <v>0</v>
      </c>
      <c r="G17" s="192">
        <v>0</v>
      </c>
      <c r="H17" s="204">
        <f>$F$194</f>
        <v>0</v>
      </c>
      <c r="I17" s="192">
        <v>0</v>
      </c>
      <c r="J17" s="205">
        <v>0</v>
      </c>
    </row>
    <row r="18" spans="1:10">
      <c r="A18" s="6" t="s">
        <v>3</v>
      </c>
      <c r="B18" s="192">
        <f>IF($B$24&lt;&gt;0,$B$196/$B$49/1000,0)</f>
        <v>0</v>
      </c>
      <c r="C18" s="192">
        <v>2.7000000000000001E-3</v>
      </c>
      <c r="D18" s="192">
        <v>0.16719999999999999</v>
      </c>
      <c r="E18" s="204">
        <f>$F$196</f>
        <v>5.5866734693877554E-2</v>
      </c>
      <c r="F18" s="192">
        <v>0</v>
      </c>
      <c r="G18" s="192">
        <v>0</v>
      </c>
      <c r="H18" s="204">
        <f>$F$196</f>
        <v>5.5866734693877554E-2</v>
      </c>
      <c r="I18" s="192">
        <v>0</v>
      </c>
      <c r="J18" s="205">
        <v>0</v>
      </c>
    </row>
    <row r="19" spans="1:10" ht="15">
      <c r="A19" s="6" t="s">
        <v>4</v>
      </c>
      <c r="B19" s="207">
        <f>IF($B$24&lt;&gt;0,$B$195/$B$49/1000,0)</f>
        <v>0</v>
      </c>
      <c r="C19" s="207">
        <v>1.2E-2</v>
      </c>
      <c r="D19" s="207">
        <v>1.2884210526315788E-2</v>
      </c>
      <c r="E19" s="206">
        <f>$F$195</f>
        <v>0.23436734693877551</v>
      </c>
      <c r="F19" s="207">
        <v>0</v>
      </c>
      <c r="G19" s="207">
        <v>0</v>
      </c>
      <c r="H19" s="206">
        <f>$F$195</f>
        <v>0.23436734693877551</v>
      </c>
      <c r="I19" s="207">
        <v>0</v>
      </c>
      <c r="J19" s="208">
        <v>0</v>
      </c>
    </row>
    <row r="20" spans="1:10">
      <c r="A20" s="30" t="s">
        <v>42</v>
      </c>
      <c r="B20" s="192">
        <f t="shared" ref="B20:J20" si="3">SUM(B14:B19)</f>
        <v>0</v>
      </c>
      <c r="C20" s="192">
        <f t="shared" si="3"/>
        <v>5.62E-2</v>
      </c>
      <c r="D20" s="192">
        <f t="shared" si="3"/>
        <v>0.19975369276315788</v>
      </c>
      <c r="E20" s="204">
        <f t="shared" si="3"/>
        <v>0.29116434924684159</v>
      </c>
      <c r="F20" s="192">
        <f t="shared" ref="F20:G20" si="4">SUM(F14:F19)</f>
        <v>0</v>
      </c>
      <c r="G20" s="192">
        <f t="shared" si="4"/>
        <v>0</v>
      </c>
      <c r="H20" s="204">
        <f t="shared" si="3"/>
        <v>0.29116434924684159</v>
      </c>
      <c r="I20" s="192">
        <f t="shared" si="3"/>
        <v>0</v>
      </c>
      <c r="J20" s="205">
        <f t="shared" si="3"/>
        <v>0</v>
      </c>
    </row>
    <row r="21" spans="1:10">
      <c r="A21" s="6"/>
      <c r="B21" s="204"/>
      <c r="C21" s="192"/>
      <c r="D21" s="192"/>
      <c r="E21" s="204"/>
      <c r="F21" s="192"/>
      <c r="G21" s="192"/>
      <c r="H21" s="223"/>
      <c r="I21" s="192"/>
      <c r="J21" s="224"/>
    </row>
    <row r="22" spans="1:10">
      <c r="A22" s="30" t="s">
        <v>41</v>
      </c>
      <c r="B22" s="209">
        <f t="shared" ref="B22:J22" si="5">B12+B20</f>
        <v>0</v>
      </c>
      <c r="C22" s="210">
        <f t="shared" si="5"/>
        <v>0.1666</v>
      </c>
      <c r="D22" s="210">
        <f t="shared" si="5"/>
        <v>0.30458288448908055</v>
      </c>
      <c r="E22" s="209">
        <f t="shared" si="5"/>
        <v>0.3748362427889243</v>
      </c>
      <c r="F22" s="210">
        <f t="shared" si="5"/>
        <v>0</v>
      </c>
      <c r="G22" s="210">
        <f t="shared" si="5"/>
        <v>0</v>
      </c>
      <c r="H22" s="209">
        <f t="shared" si="5"/>
        <v>0.3748362427889243</v>
      </c>
      <c r="I22" s="210">
        <f t="shared" si="5"/>
        <v>0</v>
      </c>
      <c r="J22" s="211">
        <f t="shared" si="5"/>
        <v>0</v>
      </c>
    </row>
    <row r="23" spans="1:10">
      <c r="A23" s="6"/>
      <c r="B23" s="212"/>
      <c r="C23" s="213"/>
      <c r="D23" s="213"/>
      <c r="E23" s="212"/>
      <c r="F23" s="213"/>
      <c r="G23" s="213"/>
      <c r="H23" s="212"/>
      <c r="I23" s="213"/>
      <c r="J23" s="225"/>
    </row>
    <row r="24" spans="1:10">
      <c r="A24" s="25" t="s">
        <v>40</v>
      </c>
      <c r="B24" s="215">
        <f>+B54</f>
        <v>0</v>
      </c>
      <c r="C24" s="226">
        <v>0</v>
      </c>
      <c r="D24" s="226">
        <v>80000</v>
      </c>
      <c r="E24" s="215">
        <f>+B55</f>
        <v>0</v>
      </c>
      <c r="F24" s="226">
        <v>0</v>
      </c>
      <c r="G24" s="216">
        <v>0</v>
      </c>
      <c r="H24" s="215">
        <f>+B56</f>
        <v>0</v>
      </c>
      <c r="I24" s="226">
        <v>0</v>
      </c>
      <c r="J24" s="217">
        <v>0</v>
      </c>
    </row>
    <row r="25" spans="1:10">
      <c r="B25" s="49"/>
      <c r="C25" s="47"/>
      <c r="D25" s="47"/>
      <c r="E25" s="47"/>
      <c r="F25" s="48"/>
      <c r="G25" s="47"/>
      <c r="H25" s="47"/>
      <c r="J25" s="46"/>
    </row>
    <row r="26" spans="1:10" ht="18" customHeight="1">
      <c r="A26" s="64"/>
      <c r="B26" s="359" t="s">
        <v>92</v>
      </c>
      <c r="C26" s="360"/>
      <c r="D26" s="361"/>
      <c r="E26" s="347" t="s">
        <v>90</v>
      </c>
      <c r="F26" s="348"/>
      <c r="G26" s="348"/>
      <c r="H26" s="362" t="s">
        <v>20</v>
      </c>
      <c r="I26" s="363"/>
      <c r="J26" s="364"/>
    </row>
    <row r="27" spans="1:10" s="46" customFormat="1" ht="15">
      <c r="A27" s="66"/>
      <c r="B27" s="198" t="str">
        <f>$B$4</f>
        <v>25 Standard</v>
      </c>
      <c r="C27" s="199" t="str">
        <f>+C4</f>
        <v>23 Actual</v>
      </c>
      <c r="D27" s="200" t="str">
        <f>+D4</f>
        <v>20 Standard</v>
      </c>
      <c r="E27" s="218" t="s">
        <v>113</v>
      </c>
      <c r="F27" s="327" t="s">
        <v>114</v>
      </c>
      <c r="G27" s="219" t="s">
        <v>111</v>
      </c>
      <c r="H27" s="143" t="str">
        <f>+B27</f>
        <v>25 Standard</v>
      </c>
      <c r="I27" s="144" t="str">
        <f>+C27</f>
        <v>23 Actual</v>
      </c>
      <c r="J27" s="145" t="str">
        <f>+D27</f>
        <v>20 Standard</v>
      </c>
    </row>
    <row r="28" spans="1:10" s="46" customFormat="1">
      <c r="A28" s="66"/>
      <c r="B28" s="201"/>
      <c r="C28" s="202" t="s">
        <v>89</v>
      </c>
      <c r="D28" s="203"/>
      <c r="E28" s="201"/>
      <c r="F28" s="202" t="s">
        <v>102</v>
      </c>
      <c r="G28" s="203"/>
      <c r="H28" s="146"/>
      <c r="I28" s="137"/>
      <c r="J28" s="115"/>
    </row>
    <row r="29" spans="1:10">
      <c r="A29" s="30" t="s">
        <v>50</v>
      </c>
      <c r="B29" s="204">
        <f>D82</f>
        <v>6.5965817666666662E-2</v>
      </c>
      <c r="C29" s="192">
        <v>0</v>
      </c>
      <c r="D29" s="205">
        <v>0</v>
      </c>
      <c r="E29" s="192">
        <f>IF(E47&lt;&gt;0,$L$96,0)</f>
        <v>7.0852831853116985E-2</v>
      </c>
      <c r="F29" s="192">
        <v>7.8E-2</v>
      </c>
      <c r="G29" s="205">
        <v>6.0259679999999996E-2</v>
      </c>
      <c r="H29" s="138">
        <v>0</v>
      </c>
      <c r="I29" s="24">
        <v>0</v>
      </c>
      <c r="J29" s="94">
        <v>0</v>
      </c>
    </row>
    <row r="30" spans="1:10">
      <c r="A30" s="30" t="s">
        <v>27</v>
      </c>
      <c r="B30" s="204">
        <f>D169</f>
        <v>0</v>
      </c>
      <c r="C30" s="192">
        <v>0</v>
      </c>
      <c r="D30" s="205">
        <v>0</v>
      </c>
      <c r="E30" s="192">
        <f>IF(E47&lt;&gt;0,$G$169,0)</f>
        <v>4.3918811483700915E-2</v>
      </c>
      <c r="F30" s="192">
        <v>4.3200000000000002E-2</v>
      </c>
      <c r="G30" s="205">
        <v>2.6879417927194393E-2</v>
      </c>
      <c r="H30" s="138">
        <v>0</v>
      </c>
      <c r="I30" s="24">
        <v>0</v>
      </c>
      <c r="J30" s="94">
        <v>0</v>
      </c>
    </row>
    <row r="31" spans="1:10">
      <c r="A31" s="6" t="s">
        <v>49</v>
      </c>
      <c r="B31" s="204">
        <f>D170</f>
        <v>0</v>
      </c>
      <c r="C31" s="192">
        <v>0</v>
      </c>
      <c r="D31" s="205">
        <v>0</v>
      </c>
      <c r="E31" s="192">
        <f>IF(E47&lt;&gt;0,$G$170,0)</f>
        <v>2.5999999999999999E-2</v>
      </c>
      <c r="F31" s="192">
        <v>1.9E-2</v>
      </c>
      <c r="G31" s="205">
        <v>2.8566999999999999E-2</v>
      </c>
      <c r="H31" s="138">
        <f>J170</f>
        <v>0</v>
      </c>
      <c r="I31" s="24">
        <v>0</v>
      </c>
      <c r="J31" s="94">
        <v>0</v>
      </c>
    </row>
    <row r="32" spans="1:10">
      <c r="A32" s="30" t="s">
        <v>48</v>
      </c>
      <c r="B32" s="204">
        <f>IF($B$47&lt;&gt;0,$H$177,0)</f>
        <v>0</v>
      </c>
      <c r="C32" s="192">
        <v>0</v>
      </c>
      <c r="D32" s="205">
        <v>0</v>
      </c>
      <c r="E32" s="192">
        <f>IF(E47&lt;&gt;0,$H$177,0)</f>
        <v>0.03</v>
      </c>
      <c r="F32" s="192">
        <v>2.98E-2</v>
      </c>
      <c r="G32" s="205">
        <v>2.7777777777777776E-2</v>
      </c>
      <c r="H32" s="138">
        <v>0</v>
      </c>
      <c r="I32" s="24">
        <v>0</v>
      </c>
      <c r="J32" s="94">
        <v>0</v>
      </c>
    </row>
    <row r="33" spans="1:13">
      <c r="A33" s="30" t="s">
        <v>47</v>
      </c>
      <c r="B33" s="204">
        <f>IF($B$47&lt;&gt;0,$H$181,0)</f>
        <v>0</v>
      </c>
      <c r="C33" s="192">
        <v>0</v>
      </c>
      <c r="D33" s="205">
        <v>0</v>
      </c>
      <c r="E33" s="192">
        <f>IF(E47&lt;&gt;0,$H$181,0)</f>
        <v>5.5102040816326532E-3</v>
      </c>
      <c r="F33" s="192">
        <v>1.1999999999999999E-3</v>
      </c>
      <c r="G33" s="205">
        <v>6.9444444444444441E-3</v>
      </c>
      <c r="H33" s="138">
        <v>0</v>
      </c>
      <c r="I33" s="24">
        <v>0</v>
      </c>
      <c r="J33" s="94">
        <v>0</v>
      </c>
      <c r="K33" s="24"/>
      <c r="L33" s="24"/>
    </row>
    <row r="34" spans="1:13" ht="15">
      <c r="A34" s="30" t="s">
        <v>46</v>
      </c>
      <c r="B34" s="206">
        <f>IF($B$47&lt;&gt;0,$H$184,0)</f>
        <v>0</v>
      </c>
      <c r="C34" s="207">
        <v>0</v>
      </c>
      <c r="D34" s="208">
        <v>0</v>
      </c>
      <c r="E34" s="207">
        <f>IF(E47&lt;&gt;0,$H$184,0)</f>
        <v>1.1224489795918367E-2</v>
      </c>
      <c r="F34" s="207">
        <v>1.3899999999999999E-2</v>
      </c>
      <c r="G34" s="208">
        <v>1.2500000000000001E-2</v>
      </c>
      <c r="H34" s="139">
        <v>0</v>
      </c>
      <c r="I34" s="67">
        <v>0</v>
      </c>
      <c r="J34" s="95">
        <v>0</v>
      </c>
      <c r="K34" s="67"/>
      <c r="L34" s="67"/>
    </row>
    <row r="35" spans="1:13">
      <c r="A35" s="30" t="s">
        <v>45</v>
      </c>
      <c r="B35" s="204">
        <f>SUM(B29:B34)</f>
        <v>6.5965817666666662E-2</v>
      </c>
      <c r="C35" s="192">
        <f t="shared" ref="C35:D35" si="6">SUM(C29:C34)</f>
        <v>0</v>
      </c>
      <c r="D35" s="192">
        <f t="shared" si="6"/>
        <v>0</v>
      </c>
      <c r="E35" s="192">
        <f t="shared" ref="E35" si="7">SUM(E29:E34)</f>
        <v>0.18750633721436893</v>
      </c>
      <c r="F35" s="192">
        <f>SUM(F29:F34)</f>
        <v>0.18509999999999999</v>
      </c>
      <c r="G35" s="192">
        <f>SUM(G29:G34)</f>
        <v>0.16292832014941663</v>
      </c>
      <c r="H35" s="138">
        <f>SUM(H29:H34)</f>
        <v>0</v>
      </c>
      <c r="I35" s="24">
        <f t="shared" ref="I35" si="8">SUM(I29:I34)</f>
        <v>0</v>
      </c>
      <c r="J35" s="94">
        <f>SUM(J29:J34)</f>
        <v>0</v>
      </c>
      <c r="K35" s="24"/>
      <c r="L35" s="24"/>
    </row>
    <row r="36" spans="1:13">
      <c r="A36" s="30"/>
      <c r="B36" s="204"/>
      <c r="C36" s="192"/>
      <c r="D36" s="205"/>
      <c r="E36" s="204"/>
      <c r="F36" s="192"/>
      <c r="G36" s="205"/>
      <c r="H36" s="138"/>
      <c r="I36" s="24"/>
      <c r="J36" s="94"/>
      <c r="K36" s="24"/>
      <c r="L36" s="24"/>
    </row>
    <row r="37" spans="1:13">
      <c r="A37" s="30" t="s">
        <v>31</v>
      </c>
      <c r="B37" s="204">
        <f>$D$124*$E$108/$B$49/1000</f>
        <v>9.3026761418853253E-4</v>
      </c>
      <c r="C37" s="192">
        <v>0</v>
      </c>
      <c r="D37" s="205">
        <v>0</v>
      </c>
      <c r="E37" s="192">
        <f>IF($E$47&lt;&gt;0,$F$127/$E$47/1000,0)</f>
        <v>4.0001507410106898E-2</v>
      </c>
      <c r="F37" s="192">
        <v>3.5299999999999998E-2</v>
      </c>
      <c r="G37" s="205">
        <v>2.1569210091743118E-2</v>
      </c>
      <c r="H37" s="138">
        <v>0</v>
      </c>
      <c r="I37" s="24">
        <v>0</v>
      </c>
      <c r="J37" s="94">
        <v>0</v>
      </c>
      <c r="K37" s="24"/>
      <c r="L37" s="24"/>
    </row>
    <row r="38" spans="1:13">
      <c r="A38" s="30" t="s">
        <v>44</v>
      </c>
      <c r="B38" s="204">
        <f>$H$124*$E$108/$B$49/1000</f>
        <v>0</v>
      </c>
      <c r="C38" s="192">
        <v>0</v>
      </c>
      <c r="D38" s="205">
        <v>0</v>
      </c>
      <c r="E38" s="192">
        <f>IF($E$47&lt;&gt;0,$F$128/$E$47/1000,0)</f>
        <v>4.806117346938775E-3</v>
      </c>
      <c r="F38" s="192">
        <v>6.7000000000000002E-3</v>
      </c>
      <c r="G38" s="205">
        <v>5.1700857142857144E-3</v>
      </c>
      <c r="H38" s="138">
        <v>0</v>
      </c>
      <c r="I38" s="24">
        <v>0</v>
      </c>
      <c r="J38" s="94">
        <v>0</v>
      </c>
      <c r="K38" s="24"/>
      <c r="L38" s="24"/>
    </row>
    <row r="39" spans="1:13">
      <c r="A39" s="30" t="s">
        <v>43</v>
      </c>
      <c r="B39" s="204">
        <f>$D$131*$E$108/$B$49/1000</f>
        <v>0</v>
      </c>
      <c r="C39" s="192">
        <v>0</v>
      </c>
      <c r="D39" s="205">
        <v>0</v>
      </c>
      <c r="E39" s="192">
        <f>IF($E$47&lt;&gt;0,$F$130/$E$47/1000,0)</f>
        <v>1.2994211179543245E-2</v>
      </c>
      <c r="F39" s="192">
        <v>1.12E-2</v>
      </c>
      <c r="G39" s="205">
        <v>8.0162316187989569E-3</v>
      </c>
      <c r="H39" s="138">
        <v>0</v>
      </c>
      <c r="I39" s="24">
        <v>0</v>
      </c>
      <c r="J39" s="94">
        <v>0</v>
      </c>
      <c r="K39" s="24"/>
      <c r="L39" s="24"/>
    </row>
    <row r="40" spans="1:13">
      <c r="A40" s="6" t="s">
        <v>5</v>
      </c>
      <c r="B40" s="204">
        <f>IF($B$49&lt;&gt;0,$F$194,0)</f>
        <v>0</v>
      </c>
      <c r="C40" s="192">
        <v>0</v>
      </c>
      <c r="D40" s="205">
        <v>0</v>
      </c>
      <c r="E40" s="192">
        <f>IF($E$47&lt;&gt;0,$F$129/$E$47/1000,0)</f>
        <v>0</v>
      </c>
      <c r="F40" s="192">
        <v>0</v>
      </c>
      <c r="G40" s="205">
        <v>4.7638888888888888E-4</v>
      </c>
      <c r="H40" s="138">
        <v>0</v>
      </c>
      <c r="I40" s="24">
        <v>0</v>
      </c>
      <c r="J40" s="94">
        <v>0</v>
      </c>
      <c r="K40" s="24"/>
      <c r="L40" s="24"/>
    </row>
    <row r="41" spans="1:13" ht="15">
      <c r="A41" s="6" t="s">
        <v>3</v>
      </c>
      <c r="B41" s="204">
        <f>IF($B$49&lt;&gt;0,$F$196,0)</f>
        <v>5.5866734693877554E-2</v>
      </c>
      <c r="C41" s="192">
        <v>0</v>
      </c>
      <c r="D41" s="205">
        <v>0</v>
      </c>
      <c r="E41" s="192">
        <f>IF($E$47&lt;&gt;0,$B$196/$B$49/1000/4,0)</f>
        <v>1.1638903061224491E-3</v>
      </c>
      <c r="F41" s="192">
        <v>8.5000000000000006E-3</v>
      </c>
      <c r="G41" s="205">
        <v>5.6777777777777781E-3</v>
      </c>
      <c r="H41" s="138">
        <v>0</v>
      </c>
      <c r="I41" s="24">
        <v>0</v>
      </c>
      <c r="J41" s="94">
        <v>0</v>
      </c>
      <c r="K41" s="67"/>
      <c r="L41" s="67"/>
    </row>
    <row r="42" spans="1:13" ht="15">
      <c r="A42" s="6" t="s">
        <v>4</v>
      </c>
      <c r="B42" s="206">
        <f>IF($B$49&lt;&gt;0,$F$195,0)</f>
        <v>0.23436734693877551</v>
      </c>
      <c r="C42" s="207">
        <v>0</v>
      </c>
      <c r="D42" s="208">
        <v>0</v>
      </c>
      <c r="E42" s="207">
        <f>IF($E$47&lt;&gt;0,$B$195/$B$49/1000/4,0)</f>
        <v>4.8826530612244897E-3</v>
      </c>
      <c r="F42" s="207">
        <v>3.6200000000000003E-2</v>
      </c>
      <c r="G42" s="208">
        <v>2.5861111111111109E-2</v>
      </c>
      <c r="H42" s="139">
        <v>0</v>
      </c>
      <c r="I42" s="67">
        <v>0</v>
      </c>
      <c r="J42" s="95">
        <v>0</v>
      </c>
      <c r="K42" s="24"/>
      <c r="L42" s="24"/>
    </row>
    <row r="43" spans="1:13">
      <c r="A43" s="30" t="s">
        <v>42</v>
      </c>
      <c r="B43" s="204">
        <f t="shared" ref="B43:J43" si="9">SUM(B37:B42)</f>
        <v>0.29116434924684159</v>
      </c>
      <c r="C43" s="192">
        <f t="shared" si="9"/>
        <v>0</v>
      </c>
      <c r="D43" s="192">
        <f t="shared" si="9"/>
        <v>0</v>
      </c>
      <c r="E43" s="192">
        <f t="shared" ref="E43" si="10">SUM(E37:E42)</f>
        <v>6.3848379303935859E-2</v>
      </c>
      <c r="F43" s="192">
        <f>SUM(F37:F42)</f>
        <v>9.7900000000000001E-2</v>
      </c>
      <c r="G43" s="192">
        <f t="shared" si="9"/>
        <v>6.6770805202605574E-2</v>
      </c>
      <c r="H43" s="138">
        <f t="shared" si="9"/>
        <v>0</v>
      </c>
      <c r="I43" s="24">
        <f t="shared" si="9"/>
        <v>0</v>
      </c>
      <c r="J43" s="94">
        <f t="shared" si="9"/>
        <v>0</v>
      </c>
      <c r="K43" s="24"/>
      <c r="L43" s="24"/>
    </row>
    <row r="44" spans="1:13">
      <c r="A44" s="76" t="s">
        <v>112</v>
      </c>
      <c r="B44" s="204"/>
      <c r="C44" s="192"/>
      <c r="D44" s="205"/>
      <c r="E44" s="328"/>
      <c r="F44" s="328">
        <v>-4.5499999999999999E-2</v>
      </c>
      <c r="G44" s="205"/>
      <c r="H44" s="138"/>
      <c r="I44" s="24"/>
      <c r="J44" s="94"/>
      <c r="K44" s="24"/>
      <c r="L44" s="24"/>
    </row>
    <row r="45" spans="1:13">
      <c r="A45" s="30" t="s">
        <v>41</v>
      </c>
      <c r="B45" s="209">
        <f>B35+B43</f>
        <v>0.35713016691350824</v>
      </c>
      <c r="C45" s="210">
        <f t="shared" ref="C45:J45" si="11">C35+C43</f>
        <v>0</v>
      </c>
      <c r="D45" s="211">
        <v>0.19962945623832437</v>
      </c>
      <c r="E45" s="210">
        <f>E35+E43+E44</f>
        <v>0.25135471651830477</v>
      </c>
      <c r="F45" s="210">
        <f>F35+F43+F44</f>
        <v>0.23749999999999999</v>
      </c>
      <c r="G45" s="211">
        <f>+G35+G43</f>
        <v>0.22969912535202219</v>
      </c>
      <c r="H45" s="140">
        <f t="shared" si="11"/>
        <v>0</v>
      </c>
      <c r="I45" s="124">
        <f t="shared" si="11"/>
        <v>0</v>
      </c>
      <c r="J45" s="125">
        <f t="shared" si="11"/>
        <v>0</v>
      </c>
      <c r="K45" s="116"/>
      <c r="L45" s="116">
        <f>E45-0.245</f>
        <v>6.3547165183047705E-3</v>
      </c>
      <c r="M45" s="1">
        <f>E47*1000*L45</f>
        <v>31138.110939693375</v>
      </c>
    </row>
    <row r="46" spans="1:13">
      <c r="A46" s="6"/>
      <c r="B46" s="212"/>
      <c r="C46" s="213"/>
      <c r="D46" s="214"/>
      <c r="E46" s="212"/>
      <c r="F46" s="213"/>
      <c r="G46" s="214"/>
      <c r="H46" s="141"/>
      <c r="I46" s="24"/>
      <c r="J46" s="94"/>
      <c r="K46" s="47"/>
      <c r="L46" s="47"/>
      <c r="M46" s="1">
        <f>M45/12</f>
        <v>2594.8425783077814</v>
      </c>
    </row>
    <row r="47" spans="1:13">
      <c r="A47" s="25" t="s">
        <v>40</v>
      </c>
      <c r="B47" s="215">
        <f>+B57</f>
        <v>0</v>
      </c>
      <c r="C47" s="216">
        <v>0</v>
      </c>
      <c r="D47" s="217">
        <v>0</v>
      </c>
      <c r="E47" s="215">
        <f>+B58</f>
        <v>4900</v>
      </c>
      <c r="F47" s="216">
        <v>15776</v>
      </c>
      <c r="G47" s="217">
        <v>36000</v>
      </c>
      <c r="H47" s="142">
        <f>+B59</f>
        <v>0</v>
      </c>
      <c r="I47" s="112">
        <v>0</v>
      </c>
      <c r="J47" s="147">
        <v>0</v>
      </c>
      <c r="K47" s="117"/>
      <c r="L47" s="117"/>
      <c r="M47" s="251"/>
    </row>
    <row r="49" spans="1:12">
      <c r="A49" s="68" t="s">
        <v>39</v>
      </c>
      <c r="B49" s="114">
        <f>B24+E24+H24+B47+E47+H47</f>
        <v>4900</v>
      </c>
      <c r="C49" s="126">
        <f>C24+F24+I24+C47+F47+I47</f>
        <v>15776</v>
      </c>
      <c r="D49" s="127">
        <f>D24+G24+J24+D47+G47+J47</f>
        <v>116000</v>
      </c>
      <c r="E49" s="113"/>
    </row>
    <row r="50" spans="1:12"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>
      <c r="A51" s="54" t="s">
        <v>38</v>
      </c>
      <c r="B51" s="365" t="s">
        <v>37</v>
      </c>
      <c r="C51" s="365"/>
      <c r="D51" s="365"/>
      <c r="E51" s="365"/>
      <c r="F51" s="365"/>
      <c r="G51" s="365"/>
      <c r="H51" s="365"/>
      <c r="I51" s="365"/>
      <c r="J51" s="365"/>
      <c r="K51" s="365"/>
      <c r="L51" s="12"/>
    </row>
    <row r="52" spans="1:12">
      <c r="A52" s="30"/>
      <c r="L52" s="12"/>
    </row>
    <row r="53" spans="1:12" ht="15">
      <c r="A53" s="82" t="s">
        <v>61</v>
      </c>
      <c r="B53" s="45" t="s">
        <v>62</v>
      </c>
      <c r="C53" s="45" t="s">
        <v>64</v>
      </c>
      <c r="D53" s="185"/>
      <c r="E53" s="5"/>
      <c r="F53" s="45"/>
      <c r="G53" s="5"/>
      <c r="H53" s="5"/>
      <c r="L53" s="12"/>
    </row>
    <row r="54" spans="1:12" ht="15">
      <c r="A54" s="30" t="s">
        <v>95</v>
      </c>
      <c r="B54" s="120">
        <f>'2025 Summary'!$D$13</f>
        <v>0</v>
      </c>
      <c r="C54" s="129">
        <f>B54/$B$60</f>
        <v>0</v>
      </c>
      <c r="D54" s="32"/>
      <c r="E54" s="5">
        <f>9*400000*7</f>
        <v>25200000</v>
      </c>
      <c r="F54" s="44"/>
      <c r="G54" s="5" t="s">
        <v>20</v>
      </c>
      <c r="H54" s="121"/>
      <c r="L54" s="12"/>
    </row>
    <row r="55" spans="1:12" ht="15">
      <c r="A55" s="30" t="s">
        <v>96</v>
      </c>
      <c r="B55" s="120">
        <v>0</v>
      </c>
      <c r="C55" s="129">
        <f t="shared" ref="C55:C60" si="12">B55/$B$60</f>
        <v>0</v>
      </c>
      <c r="D55" s="32"/>
      <c r="E55" s="5"/>
      <c r="F55" s="44"/>
      <c r="G55" s="5" t="s">
        <v>20</v>
      </c>
      <c r="H55" s="121"/>
      <c r="L55" s="12"/>
    </row>
    <row r="56" spans="1:12" ht="15">
      <c r="A56" s="30" t="s">
        <v>97</v>
      </c>
      <c r="B56" s="120">
        <v>0</v>
      </c>
      <c r="C56" s="129">
        <f t="shared" si="12"/>
        <v>0</v>
      </c>
      <c r="D56" s="32"/>
      <c r="E56" s="5"/>
      <c r="F56" s="5"/>
      <c r="G56" s="5"/>
      <c r="H56" s="5"/>
      <c r="L56" s="12"/>
    </row>
    <row r="57" spans="1:12" ht="15">
      <c r="A57" s="30" t="s">
        <v>92</v>
      </c>
      <c r="B57" s="120">
        <v>0</v>
      </c>
      <c r="C57" s="129">
        <f t="shared" si="12"/>
        <v>0</v>
      </c>
      <c r="D57" s="32"/>
      <c r="E57" s="5"/>
      <c r="F57" s="5"/>
      <c r="G57" s="5"/>
      <c r="H57" s="5"/>
      <c r="L57" s="12"/>
    </row>
    <row r="58" spans="1:12" ht="15">
      <c r="A58" s="30" t="s">
        <v>90</v>
      </c>
      <c r="B58" s="103">
        <f>'2025 Summary'!$E$13</f>
        <v>4900</v>
      </c>
      <c r="C58" s="129">
        <f t="shared" si="12"/>
        <v>1</v>
      </c>
      <c r="D58" s="32"/>
      <c r="E58" s="5"/>
      <c r="F58" s="5"/>
      <c r="G58" s="5"/>
      <c r="H58" s="5"/>
      <c r="L58" s="12"/>
    </row>
    <row r="59" spans="1:12" ht="15">
      <c r="A59" s="30" t="s">
        <v>20</v>
      </c>
      <c r="B59" s="120">
        <v>0</v>
      </c>
      <c r="C59" s="130">
        <f t="shared" si="12"/>
        <v>0</v>
      </c>
      <c r="D59" s="32"/>
      <c r="E59" s="5"/>
      <c r="F59" s="5"/>
      <c r="G59" s="5"/>
      <c r="H59" s="5"/>
      <c r="L59" s="12"/>
    </row>
    <row r="60" spans="1:12">
      <c r="A60" s="83" t="s">
        <v>65</v>
      </c>
      <c r="B60" s="112">
        <f>SUM(B54:B59)</f>
        <v>4900</v>
      </c>
      <c r="C60" s="188">
        <f t="shared" si="12"/>
        <v>1</v>
      </c>
      <c r="D60" s="75"/>
      <c r="E60" s="53"/>
      <c r="F60" s="53"/>
      <c r="G60" s="53"/>
      <c r="H60" s="53"/>
      <c r="I60" s="10"/>
      <c r="J60" s="10"/>
      <c r="K60" s="10"/>
      <c r="L60" s="9"/>
    </row>
    <row r="61" spans="1:12">
      <c r="A61" s="16"/>
      <c r="B61" s="5"/>
      <c r="C61" s="5"/>
      <c r="D61" s="5"/>
      <c r="E61" s="5"/>
      <c r="F61" s="5"/>
      <c r="G61" s="5"/>
      <c r="H61" s="122"/>
      <c r="L61" s="12"/>
    </row>
    <row r="62" spans="1:12" ht="15" customHeight="1">
      <c r="A62" s="16"/>
      <c r="B62" s="5"/>
      <c r="C62" s="366" t="s">
        <v>35</v>
      </c>
      <c r="D62" s="366"/>
      <c r="E62" s="366"/>
      <c r="F62" s="366"/>
      <c r="G62" s="367" t="s">
        <v>60</v>
      </c>
      <c r="H62" s="367"/>
      <c r="I62" s="367"/>
      <c r="J62" s="367"/>
      <c r="K62" s="367"/>
      <c r="L62" s="233"/>
    </row>
    <row r="63" spans="1:12" s="36" customFormat="1" ht="15">
      <c r="A63" s="229" t="s">
        <v>66</v>
      </c>
      <c r="B63" s="101" t="s">
        <v>36</v>
      </c>
      <c r="C63" s="184" t="s">
        <v>95</v>
      </c>
      <c r="D63" s="197" t="s">
        <v>96</v>
      </c>
      <c r="E63" s="197" t="s">
        <v>97</v>
      </c>
      <c r="F63" s="197" t="s">
        <v>92</v>
      </c>
      <c r="G63" s="197" t="s">
        <v>98</v>
      </c>
      <c r="H63" s="184" t="s">
        <v>95</v>
      </c>
      <c r="I63" s="197" t="s">
        <v>96</v>
      </c>
      <c r="J63" s="197" t="s">
        <v>97</v>
      </c>
      <c r="K63" s="185" t="s">
        <v>92</v>
      </c>
      <c r="L63" s="197" t="s">
        <v>98</v>
      </c>
    </row>
    <row r="64" spans="1:12" s="36" customFormat="1" ht="15">
      <c r="A64" s="136" t="s">
        <v>71</v>
      </c>
      <c r="B64" s="235">
        <f>11.89*2</f>
        <v>23.78</v>
      </c>
      <c r="C64" s="248">
        <f>$C$76*H64</f>
        <v>0</v>
      </c>
      <c r="D64" s="248">
        <f>$C$86*I64</f>
        <v>0</v>
      </c>
      <c r="E64" s="248">
        <f>$G$86*J64</f>
        <v>0</v>
      </c>
      <c r="F64" s="248">
        <f>$K$86*K64</f>
        <v>0</v>
      </c>
      <c r="G64" s="109">
        <f>$K$86*L64</f>
        <v>0</v>
      </c>
      <c r="H64" s="246">
        <v>0</v>
      </c>
      <c r="I64" s="246">
        <v>0</v>
      </c>
      <c r="J64" s="246">
        <v>0</v>
      </c>
      <c r="K64" s="247">
        <v>0</v>
      </c>
      <c r="L64" s="187">
        <v>0</v>
      </c>
    </row>
    <row r="65" spans="1:12" s="36" customFormat="1" ht="15">
      <c r="A65" s="136"/>
      <c r="B65" s="120">
        <v>0</v>
      </c>
      <c r="C65" s="249">
        <f>$C$76*H65</f>
        <v>0</v>
      </c>
      <c r="D65" s="249">
        <f>$C$86*I65</f>
        <v>0</v>
      </c>
      <c r="E65" s="249">
        <f>$G$86*J65</f>
        <v>0</v>
      </c>
      <c r="F65" s="249">
        <f>$K$86*K65</f>
        <v>0</v>
      </c>
      <c r="G65" s="111">
        <f>$K$86*L65</f>
        <v>0</v>
      </c>
      <c r="H65" s="246">
        <v>0</v>
      </c>
      <c r="I65" s="246">
        <v>0</v>
      </c>
      <c r="J65" s="246">
        <v>0</v>
      </c>
      <c r="K65" s="247">
        <v>0</v>
      </c>
      <c r="L65" s="187">
        <v>0</v>
      </c>
    </row>
    <row r="66" spans="1:12" s="36" customFormat="1">
      <c r="A66" s="136"/>
      <c r="B66" s="42"/>
      <c r="C66" s="109">
        <f>SUM(C64:C65)</f>
        <v>0</v>
      </c>
      <c r="D66" s="109">
        <f>SUM(D64:D65)</f>
        <v>0</v>
      </c>
      <c r="E66" s="109">
        <f>SUM(E64:E65)</f>
        <v>0</v>
      </c>
      <c r="F66" s="109">
        <f>SUM(F64:F65)</f>
        <v>0</v>
      </c>
      <c r="G66" s="109">
        <f>SUM(G64:G65)</f>
        <v>0</v>
      </c>
      <c r="H66" s="80"/>
      <c r="I66" s="80"/>
      <c r="J66" s="80"/>
      <c r="K66" s="110"/>
      <c r="L66" s="110"/>
    </row>
    <row r="67" spans="1:12" s="36" customFormat="1">
      <c r="A67" s="230" t="s">
        <v>70</v>
      </c>
      <c r="B67" s="42"/>
      <c r="C67" s="109"/>
      <c r="D67" s="109"/>
      <c r="E67" s="109"/>
      <c r="F67" s="109"/>
      <c r="G67" s="109"/>
      <c r="H67" s="80"/>
      <c r="I67" s="80"/>
      <c r="J67" s="80"/>
      <c r="K67" s="110"/>
      <c r="L67" s="110"/>
    </row>
    <row r="68" spans="1:12" s="36" customFormat="1" ht="15">
      <c r="A68" s="136" t="s">
        <v>99</v>
      </c>
      <c r="B68" s="235">
        <v>0</v>
      </c>
      <c r="C68" s="248">
        <f>$C$77*H68</f>
        <v>0</v>
      </c>
      <c r="D68" s="248">
        <f>$C$87*I68</f>
        <v>0</v>
      </c>
      <c r="E68" s="248">
        <f>$G$87*J68</f>
        <v>0</v>
      </c>
      <c r="F68" s="248">
        <f t="shared" ref="F68:G71" si="13">$K$87*K68</f>
        <v>0</v>
      </c>
      <c r="G68" s="109">
        <f t="shared" si="13"/>
        <v>0</v>
      </c>
      <c r="H68" s="246">
        <v>0</v>
      </c>
      <c r="I68" s="246">
        <v>0</v>
      </c>
      <c r="J68" s="246">
        <v>0</v>
      </c>
      <c r="K68" s="247">
        <v>0</v>
      </c>
      <c r="L68" s="187">
        <v>0</v>
      </c>
    </row>
    <row r="69" spans="1:12" s="36" customFormat="1" ht="15">
      <c r="A69" s="136" t="s">
        <v>100</v>
      </c>
      <c r="B69" s="235">
        <f>116.72*2</f>
        <v>233.44</v>
      </c>
      <c r="C69" s="248">
        <f>$C$77*H69</f>
        <v>0</v>
      </c>
      <c r="D69" s="248">
        <f>$C$87*I69</f>
        <v>0</v>
      </c>
      <c r="E69" s="248">
        <f>$G$87*J69</f>
        <v>0</v>
      </c>
      <c r="F69" s="248">
        <f t="shared" si="13"/>
        <v>0</v>
      </c>
      <c r="G69" s="109">
        <f t="shared" si="13"/>
        <v>0</v>
      </c>
      <c r="H69" s="246">
        <v>0</v>
      </c>
      <c r="I69" s="246">
        <v>0</v>
      </c>
      <c r="J69" s="246">
        <v>0</v>
      </c>
      <c r="K69" s="247">
        <v>0</v>
      </c>
      <c r="L69" s="187">
        <v>0</v>
      </c>
    </row>
    <row r="70" spans="1:12" s="36" customFormat="1" ht="15">
      <c r="A70" s="136" t="s">
        <v>20</v>
      </c>
      <c r="B70" s="120">
        <v>0</v>
      </c>
      <c r="C70" s="248">
        <v>0</v>
      </c>
      <c r="D70" s="248">
        <f>$C$87*I70</f>
        <v>0</v>
      </c>
      <c r="E70" s="248">
        <f>$G$87*J70</f>
        <v>0</v>
      </c>
      <c r="F70" s="248">
        <f t="shared" si="13"/>
        <v>0</v>
      </c>
      <c r="G70" s="109">
        <f t="shared" si="13"/>
        <v>0</v>
      </c>
      <c r="H70" s="246">
        <v>0</v>
      </c>
      <c r="I70" s="246">
        <v>0</v>
      </c>
      <c r="J70" s="246">
        <v>0</v>
      </c>
      <c r="K70" s="247">
        <v>0</v>
      </c>
      <c r="L70" s="187">
        <v>0</v>
      </c>
    </row>
    <row r="71" spans="1:12" s="36" customFormat="1" ht="15">
      <c r="A71" s="136"/>
      <c r="B71" s="120">
        <v>0</v>
      </c>
      <c r="C71" s="249">
        <v>0</v>
      </c>
      <c r="D71" s="249">
        <f>$C$87*I71</f>
        <v>0</v>
      </c>
      <c r="E71" s="249">
        <f>$G$87*J71</f>
        <v>0</v>
      </c>
      <c r="F71" s="249">
        <f t="shared" si="13"/>
        <v>0</v>
      </c>
      <c r="G71" s="111">
        <f t="shared" si="13"/>
        <v>0</v>
      </c>
      <c r="H71" s="246">
        <v>0</v>
      </c>
      <c r="I71" s="246">
        <v>0</v>
      </c>
      <c r="J71" s="246">
        <v>0</v>
      </c>
      <c r="K71" s="247">
        <v>0</v>
      </c>
      <c r="L71" s="187">
        <v>0</v>
      </c>
    </row>
    <row r="72" spans="1:12" s="36" customFormat="1">
      <c r="A72" s="148"/>
      <c r="B72" s="42"/>
      <c r="C72" s="109">
        <f>SUM(C68:C71)</f>
        <v>0</v>
      </c>
      <c r="D72" s="109">
        <f>SUM(D68:D71)</f>
        <v>0</v>
      </c>
      <c r="E72" s="109">
        <f>SUM(E68:E71)</f>
        <v>0</v>
      </c>
      <c r="F72" s="109">
        <f>SUM(F68:F71)</f>
        <v>0</v>
      </c>
      <c r="G72" s="109">
        <f>SUM(G68:G71)</f>
        <v>0</v>
      </c>
      <c r="H72" s="80"/>
      <c r="I72" s="80"/>
      <c r="L72" s="119"/>
    </row>
    <row r="73" spans="1:12" s="36" customFormat="1">
      <c r="A73" s="148"/>
      <c r="B73" s="42"/>
      <c r="C73" s="109"/>
      <c r="D73" s="109"/>
      <c r="E73" s="109"/>
      <c r="F73" s="80"/>
      <c r="G73" s="80"/>
      <c r="H73" s="80"/>
      <c r="I73" s="80"/>
      <c r="L73" s="119"/>
    </row>
    <row r="74" spans="1:12" s="36" customFormat="1" ht="15">
      <c r="A74" s="6"/>
      <c r="B74" s="354" t="s">
        <v>95</v>
      </c>
      <c r="C74" s="354"/>
      <c r="D74" s="354"/>
      <c r="E74" s="37"/>
      <c r="F74" s="354" t="s">
        <v>96</v>
      </c>
      <c r="G74" s="354"/>
      <c r="H74" s="354"/>
      <c r="I74" s="185"/>
      <c r="L74" s="119"/>
    </row>
    <row r="75" spans="1:12" s="36" customFormat="1" ht="15" customHeight="1">
      <c r="A75" s="229"/>
      <c r="B75" s="278" t="s">
        <v>34</v>
      </c>
      <c r="C75" s="279" t="s">
        <v>35</v>
      </c>
      <c r="D75" s="35" t="s">
        <v>63</v>
      </c>
      <c r="E75" s="37"/>
      <c r="F75" s="35" t="s">
        <v>34</v>
      </c>
      <c r="G75" s="41" t="s">
        <v>35</v>
      </c>
      <c r="H75" s="35" t="s">
        <v>63</v>
      </c>
      <c r="I75" s="35"/>
      <c r="L75" s="119"/>
    </row>
    <row r="76" spans="1:12" s="36" customFormat="1" ht="15">
      <c r="A76" s="30" t="s">
        <v>66</v>
      </c>
      <c r="B76" s="280">
        <f>0.011</f>
        <v>1.0999999999999999E-2</v>
      </c>
      <c r="C76" s="242">
        <f>AVERAGE(3.6826,3.5997, 2.6808)</f>
        <v>3.3210333333333328</v>
      </c>
      <c r="D76" s="33">
        <f>B76*C76</f>
        <v>3.6531366666666662E-2</v>
      </c>
      <c r="F76" s="73">
        <v>0</v>
      </c>
      <c r="G76" s="118">
        <v>0</v>
      </c>
      <c r="H76" s="33">
        <f>F76*G76</f>
        <v>0</v>
      </c>
      <c r="I76" s="33"/>
      <c r="L76" s="119"/>
    </row>
    <row r="77" spans="1:12" s="36" customFormat="1" ht="15">
      <c r="A77" s="231" t="s">
        <v>69</v>
      </c>
      <c r="B77" s="272">
        <f>($B$68*$H$68+$B$69*$H$69+$B$70*$H$70+$B$71*$H$71)/2000</f>
        <v>0</v>
      </c>
      <c r="C77" s="242">
        <v>0</v>
      </c>
      <c r="D77" s="52">
        <f>B77*C77</f>
        <v>0</v>
      </c>
      <c r="F77" s="24">
        <f>($B$68*$L$68+$B$69*$L$69+$B$70*$L$70+$B$71*$L$71)/2000</f>
        <v>0</v>
      </c>
      <c r="G77" s="118">
        <v>0</v>
      </c>
      <c r="H77" s="52">
        <f>F77*G77</f>
        <v>0</v>
      </c>
      <c r="I77" s="52"/>
      <c r="L77" s="228"/>
    </row>
    <row r="78" spans="1:12" s="36" customFormat="1" ht="15">
      <c r="A78" s="30" t="s">
        <v>104</v>
      </c>
      <c r="B78" s="281">
        <v>1.8380000000000001</v>
      </c>
      <c r="C78" s="242">
        <v>8.0999999999999996E-3</v>
      </c>
      <c r="D78" s="52">
        <f>B78*C78</f>
        <v>1.48878E-2</v>
      </c>
      <c r="F78" s="24">
        <f>+B78</f>
        <v>1.8380000000000001</v>
      </c>
      <c r="G78" s="118">
        <v>0</v>
      </c>
      <c r="H78" s="52">
        <f>F78*G78</f>
        <v>0</v>
      </c>
      <c r="I78" s="52"/>
      <c r="L78" s="119"/>
    </row>
    <row r="79" spans="1:12" s="36" customFormat="1" ht="15">
      <c r="A79" s="30" t="s">
        <v>105</v>
      </c>
      <c r="B79" s="272">
        <f>750/1000</f>
        <v>0.75</v>
      </c>
      <c r="C79" s="242">
        <v>1.61E-2</v>
      </c>
      <c r="D79" s="52">
        <f t="shared" ref="D79:D80" si="14">B79*C79</f>
        <v>1.2074999999999999E-2</v>
      </c>
      <c r="F79" s="24">
        <f>+B79</f>
        <v>0.75</v>
      </c>
      <c r="G79" s="118">
        <v>0</v>
      </c>
      <c r="H79" s="52"/>
      <c r="I79" s="52"/>
      <c r="L79" s="119"/>
    </row>
    <row r="80" spans="1:12" s="36" customFormat="1" ht="16.5">
      <c r="A80" s="30" t="s">
        <v>103</v>
      </c>
      <c r="B80" s="272">
        <f>157.43/1000</f>
        <v>0.15743000000000001</v>
      </c>
      <c r="C80" s="242">
        <v>1.5699999999999999E-2</v>
      </c>
      <c r="D80" s="52">
        <f t="shared" si="14"/>
        <v>2.4716510000000001E-3</v>
      </c>
      <c r="F80" s="24">
        <f>+B80</f>
        <v>0.15743000000000001</v>
      </c>
      <c r="G80" s="118">
        <v>0</v>
      </c>
      <c r="H80" s="40">
        <v>0</v>
      </c>
      <c r="I80" s="40"/>
      <c r="L80" s="119"/>
    </row>
    <row r="82" spans="1:12" s="36" customFormat="1">
      <c r="A82" s="76" t="s">
        <v>67</v>
      </c>
      <c r="B82" s="74"/>
      <c r="C82" s="39"/>
      <c r="D82" s="38">
        <f>SUM(D76:D80)</f>
        <v>6.5965817666666662E-2</v>
      </c>
      <c r="F82" s="74"/>
      <c r="G82" s="39"/>
      <c r="H82" s="38">
        <f>SUM(H76:H80)</f>
        <v>0</v>
      </c>
      <c r="I82" s="38"/>
      <c r="L82" s="119"/>
    </row>
    <row r="83" spans="1:12" s="36" customFormat="1">
      <c r="A83" s="30"/>
      <c r="E83" s="37"/>
      <c r="F83" s="43"/>
      <c r="G83" s="42"/>
      <c r="H83" s="42"/>
      <c r="I83" s="42"/>
      <c r="L83" s="119"/>
    </row>
    <row r="84" spans="1:12" ht="15">
      <c r="A84" s="6"/>
      <c r="B84" s="354" t="s">
        <v>97</v>
      </c>
      <c r="C84" s="354"/>
      <c r="D84" s="354"/>
      <c r="E84" s="5"/>
      <c r="F84" s="354" t="s">
        <v>92</v>
      </c>
      <c r="G84" s="354"/>
      <c r="H84" s="354"/>
      <c r="I84" s="185"/>
      <c r="J84" s="354" t="s">
        <v>98</v>
      </c>
      <c r="K84" s="354"/>
      <c r="L84" s="355"/>
    </row>
    <row r="85" spans="1:12" ht="28.9" customHeight="1">
      <c r="A85" s="6"/>
      <c r="B85" s="35" t="s">
        <v>34</v>
      </c>
      <c r="C85" s="196" t="s">
        <v>101</v>
      </c>
      <c r="D85" s="35" t="s">
        <v>63</v>
      </c>
      <c r="F85" s="35" t="s">
        <v>34</v>
      </c>
      <c r="G85" s="41" t="s">
        <v>35</v>
      </c>
      <c r="H85" s="35" t="s">
        <v>63</v>
      </c>
      <c r="I85" s="35"/>
      <c r="J85" s="35" t="s">
        <v>34</v>
      </c>
      <c r="K85" s="41" t="s">
        <v>35</v>
      </c>
      <c r="L85" s="34" t="s">
        <v>63</v>
      </c>
    </row>
    <row r="86" spans="1:12" ht="15">
      <c r="A86" s="232" t="s">
        <v>68</v>
      </c>
      <c r="B86" s="73">
        <f>($B$64*$I$64+$B$65*$I$65)/2000</f>
        <v>0</v>
      </c>
      <c r="C86" s="118">
        <v>0</v>
      </c>
      <c r="D86" s="33">
        <f>B86*C86</f>
        <v>0</v>
      </c>
      <c r="F86" s="73">
        <f>($B$64*$J$64+$B$65*$J$65)/2000</f>
        <v>0</v>
      </c>
      <c r="G86" s="118">
        <v>0</v>
      </c>
      <c r="H86" s="89">
        <f>F86*G86</f>
        <v>0</v>
      </c>
      <c r="I86" s="89"/>
      <c r="J86" s="73">
        <f>($B$64*$K$64+$B$65*$K$65)/2000</f>
        <v>0</v>
      </c>
      <c r="K86" s="118">
        <v>0</v>
      </c>
      <c r="L86" s="50">
        <f>J86*K86</f>
        <v>0</v>
      </c>
    </row>
    <row r="87" spans="1:12" ht="15">
      <c r="A87" s="6" t="s">
        <v>69</v>
      </c>
      <c r="B87" s="24">
        <f>($B$68*$I$68+$B$69*$I$69+$B$70*$I$70+$B$71*$I$71)/2000</f>
        <v>0</v>
      </c>
      <c r="C87" s="118">
        <v>0</v>
      </c>
      <c r="D87" s="13">
        <f t="shared" ref="D87:D92" si="15">B87*C87</f>
        <v>0</v>
      </c>
      <c r="F87" s="24">
        <f>($B$68*$J$68+$B$69*$J$69+$B$70*$J$70+$B$71*$J$71)/2000</f>
        <v>0</v>
      </c>
      <c r="G87" s="118">
        <v>0</v>
      </c>
      <c r="H87" s="100">
        <f t="shared" ref="H87:H92" si="16">F87*G87</f>
        <v>0</v>
      </c>
      <c r="I87" s="13"/>
      <c r="J87" s="24">
        <f>($B$68*$K$68+$B$69*$K$69+$B$70*$K$70+$B$71*$K$71)/2000</f>
        <v>0</v>
      </c>
      <c r="K87" s="118">
        <v>0</v>
      </c>
      <c r="L87" s="31">
        <f t="shared" ref="L87:L94" si="17">J87*K87</f>
        <v>0</v>
      </c>
    </row>
    <row r="88" spans="1:12" ht="16.5">
      <c r="A88" s="30" t="s">
        <v>104</v>
      </c>
      <c r="B88" s="47">
        <v>2.54</v>
      </c>
      <c r="C88" s="118">
        <v>0</v>
      </c>
      <c r="D88" s="13">
        <f t="shared" si="15"/>
        <v>0</v>
      </c>
      <c r="F88" s="24">
        <f>+B88</f>
        <v>2.54</v>
      </c>
      <c r="G88" s="118">
        <v>0</v>
      </c>
      <c r="H88" s="100">
        <f t="shared" si="16"/>
        <v>0</v>
      </c>
      <c r="I88" s="88"/>
      <c r="J88" s="272">
        <v>1.964</v>
      </c>
      <c r="K88" s="118">
        <v>2.0848163962425278E-2</v>
      </c>
      <c r="L88" s="190">
        <f t="shared" si="17"/>
        <v>4.0945794022203247E-2</v>
      </c>
    </row>
    <row r="89" spans="1:12" ht="16.5">
      <c r="A89" s="30" t="s">
        <v>105</v>
      </c>
      <c r="B89" s="24">
        <f>750/1000</f>
        <v>0.75</v>
      </c>
      <c r="C89" s="118">
        <v>0</v>
      </c>
      <c r="D89" s="13">
        <f t="shared" si="15"/>
        <v>0</v>
      </c>
      <c r="F89" s="24">
        <f>+B89</f>
        <v>0.75</v>
      </c>
      <c r="G89" s="118">
        <v>0</v>
      </c>
      <c r="H89" s="100">
        <f t="shared" si="16"/>
        <v>0</v>
      </c>
      <c r="I89" s="88"/>
      <c r="J89" s="272">
        <v>0.59099999999999997</v>
      </c>
      <c r="K89" s="118">
        <v>3.101451750640478E-3</v>
      </c>
      <c r="L89" s="190">
        <f t="shared" si="17"/>
        <v>1.8329579846285225E-3</v>
      </c>
    </row>
    <row r="90" spans="1:12" ht="16.5">
      <c r="A90" s="30" t="s">
        <v>103</v>
      </c>
      <c r="B90" s="24">
        <f>157.43/1000</f>
        <v>0.15743000000000001</v>
      </c>
      <c r="C90" s="118">
        <v>0</v>
      </c>
      <c r="D90" s="13">
        <f t="shared" si="15"/>
        <v>0</v>
      </c>
      <c r="F90" s="24">
        <f>+B90</f>
        <v>0.15743000000000001</v>
      </c>
      <c r="G90" s="118">
        <v>0</v>
      </c>
      <c r="H90" s="100">
        <f t="shared" si="16"/>
        <v>0</v>
      </c>
      <c r="I90" s="88"/>
      <c r="J90" s="272">
        <v>0.105</v>
      </c>
      <c r="K90" s="118">
        <v>0.1</v>
      </c>
      <c r="L90" s="190">
        <f t="shared" si="17"/>
        <v>1.0500000000000001E-2</v>
      </c>
    </row>
    <row r="91" spans="1:12" ht="16.5">
      <c r="A91" s="30" t="s">
        <v>106</v>
      </c>
      <c r="B91" s="24"/>
      <c r="C91" s="118">
        <v>0</v>
      </c>
      <c r="D91" s="13">
        <f t="shared" si="15"/>
        <v>0</v>
      </c>
      <c r="F91" s="24">
        <f>+B91</f>
        <v>0</v>
      </c>
      <c r="G91" s="118">
        <v>0</v>
      </c>
      <c r="H91" s="100">
        <f t="shared" si="16"/>
        <v>0</v>
      </c>
      <c r="I91" s="88"/>
      <c r="J91" s="272">
        <v>1.0269999999999999</v>
      </c>
      <c r="K91" s="118">
        <v>2.1752348420153713E-3</v>
      </c>
      <c r="L91" s="190">
        <f t="shared" si="17"/>
        <v>2.2339661827497862E-3</v>
      </c>
    </row>
    <row r="92" spans="1:12" ht="16.5">
      <c r="A92" s="30" t="s">
        <v>107</v>
      </c>
      <c r="B92" s="24"/>
      <c r="C92" s="118">
        <v>0</v>
      </c>
      <c r="D92" s="13">
        <f t="shared" si="15"/>
        <v>0</v>
      </c>
      <c r="F92" s="24">
        <f>+B92</f>
        <v>0</v>
      </c>
      <c r="G92" s="118">
        <v>0</v>
      </c>
      <c r="H92" s="100">
        <f t="shared" si="16"/>
        <v>0</v>
      </c>
      <c r="I92" s="88"/>
      <c r="J92" s="272">
        <v>1.389</v>
      </c>
      <c r="K92" s="118">
        <v>2.3312553373185311E-3</v>
      </c>
      <c r="L92" s="190">
        <f t="shared" si="17"/>
        <v>3.2381136635354396E-3</v>
      </c>
    </row>
    <row r="93" spans="1:12" ht="16.5">
      <c r="A93" s="30" t="s">
        <v>108</v>
      </c>
      <c r="B93" s="239"/>
      <c r="C93" s="118"/>
      <c r="D93" s="13"/>
      <c r="F93" s="24"/>
      <c r="G93" s="118"/>
      <c r="H93" s="100"/>
      <c r="I93" s="88"/>
      <c r="J93" s="273">
        <v>18.84</v>
      </c>
      <c r="K93" s="118">
        <v>5.9999999999999995E-4</v>
      </c>
      <c r="L93" s="190">
        <f t="shared" si="17"/>
        <v>1.1303999999999998E-2</v>
      </c>
    </row>
    <row r="94" spans="1:12" ht="16.5">
      <c r="A94" s="30" t="s">
        <v>109</v>
      </c>
      <c r="B94" s="238"/>
      <c r="C94" s="118"/>
      <c r="D94" s="13"/>
      <c r="F94" s="24"/>
      <c r="G94" s="118"/>
      <c r="H94" s="100"/>
      <c r="I94" s="88"/>
      <c r="J94" s="274">
        <v>1.33</v>
      </c>
      <c r="K94" s="118">
        <v>5.9999999999999995E-4</v>
      </c>
      <c r="L94" s="190">
        <f t="shared" si="17"/>
        <v>7.9799999999999999E-4</v>
      </c>
    </row>
    <row r="95" spans="1:12" ht="16.5">
      <c r="A95" s="30"/>
      <c r="B95" s="191"/>
      <c r="C95" s="191"/>
      <c r="D95" s="40">
        <v>0</v>
      </c>
      <c r="F95" s="191"/>
      <c r="G95" s="191"/>
      <c r="H95" s="40">
        <v>0</v>
      </c>
      <c r="I95" s="88"/>
      <c r="J95" s="191"/>
      <c r="K95" s="191"/>
      <c r="L95" s="240">
        <v>0</v>
      </c>
    </row>
    <row r="96" spans="1:12">
      <c r="A96" s="83" t="s">
        <v>67</v>
      </c>
      <c r="B96" s="53"/>
      <c r="C96" s="75"/>
      <c r="D96" s="189">
        <f>SUM(D86:D95)</f>
        <v>0</v>
      </c>
      <c r="E96" s="53"/>
      <c r="F96" s="53"/>
      <c r="G96" s="75"/>
      <c r="H96" s="189">
        <f>SUM(H86:H95)</f>
        <v>0</v>
      </c>
      <c r="I96" s="123"/>
      <c r="J96" s="53"/>
      <c r="K96" s="75"/>
      <c r="L96" s="241">
        <f>SUM(L86:L95)</f>
        <v>7.0852831853116985E-2</v>
      </c>
    </row>
    <row r="98" spans="1:9">
      <c r="A98" s="356" t="s">
        <v>33</v>
      </c>
      <c r="B98" s="357"/>
      <c r="C98" s="357"/>
      <c r="D98" s="357"/>
      <c r="E98" s="357"/>
      <c r="F98" s="357"/>
      <c r="G98" s="357"/>
      <c r="H98" s="358"/>
    </row>
    <row r="99" spans="1:9" ht="14.65" customHeight="1">
      <c r="A99" s="71"/>
      <c r="B99" s="72"/>
      <c r="C99" s="72"/>
      <c r="D99" s="72"/>
      <c r="E99" s="72"/>
      <c r="F99" s="368" t="s">
        <v>53</v>
      </c>
      <c r="G99" s="368"/>
      <c r="H99" s="369"/>
    </row>
    <row r="100" spans="1:9" ht="15">
      <c r="A100" s="370" t="s">
        <v>55</v>
      </c>
      <c r="B100" s="371"/>
      <c r="C100" s="371"/>
      <c r="D100" s="371"/>
      <c r="E100" s="371"/>
      <c r="F100" s="368"/>
      <c r="G100" s="368"/>
      <c r="H100" s="369"/>
    </row>
    <row r="101" spans="1:9" ht="16.5">
      <c r="A101" s="16"/>
      <c r="B101" s="185" t="s">
        <v>56</v>
      </c>
      <c r="C101" s="185" t="s">
        <v>85</v>
      </c>
      <c r="D101" s="185" t="s">
        <v>32</v>
      </c>
      <c r="E101" s="185" t="s">
        <v>54</v>
      </c>
      <c r="F101" s="103">
        <v>1</v>
      </c>
      <c r="G101" s="128" t="s">
        <v>58</v>
      </c>
      <c r="H101" s="85">
        <f>(F101*C202*C204)+((F101*C202*C204*D113))</f>
        <v>345498296</v>
      </c>
    </row>
    <row r="102" spans="1:9" ht="15">
      <c r="A102" s="30" t="s">
        <v>95</v>
      </c>
      <c r="B102" s="28">
        <f>B54</f>
        <v>0</v>
      </c>
      <c r="C102" s="286">
        <v>550</v>
      </c>
      <c r="D102" s="28">
        <f>B102/C102</f>
        <v>0</v>
      </c>
      <c r="E102" s="21">
        <f t="shared" ref="E102:E108" si="18">D102/D$108</f>
        <v>0</v>
      </c>
      <c r="F102" s="86">
        <f>(F101*C202*C204*C116)+((F101*C202*C204*D113)*C118)</f>
        <v>18643340.973099794</v>
      </c>
      <c r="G102" s="5" t="s">
        <v>29</v>
      </c>
      <c r="H102" s="87">
        <f>F102/$H$101</f>
        <v>5.3960732046851527E-2</v>
      </c>
      <c r="I102" s="287" t="s">
        <v>120</v>
      </c>
    </row>
    <row r="103" spans="1:9" ht="15">
      <c r="A103" s="30" t="s">
        <v>96</v>
      </c>
      <c r="B103" s="43">
        <f t="shared" ref="B103:B107" si="19">B55</f>
        <v>0</v>
      </c>
      <c r="C103" s="108">
        <v>0</v>
      </c>
      <c r="D103" s="28">
        <v>0</v>
      </c>
      <c r="E103" s="21">
        <f t="shared" si="18"/>
        <v>0</v>
      </c>
      <c r="F103" s="195">
        <f>F102*C206</f>
        <v>5593002.2919299379</v>
      </c>
      <c r="G103" s="5" t="s">
        <v>28</v>
      </c>
      <c r="H103" s="87">
        <f>F103/$H$101</f>
        <v>1.6188219614055456E-2</v>
      </c>
    </row>
    <row r="104" spans="1:9" ht="15">
      <c r="A104" s="30" t="s">
        <v>97</v>
      </c>
      <c r="B104" s="43">
        <f t="shared" si="19"/>
        <v>0</v>
      </c>
      <c r="C104" s="108">
        <v>0</v>
      </c>
      <c r="D104" s="28">
        <v>0</v>
      </c>
      <c r="E104" s="21">
        <f t="shared" si="18"/>
        <v>0</v>
      </c>
      <c r="F104" s="86"/>
      <c r="G104" s="5"/>
      <c r="H104" s="87"/>
    </row>
    <row r="105" spans="1:9" ht="15">
      <c r="A105" s="30" t="s">
        <v>92</v>
      </c>
      <c r="B105" s="43">
        <f t="shared" si="19"/>
        <v>0</v>
      </c>
      <c r="C105" s="108">
        <v>0</v>
      </c>
      <c r="D105" s="28">
        <v>0</v>
      </c>
      <c r="E105" s="21">
        <f t="shared" si="18"/>
        <v>0</v>
      </c>
      <c r="F105" s="86"/>
      <c r="G105" s="5"/>
      <c r="H105" s="87"/>
    </row>
    <row r="106" spans="1:9" ht="15">
      <c r="A106" s="30" t="s">
        <v>90</v>
      </c>
      <c r="B106" s="43">
        <f t="shared" si="19"/>
        <v>4900</v>
      </c>
      <c r="C106" s="286">
        <v>110</v>
      </c>
      <c r="D106" s="28">
        <f t="shared" ref="D106" si="20">B106/C106</f>
        <v>44.545454545454547</v>
      </c>
      <c r="E106" s="21">
        <f>D106/D$108</f>
        <v>1</v>
      </c>
      <c r="F106" s="86"/>
      <c r="G106" s="5"/>
      <c r="H106" s="87"/>
      <c r="I106" s="287" t="s">
        <v>119</v>
      </c>
    </row>
    <row r="107" spans="1:9" ht="15">
      <c r="A107" s="83" t="s">
        <v>20</v>
      </c>
      <c r="B107" s="112">
        <f t="shared" si="19"/>
        <v>0</v>
      </c>
      <c r="C107" s="108">
        <v>0</v>
      </c>
      <c r="D107" s="106">
        <v>0</v>
      </c>
      <c r="E107" s="107">
        <f t="shared" si="18"/>
        <v>0</v>
      </c>
      <c r="H107" s="12"/>
    </row>
    <row r="108" spans="1:9">
      <c r="A108" s="96"/>
      <c r="B108" s="69">
        <f>SUM(B102:B107)</f>
        <v>4900</v>
      </c>
      <c r="C108" s="70">
        <f>B108/D108</f>
        <v>110</v>
      </c>
      <c r="D108" s="70">
        <f>SUM(D102:D107)</f>
        <v>44.545454545454547</v>
      </c>
      <c r="E108" s="314">
        <f t="shared" si="18"/>
        <v>1</v>
      </c>
      <c r="H108" s="27"/>
    </row>
    <row r="109" spans="1:9">
      <c r="A109" s="315" t="s">
        <v>115</v>
      </c>
      <c r="B109" s="69"/>
      <c r="C109" s="70"/>
      <c r="D109" s="70"/>
      <c r="E109" s="314"/>
      <c r="F109" s="4"/>
      <c r="G109" s="4"/>
      <c r="H109" s="316"/>
    </row>
    <row r="110" spans="1:9" ht="15">
      <c r="A110" s="6"/>
      <c r="B110" s="289"/>
      <c r="C110" s="289"/>
      <c r="D110" s="289"/>
      <c r="E110" s="289"/>
      <c r="F110" s="289"/>
      <c r="G110" s="289"/>
      <c r="H110" s="290"/>
    </row>
    <row r="111" spans="1:9">
      <c r="A111" s="6"/>
      <c r="B111" s="352"/>
      <c r="C111" s="352"/>
      <c r="D111" s="352"/>
      <c r="F111" s="352"/>
      <c r="G111" s="352"/>
      <c r="H111" s="353"/>
    </row>
    <row r="112" spans="1:9" ht="15">
      <c r="A112" s="6"/>
      <c r="B112" t="s">
        <v>125</v>
      </c>
      <c r="C112" t="s">
        <v>126</v>
      </c>
      <c r="D112" t="s">
        <v>127</v>
      </c>
      <c r="E112" t="s">
        <v>128</v>
      </c>
      <c r="F112" s="317" t="s">
        <v>129</v>
      </c>
      <c r="G112" s="317" t="s">
        <v>130</v>
      </c>
      <c r="H112" s="291" t="s">
        <v>131</v>
      </c>
    </row>
    <row r="113" spans="1:30" ht="15">
      <c r="A113" s="292" t="s">
        <v>31</v>
      </c>
      <c r="B113" s="293">
        <v>119702.77</v>
      </c>
      <c r="C113" s="293">
        <v>140371.43</v>
      </c>
      <c r="D113" s="293">
        <v>166103.95000000001</v>
      </c>
      <c r="E113" s="293">
        <v>166766.85999999999</v>
      </c>
      <c r="F113" s="294">
        <v>105842.43</v>
      </c>
      <c r="G113" s="294">
        <v>147383.65</v>
      </c>
      <c r="H113" s="295">
        <v>163283.07</v>
      </c>
      <c r="U113" s="178"/>
      <c r="V113" s="178"/>
      <c r="W113" s="178"/>
      <c r="X113" s="178"/>
      <c r="Z113" s="178"/>
      <c r="AA113" s="166"/>
      <c r="AB113" s="180"/>
      <c r="AC113" s="152"/>
      <c r="AD113" s="93"/>
    </row>
    <row r="114" spans="1:30" ht="15">
      <c r="A114" s="292" t="s">
        <v>30</v>
      </c>
      <c r="B114" s="293">
        <v>15222.93</v>
      </c>
      <c r="C114" s="293">
        <v>23913.55</v>
      </c>
      <c r="D114" s="293">
        <v>19670.79</v>
      </c>
      <c r="E114" s="293">
        <v>41336.57</v>
      </c>
      <c r="F114" s="294">
        <v>23672.31</v>
      </c>
      <c r="G114" s="294">
        <v>9419.99</v>
      </c>
      <c r="H114" s="295">
        <v>18308.82</v>
      </c>
      <c r="U114" s="178"/>
      <c r="V114" s="178"/>
      <c r="W114" s="178"/>
      <c r="X114" s="178"/>
      <c r="Z114" s="178"/>
      <c r="AA114" s="166"/>
      <c r="AB114" s="180"/>
      <c r="AC114" s="152"/>
      <c r="AD114" s="93"/>
    </row>
    <row r="115" spans="1:30" ht="15">
      <c r="A115" s="292" t="s">
        <v>28</v>
      </c>
      <c r="B115" s="293">
        <v>11228.99</v>
      </c>
      <c r="C115" s="293">
        <v>10794.51</v>
      </c>
      <c r="D115" s="293">
        <v>10146.4</v>
      </c>
      <c r="E115" s="293">
        <v>8112.73</v>
      </c>
      <c r="F115" s="294">
        <v>-1917.2</v>
      </c>
      <c r="G115" s="294">
        <v>49379.56</v>
      </c>
      <c r="H115" s="295">
        <v>50660.85</v>
      </c>
      <c r="U115" s="178"/>
      <c r="V115" s="178"/>
      <c r="W115" s="178"/>
      <c r="X115" s="178"/>
      <c r="Z115" s="178"/>
      <c r="AA115" s="166"/>
      <c r="AB115" s="180"/>
      <c r="AC115" s="152"/>
      <c r="AD115" s="93"/>
    </row>
    <row r="116" spans="1:30" ht="16.5">
      <c r="A116" s="296" t="s">
        <v>5</v>
      </c>
      <c r="B116" s="293">
        <v>3928.57</v>
      </c>
      <c r="C116" s="293">
        <v>-3928.57</v>
      </c>
      <c r="D116" s="293">
        <v>0</v>
      </c>
      <c r="E116" s="293">
        <v>-1311.46</v>
      </c>
      <c r="F116" s="294">
        <v>841.1</v>
      </c>
      <c r="G116" s="294">
        <v>0</v>
      </c>
      <c r="H116" s="295">
        <v>0</v>
      </c>
      <c r="I116" s="62"/>
      <c r="U116" s="179"/>
      <c r="V116" s="179"/>
      <c r="W116" s="179"/>
      <c r="X116" s="179"/>
      <c r="Z116" s="179"/>
      <c r="AA116" s="166"/>
      <c r="AB116" s="180"/>
      <c r="AC116" s="152"/>
      <c r="AD116" s="93"/>
    </row>
    <row r="117" spans="1:30" ht="16.5">
      <c r="A117" s="296" t="s">
        <v>132</v>
      </c>
      <c r="B117">
        <v>37953</v>
      </c>
      <c r="C117">
        <v>21274</v>
      </c>
      <c r="D117">
        <v>55365</v>
      </c>
      <c r="E117">
        <v>3960</v>
      </c>
      <c r="F117">
        <v>26641</v>
      </c>
      <c r="G117">
        <v>11698</v>
      </c>
      <c r="H117" s="318">
        <v>35168</v>
      </c>
      <c r="I117" s="62"/>
      <c r="U117" s="179"/>
      <c r="V117" s="179"/>
      <c r="W117" s="179"/>
      <c r="X117" s="179"/>
      <c r="Z117" s="179"/>
      <c r="AA117" s="166"/>
      <c r="AB117" s="180"/>
      <c r="AC117" s="152"/>
      <c r="AD117" s="93"/>
    </row>
    <row r="118" spans="1:30" ht="15">
      <c r="A118" s="296" t="s">
        <v>133</v>
      </c>
      <c r="B118" s="297">
        <f>B115/(B113+B114+B116-B117)</f>
        <v>0.11128690451567158</v>
      </c>
      <c r="C118" s="297">
        <f t="shared" ref="C118:H118" si="21">C115/(C113+C114+C116-C117)</f>
        <v>7.7612330703789228E-2</v>
      </c>
      <c r="D118" s="297">
        <f t="shared" si="21"/>
        <v>7.7804004516840525E-2</v>
      </c>
      <c r="E118" s="297">
        <f t="shared" si="21"/>
        <v>3.9997294312134321E-2</v>
      </c>
      <c r="F118" s="297">
        <f t="shared" si="21"/>
        <v>-1.848530065707087E-2</v>
      </c>
      <c r="G118" s="297">
        <f t="shared" si="21"/>
        <v>0.34030076294760153</v>
      </c>
      <c r="H118" s="300">
        <f t="shared" si="21"/>
        <v>0.34598759806203749</v>
      </c>
      <c r="U118" s="168"/>
      <c r="V118" s="168"/>
      <c r="W118" s="168"/>
      <c r="X118" s="168"/>
      <c r="Z118" s="168"/>
      <c r="AA118" s="151"/>
      <c r="AB118" s="177"/>
      <c r="AC118" s="181"/>
      <c r="AD118" s="5"/>
    </row>
    <row r="119" spans="1:30" ht="15">
      <c r="A119" s="296"/>
      <c r="B119" s="297"/>
      <c r="C119" s="297"/>
      <c r="D119" s="297"/>
      <c r="E119" s="297"/>
      <c r="F119" s="297"/>
      <c r="G119" s="297"/>
      <c r="H119" s="300"/>
    </row>
    <row r="120" spans="1:30">
      <c r="A120" s="6"/>
      <c r="B120" s="43"/>
      <c r="C120" s="301"/>
      <c r="D120" s="15" t="s">
        <v>134</v>
      </c>
      <c r="E120" s="63"/>
      <c r="F120" s="43" t="s">
        <v>135</v>
      </c>
      <c r="G120" s="301"/>
      <c r="H120" s="302"/>
    </row>
    <row r="121" spans="1:30" ht="15">
      <c r="A121" s="292" t="s">
        <v>136</v>
      </c>
      <c r="B121" s="303">
        <v>28</v>
      </c>
      <c r="C121" s="29"/>
      <c r="D121" s="26">
        <f>(AVERAGE((C113-C117),(G113-G117),(H113-H117)))/B121</f>
        <v>4558.3113095238095</v>
      </c>
      <c r="E121" s="63"/>
      <c r="F121" s="304">
        <f>D121*B121</f>
        <v>127632.71666666667</v>
      </c>
      <c r="G121" s="29"/>
      <c r="H121" s="12"/>
      <c r="S121" s="57"/>
      <c r="T121" s="372"/>
      <c r="U121" s="372"/>
      <c r="V121" s="372"/>
      <c r="W121" s="372"/>
      <c r="X121" s="372"/>
      <c r="Y121" s="372"/>
      <c r="Z121" s="372"/>
      <c r="AA121" s="372"/>
      <c r="AB121" s="372"/>
      <c r="AC121" s="372"/>
      <c r="AD121" s="372"/>
    </row>
    <row r="122" spans="1:30" ht="15">
      <c r="A122" s="292" t="s">
        <v>137</v>
      </c>
      <c r="B122" s="303">
        <v>2</v>
      </c>
      <c r="C122" s="78"/>
      <c r="D122" s="26">
        <f>AVERAGE(G114)/B122</f>
        <v>4709.9949999999999</v>
      </c>
      <c r="E122" s="63"/>
      <c r="F122" s="304">
        <f>D122*B122</f>
        <v>9419.99</v>
      </c>
      <c r="G122" s="305"/>
      <c r="H122" s="12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</row>
    <row r="123" spans="1:30">
      <c r="A123" s="76"/>
      <c r="B123" s="117"/>
      <c r="C123" s="284"/>
      <c r="D123" s="306"/>
      <c r="E123" s="63"/>
      <c r="F123" s="307"/>
      <c r="G123" s="319"/>
      <c r="H123" s="308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</row>
    <row r="124" spans="1:30">
      <c r="A124" s="309" t="s">
        <v>138</v>
      </c>
      <c r="B124" s="117">
        <v>15</v>
      </c>
      <c r="C124" s="284"/>
      <c r="D124" s="26">
        <f>D121</f>
        <v>4558.3113095238095</v>
      </c>
      <c r="E124" s="63"/>
      <c r="F124" s="304">
        <f>D124*B124</f>
        <v>68374.669642857145</v>
      </c>
      <c r="G124" s="91"/>
      <c r="H124" s="308"/>
      <c r="I124" s="63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</row>
    <row r="125" spans="1:30">
      <c r="A125" s="309" t="s">
        <v>139</v>
      </c>
      <c r="B125" s="117">
        <v>3</v>
      </c>
      <c r="C125" s="284"/>
      <c r="D125" s="26">
        <f>D122</f>
        <v>4709.9949999999999</v>
      </c>
      <c r="E125" s="63"/>
      <c r="F125" s="304">
        <f>D125*B125</f>
        <v>14129.985000000001</v>
      </c>
      <c r="G125" s="319"/>
      <c r="H125" s="310"/>
      <c r="I125" s="63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</row>
    <row r="126" spans="1:30">
      <c r="A126" s="6"/>
      <c r="B126" s="320"/>
      <c r="F126" s="311"/>
      <c r="H126" s="12"/>
      <c r="I126" s="63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</row>
    <row r="127" spans="1:30">
      <c r="A127" s="6" t="s">
        <v>140</v>
      </c>
      <c r="B127" s="43">
        <f>B121+B124</f>
        <v>43</v>
      </c>
      <c r="C127" s="29"/>
      <c r="D127" s="26">
        <f>D124</f>
        <v>4558.3113095238095</v>
      </c>
      <c r="F127" s="312">
        <f>D127*B127</f>
        <v>196007.3863095238</v>
      </c>
      <c r="H127" s="12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</row>
    <row r="128" spans="1:30">
      <c r="A128" s="6" t="s">
        <v>141</v>
      </c>
      <c r="B128" s="43">
        <f>B122+B125</f>
        <v>5</v>
      </c>
      <c r="C128" s="78"/>
      <c r="D128" s="26">
        <f>D125</f>
        <v>4709.9949999999999</v>
      </c>
      <c r="F128" s="312">
        <f>D128*B128</f>
        <v>23549.974999999999</v>
      </c>
      <c r="H128" s="12"/>
      <c r="S128" s="58"/>
      <c r="T128" s="58"/>
      <c r="U128" s="58"/>
      <c r="V128" s="58"/>
      <c r="W128" s="58"/>
      <c r="X128" s="58"/>
      <c r="Y128" s="58"/>
      <c r="Z128" s="58"/>
      <c r="AA128" s="58"/>
      <c r="AB128" s="59"/>
      <c r="AC128" s="58"/>
      <c r="AD128" s="58"/>
    </row>
    <row r="129" spans="1:8">
      <c r="A129" s="76" t="s">
        <v>132</v>
      </c>
      <c r="B129" s="43"/>
      <c r="C129" s="29"/>
      <c r="D129" s="77"/>
      <c r="F129" s="313">
        <v>0</v>
      </c>
      <c r="H129" s="12"/>
    </row>
    <row r="130" spans="1:8" ht="16.5" customHeight="1">
      <c r="A130" s="83" t="s">
        <v>28</v>
      </c>
      <c r="B130" s="321"/>
      <c r="C130" s="322"/>
      <c r="D130" s="323"/>
      <c r="E130" s="10"/>
      <c r="F130" s="324">
        <f>(F127+F128)*0.29</f>
        <v>63671.634779761902</v>
      </c>
      <c r="G130" s="10"/>
      <c r="H130" s="9"/>
    </row>
    <row r="131" spans="1:8">
      <c r="A131" s="283"/>
      <c r="B131" s="117"/>
      <c r="C131" s="284"/>
      <c r="D131" s="285"/>
      <c r="E131" s="63"/>
    </row>
    <row r="132" spans="1:8">
      <c r="A132" s="283"/>
      <c r="B132" s="117"/>
      <c r="C132" s="284"/>
      <c r="D132" s="285"/>
      <c r="E132" s="63"/>
    </row>
    <row r="133" spans="1:8">
      <c r="A133" s="283"/>
      <c r="B133" s="117"/>
      <c r="C133" s="284"/>
      <c r="D133" s="285"/>
      <c r="E133" s="63"/>
    </row>
    <row r="134" spans="1:8">
      <c r="A134" s="315" t="s">
        <v>116</v>
      </c>
      <c r="B134" s="69"/>
      <c r="C134" s="70"/>
      <c r="D134" s="70"/>
      <c r="E134" s="314"/>
      <c r="F134" s="4"/>
      <c r="G134" s="4"/>
      <c r="H134" s="316"/>
    </row>
    <row r="135" spans="1:8" ht="15">
      <c r="A135" s="6"/>
      <c r="B135" s="289"/>
      <c r="C135" s="289"/>
      <c r="D135" s="289"/>
      <c r="E135" s="289"/>
      <c r="F135" s="289"/>
      <c r="G135" s="289"/>
      <c r="H135" s="290"/>
    </row>
    <row r="136" spans="1:8">
      <c r="A136" s="6"/>
      <c r="B136" s="352"/>
      <c r="C136" s="352"/>
      <c r="D136" s="352"/>
      <c r="F136" s="352"/>
      <c r="G136" s="352"/>
      <c r="H136" s="353"/>
    </row>
    <row r="137" spans="1:8" ht="15">
      <c r="A137" s="6"/>
      <c r="B137" t="s">
        <v>125</v>
      </c>
      <c r="C137" t="s">
        <v>126</v>
      </c>
      <c r="D137" t="s">
        <v>127</v>
      </c>
      <c r="E137" t="s">
        <v>128</v>
      </c>
      <c r="F137" t="s">
        <v>129</v>
      </c>
      <c r="G137" s="317" t="s">
        <v>130</v>
      </c>
      <c r="H137" s="291" t="s">
        <v>131</v>
      </c>
    </row>
    <row r="138" spans="1:8" ht="15">
      <c r="A138" s="292" t="s">
        <v>31</v>
      </c>
      <c r="B138" s="294">
        <v>268968.01</v>
      </c>
      <c r="C138" s="294">
        <v>288390.24</v>
      </c>
      <c r="D138" s="293">
        <v>154345.41</v>
      </c>
      <c r="E138" s="293">
        <v>13412.75</v>
      </c>
      <c r="F138" s="325">
        <v>229529.76</v>
      </c>
      <c r="G138" s="294">
        <v>274156.28999999998</v>
      </c>
      <c r="H138" s="295">
        <v>267092.21000000002</v>
      </c>
    </row>
    <row r="139" spans="1:8" ht="15">
      <c r="A139" s="292" t="s">
        <v>30</v>
      </c>
      <c r="B139" s="294">
        <v>67812.91</v>
      </c>
      <c r="C139" s="294">
        <v>64354.51</v>
      </c>
      <c r="D139" s="293">
        <v>40616.39</v>
      </c>
      <c r="E139" s="293">
        <v>14950.76</v>
      </c>
      <c r="F139" s="325">
        <v>74301.16</v>
      </c>
      <c r="G139" s="294">
        <v>85619.44</v>
      </c>
      <c r="H139" s="295">
        <v>74393.95</v>
      </c>
    </row>
    <row r="140" spans="1:8" ht="15">
      <c r="A140" s="292" t="s">
        <v>28</v>
      </c>
      <c r="B140" s="294">
        <v>102162.56</v>
      </c>
      <c r="C140" s="294">
        <v>97023.8</v>
      </c>
      <c r="D140" s="293">
        <v>87771.29</v>
      </c>
      <c r="E140" s="293">
        <v>18740.91</v>
      </c>
      <c r="F140" s="325">
        <v>135347.70000000001</v>
      </c>
      <c r="G140" s="294">
        <v>89284.14</v>
      </c>
      <c r="H140" s="295">
        <v>88862.54</v>
      </c>
    </row>
    <row r="141" spans="1:8" ht="15">
      <c r="A141" s="292" t="s">
        <v>5</v>
      </c>
      <c r="B141" s="294">
        <v>6248.2</v>
      </c>
      <c r="C141" s="294">
        <v>7823.13</v>
      </c>
      <c r="D141" s="293">
        <v>4541.8500000000004</v>
      </c>
      <c r="E141" s="293">
        <v>10625.36</v>
      </c>
      <c r="F141" s="325">
        <v>11684.3</v>
      </c>
      <c r="G141" s="294">
        <v>7724.39</v>
      </c>
      <c r="H141" s="295">
        <v>6820.85</v>
      </c>
    </row>
    <row r="142" spans="1:8" ht="15">
      <c r="A142" s="296" t="s">
        <v>132</v>
      </c>
      <c r="B142" s="317">
        <v>35640</v>
      </c>
      <c r="C142" s="317">
        <v>61311</v>
      </c>
      <c r="D142">
        <v>50554</v>
      </c>
      <c r="E142"/>
      <c r="F142">
        <v>65416</v>
      </c>
      <c r="G142">
        <v>62538</v>
      </c>
      <c r="H142" s="318">
        <v>37211</v>
      </c>
    </row>
    <row r="143" spans="1:8" ht="15">
      <c r="A143" s="296" t="s">
        <v>133</v>
      </c>
      <c r="B143" s="298">
        <f>B140/(B138+B139-B142+B141)</f>
        <v>0.3323558101210608</v>
      </c>
      <c r="C143" s="298">
        <f t="shared" ref="C143:H143" si="22">C140/(C138+C139-C142+C141)</f>
        <v>0.3242157707451872</v>
      </c>
      <c r="D143" s="298">
        <f t="shared" si="22"/>
        <v>0.58926818559157401</v>
      </c>
      <c r="E143" s="298">
        <f t="shared" si="22"/>
        <v>0.48067333061973838</v>
      </c>
      <c r="F143" s="298">
        <f t="shared" si="22"/>
        <v>0.54117601806195159</v>
      </c>
      <c r="G143" s="298">
        <f t="shared" si="22"/>
        <v>0.29277124647480807</v>
      </c>
      <c r="H143" s="299">
        <f t="shared" si="22"/>
        <v>0.28564345778655276</v>
      </c>
    </row>
    <row r="145" spans="1:10">
      <c r="A145" s="6"/>
      <c r="B145" s="43"/>
      <c r="C145" s="301"/>
      <c r="D145" s="15" t="s">
        <v>134</v>
      </c>
      <c r="E145" s="63"/>
      <c r="F145" s="43" t="s">
        <v>135</v>
      </c>
      <c r="G145" s="301"/>
      <c r="H145" s="302"/>
      <c r="J145" s="283"/>
    </row>
    <row r="146" spans="1:10" ht="15">
      <c r="A146" s="292" t="s">
        <v>136</v>
      </c>
      <c r="B146" s="303">
        <v>46</v>
      </c>
      <c r="C146" s="29"/>
      <c r="D146" s="26">
        <f>(AVERAGE((B138-B142),(C138-C142),(G138-G142),(H138-H142)))/B146</f>
        <v>4901.667119565217</v>
      </c>
      <c r="E146" s="63"/>
      <c r="F146" s="304">
        <f>D146*B146</f>
        <v>225476.68749999997</v>
      </c>
      <c r="G146" s="29"/>
      <c r="H146" s="326"/>
      <c r="J146" s="283"/>
    </row>
    <row r="147" spans="1:10" ht="15">
      <c r="A147" s="292" t="s">
        <v>137</v>
      </c>
      <c r="B147" s="303">
        <v>16</v>
      </c>
      <c r="C147" s="78"/>
      <c r="D147" s="26">
        <f>AVERAGE($G$99:$H$99,B139:C139)/B147</f>
        <v>4130.2318750000004</v>
      </c>
      <c r="E147" s="63"/>
      <c r="F147" s="304">
        <f>D147*B147</f>
        <v>66083.710000000006</v>
      </c>
      <c r="G147" s="305"/>
      <c r="H147" s="12"/>
      <c r="J147" s="283"/>
    </row>
    <row r="148" spans="1:10">
      <c r="A148" s="76"/>
      <c r="B148" s="117"/>
      <c r="C148" s="284"/>
      <c r="D148" s="306"/>
      <c r="E148" s="63"/>
      <c r="F148" s="307"/>
      <c r="G148" s="319"/>
      <c r="H148" s="308"/>
      <c r="J148" s="283"/>
    </row>
    <row r="149" spans="1:10">
      <c r="A149" s="309" t="s">
        <v>138</v>
      </c>
      <c r="B149" s="117">
        <v>6</v>
      </c>
      <c r="C149" s="284"/>
      <c r="D149" s="26">
        <f>D146</f>
        <v>4901.667119565217</v>
      </c>
      <c r="E149" s="63"/>
      <c r="F149" s="304">
        <f>D149*B149</f>
        <v>29410.002717391304</v>
      </c>
      <c r="G149" s="91"/>
      <c r="H149" s="308"/>
      <c r="J149" s="283"/>
    </row>
    <row r="150" spans="1:10">
      <c r="A150" s="309" t="s">
        <v>139</v>
      </c>
      <c r="B150" s="117">
        <v>6</v>
      </c>
      <c r="C150" s="284"/>
      <c r="D150" s="26">
        <f>D147</f>
        <v>4130.2318750000004</v>
      </c>
      <c r="E150" s="63"/>
      <c r="F150" s="304">
        <f>D150*B150</f>
        <v>24781.391250000001</v>
      </c>
      <c r="G150" s="319"/>
      <c r="H150" s="310"/>
      <c r="J150" s="283"/>
    </row>
    <row r="151" spans="1:10">
      <c r="A151" s="6"/>
      <c r="B151" s="320"/>
      <c r="F151" s="311"/>
      <c r="H151" s="12"/>
      <c r="J151" s="283"/>
    </row>
    <row r="152" spans="1:10">
      <c r="A152" s="6" t="s">
        <v>140</v>
      </c>
      <c r="B152" s="43">
        <f>B146+B149</f>
        <v>52</v>
      </c>
      <c r="C152" s="29"/>
      <c r="D152" s="26">
        <f>D146</f>
        <v>4901.667119565217</v>
      </c>
      <c r="F152" s="312">
        <f>D152*B152</f>
        <v>254886.6902173913</v>
      </c>
      <c r="H152" s="12"/>
      <c r="J152" s="283"/>
    </row>
    <row r="153" spans="1:10">
      <c r="A153" s="6" t="s">
        <v>141</v>
      </c>
      <c r="B153" s="43">
        <f>B147+B150</f>
        <v>22</v>
      </c>
      <c r="C153" s="78"/>
      <c r="D153" s="26">
        <f>D146</f>
        <v>4901.667119565217</v>
      </c>
      <c r="F153" s="312">
        <f>D153*B153</f>
        <v>107836.67663043477</v>
      </c>
      <c r="H153" s="12"/>
      <c r="J153" s="283"/>
    </row>
    <row r="154" spans="1:10">
      <c r="A154" s="76" t="s">
        <v>5</v>
      </c>
      <c r="B154" s="43"/>
      <c r="C154" s="29"/>
      <c r="D154" s="77"/>
      <c r="F154" s="313">
        <v>7154</v>
      </c>
      <c r="H154" s="12"/>
      <c r="J154" s="283"/>
    </row>
    <row r="155" spans="1:10" ht="15">
      <c r="A155" s="83" t="s">
        <v>28</v>
      </c>
      <c r="B155" s="321"/>
      <c r="C155" s="322"/>
      <c r="D155" s="323"/>
      <c r="E155" s="10"/>
      <c r="F155" s="324">
        <f>(F152+F153+F154)*0.3</f>
        <v>110963.21005434782</v>
      </c>
      <c r="G155" s="10"/>
      <c r="H155" s="9"/>
      <c r="J155" s="283"/>
    </row>
    <row r="156" spans="1:10">
      <c r="A156" s="283"/>
      <c r="B156" s="117"/>
      <c r="C156" s="284"/>
      <c r="D156" s="285"/>
      <c r="E156" s="63"/>
      <c r="J156" s="283"/>
    </row>
    <row r="157" spans="1:10" ht="12.75" customHeight="1">
      <c r="J157" s="57"/>
    </row>
    <row r="158" spans="1:10" ht="15">
      <c r="A158" s="55" t="s">
        <v>26</v>
      </c>
      <c r="B158" s="183"/>
      <c r="C158" s="183"/>
      <c r="D158" s="132">
        <v>4.5</v>
      </c>
      <c r="E158" s="183"/>
      <c r="F158" s="183"/>
      <c r="G158" s="245"/>
      <c r="H158" s="183"/>
      <c r="I158" s="4"/>
      <c r="J158" s="131"/>
    </row>
    <row r="159" spans="1:10" ht="15">
      <c r="A159" s="6"/>
      <c r="B159" s="374" t="s">
        <v>25</v>
      </c>
      <c r="C159" s="375"/>
      <c r="D159" s="132">
        <v>4.5</v>
      </c>
      <c r="E159" s="374" t="s">
        <v>24</v>
      </c>
      <c r="F159" s="375"/>
      <c r="G159" s="132">
        <f>762256/10182780</f>
        <v>7.4857357224647883E-2</v>
      </c>
      <c r="H159" s="376" t="s">
        <v>86</v>
      </c>
      <c r="I159" s="377"/>
      <c r="J159" s="244">
        <f>30000*365</f>
        <v>10950000</v>
      </c>
    </row>
    <row r="160" spans="1:10">
      <c r="A160" s="6"/>
      <c r="B160" s="5"/>
      <c r="C160" s="5"/>
      <c r="D160" s="5"/>
      <c r="E160" s="5"/>
      <c r="F160" s="5"/>
      <c r="G160" s="5"/>
      <c r="H160" s="378" t="s">
        <v>87</v>
      </c>
      <c r="I160" s="379"/>
      <c r="J160" s="135">
        <f>ROUND(J159/B49/1000,3)</f>
        <v>2.2349999999999999</v>
      </c>
    </row>
    <row r="161" spans="1:10" ht="15" customHeight="1">
      <c r="A161" s="6"/>
      <c r="B161" s="380" t="s">
        <v>95</v>
      </c>
      <c r="C161" s="381"/>
      <c r="D161" s="382"/>
      <c r="E161" s="380" t="s">
        <v>96</v>
      </c>
      <c r="F161" s="381"/>
      <c r="G161" s="382"/>
      <c r="H161" s="380" t="s">
        <v>97</v>
      </c>
      <c r="I161" s="381"/>
      <c r="J161" s="382"/>
    </row>
    <row r="162" spans="1:10" ht="25.5">
      <c r="A162" s="6"/>
      <c r="B162" s="133" t="s">
        <v>79</v>
      </c>
      <c r="C162" s="61" t="s">
        <v>80</v>
      </c>
      <c r="D162" s="22" t="s">
        <v>81</v>
      </c>
      <c r="E162" s="133" t="s">
        <v>79</v>
      </c>
      <c r="F162" s="61" t="s">
        <v>80</v>
      </c>
      <c r="G162" s="22" t="s">
        <v>81</v>
      </c>
      <c r="H162" s="133" t="s">
        <v>79</v>
      </c>
      <c r="I162" s="61" t="s">
        <v>80</v>
      </c>
      <c r="J162" s="22" t="s">
        <v>81</v>
      </c>
    </row>
    <row r="163" spans="1:10" ht="15">
      <c r="A163" s="6" t="s">
        <v>23</v>
      </c>
      <c r="B163" s="275">
        <v>0.11509999999999999</v>
      </c>
      <c r="C163" s="282">
        <v>8.7999999999999995E-2</v>
      </c>
      <c r="D163" s="90">
        <f>B163*C163</f>
        <v>1.0128799999999999E-2</v>
      </c>
      <c r="E163" s="243">
        <v>0.26500000000000001</v>
      </c>
      <c r="F163" s="60">
        <f>G159</f>
        <v>7.4857357224647883E-2</v>
      </c>
      <c r="G163" s="90">
        <f>E163*F163</f>
        <v>1.983719966453169E-2</v>
      </c>
      <c r="H163" s="243">
        <v>0.26500000000000001</v>
      </c>
      <c r="I163" s="60">
        <f>$G$159</f>
        <v>7.4857357224647883E-2</v>
      </c>
      <c r="J163" s="90">
        <f>H163*I163</f>
        <v>1.983719966453169E-2</v>
      </c>
    </row>
    <row r="164" spans="1:10" ht="16.5">
      <c r="A164" s="6" t="s">
        <v>22</v>
      </c>
      <c r="B164" s="275">
        <v>6.4999999999999997E-3</v>
      </c>
      <c r="C164" s="276">
        <v>4</v>
      </c>
      <c r="D164" s="51">
        <f>B164*C164</f>
        <v>2.5999999999999999E-2</v>
      </c>
      <c r="E164" s="243">
        <v>3.8E-3</v>
      </c>
      <c r="F164" s="29">
        <f>$D$159</f>
        <v>4.5</v>
      </c>
      <c r="G164" s="51">
        <f>E164*F164</f>
        <v>1.7100000000000001E-2</v>
      </c>
      <c r="H164" s="243">
        <v>3.8E-3</v>
      </c>
      <c r="I164" s="29">
        <f>$D$159</f>
        <v>4.5</v>
      </c>
      <c r="J164" s="51">
        <f>H164*I164</f>
        <v>1.7100000000000001E-2</v>
      </c>
    </row>
    <row r="165" spans="1:10" ht="15">
      <c r="A165" s="6" t="s">
        <v>21</v>
      </c>
      <c r="B165" s="6"/>
      <c r="C165" s="5"/>
      <c r="D165" s="227">
        <f>SUM(D163:D164)</f>
        <v>3.6128799999999996E-2</v>
      </c>
      <c r="E165" s="6"/>
      <c r="F165" s="5"/>
      <c r="G165" s="227">
        <f>SUM(G163:G164)</f>
        <v>3.6937199664531691E-2</v>
      </c>
      <c r="H165" s="6"/>
      <c r="I165" s="5"/>
      <c r="J165" s="227">
        <f>SUM(J163:J164)</f>
        <v>3.6937199664531691E-2</v>
      </c>
    </row>
    <row r="166" spans="1:10">
      <c r="A166" s="16"/>
      <c r="B166" s="16"/>
      <c r="D166" s="12"/>
      <c r="E166" s="16"/>
      <c r="G166" s="12"/>
      <c r="H166" s="16"/>
      <c r="J166" s="12"/>
    </row>
    <row r="167" spans="1:10" ht="15" customHeight="1">
      <c r="A167" s="6"/>
      <c r="B167" s="383" t="s">
        <v>92</v>
      </c>
      <c r="C167" s="384"/>
      <c r="D167" s="385"/>
      <c r="E167" s="383" t="s">
        <v>90</v>
      </c>
      <c r="F167" s="384"/>
      <c r="G167" s="385"/>
      <c r="H167" s="383" t="s">
        <v>92</v>
      </c>
      <c r="I167" s="384"/>
      <c r="J167" s="385"/>
    </row>
    <row r="168" spans="1:10" ht="25.5">
      <c r="A168" s="6"/>
      <c r="B168" s="133" t="s">
        <v>79</v>
      </c>
      <c r="C168" s="61" t="s">
        <v>80</v>
      </c>
      <c r="D168" s="22" t="s">
        <v>81</v>
      </c>
      <c r="E168" s="133" t="s">
        <v>79</v>
      </c>
      <c r="F168" s="61" t="s">
        <v>80</v>
      </c>
      <c r="G168" s="22" t="s">
        <v>81</v>
      </c>
      <c r="H168" s="133" t="s">
        <v>79</v>
      </c>
      <c r="I168" s="61" t="s">
        <v>80</v>
      </c>
      <c r="J168" s="22" t="s">
        <v>81</v>
      </c>
    </row>
    <row r="169" spans="1:10" ht="15">
      <c r="A169" s="6" t="s">
        <v>23</v>
      </c>
      <c r="B169" s="275"/>
      <c r="C169" s="282"/>
      <c r="D169" s="90">
        <f>B169*C169</f>
        <v>0</v>
      </c>
      <c r="E169" s="275">
        <v>0.5867</v>
      </c>
      <c r="F169" s="60">
        <f>G159</f>
        <v>7.4857357224647883E-2</v>
      </c>
      <c r="G169" s="90">
        <f>E169*F169</f>
        <v>4.3918811483700915E-2</v>
      </c>
      <c r="H169" s="243">
        <v>0</v>
      </c>
      <c r="I169" s="60">
        <f>$G$159</f>
        <v>7.4857357224647883E-2</v>
      </c>
      <c r="J169" s="90">
        <f>H169*I169</f>
        <v>0</v>
      </c>
    </row>
    <row r="170" spans="1:10" ht="16.5">
      <c r="A170" s="6" t="s">
        <v>22</v>
      </c>
      <c r="B170" s="275"/>
      <c r="C170" s="276"/>
      <c r="D170" s="51">
        <f>B170*C170</f>
        <v>0</v>
      </c>
      <c r="E170" s="275">
        <v>6.4999999999999997E-3</v>
      </c>
      <c r="F170" s="276">
        <v>4</v>
      </c>
      <c r="G170" s="51">
        <f>E170*F170</f>
        <v>2.5999999999999999E-2</v>
      </c>
      <c r="H170" s="243">
        <v>0</v>
      </c>
      <c r="I170" s="29">
        <f>$D$159</f>
        <v>4.5</v>
      </c>
      <c r="J170" s="51">
        <f>H170*I170</f>
        <v>0</v>
      </c>
    </row>
    <row r="171" spans="1:10" ht="15">
      <c r="A171" s="25" t="s">
        <v>21</v>
      </c>
      <c r="B171" s="25"/>
      <c r="C171" s="53"/>
      <c r="D171" s="134">
        <f>SUM(D169:D170)</f>
        <v>0</v>
      </c>
      <c r="E171" s="25"/>
      <c r="F171" s="53"/>
      <c r="G171" s="134">
        <f>SUM(G169:G170)</f>
        <v>6.991881148370091E-2</v>
      </c>
      <c r="H171" s="25"/>
      <c r="I171" s="53"/>
      <c r="J171" s="134">
        <f>SUM(J169:J170)</f>
        <v>0</v>
      </c>
    </row>
    <row r="172" spans="1:10">
      <c r="J172" s="58"/>
    </row>
    <row r="173" spans="1:10">
      <c r="J173" s="58"/>
    </row>
    <row r="174" spans="1:10">
      <c r="A174" s="356" t="s">
        <v>19</v>
      </c>
      <c r="B174" s="357"/>
      <c r="C174" s="357"/>
      <c r="D174" s="357"/>
      <c r="E174" s="357"/>
      <c r="F174" s="357"/>
      <c r="G174" s="357"/>
      <c r="H174" s="358"/>
      <c r="J174" s="58"/>
    </row>
    <row r="175" spans="1:10" ht="25.5">
      <c r="A175" s="6" t="s">
        <v>18</v>
      </c>
      <c r="B175" s="98">
        <v>256000000</v>
      </c>
      <c r="C175" s="5"/>
      <c r="D175" s="5"/>
      <c r="E175" s="5"/>
      <c r="F175" s="5"/>
      <c r="G175" s="23" t="s">
        <v>17</v>
      </c>
      <c r="H175" s="22" t="s">
        <v>57</v>
      </c>
      <c r="J175" s="58"/>
    </row>
    <row r="176" spans="1:10">
      <c r="A176" s="6" t="s">
        <v>16</v>
      </c>
      <c r="B176" s="21">
        <f>G177/B175</f>
        <v>5.7421874999999997E-4</v>
      </c>
      <c r="C176" s="5"/>
      <c r="D176" s="5"/>
      <c r="E176" s="5"/>
      <c r="F176" s="5"/>
      <c r="G176" s="5" t="s">
        <v>142</v>
      </c>
      <c r="H176" s="5" t="s">
        <v>142</v>
      </c>
      <c r="I176" s="1" t="s">
        <v>95</v>
      </c>
      <c r="J176" s="1" t="s">
        <v>95</v>
      </c>
    </row>
    <row r="177" spans="1:10" ht="16.5">
      <c r="A177" s="6" t="s">
        <v>15</v>
      </c>
      <c r="B177" s="5"/>
      <c r="C177" s="5"/>
      <c r="D177" s="5"/>
      <c r="E177" s="5"/>
      <c r="F177" s="5"/>
      <c r="G177" s="277">
        <v>147000</v>
      </c>
      <c r="H177" s="20">
        <f>G177/(E$47*1000)</f>
        <v>0.03</v>
      </c>
      <c r="I177" s="277">
        <v>353000</v>
      </c>
      <c r="J177" s="20" t="e">
        <f>I177/B24/1000</f>
        <v>#DIV/0!</v>
      </c>
    </row>
    <row r="178" spans="1:10">
      <c r="A178" s="16"/>
      <c r="H178" s="12"/>
      <c r="J178" s="12"/>
    </row>
    <row r="179" spans="1:10">
      <c r="A179" s="16"/>
      <c r="F179" s="2"/>
      <c r="G179" s="63"/>
      <c r="H179" s="12"/>
      <c r="I179" s="63"/>
      <c r="J179" s="12"/>
    </row>
    <row r="180" spans="1:10">
      <c r="A180" s="373" t="s">
        <v>51</v>
      </c>
      <c r="B180" s="365"/>
      <c r="C180" s="5"/>
      <c r="D180" s="5"/>
      <c r="E180" s="5"/>
      <c r="F180" s="5"/>
      <c r="G180" s="5" t="s">
        <v>142</v>
      </c>
      <c r="H180" s="5" t="s">
        <v>142</v>
      </c>
      <c r="I180" s="5"/>
      <c r="J180" s="5"/>
    </row>
    <row r="181" spans="1:10" ht="16.5">
      <c r="A181" s="6" t="s">
        <v>14</v>
      </c>
      <c r="B181" s="5"/>
      <c r="C181" s="5"/>
      <c r="D181" s="5"/>
      <c r="E181" s="5"/>
      <c r="F181" s="5"/>
      <c r="G181" s="102">
        <v>27000</v>
      </c>
      <c r="H181" s="20">
        <f>G181/(E$47*1000)</f>
        <v>5.5102040816326532E-3</v>
      </c>
      <c r="I181" s="102">
        <v>75000</v>
      </c>
      <c r="J181" s="20" t="e">
        <f>I181/B24/1000</f>
        <v>#DIV/0!</v>
      </c>
    </row>
    <row r="182" spans="1:10">
      <c r="A182" s="6"/>
      <c r="B182" s="5"/>
      <c r="C182" s="5"/>
      <c r="D182" s="5"/>
      <c r="E182" s="5"/>
      <c r="F182" s="5"/>
      <c r="G182" s="5"/>
      <c r="H182" s="8"/>
      <c r="I182" s="5"/>
      <c r="J182" s="8"/>
    </row>
    <row r="183" spans="1:10">
      <c r="A183" s="373" t="s">
        <v>13</v>
      </c>
      <c r="B183" s="365"/>
      <c r="C183" s="5"/>
      <c r="D183" s="5"/>
      <c r="E183" s="5"/>
      <c r="F183" s="5"/>
      <c r="G183" s="5" t="s">
        <v>142</v>
      </c>
      <c r="H183" s="5" t="s">
        <v>142</v>
      </c>
      <c r="I183" s="5"/>
      <c r="J183" s="5"/>
    </row>
    <row r="184" spans="1:10" ht="16.5">
      <c r="A184" s="6" t="s">
        <v>12</v>
      </c>
      <c r="B184" s="5"/>
      <c r="C184" s="5"/>
      <c r="D184" s="5"/>
      <c r="E184" s="5"/>
      <c r="F184" s="5"/>
      <c r="G184" s="277">
        <v>55000</v>
      </c>
      <c r="H184" s="20">
        <f>G184/(E$47*1000)</f>
        <v>1.1224489795918367E-2</v>
      </c>
      <c r="I184" s="277">
        <v>57000</v>
      </c>
      <c r="J184" s="20" t="e">
        <f>I184/B24/1000</f>
        <v>#DIV/0!</v>
      </c>
    </row>
    <row r="185" spans="1:10">
      <c r="A185" s="11"/>
      <c r="B185" s="10"/>
      <c r="C185" s="19"/>
      <c r="D185" s="10"/>
      <c r="E185" s="10"/>
      <c r="F185" s="10"/>
      <c r="G185" s="10"/>
      <c r="H185" s="9"/>
      <c r="J185" s="58"/>
    </row>
    <row r="186" spans="1:10">
      <c r="C186" s="18"/>
      <c r="J186" s="58"/>
    </row>
    <row r="187" spans="1:10">
      <c r="J187" s="58"/>
    </row>
    <row r="188" spans="1:10">
      <c r="A188" s="55" t="s">
        <v>11</v>
      </c>
      <c r="B188" s="386" t="s">
        <v>10</v>
      </c>
      <c r="C188" s="386"/>
      <c r="D188" s="386"/>
      <c r="E188" s="386"/>
      <c r="F188" s="386"/>
      <c r="G188" s="386"/>
      <c r="H188" s="387"/>
      <c r="J188" s="58"/>
    </row>
    <row r="189" spans="1:10">
      <c r="A189" s="16"/>
      <c r="H189" s="12"/>
      <c r="J189" s="58"/>
    </row>
    <row r="190" spans="1:10">
      <c r="A190" s="16"/>
      <c r="B190" s="365" t="s">
        <v>9</v>
      </c>
      <c r="C190" s="365"/>
      <c r="D190" s="15">
        <f>B49</f>
        <v>4900</v>
      </c>
      <c r="E190" s="5"/>
      <c r="F190" s="365" t="s">
        <v>8</v>
      </c>
      <c r="G190" s="365"/>
      <c r="H190" s="17">
        <f>D190/D191</f>
        <v>4.8999999999999998E-3</v>
      </c>
      <c r="J190" s="58"/>
    </row>
    <row r="191" spans="1:10">
      <c r="A191" s="16"/>
      <c r="B191" s="365" t="s">
        <v>7</v>
      </c>
      <c r="C191" s="365"/>
      <c r="D191" s="15">
        <v>1000000</v>
      </c>
      <c r="E191" s="5"/>
      <c r="F191" s="5"/>
      <c r="G191" s="5"/>
      <c r="H191" s="14"/>
      <c r="J191" s="58"/>
    </row>
    <row r="193" spans="1:12" ht="33" customHeight="1">
      <c r="A193" s="6"/>
      <c r="B193" s="61" t="s">
        <v>82</v>
      </c>
      <c r="C193" s="61" t="s">
        <v>6</v>
      </c>
      <c r="D193" s="61" t="s">
        <v>75</v>
      </c>
      <c r="E193" s="193" t="s">
        <v>76</v>
      </c>
      <c r="F193" s="61" t="s">
        <v>63</v>
      </c>
      <c r="G193" s="61" t="s">
        <v>77</v>
      </c>
      <c r="H193" s="97" t="s">
        <v>78</v>
      </c>
      <c r="J193" s="58"/>
      <c r="K193" s="58"/>
      <c r="L193" s="58"/>
    </row>
    <row r="194" spans="1:12" ht="15">
      <c r="A194" s="6" t="s">
        <v>5</v>
      </c>
      <c r="B194" s="3">
        <f>C194/12</f>
        <v>0</v>
      </c>
      <c r="C194" s="250">
        <v>0</v>
      </c>
      <c r="D194" s="98">
        <f>ROUND($C$202/($C$202+$C$203)*12,0)*$B194</f>
        <v>0</v>
      </c>
      <c r="E194" s="194">
        <f>ROUND($C$203/($C$202+$C$203)*12,0)*$B194</f>
        <v>0</v>
      </c>
      <c r="F194" s="89">
        <f>$D194/$D$190/1000</f>
        <v>0</v>
      </c>
      <c r="G194" s="89">
        <f>$E194/$D$190/1000</f>
        <v>0</v>
      </c>
      <c r="H194" s="99">
        <f>SUM(F194:G194)</f>
        <v>0</v>
      </c>
      <c r="J194" s="58"/>
      <c r="K194" s="58"/>
      <c r="L194" s="58"/>
    </row>
    <row r="195" spans="1:12" ht="15">
      <c r="A195" s="6" t="s">
        <v>4</v>
      </c>
      <c r="B195" s="98">
        <f>C195/12</f>
        <v>95700</v>
      </c>
      <c r="C195" s="236">
        <f>+(95700*12)</f>
        <v>1148400</v>
      </c>
      <c r="D195" s="98">
        <f>ROUND($C$202/($C$202+$C$203)*12,0)*$B195</f>
        <v>1148400</v>
      </c>
      <c r="E195" s="194">
        <f>ROUND($C$203/($C$202+$C$203)*12,0)*$B195</f>
        <v>0</v>
      </c>
      <c r="F195" s="100">
        <f>$D195/D$190/1000</f>
        <v>0.23436734693877551</v>
      </c>
      <c r="G195" s="100">
        <f>$E195/$D$190/1000</f>
        <v>0</v>
      </c>
      <c r="H195" s="94">
        <f t="shared" ref="H195:H196" si="23">SUM(F195:G195)</f>
        <v>0.23436734693877551</v>
      </c>
      <c r="J195" s="58"/>
      <c r="K195" s="58"/>
      <c r="L195" s="58"/>
    </row>
    <row r="196" spans="1:12" ht="16.5">
      <c r="A196" s="6" t="s">
        <v>3</v>
      </c>
      <c r="B196" s="98">
        <f>C196/12</f>
        <v>22812.25</v>
      </c>
      <c r="C196" s="236">
        <f>(273747/12*12)</f>
        <v>273747</v>
      </c>
      <c r="D196" s="98">
        <f>ROUND($C$202/($C$202+$C$203)*12,0)*$B196</f>
        <v>273747</v>
      </c>
      <c r="E196" s="194">
        <f>ROUND($C$203/($C$202+$C$203)*12,0)*$B196</f>
        <v>0</v>
      </c>
      <c r="F196" s="88">
        <f>$D196/D$190/1000</f>
        <v>5.5866734693877554E-2</v>
      </c>
      <c r="G196" s="88">
        <f>$E196/$D$190/1000</f>
        <v>0</v>
      </c>
      <c r="H196" s="95">
        <f t="shared" si="23"/>
        <v>5.5866734693877554E-2</v>
      </c>
      <c r="J196" s="58"/>
      <c r="K196" s="58"/>
      <c r="L196" s="58"/>
    </row>
    <row r="197" spans="1:12">
      <c r="A197" s="6" t="s">
        <v>2</v>
      </c>
      <c r="F197" s="89">
        <f>SUM(F194:F196)</f>
        <v>0.29023408163265307</v>
      </c>
      <c r="G197" s="89">
        <f>SUM(G194:G196)</f>
        <v>0</v>
      </c>
      <c r="H197" s="99">
        <f>SUM(H194:H196)</f>
        <v>0.29023408163265307</v>
      </c>
      <c r="J197" s="58"/>
      <c r="K197" s="58"/>
      <c r="L197" s="58"/>
    </row>
    <row r="198" spans="1:12">
      <c r="A198" s="11"/>
      <c r="B198" s="10"/>
      <c r="C198" s="10"/>
      <c r="D198" s="10"/>
      <c r="E198" s="10"/>
      <c r="F198" s="10"/>
      <c r="G198" s="10"/>
      <c r="H198" s="9"/>
      <c r="J198" s="58"/>
      <c r="K198" s="58"/>
      <c r="L198" s="58"/>
    </row>
    <row r="199" spans="1:12">
      <c r="J199" s="58"/>
      <c r="K199" s="58"/>
      <c r="L199" s="58"/>
    </row>
    <row r="200" spans="1:12">
      <c r="J200" s="58"/>
      <c r="K200" s="58"/>
      <c r="L200" s="58"/>
    </row>
    <row r="201" spans="1:12">
      <c r="A201" s="356" t="s">
        <v>117</v>
      </c>
      <c r="B201" s="357"/>
      <c r="C201" s="357"/>
      <c r="D201" s="357"/>
      <c r="E201" s="357"/>
      <c r="F201" s="357"/>
      <c r="G201" s="357"/>
      <c r="H201" s="358"/>
      <c r="J201" s="58"/>
      <c r="K201" s="58"/>
      <c r="L201" s="58"/>
    </row>
    <row r="202" spans="1:12" ht="15">
      <c r="A202" s="6"/>
      <c r="B202" s="5" t="s">
        <v>73</v>
      </c>
      <c r="C202" s="104">
        <v>52</v>
      </c>
      <c r="D202" s="43" t="s">
        <v>110</v>
      </c>
      <c r="E202" s="237">
        <v>0.04</v>
      </c>
      <c r="F202" s="5" t="s">
        <v>83</v>
      </c>
      <c r="G202" s="5"/>
      <c r="H202" s="8"/>
      <c r="J202" s="58"/>
      <c r="K202" s="58"/>
      <c r="L202" s="58"/>
    </row>
    <row r="203" spans="1:12" ht="15">
      <c r="A203" s="6"/>
      <c r="B203" s="5" t="s">
        <v>72</v>
      </c>
      <c r="C203" s="104">
        <v>0</v>
      </c>
      <c r="E203" s="5"/>
      <c r="F203" s="5" t="s">
        <v>84</v>
      </c>
      <c r="G203" s="5"/>
      <c r="H203" s="8"/>
      <c r="J203" s="58"/>
      <c r="K203" s="58"/>
      <c r="L203" s="58"/>
    </row>
    <row r="204" spans="1:12" ht="15">
      <c r="A204" s="6"/>
      <c r="B204" s="5" t="s">
        <v>74</v>
      </c>
      <c r="C204" s="104">
        <v>40</v>
      </c>
      <c r="E204" s="5"/>
      <c r="F204" s="5" t="s">
        <v>0</v>
      </c>
      <c r="G204" s="5"/>
      <c r="H204" s="8"/>
      <c r="J204" s="58"/>
      <c r="K204" s="58"/>
      <c r="L204" s="58"/>
    </row>
    <row r="205" spans="1:12" ht="15">
      <c r="A205" s="6"/>
      <c r="B205" s="5" t="s">
        <v>1</v>
      </c>
      <c r="C205" s="105">
        <v>1.5</v>
      </c>
      <c r="E205" s="5"/>
      <c r="G205" s="5"/>
      <c r="H205" s="7"/>
      <c r="J205" s="58"/>
      <c r="K205" s="58"/>
      <c r="L205" s="58"/>
    </row>
    <row r="206" spans="1:12" ht="15">
      <c r="A206" s="25"/>
      <c r="B206" s="79" t="s">
        <v>52</v>
      </c>
      <c r="C206" s="237">
        <v>0.3</v>
      </c>
      <c r="D206" s="10"/>
      <c r="E206" s="53"/>
      <c r="F206" s="53"/>
      <c r="G206" s="53"/>
      <c r="H206" s="65"/>
      <c r="J206" s="58"/>
      <c r="K206" s="58"/>
      <c r="L206" s="58"/>
    </row>
    <row r="207" spans="1:12">
      <c r="B207" s="388"/>
      <c r="C207" s="388"/>
      <c r="D207" s="388"/>
      <c r="J207" s="58"/>
      <c r="K207" s="58" t="s">
        <v>121</v>
      </c>
      <c r="L207" s="58"/>
    </row>
    <row r="208" spans="1:12">
      <c r="A208" s="356" t="s">
        <v>118</v>
      </c>
      <c r="B208" s="357"/>
      <c r="C208" s="357"/>
      <c r="D208" s="357"/>
      <c r="E208" s="357"/>
      <c r="F208" s="357"/>
      <c r="G208" s="357"/>
      <c r="H208" s="358"/>
      <c r="J208" s="58"/>
      <c r="K208" s="58" t="s">
        <v>122</v>
      </c>
      <c r="L208" s="58">
        <f>52-C209</f>
        <v>43</v>
      </c>
    </row>
    <row r="209" spans="1:12" ht="15">
      <c r="A209" s="6"/>
      <c r="B209" s="5" t="s">
        <v>73</v>
      </c>
      <c r="C209" s="104">
        <v>9</v>
      </c>
      <c r="D209" s="43" t="s">
        <v>110</v>
      </c>
      <c r="E209" s="237">
        <v>0.04</v>
      </c>
      <c r="F209" s="5" t="s">
        <v>83</v>
      </c>
      <c r="G209" s="5"/>
      <c r="H209" s="8"/>
      <c r="J209" s="58"/>
      <c r="K209" s="58" t="s">
        <v>75</v>
      </c>
      <c r="L209" s="58">
        <f>E47*1000/52*L208</f>
        <v>4051923.076923077</v>
      </c>
    </row>
    <row r="210" spans="1:12" ht="15">
      <c r="A210" s="6"/>
      <c r="B210" s="5" t="s">
        <v>72</v>
      </c>
      <c r="C210" s="104">
        <v>0</v>
      </c>
      <c r="E210" s="5"/>
      <c r="F210" s="5" t="s">
        <v>84</v>
      </c>
      <c r="G210" s="5"/>
      <c r="H210" s="8"/>
      <c r="J210" s="58"/>
      <c r="K210" s="58" t="s">
        <v>123</v>
      </c>
      <c r="L210" s="288">
        <f>0.0315*L209</f>
        <v>127635.57692307692</v>
      </c>
    </row>
    <row r="211" spans="1:12" ht="15">
      <c r="A211" s="6"/>
      <c r="B211" s="5" t="s">
        <v>74</v>
      </c>
      <c r="C211" s="104">
        <v>40</v>
      </c>
      <c r="E211" s="5"/>
      <c r="F211" s="5" t="s">
        <v>0</v>
      </c>
      <c r="G211" s="5"/>
      <c r="H211" s="8"/>
      <c r="J211" s="58"/>
      <c r="K211" s="58"/>
      <c r="L211" s="58"/>
    </row>
    <row r="212" spans="1:12" ht="15">
      <c r="A212" s="6"/>
      <c r="B212" s="5" t="s">
        <v>1</v>
      </c>
      <c r="C212" s="105">
        <v>1.5</v>
      </c>
      <c r="E212" s="5"/>
      <c r="G212" s="5"/>
      <c r="H212" s="7"/>
      <c r="J212" s="58"/>
      <c r="K212" s="58"/>
      <c r="L212" s="58"/>
    </row>
    <row r="213" spans="1:12" ht="15">
      <c r="A213" s="25"/>
      <c r="B213" s="79" t="s">
        <v>52</v>
      </c>
      <c r="C213" s="237">
        <v>0.3</v>
      </c>
      <c r="D213" s="10"/>
      <c r="E213" s="53"/>
      <c r="F213" s="53"/>
      <c r="G213" s="53"/>
      <c r="H213" s="65"/>
      <c r="J213" s="58"/>
      <c r="K213" s="58"/>
      <c r="L213" s="58"/>
    </row>
  </sheetData>
  <mergeCells count="47">
    <mergeCell ref="A208:H208"/>
    <mergeCell ref="B188:H188"/>
    <mergeCell ref="B190:C190"/>
    <mergeCell ref="F190:G190"/>
    <mergeCell ref="B191:C191"/>
    <mergeCell ref="A201:H201"/>
    <mergeCell ref="B207:D207"/>
    <mergeCell ref="T121:AD121"/>
    <mergeCell ref="A183:B183"/>
    <mergeCell ref="B159:C159"/>
    <mergeCell ref="E159:F159"/>
    <mergeCell ref="H159:I159"/>
    <mergeCell ref="H160:I160"/>
    <mergeCell ref="B161:D161"/>
    <mergeCell ref="E161:G161"/>
    <mergeCell ref="H161:J161"/>
    <mergeCell ref="B167:D167"/>
    <mergeCell ref="E167:G167"/>
    <mergeCell ref="H167:J167"/>
    <mergeCell ref="A174:H174"/>
    <mergeCell ref="A180:B180"/>
    <mergeCell ref="B136:D136"/>
    <mergeCell ref="F136:H136"/>
    <mergeCell ref="B111:D111"/>
    <mergeCell ref="F111:H111"/>
    <mergeCell ref="J84:L84"/>
    <mergeCell ref="A98:H98"/>
    <mergeCell ref="B26:D26"/>
    <mergeCell ref="E26:G26"/>
    <mergeCell ref="H26:J26"/>
    <mergeCell ref="B51:K51"/>
    <mergeCell ref="C62:F62"/>
    <mergeCell ref="G62:K62"/>
    <mergeCell ref="B74:D74"/>
    <mergeCell ref="F74:H74"/>
    <mergeCell ref="B84:D84"/>
    <mergeCell ref="F84:H84"/>
    <mergeCell ref="F99:H100"/>
    <mergeCell ref="A100:E100"/>
    <mergeCell ref="A1:J1"/>
    <mergeCell ref="S1:AA1"/>
    <mergeCell ref="AL1:AQ1"/>
    <mergeCell ref="B3:D3"/>
    <mergeCell ref="E3:G3"/>
    <mergeCell ref="H3:J3"/>
    <mergeCell ref="N3:O3"/>
    <mergeCell ref="P3:Q3"/>
  </mergeCells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FE403-C051-4449-9E10-87A1FB2E3EDD}">
  <dimension ref="A1:AX213"/>
  <sheetViews>
    <sheetView topLeftCell="A14" workbookViewId="0">
      <selection activeCell="E43" sqref="E43"/>
    </sheetView>
  </sheetViews>
  <sheetFormatPr defaultColWidth="10.7109375" defaultRowHeight="12.75" outlineLevelCol="1"/>
  <cols>
    <col min="1" max="1" width="37.28515625" style="1" bestFit="1" customWidth="1"/>
    <col min="2" max="2" width="16.7109375" style="1" customWidth="1"/>
    <col min="3" max="3" width="13.28515625" style="1" customWidth="1"/>
    <col min="4" max="4" width="13.5703125" style="1" customWidth="1"/>
    <col min="5" max="5" width="12.7109375" style="1" customWidth="1"/>
    <col min="6" max="6" width="12.42578125" style="1" customWidth="1"/>
    <col min="7" max="7" width="14.28515625" style="1" customWidth="1"/>
    <col min="8" max="8" width="12.7109375" style="1" customWidth="1"/>
    <col min="9" max="9" width="10.7109375" style="1"/>
    <col min="10" max="10" width="13" style="1" customWidth="1"/>
    <col min="11" max="11" width="12.28515625" style="1" customWidth="1"/>
    <col min="12" max="12" width="11.28515625" style="1" customWidth="1"/>
    <col min="13" max="13" width="21.7109375" style="1" customWidth="1"/>
    <col min="14" max="14" width="13.42578125" style="1" customWidth="1"/>
    <col min="15" max="15" width="10.7109375" style="1"/>
    <col min="16" max="16" width="12.28515625" style="1" customWidth="1"/>
    <col min="17" max="17" width="9.7109375" style="1" customWidth="1"/>
    <col min="18" max="18" width="2.7109375" style="1" customWidth="1"/>
    <col min="19" max="19" width="12.140625" style="1" bestFit="1" customWidth="1" outlineLevel="1"/>
    <col min="20" max="20" width="11.42578125" style="1" customWidth="1" outlineLevel="1"/>
    <col min="21" max="21" width="17.7109375" style="1" customWidth="1" outlineLevel="1"/>
    <col min="22" max="24" width="15.28515625" style="1" customWidth="1" outlineLevel="1"/>
    <col min="25" max="25" width="14.7109375" style="1" customWidth="1" outlineLevel="1"/>
    <col min="26" max="26" width="12.42578125" style="1" customWidth="1" outlineLevel="1"/>
    <col min="27" max="27" width="15.28515625" style="1" customWidth="1" outlineLevel="1"/>
    <col min="28" max="28" width="12.42578125" style="1" customWidth="1" outlineLevel="1"/>
    <col min="29" max="29" width="9.42578125" style="1" customWidth="1" outlineLevel="1"/>
    <col min="30" max="30" width="13.28515625" style="1" bestFit="1" customWidth="1" outlineLevel="1"/>
    <col min="31" max="31" width="13.28515625" style="1" customWidth="1" outlineLevel="1"/>
    <col min="32" max="32" width="9.5703125" style="1" bestFit="1" customWidth="1" outlineLevel="1"/>
    <col min="33" max="33" width="9.28515625" style="1" customWidth="1" outlineLevel="1"/>
    <col min="34" max="34" width="9.5703125" style="1" bestFit="1" customWidth="1" outlineLevel="1"/>
    <col min="35" max="35" width="12" style="1" customWidth="1" outlineLevel="1"/>
    <col min="36" max="36" width="11.7109375" style="1" customWidth="1" outlineLevel="1"/>
    <col min="37" max="37" width="12.28515625" style="1" customWidth="1" outlineLevel="1"/>
    <col min="38" max="38" width="11.42578125" style="1" customWidth="1" outlineLevel="1"/>
    <col min="39" max="39" width="12.42578125" style="1" customWidth="1" outlineLevel="1"/>
    <col min="40" max="40" width="12.28515625" style="1" customWidth="1" outlineLevel="1"/>
    <col min="41" max="41" width="12.5703125" style="1" customWidth="1" outlineLevel="1"/>
    <col min="42" max="42" width="12.42578125" style="1" customWidth="1" outlineLevel="1"/>
    <col min="43" max="43" width="14.28515625" style="1" customWidth="1" outlineLevel="1"/>
    <col min="44" max="44" width="10.28515625" style="1" customWidth="1" outlineLevel="1"/>
    <col min="45" max="45" width="11.5703125" style="1" customWidth="1" outlineLevel="1"/>
    <col min="46" max="46" width="11.42578125" style="1" customWidth="1" outlineLevel="1"/>
    <col min="47" max="48" width="12.7109375" style="1" customWidth="1" outlineLevel="1"/>
    <col min="49" max="49" width="11" style="1" customWidth="1" outlineLevel="1"/>
    <col min="50" max="50" width="12.7109375" style="1" customWidth="1" outlineLevel="1"/>
    <col min="51" max="250" width="8.7109375" style="1" customWidth="1"/>
    <col min="251" max="16384" width="10.7109375" style="1"/>
  </cols>
  <sheetData>
    <row r="1" spans="1:43" ht="18.75" customHeight="1">
      <c r="A1" s="344" t="s">
        <v>124</v>
      </c>
      <c r="B1" s="344"/>
      <c r="C1" s="344"/>
      <c r="D1" s="344"/>
      <c r="E1" s="344"/>
      <c r="F1" s="344"/>
      <c r="G1" s="344"/>
      <c r="H1" s="344"/>
      <c r="I1" s="344"/>
      <c r="J1" s="344"/>
      <c r="K1" s="91"/>
      <c r="L1" s="91"/>
      <c r="S1" s="345"/>
      <c r="T1" s="345"/>
      <c r="U1" s="345"/>
      <c r="V1" s="345"/>
      <c r="W1" s="345"/>
      <c r="X1" s="345"/>
      <c r="Y1" s="345"/>
      <c r="Z1" s="345"/>
      <c r="AA1" s="345"/>
      <c r="AB1" s="149"/>
      <c r="AC1" s="150"/>
      <c r="AD1" s="150"/>
      <c r="AE1" s="151"/>
      <c r="AF1" s="151"/>
      <c r="AG1" s="151"/>
      <c r="AH1" s="151"/>
      <c r="AI1" s="152"/>
      <c r="AJ1" s="151"/>
      <c r="AK1" s="152"/>
      <c r="AL1" s="346"/>
      <c r="AM1" s="346"/>
      <c r="AN1" s="346"/>
      <c r="AO1" s="346"/>
      <c r="AP1" s="346"/>
      <c r="AQ1" s="346"/>
    </row>
    <row r="2" spans="1:43" ht="36.6" customHeight="1">
      <c r="A2" s="56" t="s">
        <v>59</v>
      </c>
      <c r="B2" s="186"/>
      <c r="C2" s="56"/>
      <c r="D2" s="56"/>
      <c r="E2" s="56"/>
      <c r="F2" s="56"/>
      <c r="G2" s="56"/>
      <c r="H2" s="84"/>
      <c r="I2" s="92"/>
      <c r="J2" s="92"/>
      <c r="K2" s="92"/>
      <c r="L2" s="92"/>
      <c r="S2" s="155"/>
      <c r="T2" s="155"/>
      <c r="U2" s="155"/>
      <c r="V2" s="155"/>
      <c r="W2" s="155"/>
      <c r="X2" s="155"/>
      <c r="Y2" s="155"/>
      <c r="Z2" s="155"/>
      <c r="AA2" s="156"/>
      <c r="AB2" s="182"/>
      <c r="AC2" s="151"/>
      <c r="AD2" s="150"/>
      <c r="AE2" s="157"/>
      <c r="AF2" s="157"/>
      <c r="AG2" s="157"/>
      <c r="AH2" s="157"/>
      <c r="AI2" s="155"/>
      <c r="AJ2" s="157"/>
      <c r="AK2" s="158"/>
      <c r="AL2" s="159"/>
      <c r="AM2" s="234"/>
      <c r="AN2" s="234"/>
      <c r="AO2" s="155"/>
      <c r="AP2" s="155"/>
      <c r="AQ2" s="155"/>
    </row>
    <row r="3" spans="1:43" ht="18" customHeight="1">
      <c r="A3" s="64" t="s">
        <v>20</v>
      </c>
      <c r="B3" s="347" t="s">
        <v>91</v>
      </c>
      <c r="C3" s="348"/>
      <c r="D3" s="348"/>
      <c r="E3" s="347" t="s">
        <v>93</v>
      </c>
      <c r="F3" s="348"/>
      <c r="G3" s="348"/>
      <c r="H3" s="347" t="s">
        <v>94</v>
      </c>
      <c r="I3" s="348"/>
      <c r="J3" s="349"/>
      <c r="M3" s="252"/>
      <c r="N3" s="350"/>
      <c r="O3" s="350"/>
      <c r="P3" s="350"/>
      <c r="Q3" s="351"/>
      <c r="S3" s="160"/>
      <c r="T3" s="161"/>
      <c r="U3" s="160"/>
      <c r="V3" s="160"/>
      <c r="W3" s="160"/>
      <c r="X3" s="160"/>
      <c r="Y3" s="160"/>
      <c r="Z3" s="160"/>
      <c r="AA3" s="161"/>
      <c r="AB3" s="151"/>
      <c r="AC3" s="161"/>
      <c r="AD3" s="161"/>
      <c r="AE3" s="160"/>
      <c r="AF3" s="160"/>
      <c r="AG3" s="160"/>
      <c r="AH3" s="160"/>
      <c r="AI3" s="161"/>
      <c r="AJ3" s="160"/>
      <c r="AK3" s="161"/>
      <c r="AL3" s="161"/>
      <c r="AM3" s="161"/>
      <c r="AN3" s="161"/>
      <c r="AO3" s="161"/>
      <c r="AP3" s="161"/>
      <c r="AQ3" s="161"/>
    </row>
    <row r="4" spans="1:43" s="46" customFormat="1" ht="15">
      <c r="A4" s="66"/>
      <c r="B4" s="218" t="s">
        <v>143</v>
      </c>
      <c r="C4" s="219" t="s">
        <v>114</v>
      </c>
      <c r="D4" s="219" t="s">
        <v>88</v>
      </c>
      <c r="E4" s="218" t="str">
        <f>$B$4</f>
        <v>25 Standard</v>
      </c>
      <c r="F4" s="219" t="str">
        <f>+C4</f>
        <v>23 Actual</v>
      </c>
      <c r="G4" s="219" t="str">
        <f>+D4</f>
        <v>20 Standard</v>
      </c>
      <c r="H4" s="218" t="str">
        <f>+B4</f>
        <v>25 Standard</v>
      </c>
      <c r="I4" s="219" t="str">
        <f>+C4</f>
        <v>23 Actual</v>
      </c>
      <c r="J4" s="220" t="str">
        <f>+D4</f>
        <v>20 Standard</v>
      </c>
      <c r="M4" s="253"/>
      <c r="N4" s="254"/>
      <c r="O4" s="254"/>
      <c r="P4" s="254"/>
      <c r="Q4" s="255"/>
      <c r="S4" s="162"/>
      <c r="T4" s="163"/>
      <c r="U4" s="163"/>
      <c r="V4" s="163"/>
      <c r="W4" s="163"/>
      <c r="X4" s="163"/>
      <c r="Y4" s="163"/>
      <c r="Z4" s="163"/>
      <c r="AA4" s="164"/>
      <c r="AB4" s="165"/>
      <c r="AC4" s="166"/>
      <c r="AD4" s="164"/>
      <c r="AE4" s="164"/>
      <c r="AF4" s="164"/>
      <c r="AG4" s="164"/>
      <c r="AH4" s="164"/>
      <c r="AI4" s="163"/>
      <c r="AJ4" s="164"/>
      <c r="AK4" s="163"/>
      <c r="AL4" s="164"/>
      <c r="AM4" s="164"/>
      <c r="AN4" s="164"/>
      <c r="AO4" s="164"/>
      <c r="AP4" s="164"/>
      <c r="AQ4" s="164"/>
    </row>
    <row r="5" spans="1:43" s="46" customFormat="1">
      <c r="A5" s="66"/>
      <c r="B5" s="221"/>
      <c r="C5" s="202" t="s">
        <v>89</v>
      </c>
      <c r="D5" s="202"/>
      <c r="E5" s="221"/>
      <c r="F5" s="202" t="s">
        <v>89</v>
      </c>
      <c r="G5" s="202"/>
      <c r="H5" s="221"/>
      <c r="I5" s="202" t="s">
        <v>89</v>
      </c>
      <c r="J5" s="222"/>
      <c r="M5" s="253"/>
      <c r="N5" s="256"/>
      <c r="O5" s="256"/>
      <c r="P5" s="257"/>
      <c r="Q5" s="258"/>
      <c r="S5" s="162"/>
      <c r="T5" s="163"/>
      <c r="U5" s="163"/>
      <c r="V5" s="163"/>
      <c r="W5" s="163"/>
      <c r="X5" s="163"/>
      <c r="Y5" s="163"/>
      <c r="Z5" s="163"/>
      <c r="AA5" s="164"/>
      <c r="AB5" s="165"/>
      <c r="AC5" s="166"/>
      <c r="AD5" s="164"/>
      <c r="AE5" s="164"/>
      <c r="AF5" s="164"/>
      <c r="AG5" s="154"/>
      <c r="AH5" s="164"/>
      <c r="AI5" s="163"/>
      <c r="AJ5" s="164"/>
      <c r="AK5" s="163"/>
      <c r="AL5" s="164"/>
      <c r="AM5" s="164"/>
      <c r="AN5" s="164"/>
      <c r="AO5" s="164"/>
      <c r="AP5" s="164"/>
      <c r="AQ5" s="164"/>
    </row>
    <row r="6" spans="1:43">
      <c r="A6" s="30" t="s">
        <v>50</v>
      </c>
      <c r="B6" s="192">
        <f>IF(B24&lt;&gt;0,$D$82,0)</f>
        <v>0</v>
      </c>
      <c r="C6" s="192">
        <v>5.8500000000000003E-2</v>
      </c>
      <c r="D6" s="192">
        <v>4.1565810184720102E-2</v>
      </c>
      <c r="E6" s="204">
        <f>+H82</f>
        <v>0</v>
      </c>
      <c r="F6" s="192">
        <v>0</v>
      </c>
      <c r="G6" s="192">
        <v>0</v>
      </c>
      <c r="H6" s="204">
        <f>+D96</f>
        <v>0</v>
      </c>
      <c r="I6" s="192">
        <v>0</v>
      </c>
      <c r="J6" s="205">
        <v>0</v>
      </c>
      <c r="M6" s="259"/>
      <c r="N6" s="260"/>
      <c r="O6" s="261"/>
      <c r="P6" s="260"/>
      <c r="Q6" s="262"/>
      <c r="S6" s="167"/>
      <c r="T6" s="163"/>
      <c r="U6" s="163"/>
      <c r="V6" s="163"/>
      <c r="W6" s="163"/>
      <c r="X6" s="163"/>
      <c r="Y6" s="163"/>
      <c r="Z6" s="163"/>
      <c r="AA6" s="164"/>
      <c r="AB6" s="165"/>
      <c r="AC6" s="166"/>
      <c r="AD6" s="164"/>
      <c r="AE6" s="164"/>
      <c r="AF6" s="164"/>
      <c r="AG6" s="164"/>
      <c r="AH6" s="164"/>
      <c r="AI6" s="163"/>
      <c r="AJ6" s="164"/>
      <c r="AK6" s="163"/>
      <c r="AL6" s="164"/>
      <c r="AM6" s="164"/>
      <c r="AN6" s="164"/>
      <c r="AO6" s="164"/>
      <c r="AP6" s="164"/>
      <c r="AQ6" s="164"/>
    </row>
    <row r="7" spans="1:43" ht="15">
      <c r="A7" s="30" t="s">
        <v>27</v>
      </c>
      <c r="B7" s="192">
        <f>IF(B24&lt;&gt;0,$D$163,0)</f>
        <v>0</v>
      </c>
      <c r="C7" s="192">
        <v>1.0500000000000001E-2</v>
      </c>
      <c r="D7" s="192">
        <v>2.0277328909623641E-2</v>
      </c>
      <c r="E7" s="204">
        <f>G163</f>
        <v>1.983719966453169E-2</v>
      </c>
      <c r="F7" s="192">
        <v>0</v>
      </c>
      <c r="G7" s="192">
        <v>0</v>
      </c>
      <c r="H7" s="204">
        <f>J163</f>
        <v>1.983719966453169E-2</v>
      </c>
      <c r="I7" s="192">
        <v>0</v>
      </c>
      <c r="J7" s="205">
        <v>0</v>
      </c>
      <c r="M7" s="263"/>
      <c r="N7" s="264"/>
      <c r="O7" s="207"/>
      <c r="P7" s="264"/>
      <c r="Q7" s="208"/>
      <c r="S7" s="168"/>
      <c r="T7" s="168"/>
      <c r="U7" s="168"/>
      <c r="V7" s="168"/>
      <c r="W7" s="168"/>
      <c r="X7" s="168"/>
      <c r="Y7" s="168"/>
      <c r="Z7" s="168"/>
      <c r="AA7" s="168"/>
      <c r="AB7" s="165"/>
      <c r="AC7" s="166"/>
      <c r="AD7" s="169"/>
      <c r="AE7" s="170"/>
      <c r="AF7" s="171"/>
      <c r="AG7" s="171"/>
      <c r="AH7" s="171"/>
      <c r="AI7" s="168"/>
      <c r="AJ7" s="170"/>
      <c r="AK7" s="168"/>
      <c r="AL7" s="169"/>
      <c r="AM7" s="169"/>
      <c r="AN7" s="169"/>
      <c r="AO7" s="169"/>
      <c r="AP7" s="169"/>
      <c r="AQ7" s="169"/>
    </row>
    <row r="8" spans="1:43" ht="15">
      <c r="A8" s="6" t="s">
        <v>49</v>
      </c>
      <c r="B8" s="192">
        <f>IF(B24&lt;&gt;0,$D$164,0)</f>
        <v>0</v>
      </c>
      <c r="C8" s="192">
        <v>1.5599999999999999E-2</v>
      </c>
      <c r="D8" s="192">
        <v>1.4965000000000001E-2</v>
      </c>
      <c r="E8" s="204">
        <f>G164</f>
        <v>1.7100000000000001E-2</v>
      </c>
      <c r="F8" s="192">
        <v>0</v>
      </c>
      <c r="G8" s="192">
        <v>0</v>
      </c>
      <c r="H8" s="204">
        <f>J164</f>
        <v>1.7100000000000001E-2</v>
      </c>
      <c r="I8" s="192">
        <v>0</v>
      </c>
      <c r="J8" s="205">
        <v>0</v>
      </c>
      <c r="M8" s="263"/>
      <c r="N8" s="265"/>
      <c r="O8" s="266"/>
      <c r="P8" s="265"/>
      <c r="Q8" s="267"/>
      <c r="S8" s="168"/>
      <c r="T8" s="168"/>
      <c r="U8" s="168"/>
      <c r="V8" s="168"/>
      <c r="W8" s="168"/>
      <c r="X8" s="168"/>
      <c r="Y8" s="168"/>
      <c r="Z8" s="168"/>
      <c r="AA8" s="168"/>
      <c r="AB8" s="165"/>
      <c r="AC8" s="166"/>
      <c r="AD8" s="169"/>
      <c r="AE8" s="170"/>
      <c r="AF8" s="171"/>
      <c r="AG8" s="171"/>
      <c r="AH8" s="171"/>
      <c r="AI8" s="168"/>
      <c r="AJ8" s="170"/>
      <c r="AK8" s="168"/>
      <c r="AL8" s="169"/>
      <c r="AM8" s="169"/>
      <c r="AN8" s="169"/>
      <c r="AO8" s="169"/>
      <c r="AP8" s="169"/>
      <c r="AQ8" s="169"/>
    </row>
    <row r="9" spans="1:43">
      <c r="A9" s="30" t="s">
        <v>48</v>
      </c>
      <c r="B9" s="192">
        <f>IF(B24&lt;&gt;0,$J$177,0)</f>
        <v>0</v>
      </c>
      <c r="C9" s="192">
        <v>1.9199999999999998E-2</v>
      </c>
      <c r="D9" s="192">
        <v>1.591578947368421E-2</v>
      </c>
      <c r="E9" s="204">
        <f>$H$177</f>
        <v>0.03</v>
      </c>
      <c r="F9" s="192">
        <v>0</v>
      </c>
      <c r="G9" s="192">
        <v>0</v>
      </c>
      <c r="H9" s="204">
        <f>$H$177</f>
        <v>0.03</v>
      </c>
      <c r="I9" s="192">
        <v>0</v>
      </c>
      <c r="J9" s="205">
        <v>0</v>
      </c>
      <c r="M9" s="259"/>
      <c r="N9" s="260"/>
      <c r="O9" s="261"/>
      <c r="P9" s="268"/>
      <c r="Q9" s="262"/>
      <c r="S9" s="168"/>
      <c r="T9" s="168"/>
      <c r="U9" s="168"/>
      <c r="V9" s="168"/>
      <c r="W9" s="168"/>
      <c r="X9" s="168"/>
      <c r="Y9" s="168"/>
      <c r="Z9" s="168"/>
      <c r="AA9" s="168"/>
      <c r="AB9" s="165"/>
      <c r="AC9" s="166"/>
      <c r="AD9" s="169"/>
      <c r="AE9" s="170"/>
      <c r="AF9" s="171"/>
      <c r="AG9" s="171"/>
      <c r="AH9" s="171"/>
      <c r="AI9" s="168"/>
      <c r="AJ9" s="170"/>
      <c r="AK9" s="168"/>
      <c r="AL9" s="169"/>
      <c r="AM9" s="169"/>
      <c r="AN9" s="169"/>
      <c r="AO9" s="169"/>
      <c r="AP9" s="169"/>
      <c r="AQ9" s="169"/>
    </row>
    <row r="10" spans="1:43">
      <c r="A10" s="30" t="s">
        <v>47</v>
      </c>
      <c r="B10" s="192">
        <f>IF(B24&lt;&gt;0,$J$181,0)</f>
        <v>0</v>
      </c>
      <c r="C10" s="192">
        <v>8.0000000000000004E-4</v>
      </c>
      <c r="D10" s="192">
        <v>2.6315789473684214E-3</v>
      </c>
      <c r="E10" s="204">
        <f>$H$181</f>
        <v>5.5102040816326532E-3</v>
      </c>
      <c r="F10" s="192">
        <v>0</v>
      </c>
      <c r="G10" s="192">
        <v>0</v>
      </c>
      <c r="H10" s="204">
        <f>$H$181</f>
        <v>5.5102040816326532E-3</v>
      </c>
      <c r="I10" s="192">
        <v>0</v>
      </c>
      <c r="J10" s="205">
        <v>0</v>
      </c>
      <c r="M10" s="263"/>
      <c r="N10" s="260"/>
      <c r="O10" s="261"/>
      <c r="P10" s="260"/>
      <c r="Q10" s="262"/>
      <c r="S10" s="168"/>
      <c r="T10" s="168"/>
      <c r="U10" s="168"/>
      <c r="V10" s="168"/>
      <c r="W10" s="168"/>
      <c r="X10" s="168"/>
      <c r="Y10" s="168"/>
      <c r="Z10" s="168"/>
      <c r="AA10" s="168"/>
      <c r="AB10" s="165"/>
      <c r="AC10" s="166"/>
      <c r="AD10" s="169"/>
      <c r="AE10" s="170"/>
      <c r="AF10" s="171"/>
      <c r="AG10" s="171"/>
      <c r="AH10" s="171"/>
      <c r="AI10" s="168"/>
      <c r="AJ10" s="170"/>
      <c r="AK10" s="168"/>
      <c r="AL10" s="169"/>
      <c r="AM10" s="169"/>
      <c r="AN10" s="169"/>
      <c r="AO10" s="169"/>
      <c r="AP10" s="169"/>
      <c r="AQ10" s="169"/>
    </row>
    <row r="11" spans="1:43" ht="15">
      <c r="A11" s="30" t="s">
        <v>46</v>
      </c>
      <c r="B11" s="207">
        <f>IF(B24&lt;&gt;0,$J$184,0)</f>
        <v>0</v>
      </c>
      <c r="C11" s="207">
        <v>5.7999999999999996E-3</v>
      </c>
      <c r="D11" s="207">
        <v>9.4736842105263147E-3</v>
      </c>
      <c r="E11" s="206">
        <f>$H$184</f>
        <v>1.1224489795918367E-2</v>
      </c>
      <c r="F11" s="207">
        <v>0</v>
      </c>
      <c r="G11" s="207">
        <v>0</v>
      </c>
      <c r="H11" s="206">
        <f>$H$184</f>
        <v>1.1224489795918367E-2</v>
      </c>
      <c r="I11" s="207">
        <v>0</v>
      </c>
      <c r="J11" s="208">
        <v>0</v>
      </c>
      <c r="M11" s="263"/>
      <c r="N11" s="269"/>
      <c r="O11" s="192"/>
      <c r="P11" s="269"/>
      <c r="Q11" s="205"/>
      <c r="S11" s="174"/>
      <c r="T11" s="174"/>
      <c r="U11" s="174"/>
      <c r="V11" s="174"/>
      <c r="W11" s="174"/>
      <c r="X11" s="174"/>
      <c r="Y11" s="174"/>
      <c r="Z11" s="174"/>
      <c r="AA11" s="174"/>
      <c r="AB11" s="165"/>
      <c r="AC11" s="166"/>
      <c r="AD11" s="169"/>
      <c r="AE11" s="170"/>
      <c r="AF11" s="175"/>
      <c r="AG11" s="175"/>
      <c r="AH11" s="175"/>
      <c r="AI11" s="174"/>
      <c r="AJ11" s="170"/>
      <c r="AK11" s="174"/>
      <c r="AL11" s="169"/>
      <c r="AM11" s="169"/>
      <c r="AN11" s="169"/>
      <c r="AO11" s="169"/>
      <c r="AP11" s="169"/>
      <c r="AQ11" s="169"/>
    </row>
    <row r="12" spans="1:43" ht="15">
      <c r="A12" s="30" t="s">
        <v>45</v>
      </c>
      <c r="B12" s="192">
        <f t="shared" ref="B12:D12" si="0">SUM(B6:B11)</f>
        <v>0</v>
      </c>
      <c r="C12" s="192">
        <f t="shared" si="0"/>
        <v>0.1104</v>
      </c>
      <c r="D12" s="192">
        <f t="shared" si="0"/>
        <v>0.1048291917259227</v>
      </c>
      <c r="E12" s="204">
        <f>SUM(E6:E11)</f>
        <v>8.3671893542082695E-2</v>
      </c>
      <c r="F12" s="192">
        <f t="shared" ref="F12:G12" si="1">SUM(F6:F11)</f>
        <v>0</v>
      </c>
      <c r="G12" s="192">
        <f t="shared" si="1"/>
        <v>0</v>
      </c>
      <c r="H12" s="204">
        <f>SUM(H6:H11)</f>
        <v>8.3671893542082695E-2</v>
      </c>
      <c r="I12" s="192">
        <f t="shared" ref="I12:J12" si="2">SUM(I6:I11)</f>
        <v>0</v>
      </c>
      <c r="J12" s="205">
        <f t="shared" si="2"/>
        <v>0</v>
      </c>
      <c r="M12" s="263"/>
      <c r="N12" s="264"/>
      <c r="O12" s="207"/>
      <c r="P12" s="264"/>
      <c r="Q12" s="208"/>
      <c r="S12" s="168"/>
      <c r="T12" s="168"/>
      <c r="U12" s="168"/>
      <c r="V12" s="168"/>
      <c r="W12" s="168"/>
      <c r="X12" s="168"/>
      <c r="Y12" s="168"/>
      <c r="Z12" s="168"/>
      <c r="AA12" s="168"/>
      <c r="AB12" s="165"/>
      <c r="AC12" s="166"/>
      <c r="AD12" s="164"/>
      <c r="AE12" s="164"/>
      <c r="AF12" s="171"/>
      <c r="AG12" s="171"/>
      <c r="AH12" s="171"/>
      <c r="AI12" s="168"/>
      <c r="AJ12" s="164"/>
      <c r="AK12" s="168"/>
      <c r="AL12" s="164"/>
      <c r="AM12" s="164"/>
      <c r="AN12" s="164"/>
      <c r="AO12" s="164"/>
      <c r="AP12" s="164"/>
      <c r="AQ12" s="164"/>
    </row>
    <row r="13" spans="1:43" ht="15">
      <c r="A13" s="30"/>
      <c r="B13" s="204"/>
      <c r="C13" s="192"/>
      <c r="D13" s="192"/>
      <c r="E13" s="204"/>
      <c r="F13" s="192"/>
      <c r="G13" s="192"/>
      <c r="H13" s="204"/>
      <c r="I13" s="192"/>
      <c r="J13" s="205"/>
      <c r="M13" s="263"/>
      <c r="N13" s="265"/>
      <c r="O13" s="266"/>
      <c r="P13" s="265"/>
      <c r="Q13" s="267"/>
      <c r="S13" s="163"/>
      <c r="T13" s="163"/>
      <c r="U13" s="163"/>
      <c r="V13" s="163"/>
      <c r="W13" s="163"/>
      <c r="X13" s="163"/>
      <c r="Y13" s="163"/>
      <c r="Z13" s="163"/>
      <c r="AA13" s="164"/>
      <c r="AB13" s="165"/>
      <c r="AC13" s="166"/>
      <c r="AD13" s="164"/>
      <c r="AE13" s="164"/>
      <c r="AF13" s="167"/>
      <c r="AG13" s="167"/>
      <c r="AH13" s="167"/>
      <c r="AI13" s="163"/>
      <c r="AJ13" s="164"/>
      <c r="AK13" s="163"/>
      <c r="AL13" s="164"/>
      <c r="AM13" s="164"/>
      <c r="AN13" s="164"/>
      <c r="AO13" s="164"/>
      <c r="AP13" s="164"/>
      <c r="AQ13" s="164"/>
    </row>
    <row r="14" spans="1:43">
      <c r="A14" s="30" t="s">
        <v>31</v>
      </c>
      <c r="B14" s="192">
        <f>IF($B$24&lt;&gt;0,$F$152/B24/1000,0)</f>
        <v>0</v>
      </c>
      <c r="C14" s="192">
        <v>2.46E-2</v>
      </c>
      <c r="D14" s="192">
        <v>7.3599375000000002E-3</v>
      </c>
      <c r="E14" s="204">
        <f>$D$124*$E$108/$B$49/1000</f>
        <v>9.3026761418853253E-4</v>
      </c>
      <c r="F14" s="192">
        <v>0</v>
      </c>
      <c r="G14" s="192">
        <v>0</v>
      </c>
      <c r="H14" s="204">
        <f>$D$124*$E$108/$B$49/1000</f>
        <v>9.3026761418853253E-4</v>
      </c>
      <c r="I14" s="192">
        <v>0</v>
      </c>
      <c r="J14" s="205">
        <v>0</v>
      </c>
      <c r="M14" s="259"/>
      <c r="N14" s="269"/>
      <c r="O14" s="270"/>
      <c r="P14" s="269"/>
      <c r="Q14" s="271"/>
      <c r="S14" s="168"/>
      <c r="T14" s="168"/>
      <c r="U14" s="168"/>
      <c r="V14" s="168"/>
      <c r="W14" s="168"/>
      <c r="X14" s="168"/>
      <c r="Y14" s="168"/>
      <c r="Z14" s="168"/>
      <c r="AA14" s="168"/>
      <c r="AB14" s="165"/>
      <c r="AC14" s="166"/>
      <c r="AD14" s="169"/>
      <c r="AE14" s="170"/>
      <c r="AF14" s="171"/>
      <c r="AG14" s="171"/>
      <c r="AH14" s="171"/>
      <c r="AI14" s="168"/>
      <c r="AJ14" s="170"/>
      <c r="AK14" s="168"/>
      <c r="AL14" s="169"/>
      <c r="AM14" s="169"/>
      <c r="AN14" s="169"/>
      <c r="AO14" s="169"/>
      <c r="AP14" s="169"/>
      <c r="AQ14" s="169"/>
    </row>
    <row r="15" spans="1:43">
      <c r="A15" s="30" t="s">
        <v>44</v>
      </c>
      <c r="B15" s="192">
        <f>IF($B$24&lt;&gt;0,$F$153/$B$24/1000,0)</f>
        <v>0</v>
      </c>
      <c r="C15" s="192">
        <v>8.9999999999999993E-3</v>
      </c>
      <c r="D15" s="192">
        <v>4.2419375E-3</v>
      </c>
      <c r="E15" s="204">
        <f>$H$124*$E$108/$B$49/1000</f>
        <v>0</v>
      </c>
      <c r="F15" s="192">
        <v>0</v>
      </c>
      <c r="G15" s="192">
        <v>0</v>
      </c>
      <c r="H15" s="204">
        <f>$H$124*$E$108/$B$49/1000</f>
        <v>0</v>
      </c>
      <c r="I15" s="192">
        <v>0</v>
      </c>
      <c r="J15" s="205">
        <v>0</v>
      </c>
      <c r="M15" s="263"/>
      <c r="N15" s="269"/>
      <c r="O15" s="268"/>
      <c r="P15" s="269"/>
      <c r="Q15" s="258"/>
      <c r="S15" s="176"/>
      <c r="T15" s="168"/>
      <c r="U15" s="168"/>
      <c r="V15" s="168"/>
      <c r="W15" s="168"/>
      <c r="X15" s="176"/>
      <c r="Y15" s="176"/>
      <c r="Z15" s="176"/>
      <c r="AA15" s="176"/>
      <c r="AB15" s="165"/>
      <c r="AC15" s="166"/>
      <c r="AD15" s="169"/>
      <c r="AE15" s="170"/>
      <c r="AF15" s="167"/>
      <c r="AG15" s="167"/>
      <c r="AH15" s="167"/>
      <c r="AI15" s="176"/>
      <c r="AJ15" s="170"/>
      <c r="AK15" s="176"/>
      <c r="AL15" s="169"/>
      <c r="AM15" s="169"/>
      <c r="AN15" s="169"/>
      <c r="AO15" s="169"/>
      <c r="AP15" s="169"/>
      <c r="AQ15" s="169"/>
    </row>
    <row r="16" spans="1:43">
      <c r="A16" s="30" t="s">
        <v>43</v>
      </c>
      <c r="B16" s="192">
        <f>IF($B$24&lt;&gt;0,$F$155/$B$24/1000,0)</f>
        <v>0</v>
      </c>
      <c r="C16" s="192">
        <v>7.9000000000000008E-3</v>
      </c>
      <c r="D16" s="192">
        <v>5.3897125000000002E-3</v>
      </c>
      <c r="E16" s="204">
        <f>$D$131*$E$108/$B$49/1000</f>
        <v>0</v>
      </c>
      <c r="F16" s="192">
        <v>0</v>
      </c>
      <c r="G16" s="192">
        <v>0</v>
      </c>
      <c r="H16" s="204">
        <f>$D$131*$E$108/$B$49/1000</f>
        <v>0</v>
      </c>
      <c r="I16" s="192">
        <v>0</v>
      </c>
      <c r="J16" s="205">
        <v>0</v>
      </c>
      <c r="M16" s="263"/>
      <c r="N16" s="269"/>
      <c r="O16" s="268"/>
      <c r="P16" s="269"/>
      <c r="Q16" s="258"/>
      <c r="S16" s="168"/>
      <c r="T16" s="168"/>
      <c r="U16" s="168"/>
      <c r="V16" s="168"/>
      <c r="W16" s="168"/>
      <c r="X16" s="168"/>
      <c r="Y16" s="168"/>
      <c r="Z16" s="168"/>
      <c r="AA16" s="176"/>
      <c r="AB16" s="165"/>
      <c r="AC16" s="166"/>
      <c r="AD16" s="169"/>
      <c r="AE16" s="170"/>
      <c r="AF16" s="171"/>
      <c r="AG16" s="171"/>
      <c r="AH16" s="171"/>
      <c r="AI16" s="168"/>
      <c r="AJ16" s="170"/>
      <c r="AK16" s="168"/>
      <c r="AL16" s="169"/>
      <c r="AM16" s="169"/>
      <c r="AN16" s="169"/>
      <c r="AO16" s="169"/>
      <c r="AP16" s="169"/>
      <c r="AQ16" s="169"/>
    </row>
    <row r="17" spans="1:10">
      <c r="A17" s="6" t="s">
        <v>5</v>
      </c>
      <c r="B17" s="192">
        <f>IF($B$24&lt;&gt;0,$F$154/$B$24/1000,0)</f>
        <v>0</v>
      </c>
      <c r="C17" s="192">
        <v>0</v>
      </c>
      <c r="D17" s="192">
        <v>2.6778947368421052E-3</v>
      </c>
      <c r="E17" s="204">
        <f>$F$194</f>
        <v>0</v>
      </c>
      <c r="F17" s="192">
        <v>0</v>
      </c>
      <c r="G17" s="192">
        <v>0</v>
      </c>
      <c r="H17" s="204">
        <f>$F$194</f>
        <v>0</v>
      </c>
      <c r="I17" s="192">
        <v>0</v>
      </c>
      <c r="J17" s="205">
        <v>0</v>
      </c>
    </row>
    <row r="18" spans="1:10">
      <c r="A18" s="6" t="s">
        <v>3</v>
      </c>
      <c r="B18" s="192">
        <f>IF($B$24&lt;&gt;0,$B$196/$B$49/1000,0)</f>
        <v>0</v>
      </c>
      <c r="C18" s="192">
        <v>2.7000000000000001E-3</v>
      </c>
      <c r="D18" s="192">
        <v>0.16719999999999999</v>
      </c>
      <c r="E18" s="204">
        <f>$F$196</f>
        <v>5.5866734693877554E-2</v>
      </c>
      <c r="F18" s="192">
        <v>0</v>
      </c>
      <c r="G18" s="192">
        <v>0</v>
      </c>
      <c r="H18" s="204">
        <f>$F$196</f>
        <v>5.5866734693877554E-2</v>
      </c>
      <c r="I18" s="192">
        <v>0</v>
      </c>
      <c r="J18" s="205">
        <v>0</v>
      </c>
    </row>
    <row r="19" spans="1:10" ht="15">
      <c r="A19" s="6" t="s">
        <v>4</v>
      </c>
      <c r="B19" s="207">
        <f>IF($B$24&lt;&gt;0,$B$195/$B$49/1000,0)</f>
        <v>0</v>
      </c>
      <c r="C19" s="207">
        <v>1.2E-2</v>
      </c>
      <c r="D19" s="207">
        <v>1.2884210526315788E-2</v>
      </c>
      <c r="E19" s="206">
        <f>$F$195</f>
        <v>0.23436734693877551</v>
      </c>
      <c r="F19" s="207">
        <v>0</v>
      </c>
      <c r="G19" s="207">
        <v>0</v>
      </c>
      <c r="H19" s="206">
        <f>$F$195</f>
        <v>0.23436734693877551</v>
      </c>
      <c r="I19" s="207">
        <v>0</v>
      </c>
      <c r="J19" s="208">
        <v>0</v>
      </c>
    </row>
    <row r="20" spans="1:10">
      <c r="A20" s="30" t="s">
        <v>42</v>
      </c>
      <c r="B20" s="192">
        <f t="shared" ref="B20:J20" si="3">SUM(B14:B19)</f>
        <v>0</v>
      </c>
      <c r="C20" s="192">
        <f t="shared" si="3"/>
        <v>5.62E-2</v>
      </c>
      <c r="D20" s="192">
        <f t="shared" si="3"/>
        <v>0.19975369276315788</v>
      </c>
      <c r="E20" s="204">
        <f t="shared" si="3"/>
        <v>0.29116434924684159</v>
      </c>
      <c r="F20" s="192">
        <f t="shared" ref="F20:G20" si="4">SUM(F14:F19)</f>
        <v>0</v>
      </c>
      <c r="G20" s="192">
        <f t="shared" si="4"/>
        <v>0</v>
      </c>
      <c r="H20" s="204">
        <f t="shared" si="3"/>
        <v>0.29116434924684159</v>
      </c>
      <c r="I20" s="192">
        <f t="shared" si="3"/>
        <v>0</v>
      </c>
      <c r="J20" s="205">
        <f t="shared" si="3"/>
        <v>0</v>
      </c>
    </row>
    <row r="21" spans="1:10">
      <c r="A21" s="6"/>
      <c r="B21" s="204"/>
      <c r="C21" s="192"/>
      <c r="D21" s="192"/>
      <c r="E21" s="204"/>
      <c r="F21" s="192"/>
      <c r="G21" s="192"/>
      <c r="H21" s="223"/>
      <c r="I21" s="192"/>
      <c r="J21" s="224"/>
    </row>
    <row r="22" spans="1:10">
      <c r="A22" s="30" t="s">
        <v>41</v>
      </c>
      <c r="B22" s="209">
        <f t="shared" ref="B22:J22" si="5">B12+B20</f>
        <v>0</v>
      </c>
      <c r="C22" s="210">
        <f t="shared" si="5"/>
        <v>0.1666</v>
      </c>
      <c r="D22" s="210">
        <f t="shared" si="5"/>
        <v>0.30458288448908055</v>
      </c>
      <c r="E22" s="209">
        <f t="shared" si="5"/>
        <v>0.3748362427889243</v>
      </c>
      <c r="F22" s="210">
        <f t="shared" si="5"/>
        <v>0</v>
      </c>
      <c r="G22" s="210">
        <f t="shared" si="5"/>
        <v>0</v>
      </c>
      <c r="H22" s="209">
        <f t="shared" si="5"/>
        <v>0.3748362427889243</v>
      </c>
      <c r="I22" s="210">
        <f t="shared" si="5"/>
        <v>0</v>
      </c>
      <c r="J22" s="211">
        <f t="shared" si="5"/>
        <v>0</v>
      </c>
    </row>
    <row r="23" spans="1:10">
      <c r="A23" s="6"/>
      <c r="B23" s="212"/>
      <c r="C23" s="213"/>
      <c r="D23" s="213"/>
      <c r="E23" s="212"/>
      <c r="F23" s="213"/>
      <c r="G23" s="213"/>
      <c r="H23" s="212"/>
      <c r="I23" s="213"/>
      <c r="J23" s="225"/>
    </row>
    <row r="24" spans="1:10">
      <c r="A24" s="25" t="s">
        <v>40</v>
      </c>
      <c r="B24" s="215">
        <f>+B54</f>
        <v>0</v>
      </c>
      <c r="C24" s="226">
        <v>0</v>
      </c>
      <c r="D24" s="226">
        <v>80000</v>
      </c>
      <c r="E24" s="215">
        <f>+B55</f>
        <v>0</v>
      </c>
      <c r="F24" s="226">
        <v>0</v>
      </c>
      <c r="G24" s="216">
        <v>0</v>
      </c>
      <c r="H24" s="215">
        <f>+B56</f>
        <v>0</v>
      </c>
      <c r="I24" s="226">
        <v>0</v>
      </c>
      <c r="J24" s="217">
        <v>0</v>
      </c>
    </row>
    <row r="25" spans="1:10">
      <c r="B25" s="49"/>
      <c r="C25" s="47"/>
      <c r="D25" s="47"/>
      <c r="E25" s="47"/>
      <c r="F25" s="48"/>
      <c r="G25" s="47"/>
      <c r="H25" s="47"/>
      <c r="J25" s="46"/>
    </row>
    <row r="26" spans="1:10" ht="18" customHeight="1">
      <c r="A26" s="64"/>
      <c r="B26" s="359" t="s">
        <v>92</v>
      </c>
      <c r="C26" s="360"/>
      <c r="D26" s="361"/>
      <c r="E26" s="347" t="s">
        <v>90</v>
      </c>
      <c r="F26" s="348"/>
      <c r="G26" s="348"/>
      <c r="H26" s="362" t="s">
        <v>20</v>
      </c>
      <c r="I26" s="363"/>
      <c r="J26" s="364"/>
    </row>
    <row r="27" spans="1:10" s="46" customFormat="1" ht="15">
      <c r="A27" s="66"/>
      <c r="B27" s="198" t="str">
        <f>$B$4</f>
        <v>25 Standard</v>
      </c>
      <c r="C27" s="199" t="str">
        <f>+C4</f>
        <v>23 Actual</v>
      </c>
      <c r="D27" s="200" t="str">
        <f>+D4</f>
        <v>20 Standard</v>
      </c>
      <c r="E27" s="218" t="s">
        <v>113</v>
      </c>
      <c r="F27" s="327" t="s">
        <v>114</v>
      </c>
      <c r="G27" s="219" t="s">
        <v>111</v>
      </c>
      <c r="H27" s="143" t="str">
        <f>+B27</f>
        <v>25 Standard</v>
      </c>
      <c r="I27" s="144" t="str">
        <f>+C27</f>
        <v>23 Actual</v>
      </c>
      <c r="J27" s="145" t="str">
        <f>+D27</f>
        <v>20 Standard</v>
      </c>
    </row>
    <row r="28" spans="1:10" s="46" customFormat="1">
      <c r="A28" s="66"/>
      <c r="B28" s="201"/>
      <c r="C28" s="202" t="s">
        <v>89</v>
      </c>
      <c r="D28" s="203"/>
      <c r="E28" s="201"/>
      <c r="F28" s="202" t="s">
        <v>102</v>
      </c>
      <c r="G28" s="203"/>
      <c r="H28" s="146"/>
      <c r="I28" s="137"/>
      <c r="J28" s="115"/>
    </row>
    <row r="29" spans="1:10">
      <c r="A29" s="30" t="s">
        <v>50</v>
      </c>
      <c r="B29" s="204">
        <f>D82</f>
        <v>6.5965817666666662E-2</v>
      </c>
      <c r="C29" s="192">
        <v>0</v>
      </c>
      <c r="D29" s="205">
        <v>0</v>
      </c>
      <c r="E29" s="192">
        <f>IF(E47&lt;&gt;0,$L$96,0)</f>
        <v>7.0852831853116985E-2</v>
      </c>
      <c r="F29" s="192">
        <v>7.8E-2</v>
      </c>
      <c r="G29" s="205">
        <v>6.0259679999999996E-2</v>
      </c>
      <c r="H29" s="138">
        <v>0</v>
      </c>
      <c r="I29" s="24">
        <v>0</v>
      </c>
      <c r="J29" s="94">
        <v>0</v>
      </c>
    </row>
    <row r="30" spans="1:10">
      <c r="A30" s="30" t="s">
        <v>27</v>
      </c>
      <c r="B30" s="204">
        <f>D169</f>
        <v>0</v>
      </c>
      <c r="C30" s="192">
        <v>0</v>
      </c>
      <c r="D30" s="205">
        <v>0</v>
      </c>
      <c r="E30" s="192">
        <f>IF(E47&lt;&gt;0,$G$169,0)</f>
        <v>4.3918811483700915E-2</v>
      </c>
      <c r="F30" s="192">
        <v>4.3200000000000002E-2</v>
      </c>
      <c r="G30" s="205">
        <v>2.6879417927194393E-2</v>
      </c>
      <c r="H30" s="138">
        <v>0</v>
      </c>
      <c r="I30" s="24">
        <v>0</v>
      </c>
      <c r="J30" s="94">
        <v>0</v>
      </c>
    </row>
    <row r="31" spans="1:10">
      <c r="A31" s="6" t="s">
        <v>49</v>
      </c>
      <c r="B31" s="204">
        <f>D170</f>
        <v>0</v>
      </c>
      <c r="C31" s="192">
        <v>0</v>
      </c>
      <c r="D31" s="205">
        <v>0</v>
      </c>
      <c r="E31" s="192">
        <f>IF(E47&lt;&gt;0,$G$170,0)</f>
        <v>2.5999999999999999E-2</v>
      </c>
      <c r="F31" s="192">
        <v>1.9E-2</v>
      </c>
      <c r="G31" s="205">
        <v>2.8566999999999999E-2</v>
      </c>
      <c r="H31" s="138">
        <f>J170</f>
        <v>0</v>
      </c>
      <c r="I31" s="24">
        <v>0</v>
      </c>
      <c r="J31" s="94">
        <v>0</v>
      </c>
    </row>
    <row r="32" spans="1:10">
      <c r="A32" s="30" t="s">
        <v>48</v>
      </c>
      <c r="B32" s="204">
        <f>IF($B$47&lt;&gt;0,$H$177,0)</f>
        <v>0</v>
      </c>
      <c r="C32" s="192">
        <v>0</v>
      </c>
      <c r="D32" s="205">
        <v>0</v>
      </c>
      <c r="E32" s="192">
        <f>IF(E47&lt;&gt;0,$H$177,0)</f>
        <v>0.03</v>
      </c>
      <c r="F32" s="192">
        <v>2.98E-2</v>
      </c>
      <c r="G32" s="205">
        <v>2.7777777777777776E-2</v>
      </c>
      <c r="H32" s="138">
        <v>0</v>
      </c>
      <c r="I32" s="24">
        <v>0</v>
      </c>
      <c r="J32" s="94">
        <v>0</v>
      </c>
    </row>
    <row r="33" spans="1:13">
      <c r="A33" s="30" t="s">
        <v>47</v>
      </c>
      <c r="B33" s="204">
        <f>IF($B$47&lt;&gt;0,$H$181,0)</f>
        <v>0</v>
      </c>
      <c r="C33" s="192">
        <v>0</v>
      </c>
      <c r="D33" s="205">
        <v>0</v>
      </c>
      <c r="E33" s="192">
        <f>IF(E47&lt;&gt;0,$H$181,0)</f>
        <v>5.5102040816326532E-3</v>
      </c>
      <c r="F33" s="192">
        <v>1.1999999999999999E-3</v>
      </c>
      <c r="G33" s="205">
        <v>6.9444444444444441E-3</v>
      </c>
      <c r="H33" s="138">
        <v>0</v>
      </c>
      <c r="I33" s="24">
        <v>0</v>
      </c>
      <c r="J33" s="94">
        <v>0</v>
      </c>
      <c r="K33" s="24"/>
      <c r="L33" s="24"/>
    </row>
    <row r="34" spans="1:13" ht="15">
      <c r="A34" s="30" t="s">
        <v>46</v>
      </c>
      <c r="B34" s="206">
        <f>IF($B$47&lt;&gt;0,$H$184,0)</f>
        <v>0</v>
      </c>
      <c r="C34" s="207">
        <v>0</v>
      </c>
      <c r="D34" s="208">
        <v>0</v>
      </c>
      <c r="E34" s="207">
        <f>IF(E47&lt;&gt;0,$H$184,0)</f>
        <v>1.1224489795918367E-2</v>
      </c>
      <c r="F34" s="207">
        <v>1.3899999999999999E-2</v>
      </c>
      <c r="G34" s="208">
        <v>1.2500000000000001E-2</v>
      </c>
      <c r="H34" s="139">
        <v>0</v>
      </c>
      <c r="I34" s="67">
        <v>0</v>
      </c>
      <c r="J34" s="95">
        <v>0</v>
      </c>
      <c r="K34" s="67"/>
      <c r="L34" s="67"/>
    </row>
    <row r="35" spans="1:13">
      <c r="A35" s="30" t="s">
        <v>45</v>
      </c>
      <c r="B35" s="204">
        <f>SUM(B29:B34)</f>
        <v>6.5965817666666662E-2</v>
      </c>
      <c r="C35" s="192">
        <f t="shared" ref="C35:D35" si="6">SUM(C29:C34)</f>
        <v>0</v>
      </c>
      <c r="D35" s="192">
        <f t="shared" si="6"/>
        <v>0</v>
      </c>
      <c r="E35" s="192">
        <f t="shared" ref="E35" si="7">SUM(E29:E34)</f>
        <v>0.18750633721436893</v>
      </c>
      <c r="F35" s="192">
        <f>SUM(F29:F34)</f>
        <v>0.18509999999999999</v>
      </c>
      <c r="G35" s="192">
        <f>SUM(G29:G34)</f>
        <v>0.16292832014941663</v>
      </c>
      <c r="H35" s="138">
        <f>SUM(H29:H34)</f>
        <v>0</v>
      </c>
      <c r="I35" s="24">
        <f t="shared" ref="I35" si="8">SUM(I29:I34)</f>
        <v>0</v>
      </c>
      <c r="J35" s="94">
        <f>SUM(J29:J34)</f>
        <v>0</v>
      </c>
      <c r="K35" s="24"/>
      <c r="L35" s="24"/>
    </row>
    <row r="36" spans="1:13">
      <c r="A36" s="30"/>
      <c r="B36" s="204"/>
      <c r="C36" s="192"/>
      <c r="D36" s="205"/>
      <c r="E36" s="204"/>
      <c r="F36" s="192"/>
      <c r="G36" s="205"/>
      <c r="H36" s="138"/>
      <c r="I36" s="24"/>
      <c r="J36" s="94"/>
      <c r="K36" s="24"/>
      <c r="L36" s="24"/>
    </row>
    <row r="37" spans="1:13">
      <c r="A37" s="30" t="s">
        <v>31</v>
      </c>
      <c r="B37" s="204">
        <f>$D$124*$E$108/$B$49/1000</f>
        <v>9.3026761418853253E-4</v>
      </c>
      <c r="C37" s="192">
        <v>0</v>
      </c>
      <c r="D37" s="205">
        <v>0</v>
      </c>
      <c r="E37" s="192">
        <f>IF($E$47&lt;&gt;0,$F$127/$E$47/1000,0)</f>
        <v>4.0001507410106898E-2</v>
      </c>
      <c r="F37" s="192">
        <v>3.5299999999999998E-2</v>
      </c>
      <c r="G37" s="205">
        <v>2.1569210091743118E-2</v>
      </c>
      <c r="H37" s="138">
        <v>0</v>
      </c>
      <c r="I37" s="24">
        <v>0</v>
      </c>
      <c r="J37" s="94">
        <v>0</v>
      </c>
      <c r="K37" s="24"/>
      <c r="L37" s="24"/>
    </row>
    <row r="38" spans="1:13">
      <c r="A38" s="30" t="s">
        <v>44</v>
      </c>
      <c r="B38" s="204">
        <f>$H$124*$E$108/$B$49/1000</f>
        <v>0</v>
      </c>
      <c r="C38" s="192">
        <v>0</v>
      </c>
      <c r="D38" s="205">
        <v>0</v>
      </c>
      <c r="E38" s="192">
        <f>IF($E$47&lt;&gt;0,$F$128/$E$47/1000,0)</f>
        <v>4.806117346938775E-3</v>
      </c>
      <c r="F38" s="192">
        <v>6.7000000000000002E-3</v>
      </c>
      <c r="G38" s="205">
        <v>5.1700857142857144E-3</v>
      </c>
      <c r="H38" s="138">
        <v>0</v>
      </c>
      <c r="I38" s="24">
        <v>0</v>
      </c>
      <c r="J38" s="94">
        <v>0</v>
      </c>
      <c r="K38" s="24"/>
      <c r="L38" s="24"/>
    </row>
    <row r="39" spans="1:13">
      <c r="A39" s="30" t="s">
        <v>43</v>
      </c>
      <c r="B39" s="204">
        <f>$D$131*$E$108/$B$49/1000</f>
        <v>0</v>
      </c>
      <c r="C39" s="192">
        <v>0</v>
      </c>
      <c r="D39" s="205">
        <v>0</v>
      </c>
      <c r="E39" s="192">
        <f>IF($E$47&lt;&gt;0,$F$130/$E$47/1000,0)</f>
        <v>1.2994211179543245E-2</v>
      </c>
      <c r="F39" s="192">
        <v>1.12E-2</v>
      </c>
      <c r="G39" s="205">
        <v>8.0162316187989569E-3</v>
      </c>
      <c r="H39" s="138">
        <v>0</v>
      </c>
      <c r="I39" s="24">
        <v>0</v>
      </c>
      <c r="J39" s="94">
        <v>0</v>
      </c>
      <c r="K39" s="24"/>
      <c r="L39" s="24"/>
    </row>
    <row r="40" spans="1:13">
      <c r="A40" s="6" t="s">
        <v>5</v>
      </c>
      <c r="B40" s="204">
        <f>IF($B$49&lt;&gt;0,$F$194,0)</f>
        <v>0</v>
      </c>
      <c r="C40" s="192">
        <v>0</v>
      </c>
      <c r="D40" s="205">
        <v>0</v>
      </c>
      <c r="E40" s="192">
        <f>IF($E$47&lt;&gt;0,$F$129/$E$47/1000,0)</f>
        <v>0</v>
      </c>
      <c r="F40" s="192">
        <v>0</v>
      </c>
      <c r="G40" s="205">
        <v>4.7638888888888888E-4</v>
      </c>
      <c r="H40" s="138">
        <v>0</v>
      </c>
      <c r="I40" s="24">
        <v>0</v>
      </c>
      <c r="J40" s="94">
        <v>0</v>
      </c>
      <c r="K40" s="24"/>
      <c r="L40" s="24"/>
    </row>
    <row r="41" spans="1:13" ht="15">
      <c r="A41" s="6" t="s">
        <v>3</v>
      </c>
      <c r="B41" s="204">
        <f>IF($B$49&lt;&gt;0,$F$196,0)</f>
        <v>5.5866734693877554E-2</v>
      </c>
      <c r="C41" s="192">
        <v>0</v>
      </c>
      <c r="D41" s="205">
        <v>0</v>
      </c>
      <c r="E41" s="192">
        <f>IF($E$47&lt;&gt;0,$B$196/$B$49/1000/4,0)</f>
        <v>1.1638903061224491E-3</v>
      </c>
      <c r="F41" s="192">
        <v>8.5000000000000006E-3</v>
      </c>
      <c r="G41" s="205">
        <v>5.6777777777777781E-3</v>
      </c>
      <c r="H41" s="138">
        <v>0</v>
      </c>
      <c r="I41" s="24">
        <v>0</v>
      </c>
      <c r="J41" s="94">
        <v>0</v>
      </c>
      <c r="K41" s="67"/>
      <c r="L41" s="67"/>
    </row>
    <row r="42" spans="1:13" ht="15">
      <c r="A42" s="6" t="s">
        <v>4</v>
      </c>
      <c r="B42" s="206">
        <f>IF($B$49&lt;&gt;0,$F$195,0)</f>
        <v>0.23436734693877551</v>
      </c>
      <c r="C42" s="207">
        <v>0</v>
      </c>
      <c r="D42" s="208">
        <v>0</v>
      </c>
      <c r="E42" s="207">
        <f>IF($E$47&lt;&gt;0,$B$195/$B$49/1000/4,0)</f>
        <v>4.8826530612244897E-3</v>
      </c>
      <c r="F42" s="207">
        <v>3.6200000000000003E-2</v>
      </c>
      <c r="G42" s="208">
        <v>2.5861111111111109E-2</v>
      </c>
      <c r="H42" s="139">
        <v>0</v>
      </c>
      <c r="I42" s="67">
        <v>0</v>
      </c>
      <c r="J42" s="95">
        <v>0</v>
      </c>
      <c r="K42" s="24"/>
      <c r="L42" s="24"/>
    </row>
    <row r="43" spans="1:13">
      <c r="A43" s="30" t="s">
        <v>42</v>
      </c>
      <c r="B43" s="204">
        <f t="shared" ref="B43:J43" si="9">SUM(B37:B42)</f>
        <v>0.29116434924684159</v>
      </c>
      <c r="C43" s="192">
        <f t="shared" si="9"/>
        <v>0</v>
      </c>
      <c r="D43" s="192">
        <f t="shared" si="9"/>
        <v>0</v>
      </c>
      <c r="E43" s="192">
        <f t="shared" ref="E43" si="10">SUM(E37:E42)</f>
        <v>6.3848379303935859E-2</v>
      </c>
      <c r="F43" s="192">
        <f>SUM(F37:F42)</f>
        <v>9.7900000000000001E-2</v>
      </c>
      <c r="G43" s="192">
        <f t="shared" si="9"/>
        <v>6.6770805202605574E-2</v>
      </c>
      <c r="H43" s="138">
        <f t="shared" si="9"/>
        <v>0</v>
      </c>
      <c r="I43" s="24">
        <f t="shared" si="9"/>
        <v>0</v>
      </c>
      <c r="J43" s="94">
        <f t="shared" si="9"/>
        <v>0</v>
      </c>
      <c r="K43" s="24"/>
      <c r="L43" s="24"/>
    </row>
    <row r="44" spans="1:13">
      <c r="A44" s="76" t="s">
        <v>112</v>
      </c>
      <c r="B44" s="204"/>
      <c r="C44" s="192"/>
      <c r="D44" s="205"/>
      <c r="E44" s="328"/>
      <c r="F44" s="328">
        <v>-4.5499999999999999E-2</v>
      </c>
      <c r="G44" s="205"/>
      <c r="H44" s="138"/>
      <c r="I44" s="24"/>
      <c r="J44" s="94"/>
      <c r="K44" s="24"/>
      <c r="L44" s="24"/>
    </row>
    <row r="45" spans="1:13">
      <c r="A45" s="30" t="s">
        <v>41</v>
      </c>
      <c r="B45" s="209">
        <f>B35+B43</f>
        <v>0.35713016691350824</v>
      </c>
      <c r="C45" s="210">
        <f t="shared" ref="C45:J45" si="11">C35+C43</f>
        <v>0</v>
      </c>
      <c r="D45" s="211">
        <v>0.19962945623832437</v>
      </c>
      <c r="E45" s="210">
        <f>E35+E43+E44</f>
        <v>0.25135471651830477</v>
      </c>
      <c r="F45" s="210">
        <f>F35+F43+F44</f>
        <v>0.23749999999999999</v>
      </c>
      <c r="G45" s="211">
        <f>+G35+G43</f>
        <v>0.22969912535202219</v>
      </c>
      <c r="H45" s="140">
        <f t="shared" si="11"/>
        <v>0</v>
      </c>
      <c r="I45" s="124">
        <f t="shared" si="11"/>
        <v>0</v>
      </c>
      <c r="J45" s="125">
        <f t="shared" si="11"/>
        <v>0</v>
      </c>
      <c r="K45" s="116"/>
      <c r="L45" s="116">
        <f>E45-0.245</f>
        <v>6.3547165183047705E-3</v>
      </c>
      <c r="M45" s="1">
        <f>E47*1000*L45</f>
        <v>31138.110939693375</v>
      </c>
    </row>
    <row r="46" spans="1:13">
      <c r="A46" s="6"/>
      <c r="B46" s="212"/>
      <c r="C46" s="213"/>
      <c r="D46" s="214"/>
      <c r="E46" s="212"/>
      <c r="F46" s="213"/>
      <c r="G46" s="214"/>
      <c r="H46" s="141"/>
      <c r="I46" s="24"/>
      <c r="J46" s="94"/>
      <c r="K46" s="47"/>
      <c r="L46" s="47"/>
      <c r="M46" s="1">
        <f>M45/12</f>
        <v>2594.8425783077814</v>
      </c>
    </row>
    <row r="47" spans="1:13">
      <c r="A47" s="25" t="s">
        <v>40</v>
      </c>
      <c r="B47" s="215">
        <f>+B57</f>
        <v>0</v>
      </c>
      <c r="C47" s="216">
        <v>0</v>
      </c>
      <c r="D47" s="217">
        <v>0</v>
      </c>
      <c r="E47" s="215">
        <f>+B58</f>
        <v>4900</v>
      </c>
      <c r="F47" s="216">
        <v>15776</v>
      </c>
      <c r="G47" s="217">
        <v>36000</v>
      </c>
      <c r="H47" s="142">
        <f>+B59</f>
        <v>0</v>
      </c>
      <c r="I47" s="112">
        <v>0</v>
      </c>
      <c r="J47" s="147">
        <v>0</v>
      </c>
      <c r="K47" s="117"/>
      <c r="L47" s="117"/>
      <c r="M47" s="251"/>
    </row>
    <row r="49" spans="1:12">
      <c r="A49" s="68" t="s">
        <v>39</v>
      </c>
      <c r="B49" s="114">
        <f>B24+E24+H24+B47+E47+H47</f>
        <v>4900</v>
      </c>
      <c r="C49" s="126">
        <f>C24+F24+I24+C47+F47+I47</f>
        <v>15776</v>
      </c>
      <c r="D49" s="127">
        <f>D24+G24+J24+D47+G47+J47</f>
        <v>116000</v>
      </c>
      <c r="E49" s="113"/>
    </row>
    <row r="50" spans="1:12"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>
      <c r="A51" s="54" t="s">
        <v>38</v>
      </c>
      <c r="B51" s="365" t="s">
        <v>37</v>
      </c>
      <c r="C51" s="365"/>
      <c r="D51" s="365"/>
      <c r="E51" s="365"/>
      <c r="F51" s="365"/>
      <c r="G51" s="365"/>
      <c r="H51" s="365"/>
      <c r="I51" s="365"/>
      <c r="J51" s="365"/>
      <c r="K51" s="365"/>
      <c r="L51" s="12"/>
    </row>
    <row r="52" spans="1:12">
      <c r="A52" s="30"/>
      <c r="L52" s="12"/>
    </row>
    <row r="53" spans="1:12" ht="15">
      <c r="A53" s="82" t="s">
        <v>61</v>
      </c>
      <c r="B53" s="45" t="s">
        <v>62</v>
      </c>
      <c r="C53" s="45" t="s">
        <v>64</v>
      </c>
      <c r="D53" s="185"/>
      <c r="E53" s="5"/>
      <c r="F53" s="45"/>
      <c r="G53" s="5"/>
      <c r="H53" s="5"/>
      <c r="L53" s="12"/>
    </row>
    <row r="54" spans="1:12" ht="15">
      <c r="A54" s="30" t="s">
        <v>95</v>
      </c>
      <c r="B54" s="120">
        <f>'2025 Summary'!$D$14</f>
        <v>0</v>
      </c>
      <c r="C54" s="129">
        <f>B54/$B$60</f>
        <v>0</v>
      </c>
      <c r="D54" s="32"/>
      <c r="E54" s="5">
        <f>9*400000*7</f>
        <v>25200000</v>
      </c>
      <c r="F54" s="44"/>
      <c r="G54" s="5" t="s">
        <v>20</v>
      </c>
      <c r="H54" s="121"/>
      <c r="L54" s="12"/>
    </row>
    <row r="55" spans="1:12" ht="15">
      <c r="A55" s="30" t="s">
        <v>96</v>
      </c>
      <c r="B55" s="120">
        <v>0</v>
      </c>
      <c r="C55" s="129">
        <f t="shared" ref="C55:C60" si="12">B55/$B$60</f>
        <v>0</v>
      </c>
      <c r="D55" s="32"/>
      <c r="E55" s="5"/>
      <c r="F55" s="44"/>
      <c r="G55" s="5" t="s">
        <v>20</v>
      </c>
      <c r="H55" s="121"/>
      <c r="L55" s="12"/>
    </row>
    <row r="56" spans="1:12" ht="15">
      <c r="A56" s="30" t="s">
        <v>97</v>
      </c>
      <c r="B56" s="120">
        <v>0</v>
      </c>
      <c r="C56" s="129">
        <f t="shared" si="12"/>
        <v>0</v>
      </c>
      <c r="D56" s="32"/>
      <c r="E56" s="5"/>
      <c r="F56" s="5"/>
      <c r="G56" s="5"/>
      <c r="H56" s="5"/>
      <c r="L56" s="12"/>
    </row>
    <row r="57" spans="1:12" ht="15">
      <c r="A57" s="30" t="s">
        <v>92</v>
      </c>
      <c r="B57" s="120">
        <v>0</v>
      </c>
      <c r="C57" s="129">
        <f t="shared" si="12"/>
        <v>0</v>
      </c>
      <c r="D57" s="32"/>
      <c r="E57" s="5"/>
      <c r="F57" s="5"/>
      <c r="G57" s="5"/>
      <c r="H57" s="5"/>
      <c r="L57" s="12"/>
    </row>
    <row r="58" spans="1:12" ht="15">
      <c r="A58" s="30" t="s">
        <v>90</v>
      </c>
      <c r="B58" s="103">
        <f>'2025 Summary'!$E$14</f>
        <v>4900</v>
      </c>
      <c r="C58" s="129">
        <f t="shared" si="12"/>
        <v>1</v>
      </c>
      <c r="D58" s="32"/>
      <c r="E58" s="5"/>
      <c r="F58" s="5"/>
      <c r="G58" s="5"/>
      <c r="H58" s="5"/>
      <c r="L58" s="12"/>
    </row>
    <row r="59" spans="1:12" ht="15">
      <c r="A59" s="30" t="s">
        <v>20</v>
      </c>
      <c r="B59" s="120">
        <v>0</v>
      </c>
      <c r="C59" s="130">
        <f t="shared" si="12"/>
        <v>0</v>
      </c>
      <c r="D59" s="32"/>
      <c r="E59" s="5"/>
      <c r="F59" s="5"/>
      <c r="G59" s="5"/>
      <c r="H59" s="5"/>
      <c r="L59" s="12"/>
    </row>
    <row r="60" spans="1:12">
      <c r="A60" s="83" t="s">
        <v>65</v>
      </c>
      <c r="B60" s="112">
        <f>SUM(B54:B59)</f>
        <v>4900</v>
      </c>
      <c r="C60" s="188">
        <f t="shared" si="12"/>
        <v>1</v>
      </c>
      <c r="D60" s="75"/>
      <c r="E60" s="53"/>
      <c r="F60" s="53"/>
      <c r="G60" s="53"/>
      <c r="H60" s="53"/>
      <c r="I60" s="10"/>
      <c r="J60" s="10"/>
      <c r="K60" s="10"/>
      <c r="L60" s="9"/>
    </row>
    <row r="61" spans="1:12">
      <c r="A61" s="16"/>
      <c r="B61" s="5"/>
      <c r="C61" s="5"/>
      <c r="D61" s="5"/>
      <c r="E61" s="5"/>
      <c r="F61" s="5"/>
      <c r="G61" s="5"/>
      <c r="H61" s="122"/>
      <c r="L61" s="12"/>
    </row>
    <row r="62" spans="1:12" ht="15" customHeight="1">
      <c r="A62" s="16"/>
      <c r="B62" s="5"/>
      <c r="C62" s="366" t="s">
        <v>35</v>
      </c>
      <c r="D62" s="366"/>
      <c r="E62" s="366"/>
      <c r="F62" s="366"/>
      <c r="G62" s="367" t="s">
        <v>60</v>
      </c>
      <c r="H62" s="367"/>
      <c r="I62" s="367"/>
      <c r="J62" s="367"/>
      <c r="K62" s="367"/>
      <c r="L62" s="233"/>
    </row>
    <row r="63" spans="1:12" s="36" customFormat="1" ht="15">
      <c r="A63" s="229" t="s">
        <v>66</v>
      </c>
      <c r="B63" s="101" t="s">
        <v>36</v>
      </c>
      <c r="C63" s="184" t="s">
        <v>95</v>
      </c>
      <c r="D63" s="197" t="s">
        <v>96</v>
      </c>
      <c r="E63" s="197" t="s">
        <v>97</v>
      </c>
      <c r="F63" s="197" t="s">
        <v>92</v>
      </c>
      <c r="G63" s="197" t="s">
        <v>98</v>
      </c>
      <c r="H63" s="184" t="s">
        <v>95</v>
      </c>
      <c r="I63" s="197" t="s">
        <v>96</v>
      </c>
      <c r="J63" s="197" t="s">
        <v>97</v>
      </c>
      <c r="K63" s="185" t="s">
        <v>92</v>
      </c>
      <c r="L63" s="197" t="s">
        <v>98</v>
      </c>
    </row>
    <row r="64" spans="1:12" s="36" customFormat="1" ht="15">
      <c r="A64" s="136" t="s">
        <v>71</v>
      </c>
      <c r="B64" s="235">
        <f>11.89*2</f>
        <v>23.78</v>
      </c>
      <c r="C64" s="248">
        <f>$C$76*H64</f>
        <v>0</v>
      </c>
      <c r="D64" s="248">
        <f>$C$86*I64</f>
        <v>0</v>
      </c>
      <c r="E64" s="248">
        <f>$G$86*J64</f>
        <v>0</v>
      </c>
      <c r="F64" s="248">
        <f>$K$86*K64</f>
        <v>0</v>
      </c>
      <c r="G64" s="109">
        <f>$K$86*L64</f>
        <v>0</v>
      </c>
      <c r="H64" s="246">
        <v>0</v>
      </c>
      <c r="I64" s="246">
        <v>0</v>
      </c>
      <c r="J64" s="246">
        <v>0</v>
      </c>
      <c r="K64" s="247">
        <v>0</v>
      </c>
      <c r="L64" s="187">
        <v>0</v>
      </c>
    </row>
    <row r="65" spans="1:12" s="36" customFormat="1" ht="15">
      <c r="A65" s="136"/>
      <c r="B65" s="120">
        <v>0</v>
      </c>
      <c r="C65" s="249">
        <f>$C$76*H65</f>
        <v>0</v>
      </c>
      <c r="D65" s="249">
        <f>$C$86*I65</f>
        <v>0</v>
      </c>
      <c r="E65" s="249">
        <f>$G$86*J65</f>
        <v>0</v>
      </c>
      <c r="F65" s="249">
        <f>$K$86*K65</f>
        <v>0</v>
      </c>
      <c r="G65" s="111">
        <f>$K$86*L65</f>
        <v>0</v>
      </c>
      <c r="H65" s="246">
        <v>0</v>
      </c>
      <c r="I65" s="246">
        <v>0</v>
      </c>
      <c r="J65" s="246">
        <v>0</v>
      </c>
      <c r="K65" s="247">
        <v>0</v>
      </c>
      <c r="L65" s="187">
        <v>0</v>
      </c>
    </row>
    <row r="66" spans="1:12" s="36" customFormat="1">
      <c r="A66" s="136"/>
      <c r="B66" s="42"/>
      <c r="C66" s="109">
        <f>SUM(C64:C65)</f>
        <v>0</v>
      </c>
      <c r="D66" s="109">
        <f>SUM(D64:D65)</f>
        <v>0</v>
      </c>
      <c r="E66" s="109">
        <f>SUM(E64:E65)</f>
        <v>0</v>
      </c>
      <c r="F66" s="109">
        <f>SUM(F64:F65)</f>
        <v>0</v>
      </c>
      <c r="G66" s="109">
        <f>SUM(G64:G65)</f>
        <v>0</v>
      </c>
      <c r="H66" s="80"/>
      <c r="I66" s="80"/>
      <c r="J66" s="80"/>
      <c r="K66" s="110"/>
      <c r="L66" s="110"/>
    </row>
    <row r="67" spans="1:12" s="36" customFormat="1">
      <c r="A67" s="230" t="s">
        <v>70</v>
      </c>
      <c r="B67" s="42"/>
      <c r="C67" s="109"/>
      <c r="D67" s="109"/>
      <c r="E67" s="109"/>
      <c r="F67" s="109"/>
      <c r="G67" s="109"/>
      <c r="H67" s="80"/>
      <c r="I67" s="80"/>
      <c r="J67" s="80"/>
      <c r="K67" s="110"/>
      <c r="L67" s="110"/>
    </row>
    <row r="68" spans="1:12" s="36" customFormat="1" ht="15">
      <c r="A68" s="136" t="s">
        <v>99</v>
      </c>
      <c r="B68" s="235">
        <v>0</v>
      </c>
      <c r="C68" s="248">
        <f>$C$77*H68</f>
        <v>0</v>
      </c>
      <c r="D68" s="248">
        <f>$C$87*I68</f>
        <v>0</v>
      </c>
      <c r="E68" s="248">
        <f>$G$87*J68</f>
        <v>0</v>
      </c>
      <c r="F68" s="248">
        <f t="shared" ref="F68:G71" si="13">$K$87*K68</f>
        <v>0</v>
      </c>
      <c r="G68" s="109">
        <f t="shared" si="13"/>
        <v>0</v>
      </c>
      <c r="H68" s="246">
        <v>0</v>
      </c>
      <c r="I68" s="246">
        <v>0</v>
      </c>
      <c r="J68" s="246">
        <v>0</v>
      </c>
      <c r="K68" s="247">
        <v>0</v>
      </c>
      <c r="L68" s="187">
        <v>0</v>
      </c>
    </row>
    <row r="69" spans="1:12" s="36" customFormat="1" ht="15">
      <c r="A69" s="136" t="s">
        <v>100</v>
      </c>
      <c r="B69" s="235">
        <f>116.72*2</f>
        <v>233.44</v>
      </c>
      <c r="C69" s="248">
        <f>$C$77*H69</f>
        <v>0</v>
      </c>
      <c r="D69" s="248">
        <f>$C$87*I69</f>
        <v>0</v>
      </c>
      <c r="E69" s="248">
        <f>$G$87*J69</f>
        <v>0</v>
      </c>
      <c r="F69" s="248">
        <f t="shared" si="13"/>
        <v>0</v>
      </c>
      <c r="G69" s="109">
        <f t="shared" si="13"/>
        <v>0</v>
      </c>
      <c r="H69" s="246">
        <v>0</v>
      </c>
      <c r="I69" s="246">
        <v>0</v>
      </c>
      <c r="J69" s="246">
        <v>0</v>
      </c>
      <c r="K69" s="247">
        <v>0</v>
      </c>
      <c r="L69" s="187">
        <v>0</v>
      </c>
    </row>
    <row r="70" spans="1:12" s="36" customFormat="1" ht="15">
      <c r="A70" s="136" t="s">
        <v>20</v>
      </c>
      <c r="B70" s="120">
        <v>0</v>
      </c>
      <c r="C70" s="248">
        <v>0</v>
      </c>
      <c r="D70" s="248">
        <f>$C$87*I70</f>
        <v>0</v>
      </c>
      <c r="E70" s="248">
        <f>$G$87*J70</f>
        <v>0</v>
      </c>
      <c r="F70" s="248">
        <f t="shared" si="13"/>
        <v>0</v>
      </c>
      <c r="G70" s="109">
        <f t="shared" si="13"/>
        <v>0</v>
      </c>
      <c r="H70" s="246">
        <v>0</v>
      </c>
      <c r="I70" s="246">
        <v>0</v>
      </c>
      <c r="J70" s="246">
        <v>0</v>
      </c>
      <c r="K70" s="247">
        <v>0</v>
      </c>
      <c r="L70" s="187">
        <v>0</v>
      </c>
    </row>
    <row r="71" spans="1:12" s="36" customFormat="1" ht="15">
      <c r="A71" s="136"/>
      <c r="B71" s="120">
        <v>0</v>
      </c>
      <c r="C71" s="249">
        <v>0</v>
      </c>
      <c r="D71" s="249">
        <f>$C$87*I71</f>
        <v>0</v>
      </c>
      <c r="E71" s="249">
        <f>$G$87*J71</f>
        <v>0</v>
      </c>
      <c r="F71" s="249">
        <f t="shared" si="13"/>
        <v>0</v>
      </c>
      <c r="G71" s="111">
        <f t="shared" si="13"/>
        <v>0</v>
      </c>
      <c r="H71" s="246">
        <v>0</v>
      </c>
      <c r="I71" s="246">
        <v>0</v>
      </c>
      <c r="J71" s="246">
        <v>0</v>
      </c>
      <c r="K71" s="247">
        <v>0</v>
      </c>
      <c r="L71" s="187">
        <v>0</v>
      </c>
    </row>
    <row r="72" spans="1:12" s="36" customFormat="1">
      <c r="A72" s="148"/>
      <c r="B72" s="42"/>
      <c r="C72" s="109">
        <f>SUM(C68:C71)</f>
        <v>0</v>
      </c>
      <c r="D72" s="109">
        <f>SUM(D68:D71)</f>
        <v>0</v>
      </c>
      <c r="E72" s="109">
        <f>SUM(E68:E71)</f>
        <v>0</v>
      </c>
      <c r="F72" s="109">
        <f>SUM(F68:F71)</f>
        <v>0</v>
      </c>
      <c r="G72" s="109">
        <f>SUM(G68:G71)</f>
        <v>0</v>
      </c>
      <c r="H72" s="80"/>
      <c r="I72" s="80"/>
      <c r="L72" s="119"/>
    </row>
    <row r="73" spans="1:12" s="36" customFormat="1">
      <c r="A73" s="148"/>
      <c r="B73" s="42"/>
      <c r="C73" s="109"/>
      <c r="D73" s="109"/>
      <c r="E73" s="109"/>
      <c r="F73" s="80"/>
      <c r="G73" s="80"/>
      <c r="H73" s="80"/>
      <c r="I73" s="80"/>
      <c r="L73" s="119"/>
    </row>
    <row r="74" spans="1:12" s="36" customFormat="1" ht="15">
      <c r="A74" s="6"/>
      <c r="B74" s="354" t="s">
        <v>95</v>
      </c>
      <c r="C74" s="354"/>
      <c r="D74" s="354"/>
      <c r="E74" s="37"/>
      <c r="F74" s="354" t="s">
        <v>96</v>
      </c>
      <c r="G74" s="354"/>
      <c r="H74" s="354"/>
      <c r="I74" s="185"/>
      <c r="L74" s="119"/>
    </row>
    <row r="75" spans="1:12" s="36" customFormat="1" ht="15" customHeight="1">
      <c r="A75" s="229"/>
      <c r="B75" s="278" t="s">
        <v>34</v>
      </c>
      <c r="C75" s="279" t="s">
        <v>35</v>
      </c>
      <c r="D75" s="35" t="s">
        <v>63</v>
      </c>
      <c r="E75" s="37"/>
      <c r="F75" s="35" t="s">
        <v>34</v>
      </c>
      <c r="G75" s="41" t="s">
        <v>35</v>
      </c>
      <c r="H75" s="35" t="s">
        <v>63</v>
      </c>
      <c r="I75" s="35"/>
      <c r="L75" s="119"/>
    </row>
    <row r="76" spans="1:12" s="36" customFormat="1" ht="15">
      <c r="A76" s="30" t="s">
        <v>66</v>
      </c>
      <c r="B76" s="280">
        <f>0.011</f>
        <v>1.0999999999999999E-2</v>
      </c>
      <c r="C76" s="242">
        <f>AVERAGE(3.6826,3.5997, 2.6808)</f>
        <v>3.3210333333333328</v>
      </c>
      <c r="D76" s="33">
        <f>B76*C76</f>
        <v>3.6531366666666662E-2</v>
      </c>
      <c r="F76" s="73">
        <v>0</v>
      </c>
      <c r="G76" s="118">
        <v>0</v>
      </c>
      <c r="H76" s="33">
        <f>F76*G76</f>
        <v>0</v>
      </c>
      <c r="I76" s="33"/>
      <c r="L76" s="119"/>
    </row>
    <row r="77" spans="1:12" s="36" customFormat="1" ht="15">
      <c r="A77" s="231" t="s">
        <v>69</v>
      </c>
      <c r="B77" s="272">
        <f>($B$68*$H$68+$B$69*$H$69+$B$70*$H$70+$B$71*$H$71)/2000</f>
        <v>0</v>
      </c>
      <c r="C77" s="242">
        <v>0</v>
      </c>
      <c r="D77" s="52">
        <f>B77*C77</f>
        <v>0</v>
      </c>
      <c r="F77" s="24">
        <f>($B$68*$L$68+$B$69*$L$69+$B$70*$L$70+$B$71*$L$71)/2000</f>
        <v>0</v>
      </c>
      <c r="G77" s="118">
        <v>0</v>
      </c>
      <c r="H77" s="52">
        <f>F77*G77</f>
        <v>0</v>
      </c>
      <c r="I77" s="52"/>
      <c r="L77" s="228"/>
    </row>
    <row r="78" spans="1:12" s="36" customFormat="1" ht="15">
      <c r="A78" s="30" t="s">
        <v>104</v>
      </c>
      <c r="B78" s="281">
        <v>1.8380000000000001</v>
      </c>
      <c r="C78" s="242">
        <v>8.0999999999999996E-3</v>
      </c>
      <c r="D78" s="52">
        <f>B78*C78</f>
        <v>1.48878E-2</v>
      </c>
      <c r="F78" s="24">
        <f>+B78</f>
        <v>1.8380000000000001</v>
      </c>
      <c r="G78" s="118">
        <v>0</v>
      </c>
      <c r="H78" s="52">
        <f>F78*G78</f>
        <v>0</v>
      </c>
      <c r="I78" s="52"/>
      <c r="L78" s="119"/>
    </row>
    <row r="79" spans="1:12" s="36" customFormat="1" ht="15">
      <c r="A79" s="30" t="s">
        <v>105</v>
      </c>
      <c r="B79" s="272">
        <f>750/1000</f>
        <v>0.75</v>
      </c>
      <c r="C79" s="242">
        <v>1.61E-2</v>
      </c>
      <c r="D79" s="52">
        <f t="shared" ref="D79:D80" si="14">B79*C79</f>
        <v>1.2074999999999999E-2</v>
      </c>
      <c r="F79" s="24">
        <f>+B79</f>
        <v>0.75</v>
      </c>
      <c r="G79" s="118">
        <v>0</v>
      </c>
      <c r="H79" s="52"/>
      <c r="I79" s="52"/>
      <c r="L79" s="119"/>
    </row>
    <row r="80" spans="1:12" s="36" customFormat="1" ht="16.5">
      <c r="A80" s="30" t="s">
        <v>103</v>
      </c>
      <c r="B80" s="272">
        <f>157.43/1000</f>
        <v>0.15743000000000001</v>
      </c>
      <c r="C80" s="242">
        <v>1.5699999999999999E-2</v>
      </c>
      <c r="D80" s="52">
        <f t="shared" si="14"/>
        <v>2.4716510000000001E-3</v>
      </c>
      <c r="F80" s="24">
        <f>+B80</f>
        <v>0.15743000000000001</v>
      </c>
      <c r="G80" s="118">
        <v>0</v>
      </c>
      <c r="H80" s="40">
        <v>0</v>
      </c>
      <c r="I80" s="40"/>
      <c r="L80" s="119"/>
    </row>
    <row r="82" spans="1:12" s="36" customFormat="1">
      <c r="A82" s="76" t="s">
        <v>67</v>
      </c>
      <c r="B82" s="74"/>
      <c r="C82" s="39"/>
      <c r="D82" s="38">
        <f>SUM(D76:D80)</f>
        <v>6.5965817666666662E-2</v>
      </c>
      <c r="F82" s="74"/>
      <c r="G82" s="39"/>
      <c r="H82" s="38">
        <f>SUM(H76:H80)</f>
        <v>0</v>
      </c>
      <c r="I82" s="38"/>
      <c r="L82" s="119"/>
    </row>
    <row r="83" spans="1:12" s="36" customFormat="1">
      <c r="A83" s="30"/>
      <c r="E83" s="37"/>
      <c r="F83" s="43"/>
      <c r="G83" s="42"/>
      <c r="H83" s="42"/>
      <c r="I83" s="42"/>
      <c r="L83" s="119"/>
    </row>
    <row r="84" spans="1:12" ht="15">
      <c r="A84" s="6"/>
      <c r="B84" s="354" t="s">
        <v>97</v>
      </c>
      <c r="C84" s="354"/>
      <c r="D84" s="354"/>
      <c r="E84" s="5"/>
      <c r="F84" s="354" t="s">
        <v>92</v>
      </c>
      <c r="G84" s="354"/>
      <c r="H84" s="354"/>
      <c r="I84" s="185"/>
      <c r="J84" s="354" t="s">
        <v>98</v>
      </c>
      <c r="K84" s="354"/>
      <c r="L84" s="355"/>
    </row>
    <row r="85" spans="1:12" ht="28.9" customHeight="1">
      <c r="A85" s="6"/>
      <c r="B85" s="35" t="s">
        <v>34</v>
      </c>
      <c r="C85" s="196" t="s">
        <v>101</v>
      </c>
      <c r="D85" s="35" t="s">
        <v>63</v>
      </c>
      <c r="F85" s="35" t="s">
        <v>34</v>
      </c>
      <c r="G85" s="41" t="s">
        <v>35</v>
      </c>
      <c r="H85" s="35" t="s">
        <v>63</v>
      </c>
      <c r="I85" s="35"/>
      <c r="J85" s="35" t="s">
        <v>34</v>
      </c>
      <c r="K85" s="41" t="s">
        <v>35</v>
      </c>
      <c r="L85" s="34" t="s">
        <v>63</v>
      </c>
    </row>
    <row r="86" spans="1:12" ht="15">
      <c r="A86" s="232" t="s">
        <v>68</v>
      </c>
      <c r="B86" s="73">
        <f>($B$64*$I$64+$B$65*$I$65)/2000</f>
        <v>0</v>
      </c>
      <c r="C86" s="118">
        <v>0</v>
      </c>
      <c r="D86" s="33">
        <f>B86*C86</f>
        <v>0</v>
      </c>
      <c r="F86" s="73">
        <f>($B$64*$J$64+$B$65*$J$65)/2000</f>
        <v>0</v>
      </c>
      <c r="G86" s="118">
        <v>0</v>
      </c>
      <c r="H86" s="89">
        <f>F86*G86</f>
        <v>0</v>
      </c>
      <c r="I86" s="89"/>
      <c r="J86" s="73">
        <f>($B$64*$K$64+$B$65*$K$65)/2000</f>
        <v>0</v>
      </c>
      <c r="K86" s="118">
        <v>0</v>
      </c>
      <c r="L86" s="50">
        <f>J86*K86</f>
        <v>0</v>
      </c>
    </row>
    <row r="87" spans="1:12" ht="15">
      <c r="A87" s="6" t="s">
        <v>69</v>
      </c>
      <c r="B87" s="24">
        <f>($B$68*$I$68+$B$69*$I$69+$B$70*$I$70+$B$71*$I$71)/2000</f>
        <v>0</v>
      </c>
      <c r="C87" s="118">
        <v>0</v>
      </c>
      <c r="D87" s="13">
        <f t="shared" ref="D87:D92" si="15">B87*C87</f>
        <v>0</v>
      </c>
      <c r="F87" s="24">
        <f>($B$68*$J$68+$B$69*$J$69+$B$70*$J$70+$B$71*$J$71)/2000</f>
        <v>0</v>
      </c>
      <c r="G87" s="118">
        <v>0</v>
      </c>
      <c r="H87" s="100">
        <f t="shared" ref="H87:H92" si="16">F87*G87</f>
        <v>0</v>
      </c>
      <c r="I87" s="13"/>
      <c r="J87" s="24">
        <f>($B$68*$K$68+$B$69*$K$69+$B$70*$K$70+$B$71*$K$71)/2000</f>
        <v>0</v>
      </c>
      <c r="K87" s="118">
        <v>0</v>
      </c>
      <c r="L87" s="31">
        <f t="shared" ref="L87:L94" si="17">J87*K87</f>
        <v>0</v>
      </c>
    </row>
    <row r="88" spans="1:12" ht="16.5">
      <c r="A88" s="30" t="s">
        <v>104</v>
      </c>
      <c r="B88" s="47">
        <v>2.54</v>
      </c>
      <c r="C88" s="118">
        <v>0</v>
      </c>
      <c r="D88" s="13">
        <f t="shared" si="15"/>
        <v>0</v>
      </c>
      <c r="F88" s="24">
        <f>+B88</f>
        <v>2.54</v>
      </c>
      <c r="G88" s="118">
        <v>0</v>
      </c>
      <c r="H88" s="100">
        <f t="shared" si="16"/>
        <v>0</v>
      </c>
      <c r="I88" s="88"/>
      <c r="J88" s="272">
        <v>1.964</v>
      </c>
      <c r="K88" s="118">
        <v>2.0848163962425278E-2</v>
      </c>
      <c r="L88" s="190">
        <f t="shared" si="17"/>
        <v>4.0945794022203247E-2</v>
      </c>
    </row>
    <row r="89" spans="1:12" ht="16.5">
      <c r="A89" s="30" t="s">
        <v>105</v>
      </c>
      <c r="B89" s="24">
        <f>750/1000</f>
        <v>0.75</v>
      </c>
      <c r="C89" s="118">
        <v>0</v>
      </c>
      <c r="D89" s="13">
        <f t="shared" si="15"/>
        <v>0</v>
      </c>
      <c r="F89" s="24">
        <f>+B89</f>
        <v>0.75</v>
      </c>
      <c r="G89" s="118">
        <v>0</v>
      </c>
      <c r="H89" s="100">
        <f t="shared" si="16"/>
        <v>0</v>
      </c>
      <c r="I89" s="88"/>
      <c r="J89" s="272">
        <v>0.59099999999999997</v>
      </c>
      <c r="K89" s="118">
        <v>3.101451750640478E-3</v>
      </c>
      <c r="L89" s="190">
        <f t="shared" si="17"/>
        <v>1.8329579846285225E-3</v>
      </c>
    </row>
    <row r="90" spans="1:12" ht="16.5">
      <c r="A90" s="30" t="s">
        <v>103</v>
      </c>
      <c r="B90" s="24">
        <f>157.43/1000</f>
        <v>0.15743000000000001</v>
      </c>
      <c r="C90" s="118">
        <v>0</v>
      </c>
      <c r="D90" s="13">
        <f t="shared" si="15"/>
        <v>0</v>
      </c>
      <c r="F90" s="24">
        <f>+B90</f>
        <v>0.15743000000000001</v>
      </c>
      <c r="G90" s="118">
        <v>0</v>
      </c>
      <c r="H90" s="100">
        <f t="shared" si="16"/>
        <v>0</v>
      </c>
      <c r="I90" s="88"/>
      <c r="J90" s="272">
        <v>0.105</v>
      </c>
      <c r="K90" s="118">
        <v>0.1</v>
      </c>
      <c r="L90" s="190">
        <f t="shared" si="17"/>
        <v>1.0500000000000001E-2</v>
      </c>
    </row>
    <row r="91" spans="1:12" ht="16.5">
      <c r="A91" s="30" t="s">
        <v>106</v>
      </c>
      <c r="B91" s="24"/>
      <c r="C91" s="118">
        <v>0</v>
      </c>
      <c r="D91" s="13">
        <f t="shared" si="15"/>
        <v>0</v>
      </c>
      <c r="F91" s="24">
        <f>+B91</f>
        <v>0</v>
      </c>
      <c r="G91" s="118">
        <v>0</v>
      </c>
      <c r="H91" s="100">
        <f t="shared" si="16"/>
        <v>0</v>
      </c>
      <c r="I91" s="88"/>
      <c r="J91" s="272">
        <v>1.0269999999999999</v>
      </c>
      <c r="K91" s="118">
        <v>2.1752348420153713E-3</v>
      </c>
      <c r="L91" s="190">
        <f t="shared" si="17"/>
        <v>2.2339661827497862E-3</v>
      </c>
    </row>
    <row r="92" spans="1:12" ht="16.5">
      <c r="A92" s="30" t="s">
        <v>107</v>
      </c>
      <c r="B92" s="24"/>
      <c r="C92" s="118">
        <v>0</v>
      </c>
      <c r="D92" s="13">
        <f t="shared" si="15"/>
        <v>0</v>
      </c>
      <c r="F92" s="24">
        <f>+B92</f>
        <v>0</v>
      </c>
      <c r="G92" s="118">
        <v>0</v>
      </c>
      <c r="H92" s="100">
        <f t="shared" si="16"/>
        <v>0</v>
      </c>
      <c r="I92" s="88"/>
      <c r="J92" s="272">
        <v>1.389</v>
      </c>
      <c r="K92" s="118">
        <v>2.3312553373185311E-3</v>
      </c>
      <c r="L92" s="190">
        <f t="shared" si="17"/>
        <v>3.2381136635354396E-3</v>
      </c>
    </row>
    <row r="93" spans="1:12" ht="16.5">
      <c r="A93" s="30" t="s">
        <v>108</v>
      </c>
      <c r="B93" s="239"/>
      <c r="C93" s="118"/>
      <c r="D93" s="13"/>
      <c r="F93" s="24"/>
      <c r="G93" s="118"/>
      <c r="H93" s="100"/>
      <c r="I93" s="88"/>
      <c r="J93" s="273">
        <v>18.84</v>
      </c>
      <c r="K93" s="118">
        <v>5.9999999999999995E-4</v>
      </c>
      <c r="L93" s="190">
        <f t="shared" si="17"/>
        <v>1.1303999999999998E-2</v>
      </c>
    </row>
    <row r="94" spans="1:12" ht="16.5">
      <c r="A94" s="30" t="s">
        <v>109</v>
      </c>
      <c r="B94" s="238"/>
      <c r="C94" s="118"/>
      <c r="D94" s="13"/>
      <c r="F94" s="24"/>
      <c r="G94" s="118"/>
      <c r="H94" s="100"/>
      <c r="I94" s="88"/>
      <c r="J94" s="274">
        <v>1.33</v>
      </c>
      <c r="K94" s="118">
        <v>5.9999999999999995E-4</v>
      </c>
      <c r="L94" s="190">
        <f t="shared" si="17"/>
        <v>7.9799999999999999E-4</v>
      </c>
    </row>
    <row r="95" spans="1:12" ht="16.5">
      <c r="A95" s="30"/>
      <c r="B95" s="191"/>
      <c r="C95" s="191"/>
      <c r="D95" s="40">
        <v>0</v>
      </c>
      <c r="F95" s="191"/>
      <c r="G95" s="191"/>
      <c r="H95" s="40">
        <v>0</v>
      </c>
      <c r="I95" s="88"/>
      <c r="J95" s="191"/>
      <c r="K95" s="191"/>
      <c r="L95" s="240">
        <v>0</v>
      </c>
    </row>
    <row r="96" spans="1:12">
      <c r="A96" s="83" t="s">
        <v>67</v>
      </c>
      <c r="B96" s="53"/>
      <c r="C96" s="75"/>
      <c r="D96" s="189">
        <f>SUM(D86:D95)</f>
        <v>0</v>
      </c>
      <c r="E96" s="53"/>
      <c r="F96" s="53"/>
      <c r="G96" s="75"/>
      <c r="H96" s="189">
        <f>SUM(H86:H95)</f>
        <v>0</v>
      </c>
      <c r="I96" s="123"/>
      <c r="J96" s="53"/>
      <c r="K96" s="75"/>
      <c r="L96" s="241">
        <f>SUM(L86:L95)</f>
        <v>7.0852831853116985E-2</v>
      </c>
    </row>
    <row r="98" spans="1:9">
      <c r="A98" s="356" t="s">
        <v>33</v>
      </c>
      <c r="B98" s="357"/>
      <c r="C98" s="357"/>
      <c r="D98" s="357"/>
      <c r="E98" s="357"/>
      <c r="F98" s="357"/>
      <c r="G98" s="357"/>
      <c r="H98" s="358"/>
    </row>
    <row r="99" spans="1:9" ht="14.65" customHeight="1">
      <c r="A99" s="71"/>
      <c r="B99" s="72"/>
      <c r="C99" s="72"/>
      <c r="D99" s="72"/>
      <c r="E99" s="72"/>
      <c r="F99" s="368" t="s">
        <v>53</v>
      </c>
      <c r="G99" s="368"/>
      <c r="H99" s="369"/>
    </row>
    <row r="100" spans="1:9" ht="15">
      <c r="A100" s="370" t="s">
        <v>55</v>
      </c>
      <c r="B100" s="371"/>
      <c r="C100" s="371"/>
      <c r="D100" s="371"/>
      <c r="E100" s="371"/>
      <c r="F100" s="368"/>
      <c r="G100" s="368"/>
      <c r="H100" s="369"/>
    </row>
    <row r="101" spans="1:9" ht="16.5">
      <c r="A101" s="16"/>
      <c r="B101" s="185" t="s">
        <v>56</v>
      </c>
      <c r="C101" s="185" t="s">
        <v>85</v>
      </c>
      <c r="D101" s="185" t="s">
        <v>32</v>
      </c>
      <c r="E101" s="185" t="s">
        <v>54</v>
      </c>
      <c r="F101" s="103">
        <v>1</v>
      </c>
      <c r="G101" s="128" t="s">
        <v>58</v>
      </c>
      <c r="H101" s="85">
        <f>(F101*C202*C204)+((F101*C202*C204*D113))</f>
        <v>345498296</v>
      </c>
    </row>
    <row r="102" spans="1:9" ht="15">
      <c r="A102" s="30" t="s">
        <v>95</v>
      </c>
      <c r="B102" s="28">
        <f>B54</f>
        <v>0</v>
      </c>
      <c r="C102" s="286">
        <v>550</v>
      </c>
      <c r="D102" s="28">
        <f>B102/C102</f>
        <v>0</v>
      </c>
      <c r="E102" s="21">
        <f t="shared" ref="E102:E108" si="18">D102/D$108</f>
        <v>0</v>
      </c>
      <c r="F102" s="86">
        <f>(F101*C202*C204*C116)+((F101*C202*C204*D113)*C118)</f>
        <v>18643340.973099794</v>
      </c>
      <c r="G102" s="5" t="s">
        <v>29</v>
      </c>
      <c r="H102" s="87">
        <f>F102/$H$101</f>
        <v>5.3960732046851527E-2</v>
      </c>
      <c r="I102" s="287" t="s">
        <v>120</v>
      </c>
    </row>
    <row r="103" spans="1:9" ht="15">
      <c r="A103" s="30" t="s">
        <v>96</v>
      </c>
      <c r="B103" s="43">
        <f t="shared" ref="B103:B107" si="19">B55</f>
        <v>0</v>
      </c>
      <c r="C103" s="108">
        <v>0</v>
      </c>
      <c r="D103" s="28">
        <v>0</v>
      </c>
      <c r="E103" s="21">
        <f t="shared" si="18"/>
        <v>0</v>
      </c>
      <c r="F103" s="195">
        <f>F102*C206</f>
        <v>5593002.2919299379</v>
      </c>
      <c r="G103" s="5" t="s">
        <v>28</v>
      </c>
      <c r="H103" s="87">
        <f>F103/$H$101</f>
        <v>1.6188219614055456E-2</v>
      </c>
    </row>
    <row r="104" spans="1:9" ht="15">
      <c r="A104" s="30" t="s">
        <v>97</v>
      </c>
      <c r="B104" s="43">
        <f t="shared" si="19"/>
        <v>0</v>
      </c>
      <c r="C104" s="108">
        <v>0</v>
      </c>
      <c r="D104" s="28">
        <v>0</v>
      </c>
      <c r="E104" s="21">
        <f t="shared" si="18"/>
        <v>0</v>
      </c>
      <c r="F104" s="86"/>
      <c r="G104" s="5"/>
      <c r="H104" s="87"/>
    </row>
    <row r="105" spans="1:9" ht="15">
      <c r="A105" s="30" t="s">
        <v>92</v>
      </c>
      <c r="B105" s="43">
        <f t="shared" si="19"/>
        <v>0</v>
      </c>
      <c r="C105" s="108">
        <v>0</v>
      </c>
      <c r="D105" s="28">
        <v>0</v>
      </c>
      <c r="E105" s="21">
        <f t="shared" si="18"/>
        <v>0</v>
      </c>
      <c r="F105" s="86"/>
      <c r="G105" s="5"/>
      <c r="H105" s="87"/>
    </row>
    <row r="106" spans="1:9" ht="15">
      <c r="A106" s="30" t="s">
        <v>90</v>
      </c>
      <c r="B106" s="43">
        <f t="shared" si="19"/>
        <v>4900</v>
      </c>
      <c r="C106" s="286">
        <v>110</v>
      </c>
      <c r="D106" s="28">
        <f t="shared" ref="D106" si="20">B106/C106</f>
        <v>44.545454545454547</v>
      </c>
      <c r="E106" s="21">
        <f>D106/D$108</f>
        <v>1</v>
      </c>
      <c r="F106" s="86"/>
      <c r="G106" s="5"/>
      <c r="H106" s="87"/>
      <c r="I106" s="287" t="s">
        <v>119</v>
      </c>
    </row>
    <row r="107" spans="1:9" ht="15">
      <c r="A107" s="83" t="s">
        <v>20</v>
      </c>
      <c r="B107" s="112">
        <f t="shared" si="19"/>
        <v>0</v>
      </c>
      <c r="C107" s="108">
        <v>0</v>
      </c>
      <c r="D107" s="106">
        <v>0</v>
      </c>
      <c r="E107" s="107">
        <f t="shared" si="18"/>
        <v>0</v>
      </c>
      <c r="H107" s="12"/>
    </row>
    <row r="108" spans="1:9">
      <c r="A108" s="96"/>
      <c r="B108" s="69">
        <f>SUM(B102:B107)</f>
        <v>4900</v>
      </c>
      <c r="C108" s="70">
        <f>B108/D108</f>
        <v>110</v>
      </c>
      <c r="D108" s="70">
        <f>SUM(D102:D107)</f>
        <v>44.545454545454547</v>
      </c>
      <c r="E108" s="314">
        <f t="shared" si="18"/>
        <v>1</v>
      </c>
      <c r="H108" s="27"/>
    </row>
    <row r="109" spans="1:9">
      <c r="A109" s="315" t="s">
        <v>115</v>
      </c>
      <c r="B109" s="69"/>
      <c r="C109" s="70"/>
      <c r="D109" s="70"/>
      <c r="E109" s="314"/>
      <c r="F109" s="4"/>
      <c r="G109" s="4"/>
      <c r="H109" s="316"/>
    </row>
    <row r="110" spans="1:9" ht="15">
      <c r="A110" s="6"/>
      <c r="B110" s="289"/>
      <c r="C110" s="289"/>
      <c r="D110" s="289"/>
      <c r="E110" s="289"/>
      <c r="F110" s="289"/>
      <c r="G110" s="289"/>
      <c r="H110" s="290"/>
    </row>
    <row r="111" spans="1:9">
      <c r="A111" s="6"/>
      <c r="B111" s="352"/>
      <c r="C111" s="352"/>
      <c r="D111" s="352"/>
      <c r="F111" s="352"/>
      <c r="G111" s="352"/>
      <c r="H111" s="353"/>
    </row>
    <row r="112" spans="1:9" ht="15">
      <c r="A112" s="6"/>
      <c r="B112" t="s">
        <v>125</v>
      </c>
      <c r="C112" t="s">
        <v>126</v>
      </c>
      <c r="D112" t="s">
        <v>127</v>
      </c>
      <c r="E112" t="s">
        <v>128</v>
      </c>
      <c r="F112" s="317" t="s">
        <v>129</v>
      </c>
      <c r="G112" s="317" t="s">
        <v>130</v>
      </c>
      <c r="H112" s="291" t="s">
        <v>131</v>
      </c>
    </row>
    <row r="113" spans="1:30" ht="15">
      <c r="A113" s="292" t="s">
        <v>31</v>
      </c>
      <c r="B113" s="293">
        <v>119702.77</v>
      </c>
      <c r="C113" s="293">
        <v>140371.43</v>
      </c>
      <c r="D113" s="293">
        <v>166103.95000000001</v>
      </c>
      <c r="E113" s="293">
        <v>166766.85999999999</v>
      </c>
      <c r="F113" s="294">
        <v>105842.43</v>
      </c>
      <c r="G113" s="294">
        <v>147383.65</v>
      </c>
      <c r="H113" s="295">
        <v>163283.07</v>
      </c>
      <c r="U113" s="178"/>
      <c r="V113" s="178"/>
      <c r="W113" s="178"/>
      <c r="X113" s="178"/>
      <c r="Z113" s="178"/>
      <c r="AA113" s="166"/>
      <c r="AB113" s="180"/>
      <c r="AC113" s="152"/>
      <c r="AD113" s="93"/>
    </row>
    <row r="114" spans="1:30" ht="15">
      <c r="A114" s="292" t="s">
        <v>30</v>
      </c>
      <c r="B114" s="293">
        <v>15222.93</v>
      </c>
      <c r="C114" s="293">
        <v>23913.55</v>
      </c>
      <c r="D114" s="293">
        <v>19670.79</v>
      </c>
      <c r="E114" s="293">
        <v>41336.57</v>
      </c>
      <c r="F114" s="294">
        <v>23672.31</v>
      </c>
      <c r="G114" s="294">
        <v>9419.99</v>
      </c>
      <c r="H114" s="295">
        <v>18308.82</v>
      </c>
      <c r="U114" s="178"/>
      <c r="V114" s="178"/>
      <c r="W114" s="178"/>
      <c r="X114" s="178"/>
      <c r="Z114" s="178"/>
      <c r="AA114" s="166"/>
      <c r="AB114" s="180"/>
      <c r="AC114" s="152"/>
      <c r="AD114" s="93"/>
    </row>
    <row r="115" spans="1:30" ht="15">
      <c r="A115" s="292" t="s">
        <v>28</v>
      </c>
      <c r="B115" s="293">
        <v>11228.99</v>
      </c>
      <c r="C115" s="293">
        <v>10794.51</v>
      </c>
      <c r="D115" s="293">
        <v>10146.4</v>
      </c>
      <c r="E115" s="293">
        <v>8112.73</v>
      </c>
      <c r="F115" s="294">
        <v>-1917.2</v>
      </c>
      <c r="G115" s="294">
        <v>49379.56</v>
      </c>
      <c r="H115" s="295">
        <v>50660.85</v>
      </c>
      <c r="U115" s="178"/>
      <c r="V115" s="178"/>
      <c r="W115" s="178"/>
      <c r="X115" s="178"/>
      <c r="Z115" s="178"/>
      <c r="AA115" s="166"/>
      <c r="AB115" s="180"/>
      <c r="AC115" s="152"/>
      <c r="AD115" s="93"/>
    </row>
    <row r="116" spans="1:30" ht="16.5">
      <c r="A116" s="296" t="s">
        <v>5</v>
      </c>
      <c r="B116" s="293">
        <v>3928.57</v>
      </c>
      <c r="C116" s="293">
        <v>-3928.57</v>
      </c>
      <c r="D116" s="293">
        <v>0</v>
      </c>
      <c r="E116" s="293">
        <v>-1311.46</v>
      </c>
      <c r="F116" s="294">
        <v>841.1</v>
      </c>
      <c r="G116" s="294">
        <v>0</v>
      </c>
      <c r="H116" s="295">
        <v>0</v>
      </c>
      <c r="I116" s="62"/>
      <c r="U116" s="179"/>
      <c r="V116" s="179"/>
      <c r="W116" s="179"/>
      <c r="X116" s="179"/>
      <c r="Z116" s="179"/>
      <c r="AA116" s="166"/>
      <c r="AB116" s="180"/>
      <c r="AC116" s="152"/>
      <c r="AD116" s="93"/>
    </row>
    <row r="117" spans="1:30" ht="16.5">
      <c r="A117" s="296" t="s">
        <v>132</v>
      </c>
      <c r="B117">
        <v>37953</v>
      </c>
      <c r="C117">
        <v>21274</v>
      </c>
      <c r="D117">
        <v>55365</v>
      </c>
      <c r="E117">
        <v>3960</v>
      </c>
      <c r="F117">
        <v>26641</v>
      </c>
      <c r="G117">
        <v>11698</v>
      </c>
      <c r="H117" s="318">
        <v>35168</v>
      </c>
      <c r="I117" s="62"/>
      <c r="U117" s="179"/>
      <c r="V117" s="179"/>
      <c r="W117" s="179"/>
      <c r="X117" s="179"/>
      <c r="Z117" s="179"/>
      <c r="AA117" s="166"/>
      <c r="AB117" s="180"/>
      <c r="AC117" s="152"/>
      <c r="AD117" s="93"/>
    </row>
    <row r="118" spans="1:30" ht="15">
      <c r="A118" s="296" t="s">
        <v>133</v>
      </c>
      <c r="B118" s="297">
        <f>B115/(B113+B114+B116-B117)</f>
        <v>0.11128690451567158</v>
      </c>
      <c r="C118" s="297">
        <f t="shared" ref="C118:H118" si="21">C115/(C113+C114+C116-C117)</f>
        <v>7.7612330703789228E-2</v>
      </c>
      <c r="D118" s="297">
        <f t="shared" si="21"/>
        <v>7.7804004516840525E-2</v>
      </c>
      <c r="E118" s="297">
        <f t="shared" si="21"/>
        <v>3.9997294312134321E-2</v>
      </c>
      <c r="F118" s="297">
        <f t="shared" si="21"/>
        <v>-1.848530065707087E-2</v>
      </c>
      <c r="G118" s="297">
        <f t="shared" si="21"/>
        <v>0.34030076294760153</v>
      </c>
      <c r="H118" s="300">
        <f t="shared" si="21"/>
        <v>0.34598759806203749</v>
      </c>
      <c r="U118" s="168"/>
      <c r="V118" s="168"/>
      <c r="W118" s="168"/>
      <c r="X118" s="168"/>
      <c r="Z118" s="168"/>
      <c r="AA118" s="151"/>
      <c r="AB118" s="177"/>
      <c r="AC118" s="181"/>
      <c r="AD118" s="5"/>
    </row>
    <row r="119" spans="1:30" ht="15">
      <c r="A119" s="296"/>
      <c r="B119" s="297"/>
      <c r="C119" s="297"/>
      <c r="D119" s="297"/>
      <c r="E119" s="297"/>
      <c r="F119" s="297"/>
      <c r="G119" s="297"/>
      <c r="H119" s="300"/>
    </row>
    <row r="120" spans="1:30">
      <c r="A120" s="6"/>
      <c r="B120" s="43"/>
      <c r="C120" s="301"/>
      <c r="D120" s="15" t="s">
        <v>134</v>
      </c>
      <c r="E120" s="63"/>
      <c r="F120" s="43" t="s">
        <v>135</v>
      </c>
      <c r="G120" s="301"/>
      <c r="H120" s="302"/>
    </row>
    <row r="121" spans="1:30" ht="15">
      <c r="A121" s="292" t="s">
        <v>136</v>
      </c>
      <c r="B121" s="303">
        <v>28</v>
      </c>
      <c r="C121" s="29"/>
      <c r="D121" s="26">
        <f>(AVERAGE((C113-C117),(G113-G117),(H113-H117)))/B121</f>
        <v>4558.3113095238095</v>
      </c>
      <c r="E121" s="63"/>
      <c r="F121" s="304">
        <f>D121*B121</f>
        <v>127632.71666666667</v>
      </c>
      <c r="G121" s="29"/>
      <c r="H121" s="12"/>
      <c r="S121" s="57"/>
      <c r="T121" s="372"/>
      <c r="U121" s="372"/>
      <c r="V121" s="372"/>
      <c r="W121" s="372"/>
      <c r="X121" s="372"/>
      <c r="Y121" s="372"/>
      <c r="Z121" s="372"/>
      <c r="AA121" s="372"/>
      <c r="AB121" s="372"/>
      <c r="AC121" s="372"/>
      <c r="AD121" s="372"/>
    </row>
    <row r="122" spans="1:30" ht="15">
      <c r="A122" s="292" t="s">
        <v>137</v>
      </c>
      <c r="B122" s="303">
        <v>2</v>
      </c>
      <c r="C122" s="78"/>
      <c r="D122" s="26">
        <f>AVERAGE(G114)/B122</f>
        <v>4709.9949999999999</v>
      </c>
      <c r="E122" s="63"/>
      <c r="F122" s="304">
        <f>D122*B122</f>
        <v>9419.99</v>
      </c>
      <c r="G122" s="305"/>
      <c r="H122" s="12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</row>
    <row r="123" spans="1:30">
      <c r="A123" s="76"/>
      <c r="B123" s="117"/>
      <c r="C123" s="284"/>
      <c r="D123" s="306"/>
      <c r="E123" s="63"/>
      <c r="F123" s="307"/>
      <c r="G123" s="319"/>
      <c r="H123" s="308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</row>
    <row r="124" spans="1:30">
      <c r="A124" s="309" t="s">
        <v>138</v>
      </c>
      <c r="B124" s="117">
        <v>15</v>
      </c>
      <c r="C124" s="284"/>
      <c r="D124" s="26">
        <f>D121</f>
        <v>4558.3113095238095</v>
      </c>
      <c r="E124" s="63"/>
      <c r="F124" s="304">
        <f>D124*B124</f>
        <v>68374.669642857145</v>
      </c>
      <c r="G124" s="91"/>
      <c r="H124" s="308"/>
      <c r="I124" s="63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</row>
    <row r="125" spans="1:30">
      <c r="A125" s="309" t="s">
        <v>139</v>
      </c>
      <c r="B125" s="117">
        <v>3</v>
      </c>
      <c r="C125" s="284"/>
      <c r="D125" s="26">
        <f>D122</f>
        <v>4709.9949999999999</v>
      </c>
      <c r="E125" s="63"/>
      <c r="F125" s="304">
        <f>D125*B125</f>
        <v>14129.985000000001</v>
      </c>
      <c r="G125" s="319"/>
      <c r="H125" s="310"/>
      <c r="I125" s="63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</row>
    <row r="126" spans="1:30">
      <c r="A126" s="6"/>
      <c r="B126" s="320"/>
      <c r="F126" s="311"/>
      <c r="H126" s="12"/>
      <c r="I126" s="63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</row>
    <row r="127" spans="1:30">
      <c r="A127" s="6" t="s">
        <v>140</v>
      </c>
      <c r="B127" s="43">
        <f>B121+B124</f>
        <v>43</v>
      </c>
      <c r="C127" s="29"/>
      <c r="D127" s="26">
        <f>D124</f>
        <v>4558.3113095238095</v>
      </c>
      <c r="F127" s="312">
        <f>D127*B127</f>
        <v>196007.3863095238</v>
      </c>
      <c r="H127" s="12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</row>
    <row r="128" spans="1:30">
      <c r="A128" s="6" t="s">
        <v>141</v>
      </c>
      <c r="B128" s="43">
        <f>B122+B125</f>
        <v>5</v>
      </c>
      <c r="C128" s="78"/>
      <c r="D128" s="26">
        <f>D125</f>
        <v>4709.9949999999999</v>
      </c>
      <c r="F128" s="312">
        <f>D128*B128</f>
        <v>23549.974999999999</v>
      </c>
      <c r="H128" s="12"/>
      <c r="S128" s="58"/>
      <c r="T128" s="58"/>
      <c r="U128" s="58"/>
      <c r="V128" s="58"/>
      <c r="W128" s="58"/>
      <c r="X128" s="58"/>
      <c r="Y128" s="58"/>
      <c r="Z128" s="58"/>
      <c r="AA128" s="58"/>
      <c r="AB128" s="59"/>
      <c r="AC128" s="58"/>
      <c r="AD128" s="58"/>
    </row>
    <row r="129" spans="1:8">
      <c r="A129" s="76" t="s">
        <v>132</v>
      </c>
      <c r="B129" s="43"/>
      <c r="C129" s="29"/>
      <c r="D129" s="77"/>
      <c r="F129" s="313">
        <v>0</v>
      </c>
      <c r="H129" s="12"/>
    </row>
    <row r="130" spans="1:8" ht="16.5" customHeight="1">
      <c r="A130" s="83" t="s">
        <v>28</v>
      </c>
      <c r="B130" s="321"/>
      <c r="C130" s="322"/>
      <c r="D130" s="323"/>
      <c r="E130" s="10"/>
      <c r="F130" s="324">
        <f>(F127+F128)*0.29</f>
        <v>63671.634779761902</v>
      </c>
      <c r="G130" s="10"/>
      <c r="H130" s="9"/>
    </row>
    <row r="131" spans="1:8">
      <c r="A131" s="283"/>
      <c r="B131" s="117"/>
      <c r="C131" s="284"/>
      <c r="D131" s="285"/>
      <c r="E131" s="63"/>
    </row>
    <row r="132" spans="1:8">
      <c r="A132" s="283"/>
      <c r="B132" s="117"/>
      <c r="C132" s="284"/>
      <c r="D132" s="285"/>
      <c r="E132" s="63"/>
    </row>
    <row r="133" spans="1:8">
      <c r="A133" s="283"/>
      <c r="B133" s="117"/>
      <c r="C133" s="284"/>
      <c r="D133" s="285"/>
      <c r="E133" s="63"/>
    </row>
    <row r="134" spans="1:8">
      <c r="A134" s="315" t="s">
        <v>116</v>
      </c>
      <c r="B134" s="69"/>
      <c r="C134" s="70"/>
      <c r="D134" s="70"/>
      <c r="E134" s="314"/>
      <c r="F134" s="4"/>
      <c r="G134" s="4"/>
      <c r="H134" s="316"/>
    </row>
    <row r="135" spans="1:8" ht="15">
      <c r="A135" s="6"/>
      <c r="B135" s="289"/>
      <c r="C135" s="289"/>
      <c r="D135" s="289"/>
      <c r="E135" s="289"/>
      <c r="F135" s="289"/>
      <c r="G135" s="289"/>
      <c r="H135" s="290"/>
    </row>
    <row r="136" spans="1:8">
      <c r="A136" s="6"/>
      <c r="B136" s="352"/>
      <c r="C136" s="352"/>
      <c r="D136" s="352"/>
      <c r="F136" s="352"/>
      <c r="G136" s="352"/>
      <c r="H136" s="353"/>
    </row>
    <row r="137" spans="1:8" ht="15">
      <c r="A137" s="6"/>
      <c r="B137" t="s">
        <v>125</v>
      </c>
      <c r="C137" t="s">
        <v>126</v>
      </c>
      <c r="D137" t="s">
        <v>127</v>
      </c>
      <c r="E137" t="s">
        <v>128</v>
      </c>
      <c r="F137" t="s">
        <v>129</v>
      </c>
      <c r="G137" s="317" t="s">
        <v>130</v>
      </c>
      <c r="H137" s="291" t="s">
        <v>131</v>
      </c>
    </row>
    <row r="138" spans="1:8" ht="15">
      <c r="A138" s="292" t="s">
        <v>31</v>
      </c>
      <c r="B138" s="294">
        <v>268968.01</v>
      </c>
      <c r="C138" s="294">
        <v>288390.24</v>
      </c>
      <c r="D138" s="293">
        <v>154345.41</v>
      </c>
      <c r="E138" s="293">
        <v>13412.75</v>
      </c>
      <c r="F138" s="325">
        <v>229529.76</v>
      </c>
      <c r="G138" s="294">
        <v>274156.28999999998</v>
      </c>
      <c r="H138" s="295">
        <v>267092.21000000002</v>
      </c>
    </row>
    <row r="139" spans="1:8" ht="15">
      <c r="A139" s="292" t="s">
        <v>30</v>
      </c>
      <c r="B139" s="294">
        <v>67812.91</v>
      </c>
      <c r="C139" s="294">
        <v>64354.51</v>
      </c>
      <c r="D139" s="293">
        <v>40616.39</v>
      </c>
      <c r="E139" s="293">
        <v>14950.76</v>
      </c>
      <c r="F139" s="325">
        <v>74301.16</v>
      </c>
      <c r="G139" s="294">
        <v>85619.44</v>
      </c>
      <c r="H139" s="295">
        <v>74393.95</v>
      </c>
    </row>
    <row r="140" spans="1:8" ht="15">
      <c r="A140" s="292" t="s">
        <v>28</v>
      </c>
      <c r="B140" s="294">
        <v>102162.56</v>
      </c>
      <c r="C140" s="294">
        <v>97023.8</v>
      </c>
      <c r="D140" s="293">
        <v>87771.29</v>
      </c>
      <c r="E140" s="293">
        <v>18740.91</v>
      </c>
      <c r="F140" s="325">
        <v>135347.70000000001</v>
      </c>
      <c r="G140" s="294">
        <v>89284.14</v>
      </c>
      <c r="H140" s="295">
        <v>88862.54</v>
      </c>
    </row>
    <row r="141" spans="1:8" ht="15">
      <c r="A141" s="292" t="s">
        <v>5</v>
      </c>
      <c r="B141" s="294">
        <v>6248.2</v>
      </c>
      <c r="C141" s="294">
        <v>7823.13</v>
      </c>
      <c r="D141" s="293">
        <v>4541.8500000000004</v>
      </c>
      <c r="E141" s="293">
        <v>10625.36</v>
      </c>
      <c r="F141" s="325">
        <v>11684.3</v>
      </c>
      <c r="G141" s="294">
        <v>7724.39</v>
      </c>
      <c r="H141" s="295">
        <v>6820.85</v>
      </c>
    </row>
    <row r="142" spans="1:8" ht="15">
      <c r="A142" s="296" t="s">
        <v>132</v>
      </c>
      <c r="B142" s="317">
        <v>35640</v>
      </c>
      <c r="C142" s="317">
        <v>61311</v>
      </c>
      <c r="D142">
        <v>50554</v>
      </c>
      <c r="E142"/>
      <c r="F142">
        <v>65416</v>
      </c>
      <c r="G142">
        <v>62538</v>
      </c>
      <c r="H142" s="318">
        <v>37211</v>
      </c>
    </row>
    <row r="143" spans="1:8" ht="15">
      <c r="A143" s="296" t="s">
        <v>133</v>
      </c>
      <c r="B143" s="298">
        <f>B140/(B138+B139-B142+B141)</f>
        <v>0.3323558101210608</v>
      </c>
      <c r="C143" s="298">
        <f t="shared" ref="C143:H143" si="22">C140/(C138+C139-C142+C141)</f>
        <v>0.3242157707451872</v>
      </c>
      <c r="D143" s="298">
        <f t="shared" si="22"/>
        <v>0.58926818559157401</v>
      </c>
      <c r="E143" s="298">
        <f t="shared" si="22"/>
        <v>0.48067333061973838</v>
      </c>
      <c r="F143" s="298">
        <f t="shared" si="22"/>
        <v>0.54117601806195159</v>
      </c>
      <c r="G143" s="298">
        <f t="shared" si="22"/>
        <v>0.29277124647480807</v>
      </c>
      <c r="H143" s="299">
        <f t="shared" si="22"/>
        <v>0.28564345778655276</v>
      </c>
    </row>
    <row r="145" spans="1:10">
      <c r="A145" s="6"/>
      <c r="B145" s="43"/>
      <c r="C145" s="301"/>
      <c r="D145" s="15" t="s">
        <v>134</v>
      </c>
      <c r="E145" s="63"/>
      <c r="F145" s="43" t="s">
        <v>135</v>
      </c>
      <c r="G145" s="301"/>
      <c r="H145" s="302"/>
      <c r="J145" s="283"/>
    </row>
    <row r="146" spans="1:10" ht="15">
      <c r="A146" s="292" t="s">
        <v>136</v>
      </c>
      <c r="B146" s="303">
        <v>46</v>
      </c>
      <c r="C146" s="29"/>
      <c r="D146" s="26">
        <f>(AVERAGE((B138-B142),(C138-C142),(G138-G142),(H138-H142)))/B146</f>
        <v>4901.667119565217</v>
      </c>
      <c r="E146" s="63"/>
      <c r="F146" s="304">
        <f>D146*B146</f>
        <v>225476.68749999997</v>
      </c>
      <c r="G146" s="29"/>
      <c r="H146" s="326"/>
      <c r="J146" s="283"/>
    </row>
    <row r="147" spans="1:10" ht="15">
      <c r="A147" s="292" t="s">
        <v>137</v>
      </c>
      <c r="B147" s="303">
        <v>16</v>
      </c>
      <c r="C147" s="78"/>
      <c r="D147" s="26">
        <f>AVERAGE($G$99:$H$99,B139:C139)/B147</f>
        <v>4130.2318750000004</v>
      </c>
      <c r="E147" s="63"/>
      <c r="F147" s="304">
        <f>D147*B147</f>
        <v>66083.710000000006</v>
      </c>
      <c r="G147" s="305"/>
      <c r="H147" s="12"/>
      <c r="J147" s="283"/>
    </row>
    <row r="148" spans="1:10">
      <c r="A148" s="76"/>
      <c r="B148" s="117"/>
      <c r="C148" s="284"/>
      <c r="D148" s="306"/>
      <c r="E148" s="63"/>
      <c r="F148" s="307"/>
      <c r="G148" s="319"/>
      <c r="H148" s="308"/>
      <c r="J148" s="283"/>
    </row>
    <row r="149" spans="1:10">
      <c r="A149" s="309" t="s">
        <v>138</v>
      </c>
      <c r="B149" s="117">
        <v>6</v>
      </c>
      <c r="C149" s="284"/>
      <c r="D149" s="26">
        <f>D146</f>
        <v>4901.667119565217</v>
      </c>
      <c r="E149" s="63"/>
      <c r="F149" s="304">
        <f>D149*B149</f>
        <v>29410.002717391304</v>
      </c>
      <c r="G149" s="91"/>
      <c r="H149" s="308"/>
      <c r="J149" s="283"/>
    </row>
    <row r="150" spans="1:10">
      <c r="A150" s="309" t="s">
        <v>139</v>
      </c>
      <c r="B150" s="117">
        <v>6</v>
      </c>
      <c r="C150" s="284"/>
      <c r="D150" s="26">
        <f>D147</f>
        <v>4130.2318750000004</v>
      </c>
      <c r="E150" s="63"/>
      <c r="F150" s="304">
        <f>D150*B150</f>
        <v>24781.391250000001</v>
      </c>
      <c r="G150" s="319"/>
      <c r="H150" s="310"/>
      <c r="J150" s="283"/>
    </row>
    <row r="151" spans="1:10">
      <c r="A151" s="6"/>
      <c r="B151" s="320"/>
      <c r="F151" s="311"/>
      <c r="H151" s="12"/>
      <c r="J151" s="283"/>
    </row>
    <row r="152" spans="1:10">
      <c r="A152" s="6" t="s">
        <v>140</v>
      </c>
      <c r="B152" s="43">
        <f>B146+B149</f>
        <v>52</v>
      </c>
      <c r="C152" s="29"/>
      <c r="D152" s="26">
        <f>D146</f>
        <v>4901.667119565217</v>
      </c>
      <c r="F152" s="312">
        <f>D152*B152</f>
        <v>254886.6902173913</v>
      </c>
      <c r="H152" s="12"/>
      <c r="J152" s="283"/>
    </row>
    <row r="153" spans="1:10">
      <c r="A153" s="6" t="s">
        <v>141</v>
      </c>
      <c r="B153" s="43">
        <f>B147+B150</f>
        <v>22</v>
      </c>
      <c r="C153" s="78"/>
      <c r="D153" s="26">
        <f>D146</f>
        <v>4901.667119565217</v>
      </c>
      <c r="F153" s="312">
        <f>D153*B153</f>
        <v>107836.67663043477</v>
      </c>
      <c r="H153" s="12"/>
      <c r="J153" s="283"/>
    </row>
    <row r="154" spans="1:10">
      <c r="A154" s="76" t="s">
        <v>5</v>
      </c>
      <c r="B154" s="43"/>
      <c r="C154" s="29"/>
      <c r="D154" s="77"/>
      <c r="F154" s="313">
        <v>7154</v>
      </c>
      <c r="H154" s="12"/>
      <c r="J154" s="283"/>
    </row>
    <row r="155" spans="1:10" ht="15">
      <c r="A155" s="83" t="s">
        <v>28</v>
      </c>
      <c r="B155" s="321"/>
      <c r="C155" s="322"/>
      <c r="D155" s="323"/>
      <c r="E155" s="10"/>
      <c r="F155" s="324">
        <f>(F152+F153+F154)*0.3</f>
        <v>110963.21005434782</v>
      </c>
      <c r="G155" s="10"/>
      <c r="H155" s="9"/>
      <c r="J155" s="283"/>
    </row>
    <row r="156" spans="1:10">
      <c r="A156" s="283"/>
      <c r="B156" s="117"/>
      <c r="C156" s="284"/>
      <c r="D156" s="285"/>
      <c r="E156" s="63"/>
      <c r="J156" s="283"/>
    </row>
    <row r="157" spans="1:10" ht="12.75" customHeight="1">
      <c r="J157" s="57"/>
    </row>
    <row r="158" spans="1:10" ht="15">
      <c r="A158" s="55" t="s">
        <v>26</v>
      </c>
      <c r="B158" s="183"/>
      <c r="C158" s="183"/>
      <c r="D158" s="132">
        <v>4.5</v>
      </c>
      <c r="E158" s="183"/>
      <c r="F158" s="183"/>
      <c r="G158" s="245"/>
      <c r="H158" s="183"/>
      <c r="I158" s="4"/>
      <c r="J158" s="131"/>
    </row>
    <row r="159" spans="1:10" ht="15">
      <c r="A159" s="6"/>
      <c r="B159" s="374" t="s">
        <v>25</v>
      </c>
      <c r="C159" s="375"/>
      <c r="D159" s="132">
        <v>4.5</v>
      </c>
      <c r="E159" s="374" t="s">
        <v>24</v>
      </c>
      <c r="F159" s="375"/>
      <c r="G159" s="132">
        <f>762256/10182780</f>
        <v>7.4857357224647883E-2</v>
      </c>
      <c r="H159" s="376" t="s">
        <v>86</v>
      </c>
      <c r="I159" s="377"/>
      <c r="J159" s="244">
        <f>30000*365</f>
        <v>10950000</v>
      </c>
    </row>
    <row r="160" spans="1:10">
      <c r="A160" s="6"/>
      <c r="B160" s="5"/>
      <c r="C160" s="5"/>
      <c r="D160" s="5"/>
      <c r="E160" s="5"/>
      <c r="F160" s="5"/>
      <c r="G160" s="5"/>
      <c r="H160" s="378" t="s">
        <v>87</v>
      </c>
      <c r="I160" s="379"/>
      <c r="J160" s="135">
        <f>ROUND(J159/B49/1000,3)</f>
        <v>2.2349999999999999</v>
      </c>
    </row>
    <row r="161" spans="1:10" ht="15" customHeight="1">
      <c r="A161" s="6"/>
      <c r="B161" s="380" t="s">
        <v>95</v>
      </c>
      <c r="C161" s="381"/>
      <c r="D161" s="382"/>
      <c r="E161" s="380" t="s">
        <v>96</v>
      </c>
      <c r="F161" s="381"/>
      <c r="G161" s="382"/>
      <c r="H161" s="380" t="s">
        <v>97</v>
      </c>
      <c r="I161" s="381"/>
      <c r="J161" s="382"/>
    </row>
    <row r="162" spans="1:10" ht="25.5">
      <c r="A162" s="6"/>
      <c r="B162" s="133" t="s">
        <v>79</v>
      </c>
      <c r="C162" s="61" t="s">
        <v>80</v>
      </c>
      <c r="D162" s="22" t="s">
        <v>81</v>
      </c>
      <c r="E162" s="133" t="s">
        <v>79</v>
      </c>
      <c r="F162" s="61" t="s">
        <v>80</v>
      </c>
      <c r="G162" s="22" t="s">
        <v>81</v>
      </c>
      <c r="H162" s="133" t="s">
        <v>79</v>
      </c>
      <c r="I162" s="61" t="s">
        <v>80</v>
      </c>
      <c r="J162" s="22" t="s">
        <v>81</v>
      </c>
    </row>
    <row r="163" spans="1:10" ht="15">
      <c r="A163" s="6" t="s">
        <v>23</v>
      </c>
      <c r="B163" s="275">
        <v>0.11509999999999999</v>
      </c>
      <c r="C163" s="282">
        <v>8.7999999999999995E-2</v>
      </c>
      <c r="D163" s="90">
        <f>B163*C163</f>
        <v>1.0128799999999999E-2</v>
      </c>
      <c r="E163" s="243">
        <v>0.26500000000000001</v>
      </c>
      <c r="F163" s="60">
        <f>G159</f>
        <v>7.4857357224647883E-2</v>
      </c>
      <c r="G163" s="90">
        <f>E163*F163</f>
        <v>1.983719966453169E-2</v>
      </c>
      <c r="H163" s="243">
        <v>0.26500000000000001</v>
      </c>
      <c r="I163" s="60">
        <f>$G$159</f>
        <v>7.4857357224647883E-2</v>
      </c>
      <c r="J163" s="90">
        <f>H163*I163</f>
        <v>1.983719966453169E-2</v>
      </c>
    </row>
    <row r="164" spans="1:10" ht="16.5">
      <c r="A164" s="6" t="s">
        <v>22</v>
      </c>
      <c r="B164" s="275">
        <v>6.4999999999999997E-3</v>
      </c>
      <c r="C164" s="276">
        <v>4</v>
      </c>
      <c r="D164" s="51">
        <f>B164*C164</f>
        <v>2.5999999999999999E-2</v>
      </c>
      <c r="E164" s="243">
        <v>3.8E-3</v>
      </c>
      <c r="F164" s="29">
        <f>$D$159</f>
        <v>4.5</v>
      </c>
      <c r="G164" s="51">
        <f>E164*F164</f>
        <v>1.7100000000000001E-2</v>
      </c>
      <c r="H164" s="243">
        <v>3.8E-3</v>
      </c>
      <c r="I164" s="29">
        <f>$D$159</f>
        <v>4.5</v>
      </c>
      <c r="J164" s="51">
        <f>H164*I164</f>
        <v>1.7100000000000001E-2</v>
      </c>
    </row>
    <row r="165" spans="1:10" ht="15">
      <c r="A165" s="6" t="s">
        <v>21</v>
      </c>
      <c r="B165" s="6"/>
      <c r="C165" s="5"/>
      <c r="D165" s="227">
        <f>SUM(D163:D164)</f>
        <v>3.6128799999999996E-2</v>
      </c>
      <c r="E165" s="6"/>
      <c r="F165" s="5"/>
      <c r="G165" s="227">
        <f>SUM(G163:G164)</f>
        <v>3.6937199664531691E-2</v>
      </c>
      <c r="H165" s="6"/>
      <c r="I165" s="5"/>
      <c r="J165" s="227">
        <f>SUM(J163:J164)</f>
        <v>3.6937199664531691E-2</v>
      </c>
    </row>
    <row r="166" spans="1:10">
      <c r="A166" s="16"/>
      <c r="B166" s="16"/>
      <c r="D166" s="12"/>
      <c r="E166" s="16"/>
      <c r="G166" s="12"/>
      <c r="H166" s="16"/>
      <c r="J166" s="12"/>
    </row>
    <row r="167" spans="1:10" ht="15" customHeight="1">
      <c r="A167" s="6"/>
      <c r="B167" s="383" t="s">
        <v>92</v>
      </c>
      <c r="C167" s="384"/>
      <c r="D167" s="385"/>
      <c r="E167" s="383" t="s">
        <v>90</v>
      </c>
      <c r="F167" s="384"/>
      <c r="G167" s="385"/>
      <c r="H167" s="383" t="s">
        <v>92</v>
      </c>
      <c r="I167" s="384"/>
      <c r="J167" s="385"/>
    </row>
    <row r="168" spans="1:10" ht="25.5">
      <c r="A168" s="6"/>
      <c r="B168" s="133" t="s">
        <v>79</v>
      </c>
      <c r="C168" s="61" t="s">
        <v>80</v>
      </c>
      <c r="D168" s="22" t="s">
        <v>81</v>
      </c>
      <c r="E168" s="133" t="s">
        <v>79</v>
      </c>
      <c r="F168" s="61" t="s">
        <v>80</v>
      </c>
      <c r="G168" s="22" t="s">
        <v>81</v>
      </c>
      <c r="H168" s="133" t="s">
        <v>79</v>
      </c>
      <c r="I168" s="61" t="s">
        <v>80</v>
      </c>
      <c r="J168" s="22" t="s">
        <v>81</v>
      </c>
    </row>
    <row r="169" spans="1:10" ht="15">
      <c r="A169" s="6" t="s">
        <v>23</v>
      </c>
      <c r="B169" s="275"/>
      <c r="C169" s="282"/>
      <c r="D169" s="90">
        <f>B169*C169</f>
        <v>0</v>
      </c>
      <c r="E169" s="275">
        <v>0.5867</v>
      </c>
      <c r="F169" s="60">
        <f>G159</f>
        <v>7.4857357224647883E-2</v>
      </c>
      <c r="G169" s="90">
        <f>E169*F169</f>
        <v>4.3918811483700915E-2</v>
      </c>
      <c r="H169" s="243">
        <v>0</v>
      </c>
      <c r="I169" s="60">
        <f>$G$159</f>
        <v>7.4857357224647883E-2</v>
      </c>
      <c r="J169" s="90">
        <f>H169*I169</f>
        <v>0</v>
      </c>
    </row>
    <row r="170" spans="1:10" ht="16.5">
      <c r="A170" s="6" t="s">
        <v>22</v>
      </c>
      <c r="B170" s="275"/>
      <c r="C170" s="276"/>
      <c r="D170" s="51">
        <f>B170*C170</f>
        <v>0</v>
      </c>
      <c r="E170" s="275">
        <v>6.4999999999999997E-3</v>
      </c>
      <c r="F170" s="276">
        <v>4</v>
      </c>
      <c r="G170" s="51">
        <f>E170*F170</f>
        <v>2.5999999999999999E-2</v>
      </c>
      <c r="H170" s="243">
        <v>0</v>
      </c>
      <c r="I170" s="29">
        <f>$D$159</f>
        <v>4.5</v>
      </c>
      <c r="J170" s="51">
        <f>H170*I170</f>
        <v>0</v>
      </c>
    </row>
    <row r="171" spans="1:10" ht="15">
      <c r="A171" s="25" t="s">
        <v>21</v>
      </c>
      <c r="B171" s="25"/>
      <c r="C171" s="53"/>
      <c r="D171" s="134">
        <f>SUM(D169:D170)</f>
        <v>0</v>
      </c>
      <c r="E171" s="25"/>
      <c r="F171" s="53"/>
      <c r="G171" s="134">
        <f>SUM(G169:G170)</f>
        <v>6.991881148370091E-2</v>
      </c>
      <c r="H171" s="25"/>
      <c r="I171" s="53"/>
      <c r="J171" s="134">
        <f>SUM(J169:J170)</f>
        <v>0</v>
      </c>
    </row>
    <row r="172" spans="1:10">
      <c r="J172" s="58"/>
    </row>
    <row r="173" spans="1:10">
      <c r="J173" s="58"/>
    </row>
    <row r="174" spans="1:10">
      <c r="A174" s="356" t="s">
        <v>19</v>
      </c>
      <c r="B174" s="357"/>
      <c r="C174" s="357"/>
      <c r="D174" s="357"/>
      <c r="E174" s="357"/>
      <c r="F174" s="357"/>
      <c r="G174" s="357"/>
      <c r="H174" s="358"/>
      <c r="J174" s="58"/>
    </row>
    <row r="175" spans="1:10" ht="25.5">
      <c r="A175" s="6" t="s">
        <v>18</v>
      </c>
      <c r="B175" s="98">
        <v>256000000</v>
      </c>
      <c r="C175" s="5"/>
      <c r="D175" s="5"/>
      <c r="E175" s="5"/>
      <c r="F175" s="5"/>
      <c r="G175" s="23" t="s">
        <v>17</v>
      </c>
      <c r="H175" s="22" t="s">
        <v>57</v>
      </c>
      <c r="J175" s="58"/>
    </row>
    <row r="176" spans="1:10">
      <c r="A176" s="6" t="s">
        <v>16</v>
      </c>
      <c r="B176" s="21">
        <f>G177/B175</f>
        <v>5.7421874999999997E-4</v>
      </c>
      <c r="C176" s="5"/>
      <c r="D176" s="5"/>
      <c r="E176" s="5"/>
      <c r="F176" s="5"/>
      <c r="G176" s="5" t="s">
        <v>142</v>
      </c>
      <c r="H176" s="5" t="s">
        <v>142</v>
      </c>
      <c r="I176" s="1" t="s">
        <v>95</v>
      </c>
      <c r="J176" s="1" t="s">
        <v>95</v>
      </c>
    </row>
    <row r="177" spans="1:10" ht="16.5">
      <c r="A177" s="6" t="s">
        <v>15</v>
      </c>
      <c r="B177" s="5"/>
      <c r="C177" s="5"/>
      <c r="D177" s="5"/>
      <c r="E177" s="5"/>
      <c r="F177" s="5"/>
      <c r="G177" s="277">
        <v>147000</v>
      </c>
      <c r="H177" s="20">
        <f>G177/(E$47*1000)</f>
        <v>0.03</v>
      </c>
      <c r="I177" s="277">
        <v>353000</v>
      </c>
      <c r="J177" s="20" t="e">
        <f>I177/B24/1000</f>
        <v>#DIV/0!</v>
      </c>
    </row>
    <row r="178" spans="1:10">
      <c r="A178" s="16"/>
      <c r="H178" s="12"/>
      <c r="J178" s="12"/>
    </row>
    <row r="179" spans="1:10">
      <c r="A179" s="16"/>
      <c r="F179" s="2"/>
      <c r="G179" s="63"/>
      <c r="H179" s="12"/>
      <c r="I179" s="63"/>
      <c r="J179" s="12"/>
    </row>
    <row r="180" spans="1:10">
      <c r="A180" s="373" t="s">
        <v>51</v>
      </c>
      <c r="B180" s="365"/>
      <c r="C180" s="5"/>
      <c r="D180" s="5"/>
      <c r="E180" s="5"/>
      <c r="F180" s="5"/>
      <c r="G180" s="5" t="s">
        <v>142</v>
      </c>
      <c r="H180" s="5" t="s">
        <v>142</v>
      </c>
      <c r="I180" s="5"/>
      <c r="J180" s="5"/>
    </row>
    <row r="181" spans="1:10" ht="16.5">
      <c r="A181" s="6" t="s">
        <v>14</v>
      </c>
      <c r="B181" s="5"/>
      <c r="C181" s="5"/>
      <c r="D181" s="5"/>
      <c r="E181" s="5"/>
      <c r="F181" s="5"/>
      <c r="G181" s="102">
        <v>27000</v>
      </c>
      <c r="H181" s="20">
        <f>G181/(E$47*1000)</f>
        <v>5.5102040816326532E-3</v>
      </c>
      <c r="I181" s="102">
        <v>75000</v>
      </c>
      <c r="J181" s="20" t="e">
        <f>I181/B24/1000</f>
        <v>#DIV/0!</v>
      </c>
    </row>
    <row r="182" spans="1:10">
      <c r="A182" s="6"/>
      <c r="B182" s="5"/>
      <c r="C182" s="5"/>
      <c r="D182" s="5"/>
      <c r="E182" s="5"/>
      <c r="F182" s="5"/>
      <c r="G182" s="5"/>
      <c r="H182" s="8"/>
      <c r="I182" s="5"/>
      <c r="J182" s="8"/>
    </row>
    <row r="183" spans="1:10">
      <c r="A183" s="373" t="s">
        <v>13</v>
      </c>
      <c r="B183" s="365"/>
      <c r="C183" s="5"/>
      <c r="D183" s="5"/>
      <c r="E183" s="5"/>
      <c r="F183" s="5"/>
      <c r="G183" s="5" t="s">
        <v>142</v>
      </c>
      <c r="H183" s="5" t="s">
        <v>142</v>
      </c>
      <c r="I183" s="5"/>
      <c r="J183" s="5"/>
    </row>
    <row r="184" spans="1:10" ht="16.5">
      <c r="A184" s="6" t="s">
        <v>12</v>
      </c>
      <c r="B184" s="5"/>
      <c r="C184" s="5"/>
      <c r="D184" s="5"/>
      <c r="E184" s="5"/>
      <c r="F184" s="5"/>
      <c r="G184" s="277">
        <v>55000</v>
      </c>
      <c r="H184" s="20">
        <f>G184/(E$47*1000)</f>
        <v>1.1224489795918367E-2</v>
      </c>
      <c r="I184" s="277">
        <v>57000</v>
      </c>
      <c r="J184" s="20" t="e">
        <f>I184/B24/1000</f>
        <v>#DIV/0!</v>
      </c>
    </row>
    <row r="185" spans="1:10">
      <c r="A185" s="11"/>
      <c r="B185" s="10"/>
      <c r="C185" s="19"/>
      <c r="D185" s="10"/>
      <c r="E185" s="10"/>
      <c r="F185" s="10"/>
      <c r="G185" s="10"/>
      <c r="H185" s="9"/>
      <c r="J185" s="58"/>
    </row>
    <row r="186" spans="1:10">
      <c r="C186" s="18"/>
      <c r="J186" s="58"/>
    </row>
    <row r="187" spans="1:10">
      <c r="J187" s="58"/>
    </row>
    <row r="188" spans="1:10">
      <c r="A188" s="55" t="s">
        <v>11</v>
      </c>
      <c r="B188" s="386" t="s">
        <v>10</v>
      </c>
      <c r="C188" s="386"/>
      <c r="D188" s="386"/>
      <c r="E188" s="386"/>
      <c r="F188" s="386"/>
      <c r="G188" s="386"/>
      <c r="H188" s="387"/>
      <c r="J188" s="58"/>
    </row>
    <row r="189" spans="1:10">
      <c r="A189" s="16"/>
      <c r="H189" s="12"/>
      <c r="J189" s="58"/>
    </row>
    <row r="190" spans="1:10">
      <c r="A190" s="16"/>
      <c r="B190" s="365" t="s">
        <v>9</v>
      </c>
      <c r="C190" s="365"/>
      <c r="D190" s="15">
        <f>B49</f>
        <v>4900</v>
      </c>
      <c r="E190" s="5"/>
      <c r="F190" s="365" t="s">
        <v>8</v>
      </c>
      <c r="G190" s="365"/>
      <c r="H190" s="17">
        <f>D190/D191</f>
        <v>4.8999999999999998E-3</v>
      </c>
      <c r="J190" s="58"/>
    </row>
    <row r="191" spans="1:10">
      <c r="A191" s="16"/>
      <c r="B191" s="365" t="s">
        <v>7</v>
      </c>
      <c r="C191" s="365"/>
      <c r="D191" s="15">
        <v>1000000</v>
      </c>
      <c r="E191" s="5"/>
      <c r="F191" s="5"/>
      <c r="G191" s="5"/>
      <c r="H191" s="14"/>
      <c r="J191" s="58"/>
    </row>
    <row r="193" spans="1:12" ht="33" customHeight="1">
      <c r="A193" s="6"/>
      <c r="B193" s="61" t="s">
        <v>82</v>
      </c>
      <c r="C193" s="61" t="s">
        <v>6</v>
      </c>
      <c r="D193" s="61" t="s">
        <v>75</v>
      </c>
      <c r="E193" s="193" t="s">
        <v>76</v>
      </c>
      <c r="F193" s="61" t="s">
        <v>63</v>
      </c>
      <c r="G193" s="61" t="s">
        <v>77</v>
      </c>
      <c r="H193" s="97" t="s">
        <v>78</v>
      </c>
      <c r="J193" s="58"/>
      <c r="K193" s="58"/>
      <c r="L193" s="58"/>
    </row>
    <row r="194" spans="1:12" ht="15">
      <c r="A194" s="6" t="s">
        <v>5</v>
      </c>
      <c r="B194" s="3">
        <f>C194/12</f>
        <v>0</v>
      </c>
      <c r="C194" s="250">
        <v>0</v>
      </c>
      <c r="D194" s="98">
        <f>ROUND($C$202/($C$202+$C$203)*12,0)*$B194</f>
        <v>0</v>
      </c>
      <c r="E194" s="194">
        <f>ROUND($C$203/($C$202+$C$203)*12,0)*$B194</f>
        <v>0</v>
      </c>
      <c r="F194" s="89">
        <f>$D194/$D$190/1000</f>
        <v>0</v>
      </c>
      <c r="G194" s="89">
        <f>$E194/$D$190/1000</f>
        <v>0</v>
      </c>
      <c r="H194" s="99">
        <f>SUM(F194:G194)</f>
        <v>0</v>
      </c>
      <c r="J194" s="58"/>
      <c r="K194" s="58"/>
      <c r="L194" s="58"/>
    </row>
    <row r="195" spans="1:12" ht="15">
      <c r="A195" s="6" t="s">
        <v>4</v>
      </c>
      <c r="B195" s="98">
        <f>C195/12</f>
        <v>95700</v>
      </c>
      <c r="C195" s="236">
        <f>+(95700*12)</f>
        <v>1148400</v>
      </c>
      <c r="D195" s="98">
        <f>ROUND($C$202/($C$202+$C$203)*12,0)*$B195</f>
        <v>1148400</v>
      </c>
      <c r="E195" s="194">
        <f>ROUND($C$203/($C$202+$C$203)*12,0)*$B195</f>
        <v>0</v>
      </c>
      <c r="F195" s="100">
        <f>$D195/D$190/1000</f>
        <v>0.23436734693877551</v>
      </c>
      <c r="G195" s="100">
        <f>$E195/$D$190/1000</f>
        <v>0</v>
      </c>
      <c r="H195" s="94">
        <f t="shared" ref="H195:H196" si="23">SUM(F195:G195)</f>
        <v>0.23436734693877551</v>
      </c>
      <c r="J195" s="58"/>
      <c r="K195" s="58"/>
      <c r="L195" s="58"/>
    </row>
    <row r="196" spans="1:12" ht="16.5">
      <c r="A196" s="6" t="s">
        <v>3</v>
      </c>
      <c r="B196" s="98">
        <f>C196/12</f>
        <v>22812.25</v>
      </c>
      <c r="C196" s="236">
        <f>(273747/12*12)</f>
        <v>273747</v>
      </c>
      <c r="D196" s="98">
        <f>ROUND($C$202/($C$202+$C$203)*12,0)*$B196</f>
        <v>273747</v>
      </c>
      <c r="E196" s="194">
        <f>ROUND($C$203/($C$202+$C$203)*12,0)*$B196</f>
        <v>0</v>
      </c>
      <c r="F196" s="88">
        <f>$D196/D$190/1000</f>
        <v>5.5866734693877554E-2</v>
      </c>
      <c r="G196" s="88">
        <f>$E196/$D$190/1000</f>
        <v>0</v>
      </c>
      <c r="H196" s="95">
        <f t="shared" si="23"/>
        <v>5.5866734693877554E-2</v>
      </c>
      <c r="J196" s="58"/>
      <c r="K196" s="58"/>
      <c r="L196" s="58"/>
    </row>
    <row r="197" spans="1:12">
      <c r="A197" s="6" t="s">
        <v>2</v>
      </c>
      <c r="F197" s="89">
        <f>SUM(F194:F196)</f>
        <v>0.29023408163265307</v>
      </c>
      <c r="G197" s="89">
        <f>SUM(G194:G196)</f>
        <v>0</v>
      </c>
      <c r="H197" s="99">
        <f>SUM(H194:H196)</f>
        <v>0.29023408163265307</v>
      </c>
      <c r="J197" s="58"/>
      <c r="K197" s="58"/>
      <c r="L197" s="58"/>
    </row>
    <row r="198" spans="1:12">
      <c r="A198" s="11"/>
      <c r="B198" s="10"/>
      <c r="C198" s="10"/>
      <c r="D198" s="10"/>
      <c r="E198" s="10"/>
      <c r="F198" s="10"/>
      <c r="G198" s="10"/>
      <c r="H198" s="9"/>
      <c r="J198" s="58"/>
      <c r="K198" s="58"/>
      <c r="L198" s="58"/>
    </row>
    <row r="199" spans="1:12">
      <c r="J199" s="58"/>
      <c r="K199" s="58"/>
      <c r="L199" s="58"/>
    </row>
    <row r="200" spans="1:12">
      <c r="J200" s="58"/>
      <c r="K200" s="58"/>
      <c r="L200" s="58"/>
    </row>
    <row r="201" spans="1:12">
      <c r="A201" s="356" t="s">
        <v>117</v>
      </c>
      <c r="B201" s="357"/>
      <c r="C201" s="357"/>
      <c r="D201" s="357"/>
      <c r="E201" s="357"/>
      <c r="F201" s="357"/>
      <c r="G201" s="357"/>
      <c r="H201" s="358"/>
      <c r="J201" s="58"/>
      <c r="K201" s="58"/>
      <c r="L201" s="58"/>
    </row>
    <row r="202" spans="1:12" ht="15">
      <c r="A202" s="6"/>
      <c r="B202" s="5" t="s">
        <v>73</v>
      </c>
      <c r="C202" s="104">
        <v>52</v>
      </c>
      <c r="D202" s="43" t="s">
        <v>110</v>
      </c>
      <c r="E202" s="237">
        <v>0.04</v>
      </c>
      <c r="F202" s="5" t="s">
        <v>83</v>
      </c>
      <c r="G202" s="5"/>
      <c r="H202" s="8"/>
      <c r="J202" s="58"/>
      <c r="K202" s="58"/>
      <c r="L202" s="58"/>
    </row>
    <row r="203" spans="1:12" ht="15">
      <c r="A203" s="6"/>
      <c r="B203" s="5" t="s">
        <v>72</v>
      </c>
      <c r="C203" s="104">
        <v>0</v>
      </c>
      <c r="E203" s="5"/>
      <c r="F203" s="5" t="s">
        <v>84</v>
      </c>
      <c r="G203" s="5"/>
      <c r="H203" s="8"/>
      <c r="J203" s="58"/>
      <c r="K203" s="58"/>
      <c r="L203" s="58"/>
    </row>
    <row r="204" spans="1:12" ht="15">
      <c r="A204" s="6"/>
      <c r="B204" s="5" t="s">
        <v>74</v>
      </c>
      <c r="C204" s="104">
        <v>40</v>
      </c>
      <c r="E204" s="5"/>
      <c r="F204" s="5" t="s">
        <v>0</v>
      </c>
      <c r="G204" s="5"/>
      <c r="H204" s="8"/>
      <c r="J204" s="58"/>
      <c r="K204" s="58"/>
      <c r="L204" s="58"/>
    </row>
    <row r="205" spans="1:12" ht="15">
      <c r="A205" s="6"/>
      <c r="B205" s="5" t="s">
        <v>1</v>
      </c>
      <c r="C205" s="105">
        <v>1.5</v>
      </c>
      <c r="E205" s="5"/>
      <c r="G205" s="5"/>
      <c r="H205" s="7"/>
      <c r="J205" s="58"/>
      <c r="K205" s="58"/>
      <c r="L205" s="58"/>
    </row>
    <row r="206" spans="1:12" ht="15">
      <c r="A206" s="25"/>
      <c r="B206" s="79" t="s">
        <v>52</v>
      </c>
      <c r="C206" s="237">
        <v>0.3</v>
      </c>
      <c r="D206" s="10"/>
      <c r="E206" s="53"/>
      <c r="F206" s="53"/>
      <c r="G206" s="53"/>
      <c r="H206" s="65"/>
      <c r="J206" s="58"/>
      <c r="K206" s="58"/>
      <c r="L206" s="58"/>
    </row>
    <row r="207" spans="1:12">
      <c r="B207" s="388"/>
      <c r="C207" s="388"/>
      <c r="D207" s="388"/>
      <c r="J207" s="58"/>
      <c r="K207" s="58" t="s">
        <v>121</v>
      </c>
      <c r="L207" s="58"/>
    </row>
    <row r="208" spans="1:12">
      <c r="A208" s="356" t="s">
        <v>118</v>
      </c>
      <c r="B208" s="357"/>
      <c r="C208" s="357"/>
      <c r="D208" s="357"/>
      <c r="E208" s="357"/>
      <c r="F208" s="357"/>
      <c r="G208" s="357"/>
      <c r="H208" s="358"/>
      <c r="J208" s="58"/>
      <c r="K208" s="58" t="s">
        <v>122</v>
      </c>
      <c r="L208" s="58">
        <f>52-C209</f>
        <v>43</v>
      </c>
    </row>
    <row r="209" spans="1:12" ht="15">
      <c r="A209" s="6"/>
      <c r="B209" s="5" t="s">
        <v>73</v>
      </c>
      <c r="C209" s="104">
        <v>9</v>
      </c>
      <c r="D209" s="43" t="s">
        <v>110</v>
      </c>
      <c r="E209" s="237">
        <v>0.04</v>
      </c>
      <c r="F209" s="5" t="s">
        <v>83</v>
      </c>
      <c r="G209" s="5"/>
      <c r="H209" s="8"/>
      <c r="J209" s="58"/>
      <c r="K209" s="58" t="s">
        <v>75</v>
      </c>
      <c r="L209" s="58">
        <f>E47*1000/52*L208</f>
        <v>4051923.076923077</v>
      </c>
    </row>
    <row r="210" spans="1:12" ht="15">
      <c r="A210" s="6"/>
      <c r="B210" s="5" t="s">
        <v>72</v>
      </c>
      <c r="C210" s="104">
        <v>0</v>
      </c>
      <c r="E210" s="5"/>
      <c r="F210" s="5" t="s">
        <v>84</v>
      </c>
      <c r="G210" s="5"/>
      <c r="H210" s="8"/>
      <c r="J210" s="58"/>
      <c r="K210" s="58" t="s">
        <v>123</v>
      </c>
      <c r="L210" s="288">
        <f>0.0315*L209</f>
        <v>127635.57692307692</v>
      </c>
    </row>
    <row r="211" spans="1:12" ht="15">
      <c r="A211" s="6"/>
      <c r="B211" s="5" t="s">
        <v>74</v>
      </c>
      <c r="C211" s="104">
        <v>40</v>
      </c>
      <c r="E211" s="5"/>
      <c r="F211" s="5" t="s">
        <v>0</v>
      </c>
      <c r="G211" s="5"/>
      <c r="H211" s="8"/>
      <c r="J211" s="58"/>
      <c r="K211" s="58"/>
      <c r="L211" s="58"/>
    </row>
    <row r="212" spans="1:12" ht="15">
      <c r="A212" s="6"/>
      <c r="B212" s="5" t="s">
        <v>1</v>
      </c>
      <c r="C212" s="105">
        <v>1.5</v>
      </c>
      <c r="E212" s="5"/>
      <c r="G212" s="5"/>
      <c r="H212" s="7"/>
      <c r="J212" s="58"/>
      <c r="K212" s="58"/>
      <c r="L212" s="58"/>
    </row>
    <row r="213" spans="1:12" ht="15">
      <c r="A213" s="25"/>
      <c r="B213" s="79" t="s">
        <v>52</v>
      </c>
      <c r="C213" s="237">
        <v>0.3</v>
      </c>
      <c r="D213" s="10"/>
      <c r="E213" s="53"/>
      <c r="F213" s="53"/>
      <c r="G213" s="53"/>
      <c r="H213" s="65"/>
      <c r="J213" s="58"/>
      <c r="K213" s="58"/>
      <c r="L213" s="58"/>
    </row>
  </sheetData>
  <mergeCells count="47">
    <mergeCell ref="A208:H208"/>
    <mergeCell ref="B188:H188"/>
    <mergeCell ref="B190:C190"/>
    <mergeCell ref="F190:G190"/>
    <mergeCell ref="B191:C191"/>
    <mergeCell ref="A201:H201"/>
    <mergeCell ref="B207:D207"/>
    <mergeCell ref="T121:AD121"/>
    <mergeCell ref="A183:B183"/>
    <mergeCell ref="B159:C159"/>
    <mergeCell ref="E159:F159"/>
    <mergeCell ref="H159:I159"/>
    <mergeCell ref="H160:I160"/>
    <mergeCell ref="B161:D161"/>
    <mergeCell ref="E161:G161"/>
    <mergeCell ref="H161:J161"/>
    <mergeCell ref="B167:D167"/>
    <mergeCell ref="E167:G167"/>
    <mergeCell ref="H167:J167"/>
    <mergeCell ref="A174:H174"/>
    <mergeCell ref="A180:B180"/>
    <mergeCell ref="B136:D136"/>
    <mergeCell ref="F136:H136"/>
    <mergeCell ref="B111:D111"/>
    <mergeCell ref="F111:H111"/>
    <mergeCell ref="J84:L84"/>
    <mergeCell ref="A98:H98"/>
    <mergeCell ref="B26:D26"/>
    <mergeCell ref="E26:G26"/>
    <mergeCell ref="H26:J26"/>
    <mergeCell ref="B51:K51"/>
    <mergeCell ref="C62:F62"/>
    <mergeCell ref="G62:K62"/>
    <mergeCell ref="B74:D74"/>
    <mergeCell ref="F74:H74"/>
    <mergeCell ref="B84:D84"/>
    <mergeCell ref="F84:H84"/>
    <mergeCell ref="F99:H100"/>
    <mergeCell ref="A100:E100"/>
    <mergeCell ref="A1:J1"/>
    <mergeCell ref="S1:AA1"/>
    <mergeCell ref="AL1:AQ1"/>
    <mergeCell ref="B3:D3"/>
    <mergeCell ref="E3:G3"/>
    <mergeCell ref="H3:J3"/>
    <mergeCell ref="N3:O3"/>
    <mergeCell ref="P3:Q3"/>
  </mergeCells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E2189-5F78-42AE-A540-5D9A64CAAE0F}">
  <dimension ref="A1:AX213"/>
  <sheetViews>
    <sheetView topLeftCell="A19" workbookViewId="0">
      <selection activeCell="E43" sqref="E43"/>
    </sheetView>
  </sheetViews>
  <sheetFormatPr defaultColWidth="10.7109375" defaultRowHeight="12.75" outlineLevelCol="1"/>
  <cols>
    <col min="1" max="1" width="37.28515625" style="1" bestFit="1" customWidth="1"/>
    <col min="2" max="2" width="16.7109375" style="1" customWidth="1"/>
    <col min="3" max="3" width="13.28515625" style="1" customWidth="1"/>
    <col min="4" max="4" width="13.5703125" style="1" customWidth="1"/>
    <col min="5" max="5" width="12.7109375" style="1" customWidth="1"/>
    <col min="6" max="6" width="12.42578125" style="1" customWidth="1"/>
    <col min="7" max="7" width="14.28515625" style="1" customWidth="1"/>
    <col min="8" max="8" width="12.7109375" style="1" customWidth="1"/>
    <col min="9" max="9" width="10.7109375" style="1"/>
    <col min="10" max="10" width="13" style="1" customWidth="1"/>
    <col min="11" max="11" width="12.28515625" style="1" customWidth="1"/>
    <col min="12" max="12" width="11.28515625" style="1" customWidth="1"/>
    <col min="13" max="13" width="21.7109375" style="1" customWidth="1"/>
    <col min="14" max="14" width="13.42578125" style="1" customWidth="1"/>
    <col min="15" max="15" width="10.7109375" style="1"/>
    <col min="16" max="16" width="12.28515625" style="1" customWidth="1"/>
    <col min="17" max="17" width="9.7109375" style="1" customWidth="1"/>
    <col min="18" max="18" width="2.7109375" style="1" customWidth="1"/>
    <col min="19" max="19" width="12.140625" style="1" bestFit="1" customWidth="1" outlineLevel="1"/>
    <col min="20" max="20" width="11.42578125" style="1" customWidth="1" outlineLevel="1"/>
    <col min="21" max="21" width="17.7109375" style="1" customWidth="1" outlineLevel="1"/>
    <col min="22" max="24" width="15.28515625" style="1" customWidth="1" outlineLevel="1"/>
    <col min="25" max="25" width="14.7109375" style="1" customWidth="1" outlineLevel="1"/>
    <col min="26" max="26" width="12.42578125" style="1" customWidth="1" outlineLevel="1"/>
    <col min="27" max="27" width="15.28515625" style="1" customWidth="1" outlineLevel="1"/>
    <col min="28" max="28" width="12.42578125" style="1" customWidth="1" outlineLevel="1"/>
    <col min="29" max="29" width="9.42578125" style="1" customWidth="1" outlineLevel="1"/>
    <col min="30" max="30" width="13.28515625" style="1" bestFit="1" customWidth="1" outlineLevel="1"/>
    <col min="31" max="31" width="13.28515625" style="1" customWidth="1" outlineLevel="1"/>
    <col min="32" max="32" width="9.5703125" style="1" bestFit="1" customWidth="1" outlineLevel="1"/>
    <col min="33" max="33" width="9.28515625" style="1" customWidth="1" outlineLevel="1"/>
    <col min="34" max="34" width="9.5703125" style="1" bestFit="1" customWidth="1" outlineLevel="1"/>
    <col min="35" max="35" width="12" style="1" customWidth="1" outlineLevel="1"/>
    <col min="36" max="36" width="11.7109375" style="1" customWidth="1" outlineLevel="1"/>
    <col min="37" max="37" width="12.28515625" style="1" customWidth="1" outlineLevel="1"/>
    <col min="38" max="38" width="11.42578125" style="1" customWidth="1" outlineLevel="1"/>
    <col min="39" max="39" width="12.42578125" style="1" customWidth="1" outlineLevel="1"/>
    <col min="40" max="40" width="12.28515625" style="1" customWidth="1" outlineLevel="1"/>
    <col min="41" max="41" width="12.5703125" style="1" customWidth="1" outlineLevel="1"/>
    <col min="42" max="42" width="12.42578125" style="1" customWidth="1" outlineLevel="1"/>
    <col min="43" max="43" width="14.28515625" style="1" customWidth="1" outlineLevel="1"/>
    <col min="44" max="44" width="10.28515625" style="1" customWidth="1" outlineLevel="1"/>
    <col min="45" max="45" width="11.5703125" style="1" customWidth="1" outlineLevel="1"/>
    <col min="46" max="46" width="11.42578125" style="1" customWidth="1" outlineLevel="1"/>
    <col min="47" max="48" width="12.7109375" style="1" customWidth="1" outlineLevel="1"/>
    <col min="49" max="49" width="11" style="1" customWidth="1" outlineLevel="1"/>
    <col min="50" max="50" width="12.7109375" style="1" customWidth="1" outlineLevel="1"/>
    <col min="51" max="250" width="8.7109375" style="1" customWidth="1"/>
    <col min="251" max="16384" width="10.7109375" style="1"/>
  </cols>
  <sheetData>
    <row r="1" spans="1:43" ht="18.75" customHeight="1">
      <c r="A1" s="344" t="s">
        <v>124</v>
      </c>
      <c r="B1" s="344"/>
      <c r="C1" s="344"/>
      <c r="D1" s="344"/>
      <c r="E1" s="344"/>
      <c r="F1" s="344"/>
      <c r="G1" s="344"/>
      <c r="H1" s="344"/>
      <c r="I1" s="344"/>
      <c r="J1" s="344"/>
      <c r="K1" s="91"/>
      <c r="L1" s="91"/>
      <c r="S1" s="345"/>
      <c r="T1" s="345"/>
      <c r="U1" s="345"/>
      <c r="V1" s="345"/>
      <c r="W1" s="345"/>
      <c r="X1" s="345"/>
      <c r="Y1" s="345"/>
      <c r="Z1" s="345"/>
      <c r="AA1" s="345"/>
      <c r="AB1" s="149"/>
      <c r="AC1" s="150"/>
      <c r="AD1" s="150"/>
      <c r="AE1" s="151"/>
      <c r="AF1" s="151"/>
      <c r="AG1" s="151"/>
      <c r="AH1" s="151"/>
      <c r="AI1" s="152"/>
      <c r="AJ1" s="151"/>
      <c r="AK1" s="152"/>
      <c r="AL1" s="346"/>
      <c r="AM1" s="346"/>
      <c r="AN1" s="346"/>
      <c r="AO1" s="346"/>
      <c r="AP1" s="346"/>
      <c r="AQ1" s="346"/>
    </row>
    <row r="2" spans="1:43" ht="36.6" customHeight="1">
      <c r="A2" s="56" t="s">
        <v>59</v>
      </c>
      <c r="B2" s="186"/>
      <c r="C2" s="56"/>
      <c r="D2" s="56"/>
      <c r="E2" s="56"/>
      <c r="F2" s="56"/>
      <c r="G2" s="56"/>
      <c r="H2" s="84"/>
      <c r="I2" s="92"/>
      <c r="J2" s="92"/>
      <c r="K2" s="92"/>
      <c r="L2" s="92"/>
      <c r="S2" s="155"/>
      <c r="T2" s="155"/>
      <c r="U2" s="155"/>
      <c r="V2" s="155"/>
      <c r="W2" s="155"/>
      <c r="X2" s="155"/>
      <c r="Y2" s="155"/>
      <c r="Z2" s="155"/>
      <c r="AA2" s="156"/>
      <c r="AB2" s="182"/>
      <c r="AC2" s="151"/>
      <c r="AD2" s="150"/>
      <c r="AE2" s="157"/>
      <c r="AF2" s="157"/>
      <c r="AG2" s="157"/>
      <c r="AH2" s="157"/>
      <c r="AI2" s="155"/>
      <c r="AJ2" s="157"/>
      <c r="AK2" s="158"/>
      <c r="AL2" s="159"/>
      <c r="AM2" s="234"/>
      <c r="AN2" s="234"/>
      <c r="AO2" s="155"/>
      <c r="AP2" s="155"/>
      <c r="AQ2" s="155"/>
    </row>
    <row r="3" spans="1:43" ht="18" customHeight="1">
      <c r="A3" s="64" t="s">
        <v>20</v>
      </c>
      <c r="B3" s="347" t="s">
        <v>91</v>
      </c>
      <c r="C3" s="348"/>
      <c r="D3" s="348"/>
      <c r="E3" s="347" t="s">
        <v>93</v>
      </c>
      <c r="F3" s="348"/>
      <c r="G3" s="348"/>
      <c r="H3" s="347" t="s">
        <v>94</v>
      </c>
      <c r="I3" s="348"/>
      <c r="J3" s="349"/>
      <c r="M3" s="252"/>
      <c r="N3" s="350"/>
      <c r="O3" s="350"/>
      <c r="P3" s="350"/>
      <c r="Q3" s="351"/>
      <c r="S3" s="160"/>
      <c r="T3" s="161"/>
      <c r="U3" s="160"/>
      <c r="V3" s="160"/>
      <c r="W3" s="160"/>
      <c r="X3" s="160"/>
      <c r="Y3" s="160"/>
      <c r="Z3" s="160"/>
      <c r="AA3" s="161"/>
      <c r="AB3" s="151"/>
      <c r="AC3" s="161"/>
      <c r="AD3" s="161"/>
      <c r="AE3" s="160"/>
      <c r="AF3" s="160"/>
      <c r="AG3" s="160"/>
      <c r="AH3" s="160"/>
      <c r="AI3" s="161"/>
      <c r="AJ3" s="160"/>
      <c r="AK3" s="161"/>
      <c r="AL3" s="161"/>
      <c r="AM3" s="161"/>
      <c r="AN3" s="161"/>
      <c r="AO3" s="161"/>
      <c r="AP3" s="161"/>
      <c r="AQ3" s="161"/>
    </row>
    <row r="4" spans="1:43" s="46" customFormat="1" ht="15">
      <c r="A4" s="66"/>
      <c r="B4" s="218" t="s">
        <v>143</v>
      </c>
      <c r="C4" s="219" t="s">
        <v>114</v>
      </c>
      <c r="D4" s="219" t="s">
        <v>88</v>
      </c>
      <c r="E4" s="218" t="str">
        <f>$B$4</f>
        <v>25 Standard</v>
      </c>
      <c r="F4" s="219" t="str">
        <f>+C4</f>
        <v>23 Actual</v>
      </c>
      <c r="G4" s="219" t="str">
        <f>+D4</f>
        <v>20 Standard</v>
      </c>
      <c r="H4" s="218" t="str">
        <f>+B4</f>
        <v>25 Standard</v>
      </c>
      <c r="I4" s="219" t="str">
        <f>+C4</f>
        <v>23 Actual</v>
      </c>
      <c r="J4" s="220" t="str">
        <f>+D4</f>
        <v>20 Standard</v>
      </c>
      <c r="M4" s="253"/>
      <c r="N4" s="254"/>
      <c r="O4" s="254"/>
      <c r="P4" s="254"/>
      <c r="Q4" s="255"/>
      <c r="S4" s="162"/>
      <c r="T4" s="163"/>
      <c r="U4" s="163"/>
      <c r="V4" s="163"/>
      <c r="W4" s="163"/>
      <c r="X4" s="163"/>
      <c r="Y4" s="163"/>
      <c r="Z4" s="163"/>
      <c r="AA4" s="164"/>
      <c r="AB4" s="165"/>
      <c r="AC4" s="166"/>
      <c r="AD4" s="164"/>
      <c r="AE4" s="164"/>
      <c r="AF4" s="164"/>
      <c r="AG4" s="164"/>
      <c r="AH4" s="164"/>
      <c r="AI4" s="163"/>
      <c r="AJ4" s="164"/>
      <c r="AK4" s="163"/>
      <c r="AL4" s="164"/>
      <c r="AM4" s="164"/>
      <c r="AN4" s="164"/>
      <c r="AO4" s="164"/>
      <c r="AP4" s="164"/>
      <c r="AQ4" s="164"/>
    </row>
    <row r="5" spans="1:43" s="46" customFormat="1">
      <c r="A5" s="66"/>
      <c r="B5" s="221"/>
      <c r="C5" s="202" t="s">
        <v>89</v>
      </c>
      <c r="D5" s="202"/>
      <c r="E5" s="221"/>
      <c r="F5" s="202" t="s">
        <v>89</v>
      </c>
      <c r="G5" s="202"/>
      <c r="H5" s="221"/>
      <c r="I5" s="202" t="s">
        <v>89</v>
      </c>
      <c r="J5" s="222"/>
      <c r="M5" s="253"/>
      <c r="N5" s="256"/>
      <c r="O5" s="256"/>
      <c r="P5" s="257"/>
      <c r="Q5" s="258"/>
      <c r="S5" s="162"/>
      <c r="T5" s="163"/>
      <c r="U5" s="163"/>
      <c r="V5" s="163"/>
      <c r="W5" s="163"/>
      <c r="X5" s="163"/>
      <c r="Y5" s="163"/>
      <c r="Z5" s="163"/>
      <c r="AA5" s="164"/>
      <c r="AB5" s="165"/>
      <c r="AC5" s="166"/>
      <c r="AD5" s="164"/>
      <c r="AE5" s="164"/>
      <c r="AF5" s="164"/>
      <c r="AG5" s="154"/>
      <c r="AH5" s="164"/>
      <c r="AI5" s="163"/>
      <c r="AJ5" s="164"/>
      <c r="AK5" s="163"/>
      <c r="AL5" s="164"/>
      <c r="AM5" s="164"/>
      <c r="AN5" s="164"/>
      <c r="AO5" s="164"/>
      <c r="AP5" s="164"/>
      <c r="AQ5" s="164"/>
    </row>
    <row r="6" spans="1:43">
      <c r="A6" s="30" t="s">
        <v>50</v>
      </c>
      <c r="B6" s="192">
        <f>IF(B24&lt;&gt;0,$D$82,0)</f>
        <v>0</v>
      </c>
      <c r="C6" s="192">
        <v>5.8500000000000003E-2</v>
      </c>
      <c r="D6" s="192">
        <v>4.1565810184720102E-2</v>
      </c>
      <c r="E6" s="204">
        <f>+H82</f>
        <v>0</v>
      </c>
      <c r="F6" s="192">
        <v>0</v>
      </c>
      <c r="G6" s="192">
        <v>0</v>
      </c>
      <c r="H6" s="204">
        <f>+D96</f>
        <v>0</v>
      </c>
      <c r="I6" s="192">
        <v>0</v>
      </c>
      <c r="J6" s="205">
        <v>0</v>
      </c>
      <c r="M6" s="259"/>
      <c r="N6" s="260"/>
      <c r="O6" s="261"/>
      <c r="P6" s="260"/>
      <c r="Q6" s="262"/>
      <c r="S6" s="167"/>
      <c r="T6" s="163"/>
      <c r="U6" s="163"/>
      <c r="V6" s="163"/>
      <c r="W6" s="163"/>
      <c r="X6" s="163"/>
      <c r="Y6" s="163"/>
      <c r="Z6" s="163"/>
      <c r="AA6" s="164"/>
      <c r="AB6" s="165"/>
      <c r="AC6" s="166"/>
      <c r="AD6" s="164"/>
      <c r="AE6" s="164"/>
      <c r="AF6" s="164"/>
      <c r="AG6" s="164"/>
      <c r="AH6" s="164"/>
      <c r="AI6" s="163"/>
      <c r="AJ6" s="164"/>
      <c r="AK6" s="163"/>
      <c r="AL6" s="164"/>
      <c r="AM6" s="164"/>
      <c r="AN6" s="164"/>
      <c r="AO6" s="164"/>
      <c r="AP6" s="164"/>
      <c r="AQ6" s="164"/>
    </row>
    <row r="7" spans="1:43" ht="15">
      <c r="A7" s="30" t="s">
        <v>27</v>
      </c>
      <c r="B7" s="192">
        <f>IF(B24&lt;&gt;0,$D$163,0)</f>
        <v>0</v>
      </c>
      <c r="C7" s="192">
        <v>1.0500000000000001E-2</v>
      </c>
      <c r="D7" s="192">
        <v>2.0277328909623641E-2</v>
      </c>
      <c r="E7" s="204">
        <f>G163</f>
        <v>1.983719966453169E-2</v>
      </c>
      <c r="F7" s="192">
        <v>0</v>
      </c>
      <c r="G7" s="192">
        <v>0</v>
      </c>
      <c r="H7" s="204">
        <f>J163</f>
        <v>1.983719966453169E-2</v>
      </c>
      <c r="I7" s="192">
        <v>0</v>
      </c>
      <c r="J7" s="205">
        <v>0</v>
      </c>
      <c r="M7" s="263"/>
      <c r="N7" s="264"/>
      <c r="O7" s="207"/>
      <c r="P7" s="264"/>
      <c r="Q7" s="208"/>
      <c r="S7" s="168"/>
      <c r="T7" s="168"/>
      <c r="U7" s="168"/>
      <c r="V7" s="168"/>
      <c r="W7" s="168"/>
      <c r="X7" s="168"/>
      <c r="Y7" s="168"/>
      <c r="Z7" s="168"/>
      <c r="AA7" s="168"/>
      <c r="AB7" s="165"/>
      <c r="AC7" s="166"/>
      <c r="AD7" s="169"/>
      <c r="AE7" s="170"/>
      <c r="AF7" s="171"/>
      <c r="AG7" s="171"/>
      <c r="AH7" s="171"/>
      <c r="AI7" s="168"/>
      <c r="AJ7" s="170"/>
      <c r="AK7" s="168"/>
      <c r="AL7" s="169"/>
      <c r="AM7" s="169"/>
      <c r="AN7" s="169"/>
      <c r="AO7" s="169"/>
      <c r="AP7" s="169"/>
      <c r="AQ7" s="169"/>
    </row>
    <row r="8" spans="1:43" ht="15">
      <c r="A8" s="6" t="s">
        <v>49</v>
      </c>
      <c r="B8" s="192">
        <f>IF(B24&lt;&gt;0,$D$164,0)</f>
        <v>0</v>
      </c>
      <c r="C8" s="192">
        <v>1.5599999999999999E-2</v>
      </c>
      <c r="D8" s="192">
        <v>1.4965000000000001E-2</v>
      </c>
      <c r="E8" s="204">
        <f>G164</f>
        <v>1.7100000000000001E-2</v>
      </c>
      <c r="F8" s="192">
        <v>0</v>
      </c>
      <c r="G8" s="192">
        <v>0</v>
      </c>
      <c r="H8" s="204">
        <f>J164</f>
        <v>1.7100000000000001E-2</v>
      </c>
      <c r="I8" s="192">
        <v>0</v>
      </c>
      <c r="J8" s="205">
        <v>0</v>
      </c>
      <c r="M8" s="263"/>
      <c r="N8" s="265"/>
      <c r="O8" s="266"/>
      <c r="P8" s="265"/>
      <c r="Q8" s="267"/>
      <c r="S8" s="168"/>
      <c r="T8" s="168"/>
      <c r="U8" s="168"/>
      <c r="V8" s="168"/>
      <c r="W8" s="168"/>
      <c r="X8" s="168"/>
      <c r="Y8" s="168"/>
      <c r="Z8" s="168"/>
      <c r="AA8" s="168"/>
      <c r="AB8" s="165"/>
      <c r="AC8" s="166"/>
      <c r="AD8" s="169"/>
      <c r="AE8" s="170"/>
      <c r="AF8" s="171"/>
      <c r="AG8" s="171"/>
      <c r="AH8" s="171"/>
      <c r="AI8" s="168"/>
      <c r="AJ8" s="170"/>
      <c r="AK8" s="168"/>
      <c r="AL8" s="169"/>
      <c r="AM8" s="169"/>
      <c r="AN8" s="169"/>
      <c r="AO8" s="169"/>
      <c r="AP8" s="169"/>
      <c r="AQ8" s="169"/>
    </row>
    <row r="9" spans="1:43">
      <c r="A9" s="30" t="s">
        <v>48</v>
      </c>
      <c r="B9" s="192">
        <f>IF(B24&lt;&gt;0,$J$177,0)</f>
        <v>0</v>
      </c>
      <c r="C9" s="192">
        <v>1.9199999999999998E-2</v>
      </c>
      <c r="D9" s="192">
        <v>1.591578947368421E-2</v>
      </c>
      <c r="E9" s="204">
        <f>$H$177</f>
        <v>0.03</v>
      </c>
      <c r="F9" s="192">
        <v>0</v>
      </c>
      <c r="G9" s="192">
        <v>0</v>
      </c>
      <c r="H9" s="204">
        <f>$H$177</f>
        <v>0.03</v>
      </c>
      <c r="I9" s="192">
        <v>0</v>
      </c>
      <c r="J9" s="205">
        <v>0</v>
      </c>
      <c r="M9" s="259"/>
      <c r="N9" s="260"/>
      <c r="O9" s="261"/>
      <c r="P9" s="268"/>
      <c r="Q9" s="262"/>
      <c r="S9" s="168"/>
      <c r="T9" s="168"/>
      <c r="U9" s="168"/>
      <c r="V9" s="168"/>
      <c r="W9" s="168"/>
      <c r="X9" s="168"/>
      <c r="Y9" s="168"/>
      <c r="Z9" s="168"/>
      <c r="AA9" s="168"/>
      <c r="AB9" s="165"/>
      <c r="AC9" s="166"/>
      <c r="AD9" s="169"/>
      <c r="AE9" s="170"/>
      <c r="AF9" s="171"/>
      <c r="AG9" s="171"/>
      <c r="AH9" s="171"/>
      <c r="AI9" s="168"/>
      <c r="AJ9" s="170"/>
      <c r="AK9" s="168"/>
      <c r="AL9" s="169"/>
      <c r="AM9" s="169"/>
      <c r="AN9" s="169"/>
      <c r="AO9" s="169"/>
      <c r="AP9" s="169"/>
      <c r="AQ9" s="169"/>
    </row>
    <row r="10" spans="1:43">
      <c r="A10" s="30" t="s">
        <v>47</v>
      </c>
      <c r="B10" s="192">
        <f>IF(B24&lt;&gt;0,$J$181,0)</f>
        <v>0</v>
      </c>
      <c r="C10" s="192">
        <v>8.0000000000000004E-4</v>
      </c>
      <c r="D10" s="192">
        <v>2.6315789473684214E-3</v>
      </c>
      <c r="E10" s="204">
        <f>$H$181</f>
        <v>5.5102040816326532E-3</v>
      </c>
      <c r="F10" s="192">
        <v>0</v>
      </c>
      <c r="G10" s="192">
        <v>0</v>
      </c>
      <c r="H10" s="204">
        <f>$H$181</f>
        <v>5.5102040816326532E-3</v>
      </c>
      <c r="I10" s="192">
        <v>0</v>
      </c>
      <c r="J10" s="205">
        <v>0</v>
      </c>
      <c r="M10" s="263"/>
      <c r="N10" s="260"/>
      <c r="O10" s="261"/>
      <c r="P10" s="260"/>
      <c r="Q10" s="262"/>
      <c r="S10" s="168"/>
      <c r="T10" s="168"/>
      <c r="U10" s="168"/>
      <c r="V10" s="168"/>
      <c r="W10" s="168"/>
      <c r="X10" s="168"/>
      <c r="Y10" s="168"/>
      <c r="Z10" s="168"/>
      <c r="AA10" s="168"/>
      <c r="AB10" s="165"/>
      <c r="AC10" s="166"/>
      <c r="AD10" s="169"/>
      <c r="AE10" s="170"/>
      <c r="AF10" s="171"/>
      <c r="AG10" s="171"/>
      <c r="AH10" s="171"/>
      <c r="AI10" s="168"/>
      <c r="AJ10" s="170"/>
      <c r="AK10" s="168"/>
      <c r="AL10" s="169"/>
      <c r="AM10" s="169"/>
      <c r="AN10" s="169"/>
      <c r="AO10" s="169"/>
      <c r="AP10" s="169"/>
      <c r="AQ10" s="169"/>
    </row>
    <row r="11" spans="1:43" ht="15">
      <c r="A11" s="30" t="s">
        <v>46</v>
      </c>
      <c r="B11" s="207">
        <f>IF(B24&lt;&gt;0,$J$184,0)</f>
        <v>0</v>
      </c>
      <c r="C11" s="207">
        <v>5.7999999999999996E-3</v>
      </c>
      <c r="D11" s="207">
        <v>9.4736842105263147E-3</v>
      </c>
      <c r="E11" s="206">
        <f>$H$184</f>
        <v>1.1224489795918367E-2</v>
      </c>
      <c r="F11" s="207">
        <v>0</v>
      </c>
      <c r="G11" s="207">
        <v>0</v>
      </c>
      <c r="H11" s="206">
        <f>$H$184</f>
        <v>1.1224489795918367E-2</v>
      </c>
      <c r="I11" s="207">
        <v>0</v>
      </c>
      <c r="J11" s="208">
        <v>0</v>
      </c>
      <c r="M11" s="263"/>
      <c r="N11" s="269"/>
      <c r="O11" s="192"/>
      <c r="P11" s="269"/>
      <c r="Q11" s="205"/>
      <c r="S11" s="174"/>
      <c r="T11" s="174"/>
      <c r="U11" s="174"/>
      <c r="V11" s="174"/>
      <c r="W11" s="174"/>
      <c r="X11" s="174"/>
      <c r="Y11" s="174"/>
      <c r="Z11" s="174"/>
      <c r="AA11" s="174"/>
      <c r="AB11" s="165"/>
      <c r="AC11" s="166"/>
      <c r="AD11" s="169"/>
      <c r="AE11" s="170"/>
      <c r="AF11" s="175"/>
      <c r="AG11" s="175"/>
      <c r="AH11" s="175"/>
      <c r="AI11" s="174"/>
      <c r="AJ11" s="170"/>
      <c r="AK11" s="174"/>
      <c r="AL11" s="169"/>
      <c r="AM11" s="169"/>
      <c r="AN11" s="169"/>
      <c r="AO11" s="169"/>
      <c r="AP11" s="169"/>
      <c r="AQ11" s="169"/>
    </row>
    <row r="12" spans="1:43" ht="15">
      <c r="A12" s="30" t="s">
        <v>45</v>
      </c>
      <c r="B12" s="192">
        <f t="shared" ref="B12:D12" si="0">SUM(B6:B11)</f>
        <v>0</v>
      </c>
      <c r="C12" s="192">
        <f t="shared" si="0"/>
        <v>0.1104</v>
      </c>
      <c r="D12" s="192">
        <f t="shared" si="0"/>
        <v>0.1048291917259227</v>
      </c>
      <c r="E12" s="204">
        <f>SUM(E6:E11)</f>
        <v>8.3671893542082695E-2</v>
      </c>
      <c r="F12" s="192">
        <f t="shared" ref="F12:G12" si="1">SUM(F6:F11)</f>
        <v>0</v>
      </c>
      <c r="G12" s="192">
        <f t="shared" si="1"/>
        <v>0</v>
      </c>
      <c r="H12" s="204">
        <f>SUM(H6:H11)</f>
        <v>8.3671893542082695E-2</v>
      </c>
      <c r="I12" s="192">
        <f t="shared" ref="I12:J12" si="2">SUM(I6:I11)</f>
        <v>0</v>
      </c>
      <c r="J12" s="205">
        <f t="shared" si="2"/>
        <v>0</v>
      </c>
      <c r="M12" s="263"/>
      <c r="N12" s="264"/>
      <c r="O12" s="207"/>
      <c r="P12" s="264"/>
      <c r="Q12" s="208"/>
      <c r="S12" s="168"/>
      <c r="T12" s="168"/>
      <c r="U12" s="168"/>
      <c r="V12" s="168"/>
      <c r="W12" s="168"/>
      <c r="X12" s="168"/>
      <c r="Y12" s="168"/>
      <c r="Z12" s="168"/>
      <c r="AA12" s="168"/>
      <c r="AB12" s="165"/>
      <c r="AC12" s="166"/>
      <c r="AD12" s="164"/>
      <c r="AE12" s="164"/>
      <c r="AF12" s="171"/>
      <c r="AG12" s="171"/>
      <c r="AH12" s="171"/>
      <c r="AI12" s="168"/>
      <c r="AJ12" s="164"/>
      <c r="AK12" s="168"/>
      <c r="AL12" s="164"/>
      <c r="AM12" s="164"/>
      <c r="AN12" s="164"/>
      <c r="AO12" s="164"/>
      <c r="AP12" s="164"/>
      <c r="AQ12" s="164"/>
    </row>
    <row r="13" spans="1:43" ht="15">
      <c r="A13" s="30"/>
      <c r="B13" s="204"/>
      <c r="C13" s="192"/>
      <c r="D13" s="192"/>
      <c r="E13" s="204"/>
      <c r="F13" s="192"/>
      <c r="G13" s="192"/>
      <c r="H13" s="204"/>
      <c r="I13" s="192"/>
      <c r="J13" s="205"/>
      <c r="M13" s="263"/>
      <c r="N13" s="265"/>
      <c r="O13" s="266"/>
      <c r="P13" s="265"/>
      <c r="Q13" s="267"/>
      <c r="S13" s="163"/>
      <c r="T13" s="163"/>
      <c r="U13" s="163"/>
      <c r="V13" s="163"/>
      <c r="W13" s="163"/>
      <c r="X13" s="163"/>
      <c r="Y13" s="163"/>
      <c r="Z13" s="163"/>
      <c r="AA13" s="164"/>
      <c r="AB13" s="165"/>
      <c r="AC13" s="166"/>
      <c r="AD13" s="164"/>
      <c r="AE13" s="164"/>
      <c r="AF13" s="167"/>
      <c r="AG13" s="167"/>
      <c r="AH13" s="167"/>
      <c r="AI13" s="163"/>
      <c r="AJ13" s="164"/>
      <c r="AK13" s="163"/>
      <c r="AL13" s="164"/>
      <c r="AM13" s="164"/>
      <c r="AN13" s="164"/>
      <c r="AO13" s="164"/>
      <c r="AP13" s="164"/>
      <c r="AQ13" s="164"/>
    </row>
    <row r="14" spans="1:43">
      <c r="A14" s="30" t="s">
        <v>31</v>
      </c>
      <c r="B14" s="192">
        <f>IF($B$24&lt;&gt;0,$F$152/B24/1000,0)</f>
        <v>0</v>
      </c>
      <c r="C14" s="192">
        <v>2.46E-2</v>
      </c>
      <c r="D14" s="192">
        <v>7.3599375000000002E-3</v>
      </c>
      <c r="E14" s="204">
        <f>$D$124*$E$108/$B$49/1000</f>
        <v>9.3026761418853253E-4</v>
      </c>
      <c r="F14" s="192">
        <v>0</v>
      </c>
      <c r="G14" s="192">
        <v>0</v>
      </c>
      <c r="H14" s="204">
        <f>$D$124*$E$108/$B$49/1000</f>
        <v>9.3026761418853253E-4</v>
      </c>
      <c r="I14" s="192">
        <v>0</v>
      </c>
      <c r="J14" s="205">
        <v>0</v>
      </c>
      <c r="M14" s="259"/>
      <c r="N14" s="269"/>
      <c r="O14" s="270"/>
      <c r="P14" s="269"/>
      <c r="Q14" s="271"/>
      <c r="S14" s="168"/>
      <c r="T14" s="168"/>
      <c r="U14" s="168"/>
      <c r="V14" s="168"/>
      <c r="W14" s="168"/>
      <c r="X14" s="168"/>
      <c r="Y14" s="168"/>
      <c r="Z14" s="168"/>
      <c r="AA14" s="168"/>
      <c r="AB14" s="165"/>
      <c r="AC14" s="166"/>
      <c r="AD14" s="169"/>
      <c r="AE14" s="170"/>
      <c r="AF14" s="171"/>
      <c r="AG14" s="171"/>
      <c r="AH14" s="171"/>
      <c r="AI14" s="168"/>
      <c r="AJ14" s="170"/>
      <c r="AK14" s="168"/>
      <c r="AL14" s="169"/>
      <c r="AM14" s="169"/>
      <c r="AN14" s="169"/>
      <c r="AO14" s="169"/>
      <c r="AP14" s="169"/>
      <c r="AQ14" s="169"/>
    </row>
    <row r="15" spans="1:43">
      <c r="A15" s="30" t="s">
        <v>44</v>
      </c>
      <c r="B15" s="192">
        <f>IF($B$24&lt;&gt;0,$F$153/$B$24/1000,0)</f>
        <v>0</v>
      </c>
      <c r="C15" s="192">
        <v>8.9999999999999993E-3</v>
      </c>
      <c r="D15" s="192">
        <v>4.2419375E-3</v>
      </c>
      <c r="E15" s="204">
        <f>$H$124*$E$108/$B$49/1000</f>
        <v>0</v>
      </c>
      <c r="F15" s="192">
        <v>0</v>
      </c>
      <c r="G15" s="192">
        <v>0</v>
      </c>
      <c r="H15" s="204">
        <f>$H$124*$E$108/$B$49/1000</f>
        <v>0</v>
      </c>
      <c r="I15" s="192">
        <v>0</v>
      </c>
      <c r="J15" s="205">
        <v>0</v>
      </c>
      <c r="M15" s="263"/>
      <c r="N15" s="269"/>
      <c r="O15" s="268"/>
      <c r="P15" s="269"/>
      <c r="Q15" s="258"/>
      <c r="S15" s="176"/>
      <c r="T15" s="168"/>
      <c r="U15" s="168"/>
      <c r="V15" s="168"/>
      <c r="W15" s="168"/>
      <c r="X15" s="176"/>
      <c r="Y15" s="176"/>
      <c r="Z15" s="176"/>
      <c r="AA15" s="176"/>
      <c r="AB15" s="165"/>
      <c r="AC15" s="166"/>
      <c r="AD15" s="169"/>
      <c r="AE15" s="170"/>
      <c r="AF15" s="167"/>
      <c r="AG15" s="167"/>
      <c r="AH15" s="167"/>
      <c r="AI15" s="176"/>
      <c r="AJ15" s="170"/>
      <c r="AK15" s="176"/>
      <c r="AL15" s="169"/>
      <c r="AM15" s="169"/>
      <c r="AN15" s="169"/>
      <c r="AO15" s="169"/>
      <c r="AP15" s="169"/>
      <c r="AQ15" s="169"/>
    </row>
    <row r="16" spans="1:43">
      <c r="A16" s="30" t="s">
        <v>43</v>
      </c>
      <c r="B16" s="192">
        <f>IF($B$24&lt;&gt;0,$F$155/$B$24/1000,0)</f>
        <v>0</v>
      </c>
      <c r="C16" s="192">
        <v>7.9000000000000008E-3</v>
      </c>
      <c r="D16" s="192">
        <v>5.3897125000000002E-3</v>
      </c>
      <c r="E16" s="204">
        <f>$D$131*$E$108/$B$49/1000</f>
        <v>0</v>
      </c>
      <c r="F16" s="192">
        <v>0</v>
      </c>
      <c r="G16" s="192">
        <v>0</v>
      </c>
      <c r="H16" s="204">
        <f>$D$131*$E$108/$B$49/1000</f>
        <v>0</v>
      </c>
      <c r="I16" s="192">
        <v>0</v>
      </c>
      <c r="J16" s="205">
        <v>0</v>
      </c>
      <c r="M16" s="263"/>
      <c r="N16" s="269"/>
      <c r="O16" s="268"/>
      <c r="P16" s="269"/>
      <c r="Q16" s="258"/>
      <c r="S16" s="168"/>
      <c r="T16" s="168"/>
      <c r="U16" s="168"/>
      <c r="V16" s="168"/>
      <c r="W16" s="168"/>
      <c r="X16" s="168"/>
      <c r="Y16" s="168"/>
      <c r="Z16" s="168"/>
      <c r="AA16" s="176"/>
      <c r="AB16" s="165"/>
      <c r="AC16" s="166"/>
      <c r="AD16" s="169"/>
      <c r="AE16" s="170"/>
      <c r="AF16" s="171"/>
      <c r="AG16" s="171"/>
      <c r="AH16" s="171"/>
      <c r="AI16" s="168"/>
      <c r="AJ16" s="170"/>
      <c r="AK16" s="168"/>
      <c r="AL16" s="169"/>
      <c r="AM16" s="169"/>
      <c r="AN16" s="169"/>
      <c r="AO16" s="169"/>
      <c r="AP16" s="169"/>
      <c r="AQ16" s="169"/>
    </row>
    <row r="17" spans="1:10">
      <c r="A17" s="6" t="s">
        <v>5</v>
      </c>
      <c r="B17" s="192">
        <f>IF($B$24&lt;&gt;0,$F$154/$B$24/1000,0)</f>
        <v>0</v>
      </c>
      <c r="C17" s="192">
        <v>0</v>
      </c>
      <c r="D17" s="192">
        <v>2.6778947368421052E-3</v>
      </c>
      <c r="E17" s="204">
        <f>$F$194</f>
        <v>0</v>
      </c>
      <c r="F17" s="192">
        <v>0</v>
      </c>
      <c r="G17" s="192">
        <v>0</v>
      </c>
      <c r="H17" s="204">
        <f>$F$194</f>
        <v>0</v>
      </c>
      <c r="I17" s="192">
        <v>0</v>
      </c>
      <c r="J17" s="205">
        <v>0</v>
      </c>
    </row>
    <row r="18" spans="1:10">
      <c r="A18" s="6" t="s">
        <v>3</v>
      </c>
      <c r="B18" s="192">
        <f>IF($B$24&lt;&gt;0,$B$196/$B$49/1000,0)</f>
        <v>0</v>
      </c>
      <c r="C18" s="192">
        <v>2.7000000000000001E-3</v>
      </c>
      <c r="D18" s="192">
        <v>0.16719999999999999</v>
      </c>
      <c r="E18" s="204">
        <f>$F$196</f>
        <v>5.5866734693877554E-2</v>
      </c>
      <c r="F18" s="192">
        <v>0</v>
      </c>
      <c r="G18" s="192">
        <v>0</v>
      </c>
      <c r="H18" s="204">
        <f>$F$196</f>
        <v>5.5866734693877554E-2</v>
      </c>
      <c r="I18" s="192">
        <v>0</v>
      </c>
      <c r="J18" s="205">
        <v>0</v>
      </c>
    </row>
    <row r="19" spans="1:10" ht="15">
      <c r="A19" s="6" t="s">
        <v>4</v>
      </c>
      <c r="B19" s="207">
        <f>IF($B$24&lt;&gt;0,$B$195/$B$49/1000,0)</f>
        <v>0</v>
      </c>
      <c r="C19" s="207">
        <v>1.2E-2</v>
      </c>
      <c r="D19" s="207">
        <v>1.2884210526315788E-2</v>
      </c>
      <c r="E19" s="206">
        <f>$F$195</f>
        <v>0.23436734693877551</v>
      </c>
      <c r="F19" s="207">
        <v>0</v>
      </c>
      <c r="G19" s="207">
        <v>0</v>
      </c>
      <c r="H19" s="206">
        <f>$F$195</f>
        <v>0.23436734693877551</v>
      </c>
      <c r="I19" s="207">
        <v>0</v>
      </c>
      <c r="J19" s="208">
        <v>0</v>
      </c>
    </row>
    <row r="20" spans="1:10">
      <c r="A20" s="30" t="s">
        <v>42</v>
      </c>
      <c r="B20" s="192">
        <f t="shared" ref="B20:J20" si="3">SUM(B14:B19)</f>
        <v>0</v>
      </c>
      <c r="C20" s="192">
        <f t="shared" si="3"/>
        <v>5.62E-2</v>
      </c>
      <c r="D20" s="192">
        <f t="shared" si="3"/>
        <v>0.19975369276315788</v>
      </c>
      <c r="E20" s="204">
        <f t="shared" si="3"/>
        <v>0.29116434924684159</v>
      </c>
      <c r="F20" s="192">
        <f t="shared" ref="F20:G20" si="4">SUM(F14:F19)</f>
        <v>0</v>
      </c>
      <c r="G20" s="192">
        <f t="shared" si="4"/>
        <v>0</v>
      </c>
      <c r="H20" s="204">
        <f t="shared" si="3"/>
        <v>0.29116434924684159</v>
      </c>
      <c r="I20" s="192">
        <f t="shared" si="3"/>
        <v>0</v>
      </c>
      <c r="J20" s="205">
        <f t="shared" si="3"/>
        <v>0</v>
      </c>
    </row>
    <row r="21" spans="1:10">
      <c r="A21" s="6"/>
      <c r="B21" s="204"/>
      <c r="C21" s="192"/>
      <c r="D21" s="192"/>
      <c r="E21" s="204"/>
      <c r="F21" s="192"/>
      <c r="G21" s="192"/>
      <c r="H21" s="223"/>
      <c r="I21" s="192"/>
      <c r="J21" s="224"/>
    </row>
    <row r="22" spans="1:10">
      <c r="A22" s="30" t="s">
        <v>41</v>
      </c>
      <c r="B22" s="209">
        <f t="shared" ref="B22:J22" si="5">B12+B20</f>
        <v>0</v>
      </c>
      <c r="C22" s="210">
        <f t="shared" si="5"/>
        <v>0.1666</v>
      </c>
      <c r="D22" s="210">
        <f t="shared" si="5"/>
        <v>0.30458288448908055</v>
      </c>
      <c r="E22" s="209">
        <f t="shared" si="5"/>
        <v>0.3748362427889243</v>
      </c>
      <c r="F22" s="210">
        <f t="shared" si="5"/>
        <v>0</v>
      </c>
      <c r="G22" s="210">
        <f t="shared" si="5"/>
        <v>0</v>
      </c>
      <c r="H22" s="209">
        <f t="shared" si="5"/>
        <v>0.3748362427889243</v>
      </c>
      <c r="I22" s="210">
        <f t="shared" si="5"/>
        <v>0</v>
      </c>
      <c r="J22" s="211">
        <f t="shared" si="5"/>
        <v>0</v>
      </c>
    </row>
    <row r="23" spans="1:10">
      <c r="A23" s="6"/>
      <c r="B23" s="212"/>
      <c r="C23" s="213"/>
      <c r="D23" s="213"/>
      <c r="E23" s="212"/>
      <c r="F23" s="213"/>
      <c r="G23" s="213"/>
      <c r="H23" s="212"/>
      <c r="I23" s="213"/>
      <c r="J23" s="225"/>
    </row>
    <row r="24" spans="1:10">
      <c r="A24" s="25" t="s">
        <v>40</v>
      </c>
      <c r="B24" s="215">
        <f>+B54</f>
        <v>0</v>
      </c>
      <c r="C24" s="226">
        <v>0</v>
      </c>
      <c r="D24" s="226">
        <v>80000</v>
      </c>
      <c r="E24" s="215">
        <f>+B55</f>
        <v>0</v>
      </c>
      <c r="F24" s="226">
        <v>0</v>
      </c>
      <c r="G24" s="216">
        <v>0</v>
      </c>
      <c r="H24" s="215">
        <f>+B56</f>
        <v>0</v>
      </c>
      <c r="I24" s="226">
        <v>0</v>
      </c>
      <c r="J24" s="217">
        <v>0</v>
      </c>
    </row>
    <row r="25" spans="1:10">
      <c r="B25" s="49"/>
      <c r="C25" s="47"/>
      <c r="D25" s="47"/>
      <c r="E25" s="47"/>
      <c r="F25" s="48"/>
      <c r="G25" s="47"/>
      <c r="H25" s="47"/>
      <c r="J25" s="46"/>
    </row>
    <row r="26" spans="1:10" ht="18" customHeight="1">
      <c r="A26" s="64"/>
      <c r="B26" s="359" t="s">
        <v>92</v>
      </c>
      <c r="C26" s="360"/>
      <c r="D26" s="361"/>
      <c r="E26" s="347" t="s">
        <v>90</v>
      </c>
      <c r="F26" s="348"/>
      <c r="G26" s="348"/>
      <c r="H26" s="362" t="s">
        <v>20</v>
      </c>
      <c r="I26" s="363"/>
      <c r="J26" s="364"/>
    </row>
    <row r="27" spans="1:10" s="46" customFormat="1" ht="15">
      <c r="A27" s="66"/>
      <c r="B27" s="198" t="str">
        <f>$B$4</f>
        <v>25 Standard</v>
      </c>
      <c r="C27" s="199" t="str">
        <f>+C4</f>
        <v>23 Actual</v>
      </c>
      <c r="D27" s="200" t="str">
        <f>+D4</f>
        <v>20 Standard</v>
      </c>
      <c r="E27" s="218" t="s">
        <v>113</v>
      </c>
      <c r="F27" s="327" t="s">
        <v>114</v>
      </c>
      <c r="G27" s="219" t="s">
        <v>111</v>
      </c>
      <c r="H27" s="143" t="str">
        <f>+B27</f>
        <v>25 Standard</v>
      </c>
      <c r="I27" s="144" t="str">
        <f>+C27</f>
        <v>23 Actual</v>
      </c>
      <c r="J27" s="145" t="str">
        <f>+D27</f>
        <v>20 Standard</v>
      </c>
    </row>
    <row r="28" spans="1:10" s="46" customFormat="1">
      <c r="A28" s="66"/>
      <c r="B28" s="201"/>
      <c r="C28" s="202" t="s">
        <v>89</v>
      </c>
      <c r="D28" s="203"/>
      <c r="E28" s="201"/>
      <c r="F28" s="202" t="s">
        <v>102</v>
      </c>
      <c r="G28" s="203"/>
      <c r="H28" s="146"/>
      <c r="I28" s="137"/>
      <c r="J28" s="115"/>
    </row>
    <row r="29" spans="1:10">
      <c r="A29" s="30" t="s">
        <v>50</v>
      </c>
      <c r="B29" s="204">
        <f>D82</f>
        <v>6.5965817666666662E-2</v>
      </c>
      <c r="C29" s="192">
        <v>0</v>
      </c>
      <c r="D29" s="205">
        <v>0</v>
      </c>
      <c r="E29" s="192">
        <f>IF(E47&lt;&gt;0,$L$96,0)</f>
        <v>7.0852831853116985E-2</v>
      </c>
      <c r="F29" s="192">
        <v>7.8E-2</v>
      </c>
      <c r="G29" s="205">
        <v>6.0259679999999996E-2</v>
      </c>
      <c r="H29" s="138">
        <v>0</v>
      </c>
      <c r="I29" s="24">
        <v>0</v>
      </c>
      <c r="J29" s="94">
        <v>0</v>
      </c>
    </row>
    <row r="30" spans="1:10">
      <c r="A30" s="30" t="s">
        <v>27</v>
      </c>
      <c r="B30" s="204">
        <f>D169</f>
        <v>0</v>
      </c>
      <c r="C30" s="192">
        <v>0</v>
      </c>
      <c r="D30" s="205">
        <v>0</v>
      </c>
      <c r="E30" s="192">
        <f>IF(E47&lt;&gt;0,$G$169,0)</f>
        <v>4.3918811483700915E-2</v>
      </c>
      <c r="F30" s="192">
        <v>4.3200000000000002E-2</v>
      </c>
      <c r="G30" s="205">
        <v>2.6879417927194393E-2</v>
      </c>
      <c r="H30" s="138">
        <v>0</v>
      </c>
      <c r="I30" s="24">
        <v>0</v>
      </c>
      <c r="J30" s="94">
        <v>0</v>
      </c>
    </row>
    <row r="31" spans="1:10">
      <c r="A31" s="6" t="s">
        <v>49</v>
      </c>
      <c r="B31" s="204">
        <f>D170</f>
        <v>0</v>
      </c>
      <c r="C31" s="192">
        <v>0</v>
      </c>
      <c r="D31" s="205">
        <v>0</v>
      </c>
      <c r="E31" s="192">
        <f>IF(E47&lt;&gt;0,$G$170,0)</f>
        <v>2.5999999999999999E-2</v>
      </c>
      <c r="F31" s="192">
        <v>1.9E-2</v>
      </c>
      <c r="G31" s="205">
        <v>2.8566999999999999E-2</v>
      </c>
      <c r="H31" s="138">
        <f>J170</f>
        <v>0</v>
      </c>
      <c r="I31" s="24">
        <v>0</v>
      </c>
      <c r="J31" s="94">
        <v>0</v>
      </c>
    </row>
    <row r="32" spans="1:10">
      <c r="A32" s="30" t="s">
        <v>48</v>
      </c>
      <c r="B32" s="204">
        <f>IF($B$47&lt;&gt;0,$H$177,0)</f>
        <v>0</v>
      </c>
      <c r="C32" s="192">
        <v>0</v>
      </c>
      <c r="D32" s="205">
        <v>0</v>
      </c>
      <c r="E32" s="192">
        <f>IF(E47&lt;&gt;0,$H$177,0)</f>
        <v>0.03</v>
      </c>
      <c r="F32" s="192">
        <v>2.98E-2</v>
      </c>
      <c r="G32" s="205">
        <v>2.7777777777777776E-2</v>
      </c>
      <c r="H32" s="138">
        <v>0</v>
      </c>
      <c r="I32" s="24">
        <v>0</v>
      </c>
      <c r="J32" s="94">
        <v>0</v>
      </c>
    </row>
    <row r="33" spans="1:13">
      <c r="A33" s="30" t="s">
        <v>47</v>
      </c>
      <c r="B33" s="204">
        <f>IF($B$47&lt;&gt;0,$H$181,0)</f>
        <v>0</v>
      </c>
      <c r="C33" s="192">
        <v>0</v>
      </c>
      <c r="D33" s="205">
        <v>0</v>
      </c>
      <c r="E33" s="192">
        <f>IF(E47&lt;&gt;0,$H$181,0)</f>
        <v>5.5102040816326532E-3</v>
      </c>
      <c r="F33" s="192">
        <v>1.1999999999999999E-3</v>
      </c>
      <c r="G33" s="205">
        <v>6.9444444444444441E-3</v>
      </c>
      <c r="H33" s="138">
        <v>0</v>
      </c>
      <c r="I33" s="24">
        <v>0</v>
      </c>
      <c r="J33" s="94">
        <v>0</v>
      </c>
      <c r="K33" s="24"/>
      <c r="L33" s="24"/>
    </row>
    <row r="34" spans="1:13" ht="15">
      <c r="A34" s="30" t="s">
        <v>46</v>
      </c>
      <c r="B34" s="206">
        <f>IF($B$47&lt;&gt;0,$H$184,0)</f>
        <v>0</v>
      </c>
      <c r="C34" s="207">
        <v>0</v>
      </c>
      <c r="D34" s="208">
        <v>0</v>
      </c>
      <c r="E34" s="207">
        <f>IF(E47&lt;&gt;0,$H$184,0)</f>
        <v>1.1224489795918367E-2</v>
      </c>
      <c r="F34" s="207">
        <v>1.3899999999999999E-2</v>
      </c>
      <c r="G34" s="208">
        <v>1.2500000000000001E-2</v>
      </c>
      <c r="H34" s="139">
        <v>0</v>
      </c>
      <c r="I34" s="67">
        <v>0</v>
      </c>
      <c r="J34" s="95">
        <v>0</v>
      </c>
      <c r="K34" s="67"/>
      <c r="L34" s="67"/>
    </row>
    <row r="35" spans="1:13">
      <c r="A35" s="30" t="s">
        <v>45</v>
      </c>
      <c r="B35" s="204">
        <f>SUM(B29:B34)</f>
        <v>6.5965817666666662E-2</v>
      </c>
      <c r="C35" s="192">
        <f t="shared" ref="C35:D35" si="6">SUM(C29:C34)</f>
        <v>0</v>
      </c>
      <c r="D35" s="192">
        <f t="shared" si="6"/>
        <v>0</v>
      </c>
      <c r="E35" s="192">
        <f t="shared" ref="E35" si="7">SUM(E29:E34)</f>
        <v>0.18750633721436893</v>
      </c>
      <c r="F35" s="192">
        <f>SUM(F29:F34)</f>
        <v>0.18509999999999999</v>
      </c>
      <c r="G35" s="192">
        <f>SUM(G29:G34)</f>
        <v>0.16292832014941663</v>
      </c>
      <c r="H35" s="138">
        <f>SUM(H29:H34)</f>
        <v>0</v>
      </c>
      <c r="I35" s="24">
        <f t="shared" ref="I35" si="8">SUM(I29:I34)</f>
        <v>0</v>
      </c>
      <c r="J35" s="94">
        <f>SUM(J29:J34)</f>
        <v>0</v>
      </c>
      <c r="K35" s="24"/>
      <c r="L35" s="24"/>
    </row>
    <row r="36" spans="1:13">
      <c r="A36" s="30"/>
      <c r="B36" s="204"/>
      <c r="C36" s="192"/>
      <c r="D36" s="205"/>
      <c r="E36" s="204"/>
      <c r="F36" s="192"/>
      <c r="G36" s="205"/>
      <c r="H36" s="138"/>
      <c r="I36" s="24"/>
      <c r="J36" s="94"/>
      <c r="K36" s="24"/>
      <c r="L36" s="24"/>
    </row>
    <row r="37" spans="1:13">
      <c r="A37" s="30" t="s">
        <v>31</v>
      </c>
      <c r="B37" s="204">
        <f>$D$124*$E$108/$B$49/1000</f>
        <v>9.3026761418853253E-4</v>
      </c>
      <c r="C37" s="192">
        <v>0</v>
      </c>
      <c r="D37" s="205">
        <v>0</v>
      </c>
      <c r="E37" s="192">
        <f>IF($E$47&lt;&gt;0,$F$127/$E$47/1000,0)</f>
        <v>4.0001507410106898E-2</v>
      </c>
      <c r="F37" s="192">
        <v>3.5299999999999998E-2</v>
      </c>
      <c r="G37" s="205">
        <v>2.1569210091743118E-2</v>
      </c>
      <c r="H37" s="138">
        <v>0</v>
      </c>
      <c r="I37" s="24">
        <v>0</v>
      </c>
      <c r="J37" s="94">
        <v>0</v>
      </c>
      <c r="K37" s="24"/>
      <c r="L37" s="24"/>
    </row>
    <row r="38" spans="1:13">
      <c r="A38" s="30" t="s">
        <v>44</v>
      </c>
      <c r="B38" s="204">
        <f>$H$124*$E$108/$B$49/1000</f>
        <v>0</v>
      </c>
      <c r="C38" s="192">
        <v>0</v>
      </c>
      <c r="D38" s="205">
        <v>0</v>
      </c>
      <c r="E38" s="192">
        <f>IF($E$47&lt;&gt;0,$F$128/$E$47/1000,0)</f>
        <v>4.806117346938775E-3</v>
      </c>
      <c r="F38" s="192">
        <v>6.7000000000000002E-3</v>
      </c>
      <c r="G38" s="205">
        <v>5.1700857142857144E-3</v>
      </c>
      <c r="H38" s="138">
        <v>0</v>
      </c>
      <c r="I38" s="24">
        <v>0</v>
      </c>
      <c r="J38" s="94">
        <v>0</v>
      </c>
      <c r="K38" s="24"/>
      <c r="L38" s="24"/>
    </row>
    <row r="39" spans="1:13">
      <c r="A39" s="30" t="s">
        <v>43</v>
      </c>
      <c r="B39" s="204">
        <f>$D$131*$E$108/$B$49/1000</f>
        <v>0</v>
      </c>
      <c r="C39" s="192">
        <v>0</v>
      </c>
      <c r="D39" s="205">
        <v>0</v>
      </c>
      <c r="E39" s="192">
        <f>IF($E$47&lt;&gt;0,$F$130/$E$47/1000,0)</f>
        <v>1.2994211179543245E-2</v>
      </c>
      <c r="F39" s="192">
        <v>1.12E-2</v>
      </c>
      <c r="G39" s="205">
        <v>8.0162316187989569E-3</v>
      </c>
      <c r="H39" s="138">
        <v>0</v>
      </c>
      <c r="I39" s="24">
        <v>0</v>
      </c>
      <c r="J39" s="94">
        <v>0</v>
      </c>
      <c r="K39" s="24"/>
      <c r="L39" s="24"/>
    </row>
    <row r="40" spans="1:13">
      <c r="A40" s="6" t="s">
        <v>5</v>
      </c>
      <c r="B40" s="204">
        <f>IF($B$49&lt;&gt;0,$F$194,0)</f>
        <v>0</v>
      </c>
      <c r="C40" s="192">
        <v>0</v>
      </c>
      <c r="D40" s="205">
        <v>0</v>
      </c>
      <c r="E40" s="192">
        <f>IF($E$47&lt;&gt;0,$F$129/$E$47/1000,0)</f>
        <v>0</v>
      </c>
      <c r="F40" s="192">
        <v>0</v>
      </c>
      <c r="G40" s="205">
        <v>4.7638888888888888E-4</v>
      </c>
      <c r="H40" s="138">
        <v>0</v>
      </c>
      <c r="I40" s="24">
        <v>0</v>
      </c>
      <c r="J40" s="94">
        <v>0</v>
      </c>
      <c r="K40" s="24"/>
      <c r="L40" s="24"/>
    </row>
    <row r="41" spans="1:13" ht="15">
      <c r="A41" s="6" t="s">
        <v>3</v>
      </c>
      <c r="B41" s="204">
        <f>IF($B$49&lt;&gt;0,$F$196,0)</f>
        <v>5.5866734693877554E-2</v>
      </c>
      <c r="C41" s="192">
        <v>0</v>
      </c>
      <c r="D41" s="205">
        <v>0</v>
      </c>
      <c r="E41" s="192">
        <f>IF($E$47&lt;&gt;0,$B$196/$B$49/1000/4,0)</f>
        <v>1.1638903061224491E-3</v>
      </c>
      <c r="F41" s="192">
        <v>8.5000000000000006E-3</v>
      </c>
      <c r="G41" s="205">
        <v>5.6777777777777781E-3</v>
      </c>
      <c r="H41" s="138">
        <v>0</v>
      </c>
      <c r="I41" s="24">
        <v>0</v>
      </c>
      <c r="J41" s="94">
        <v>0</v>
      </c>
      <c r="K41" s="67"/>
      <c r="L41" s="67"/>
    </row>
    <row r="42" spans="1:13" ht="15">
      <c r="A42" s="6" t="s">
        <v>4</v>
      </c>
      <c r="B42" s="206">
        <f>IF($B$49&lt;&gt;0,$F$195,0)</f>
        <v>0.23436734693877551</v>
      </c>
      <c r="C42" s="207">
        <v>0</v>
      </c>
      <c r="D42" s="208">
        <v>0</v>
      </c>
      <c r="E42" s="207">
        <f>IF($E$47&lt;&gt;0,$B$195/$B$49/1000/4,0)</f>
        <v>4.8826530612244897E-3</v>
      </c>
      <c r="F42" s="207">
        <v>3.6200000000000003E-2</v>
      </c>
      <c r="G42" s="208">
        <v>2.5861111111111109E-2</v>
      </c>
      <c r="H42" s="139">
        <v>0</v>
      </c>
      <c r="I42" s="67">
        <v>0</v>
      </c>
      <c r="J42" s="95">
        <v>0</v>
      </c>
      <c r="K42" s="24"/>
      <c r="L42" s="24"/>
    </row>
    <row r="43" spans="1:13">
      <c r="A43" s="30" t="s">
        <v>42</v>
      </c>
      <c r="B43" s="204">
        <f t="shared" ref="B43:J43" si="9">SUM(B37:B42)</f>
        <v>0.29116434924684159</v>
      </c>
      <c r="C43" s="192">
        <f t="shared" si="9"/>
        <v>0</v>
      </c>
      <c r="D43" s="192">
        <f t="shared" si="9"/>
        <v>0</v>
      </c>
      <c r="E43" s="192">
        <f t="shared" ref="E43" si="10">SUM(E37:E42)</f>
        <v>6.3848379303935859E-2</v>
      </c>
      <c r="F43" s="192">
        <f>SUM(F37:F42)</f>
        <v>9.7900000000000001E-2</v>
      </c>
      <c r="G43" s="192">
        <f t="shared" si="9"/>
        <v>6.6770805202605574E-2</v>
      </c>
      <c r="H43" s="138">
        <f t="shared" si="9"/>
        <v>0</v>
      </c>
      <c r="I43" s="24">
        <f t="shared" si="9"/>
        <v>0</v>
      </c>
      <c r="J43" s="94">
        <f t="shared" si="9"/>
        <v>0</v>
      </c>
      <c r="K43" s="24"/>
      <c r="L43" s="24"/>
    </row>
    <row r="44" spans="1:13">
      <c r="A44" s="76" t="s">
        <v>112</v>
      </c>
      <c r="B44" s="204"/>
      <c r="C44" s="192"/>
      <c r="D44" s="205"/>
      <c r="E44" s="328"/>
      <c r="F44" s="328">
        <v>-4.5499999999999999E-2</v>
      </c>
      <c r="G44" s="205"/>
      <c r="H44" s="138"/>
      <c r="I44" s="24"/>
      <c r="J44" s="94"/>
      <c r="K44" s="24"/>
      <c r="L44" s="24"/>
    </row>
    <row r="45" spans="1:13">
      <c r="A45" s="30" t="s">
        <v>41</v>
      </c>
      <c r="B45" s="209">
        <f>B35+B43</f>
        <v>0.35713016691350824</v>
      </c>
      <c r="C45" s="210">
        <f t="shared" ref="C45:J45" si="11">C35+C43</f>
        <v>0</v>
      </c>
      <c r="D45" s="211">
        <v>0.19962945623832437</v>
      </c>
      <c r="E45" s="210">
        <f>E35+E43+E44</f>
        <v>0.25135471651830477</v>
      </c>
      <c r="F45" s="210">
        <f>F35+F43+F44</f>
        <v>0.23749999999999999</v>
      </c>
      <c r="G45" s="211">
        <f>+G35+G43</f>
        <v>0.22969912535202219</v>
      </c>
      <c r="H45" s="140">
        <f t="shared" si="11"/>
        <v>0</v>
      </c>
      <c r="I45" s="124">
        <f t="shared" si="11"/>
        <v>0</v>
      </c>
      <c r="J45" s="125">
        <f t="shared" si="11"/>
        <v>0</v>
      </c>
      <c r="K45" s="116"/>
      <c r="L45" s="116">
        <f>E45-0.245</f>
        <v>6.3547165183047705E-3</v>
      </c>
      <c r="M45" s="1">
        <f>E47*1000*L45</f>
        <v>31138.110939693375</v>
      </c>
    </row>
    <row r="46" spans="1:13">
      <c r="A46" s="6"/>
      <c r="B46" s="212"/>
      <c r="C46" s="213"/>
      <c r="D46" s="214"/>
      <c r="E46" s="212"/>
      <c r="F46" s="213"/>
      <c r="G46" s="214"/>
      <c r="H46" s="141"/>
      <c r="I46" s="24"/>
      <c r="J46" s="94"/>
      <c r="K46" s="47"/>
      <c r="L46" s="47"/>
      <c r="M46" s="1">
        <f>M45/12</f>
        <v>2594.8425783077814</v>
      </c>
    </row>
    <row r="47" spans="1:13">
      <c r="A47" s="25" t="s">
        <v>40</v>
      </c>
      <c r="B47" s="215">
        <f>+B57</f>
        <v>0</v>
      </c>
      <c r="C47" s="216">
        <v>0</v>
      </c>
      <c r="D47" s="217">
        <v>0</v>
      </c>
      <c r="E47" s="215">
        <f>+B58</f>
        <v>4900</v>
      </c>
      <c r="F47" s="216">
        <v>15776</v>
      </c>
      <c r="G47" s="217">
        <v>36000</v>
      </c>
      <c r="H47" s="142">
        <f>+B59</f>
        <v>0</v>
      </c>
      <c r="I47" s="112">
        <v>0</v>
      </c>
      <c r="J47" s="147">
        <v>0</v>
      </c>
      <c r="K47" s="117"/>
      <c r="L47" s="117"/>
      <c r="M47" s="251"/>
    </row>
    <row r="49" spans="1:12">
      <c r="A49" s="68" t="s">
        <v>39</v>
      </c>
      <c r="B49" s="114">
        <f>B24+E24+H24+B47+E47+H47</f>
        <v>4900</v>
      </c>
      <c r="C49" s="126">
        <f>C24+F24+I24+C47+F47+I47</f>
        <v>15776</v>
      </c>
      <c r="D49" s="127">
        <f>D24+G24+J24+D47+G47+J47</f>
        <v>116000</v>
      </c>
      <c r="E49" s="113"/>
    </row>
    <row r="50" spans="1:12"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>
      <c r="A51" s="54" t="s">
        <v>38</v>
      </c>
      <c r="B51" s="365" t="s">
        <v>37</v>
      </c>
      <c r="C51" s="365"/>
      <c r="D51" s="365"/>
      <c r="E51" s="365"/>
      <c r="F51" s="365"/>
      <c r="G51" s="365"/>
      <c r="H51" s="365"/>
      <c r="I51" s="365"/>
      <c r="J51" s="365"/>
      <c r="K51" s="365"/>
      <c r="L51" s="12"/>
    </row>
    <row r="52" spans="1:12">
      <c r="A52" s="30"/>
      <c r="L52" s="12"/>
    </row>
    <row r="53" spans="1:12" ht="15">
      <c r="A53" s="82" t="s">
        <v>61</v>
      </c>
      <c r="B53" s="45" t="s">
        <v>62</v>
      </c>
      <c r="C53" s="45" t="s">
        <v>64</v>
      </c>
      <c r="D53" s="185"/>
      <c r="E53" s="5"/>
      <c r="F53" s="45"/>
      <c r="G53" s="5"/>
      <c r="H53" s="5"/>
      <c r="L53" s="12"/>
    </row>
    <row r="54" spans="1:12" ht="15">
      <c r="A54" s="30" t="s">
        <v>95</v>
      </c>
      <c r="B54" s="120">
        <f>'2025 Summary'!$D$15</f>
        <v>0</v>
      </c>
      <c r="C54" s="129">
        <f>B54/$B$60</f>
        <v>0</v>
      </c>
      <c r="D54" s="32"/>
      <c r="E54" s="5">
        <f>9*400000*7</f>
        <v>25200000</v>
      </c>
      <c r="F54" s="44"/>
      <c r="G54" s="5" t="s">
        <v>20</v>
      </c>
      <c r="H54" s="121"/>
      <c r="L54" s="12"/>
    </row>
    <row r="55" spans="1:12" ht="15">
      <c r="A55" s="30" t="s">
        <v>96</v>
      </c>
      <c r="B55" s="120">
        <v>0</v>
      </c>
      <c r="C55" s="129">
        <f t="shared" ref="C55:C60" si="12">B55/$B$60</f>
        <v>0</v>
      </c>
      <c r="D55" s="32"/>
      <c r="E55" s="5"/>
      <c r="F55" s="44"/>
      <c r="G55" s="5" t="s">
        <v>20</v>
      </c>
      <c r="H55" s="121"/>
      <c r="L55" s="12"/>
    </row>
    <row r="56" spans="1:12" ht="15">
      <c r="A56" s="30" t="s">
        <v>97</v>
      </c>
      <c r="B56" s="120">
        <v>0</v>
      </c>
      <c r="C56" s="129">
        <f t="shared" si="12"/>
        <v>0</v>
      </c>
      <c r="D56" s="32"/>
      <c r="E56" s="5"/>
      <c r="F56" s="5"/>
      <c r="G56" s="5"/>
      <c r="H56" s="5"/>
      <c r="L56" s="12"/>
    </row>
    <row r="57" spans="1:12" ht="15">
      <c r="A57" s="30" t="s">
        <v>92</v>
      </c>
      <c r="B57" s="120">
        <v>0</v>
      </c>
      <c r="C57" s="129">
        <f t="shared" si="12"/>
        <v>0</v>
      </c>
      <c r="D57" s="32"/>
      <c r="E57" s="5"/>
      <c r="F57" s="5"/>
      <c r="G57" s="5"/>
      <c r="H57" s="5"/>
      <c r="L57" s="12"/>
    </row>
    <row r="58" spans="1:12" ht="15">
      <c r="A58" s="30" t="s">
        <v>90</v>
      </c>
      <c r="B58" s="103">
        <f>'2025 Summary'!$E$15</f>
        <v>4900</v>
      </c>
      <c r="C58" s="129">
        <f t="shared" si="12"/>
        <v>1</v>
      </c>
      <c r="D58" s="32"/>
      <c r="E58" s="5"/>
      <c r="F58" s="5"/>
      <c r="G58" s="5"/>
      <c r="H58" s="5"/>
      <c r="L58" s="12"/>
    </row>
    <row r="59" spans="1:12" ht="15">
      <c r="A59" s="30" t="s">
        <v>20</v>
      </c>
      <c r="B59" s="120">
        <v>0</v>
      </c>
      <c r="C59" s="130">
        <f t="shared" si="12"/>
        <v>0</v>
      </c>
      <c r="D59" s="32"/>
      <c r="E59" s="5"/>
      <c r="F59" s="5"/>
      <c r="G59" s="5"/>
      <c r="H59" s="5"/>
      <c r="L59" s="12"/>
    </row>
    <row r="60" spans="1:12">
      <c r="A60" s="83" t="s">
        <v>65</v>
      </c>
      <c r="B60" s="112">
        <f>SUM(B54:B59)</f>
        <v>4900</v>
      </c>
      <c r="C60" s="188">
        <f t="shared" si="12"/>
        <v>1</v>
      </c>
      <c r="D60" s="75"/>
      <c r="E60" s="53"/>
      <c r="F60" s="53"/>
      <c r="G60" s="53"/>
      <c r="H60" s="53"/>
      <c r="I60" s="10"/>
      <c r="J60" s="10"/>
      <c r="K60" s="10"/>
      <c r="L60" s="9"/>
    </row>
    <row r="61" spans="1:12">
      <c r="A61" s="16"/>
      <c r="B61" s="5"/>
      <c r="C61" s="5"/>
      <c r="D61" s="5"/>
      <c r="E61" s="5"/>
      <c r="F61" s="5"/>
      <c r="G61" s="5"/>
      <c r="H61" s="122"/>
      <c r="L61" s="12"/>
    </row>
    <row r="62" spans="1:12" ht="15" customHeight="1">
      <c r="A62" s="16"/>
      <c r="B62" s="5"/>
      <c r="C62" s="366" t="s">
        <v>35</v>
      </c>
      <c r="D62" s="366"/>
      <c r="E62" s="366"/>
      <c r="F62" s="366"/>
      <c r="G62" s="367" t="s">
        <v>60</v>
      </c>
      <c r="H62" s="367"/>
      <c r="I62" s="367"/>
      <c r="J62" s="367"/>
      <c r="K62" s="367"/>
      <c r="L62" s="233"/>
    </row>
    <row r="63" spans="1:12" s="36" customFormat="1" ht="15">
      <c r="A63" s="229" t="s">
        <v>66</v>
      </c>
      <c r="B63" s="101" t="s">
        <v>36</v>
      </c>
      <c r="C63" s="184" t="s">
        <v>95</v>
      </c>
      <c r="D63" s="197" t="s">
        <v>96</v>
      </c>
      <c r="E63" s="197" t="s">
        <v>97</v>
      </c>
      <c r="F63" s="197" t="s">
        <v>92</v>
      </c>
      <c r="G63" s="197" t="s">
        <v>98</v>
      </c>
      <c r="H63" s="184" t="s">
        <v>95</v>
      </c>
      <c r="I63" s="197" t="s">
        <v>96</v>
      </c>
      <c r="J63" s="197" t="s">
        <v>97</v>
      </c>
      <c r="K63" s="185" t="s">
        <v>92</v>
      </c>
      <c r="L63" s="197" t="s">
        <v>98</v>
      </c>
    </row>
    <row r="64" spans="1:12" s="36" customFormat="1" ht="15">
      <c r="A64" s="136" t="s">
        <v>71</v>
      </c>
      <c r="B64" s="235">
        <f>11.89*2</f>
        <v>23.78</v>
      </c>
      <c r="C64" s="248">
        <f>$C$76*H64</f>
        <v>0</v>
      </c>
      <c r="D64" s="248">
        <f>$C$86*I64</f>
        <v>0</v>
      </c>
      <c r="E64" s="248">
        <f>$G$86*J64</f>
        <v>0</v>
      </c>
      <c r="F64" s="248">
        <f>$K$86*K64</f>
        <v>0</v>
      </c>
      <c r="G64" s="109">
        <f>$K$86*L64</f>
        <v>0</v>
      </c>
      <c r="H64" s="246">
        <v>0</v>
      </c>
      <c r="I64" s="246">
        <v>0</v>
      </c>
      <c r="J64" s="246">
        <v>0</v>
      </c>
      <c r="K64" s="247">
        <v>0</v>
      </c>
      <c r="L64" s="187">
        <v>0</v>
      </c>
    </row>
    <row r="65" spans="1:12" s="36" customFormat="1" ht="15">
      <c r="A65" s="136"/>
      <c r="B65" s="120">
        <v>0</v>
      </c>
      <c r="C65" s="249">
        <f>$C$76*H65</f>
        <v>0</v>
      </c>
      <c r="D65" s="249">
        <f>$C$86*I65</f>
        <v>0</v>
      </c>
      <c r="E65" s="249">
        <f>$G$86*J65</f>
        <v>0</v>
      </c>
      <c r="F65" s="249">
        <f>$K$86*K65</f>
        <v>0</v>
      </c>
      <c r="G65" s="111">
        <f>$K$86*L65</f>
        <v>0</v>
      </c>
      <c r="H65" s="246">
        <v>0</v>
      </c>
      <c r="I65" s="246">
        <v>0</v>
      </c>
      <c r="J65" s="246">
        <v>0</v>
      </c>
      <c r="K65" s="247">
        <v>0</v>
      </c>
      <c r="L65" s="187">
        <v>0</v>
      </c>
    </row>
    <row r="66" spans="1:12" s="36" customFormat="1">
      <c r="A66" s="136"/>
      <c r="B66" s="42"/>
      <c r="C66" s="109">
        <f>SUM(C64:C65)</f>
        <v>0</v>
      </c>
      <c r="D66" s="109">
        <f>SUM(D64:D65)</f>
        <v>0</v>
      </c>
      <c r="E66" s="109">
        <f>SUM(E64:E65)</f>
        <v>0</v>
      </c>
      <c r="F66" s="109">
        <f>SUM(F64:F65)</f>
        <v>0</v>
      </c>
      <c r="G66" s="109">
        <f>SUM(G64:G65)</f>
        <v>0</v>
      </c>
      <c r="H66" s="80"/>
      <c r="I66" s="80"/>
      <c r="J66" s="80"/>
      <c r="K66" s="110"/>
      <c r="L66" s="110"/>
    </row>
    <row r="67" spans="1:12" s="36" customFormat="1">
      <c r="A67" s="230" t="s">
        <v>70</v>
      </c>
      <c r="B67" s="42"/>
      <c r="C67" s="109"/>
      <c r="D67" s="109"/>
      <c r="E67" s="109"/>
      <c r="F67" s="109"/>
      <c r="G67" s="109"/>
      <c r="H67" s="80"/>
      <c r="I67" s="80"/>
      <c r="J67" s="80"/>
      <c r="K67" s="110"/>
      <c r="L67" s="110"/>
    </row>
    <row r="68" spans="1:12" s="36" customFormat="1" ht="15">
      <c r="A68" s="136" t="s">
        <v>99</v>
      </c>
      <c r="B68" s="235">
        <v>0</v>
      </c>
      <c r="C68" s="248">
        <f>$C$77*H68</f>
        <v>0</v>
      </c>
      <c r="D68" s="248">
        <f>$C$87*I68</f>
        <v>0</v>
      </c>
      <c r="E68" s="248">
        <f>$G$87*J68</f>
        <v>0</v>
      </c>
      <c r="F68" s="248">
        <f t="shared" ref="F68:G71" si="13">$K$87*K68</f>
        <v>0</v>
      </c>
      <c r="G68" s="109">
        <f t="shared" si="13"/>
        <v>0</v>
      </c>
      <c r="H68" s="246">
        <v>0</v>
      </c>
      <c r="I68" s="246">
        <v>0</v>
      </c>
      <c r="J68" s="246">
        <v>0</v>
      </c>
      <c r="K68" s="247">
        <v>0</v>
      </c>
      <c r="L68" s="187">
        <v>0</v>
      </c>
    </row>
    <row r="69" spans="1:12" s="36" customFormat="1" ht="15">
      <c r="A69" s="136" t="s">
        <v>100</v>
      </c>
      <c r="B69" s="235">
        <f>116.72*2</f>
        <v>233.44</v>
      </c>
      <c r="C69" s="248">
        <f>$C$77*H69</f>
        <v>0</v>
      </c>
      <c r="D69" s="248">
        <f>$C$87*I69</f>
        <v>0</v>
      </c>
      <c r="E69" s="248">
        <f>$G$87*J69</f>
        <v>0</v>
      </c>
      <c r="F69" s="248">
        <f t="shared" si="13"/>
        <v>0</v>
      </c>
      <c r="G69" s="109">
        <f t="shared" si="13"/>
        <v>0</v>
      </c>
      <c r="H69" s="246">
        <v>0</v>
      </c>
      <c r="I69" s="246">
        <v>0</v>
      </c>
      <c r="J69" s="246">
        <v>0</v>
      </c>
      <c r="K69" s="247">
        <v>0</v>
      </c>
      <c r="L69" s="187">
        <v>0</v>
      </c>
    </row>
    <row r="70" spans="1:12" s="36" customFormat="1" ht="15">
      <c r="A70" s="136" t="s">
        <v>20</v>
      </c>
      <c r="B70" s="120">
        <v>0</v>
      </c>
      <c r="C70" s="248">
        <v>0</v>
      </c>
      <c r="D70" s="248">
        <f>$C$87*I70</f>
        <v>0</v>
      </c>
      <c r="E70" s="248">
        <f>$G$87*J70</f>
        <v>0</v>
      </c>
      <c r="F70" s="248">
        <f t="shared" si="13"/>
        <v>0</v>
      </c>
      <c r="G70" s="109">
        <f t="shared" si="13"/>
        <v>0</v>
      </c>
      <c r="H70" s="246">
        <v>0</v>
      </c>
      <c r="I70" s="246">
        <v>0</v>
      </c>
      <c r="J70" s="246">
        <v>0</v>
      </c>
      <c r="K70" s="247">
        <v>0</v>
      </c>
      <c r="L70" s="187">
        <v>0</v>
      </c>
    </row>
    <row r="71" spans="1:12" s="36" customFormat="1" ht="15">
      <c r="A71" s="136"/>
      <c r="B71" s="120">
        <v>0</v>
      </c>
      <c r="C71" s="249">
        <v>0</v>
      </c>
      <c r="D71" s="249">
        <f>$C$87*I71</f>
        <v>0</v>
      </c>
      <c r="E71" s="249">
        <f>$G$87*J71</f>
        <v>0</v>
      </c>
      <c r="F71" s="249">
        <f t="shared" si="13"/>
        <v>0</v>
      </c>
      <c r="G71" s="111">
        <f t="shared" si="13"/>
        <v>0</v>
      </c>
      <c r="H71" s="246">
        <v>0</v>
      </c>
      <c r="I71" s="246">
        <v>0</v>
      </c>
      <c r="J71" s="246">
        <v>0</v>
      </c>
      <c r="K71" s="247">
        <v>0</v>
      </c>
      <c r="L71" s="187">
        <v>0</v>
      </c>
    </row>
    <row r="72" spans="1:12" s="36" customFormat="1">
      <c r="A72" s="148"/>
      <c r="B72" s="42"/>
      <c r="C72" s="109">
        <f>SUM(C68:C71)</f>
        <v>0</v>
      </c>
      <c r="D72" s="109">
        <f>SUM(D68:D71)</f>
        <v>0</v>
      </c>
      <c r="E72" s="109">
        <f>SUM(E68:E71)</f>
        <v>0</v>
      </c>
      <c r="F72" s="109">
        <f>SUM(F68:F71)</f>
        <v>0</v>
      </c>
      <c r="G72" s="109">
        <f>SUM(G68:G71)</f>
        <v>0</v>
      </c>
      <c r="H72" s="80"/>
      <c r="I72" s="80"/>
      <c r="L72" s="119"/>
    </row>
    <row r="73" spans="1:12" s="36" customFormat="1">
      <c r="A73" s="148"/>
      <c r="B73" s="42"/>
      <c r="C73" s="109"/>
      <c r="D73" s="109"/>
      <c r="E73" s="109"/>
      <c r="F73" s="80"/>
      <c r="G73" s="80"/>
      <c r="H73" s="80"/>
      <c r="I73" s="80"/>
      <c r="L73" s="119"/>
    </row>
    <row r="74" spans="1:12" s="36" customFormat="1" ht="15">
      <c r="A74" s="6"/>
      <c r="B74" s="354" t="s">
        <v>95</v>
      </c>
      <c r="C74" s="354"/>
      <c r="D74" s="354"/>
      <c r="E74" s="37"/>
      <c r="F74" s="354" t="s">
        <v>96</v>
      </c>
      <c r="G74" s="354"/>
      <c r="H74" s="354"/>
      <c r="I74" s="185"/>
      <c r="L74" s="119"/>
    </row>
    <row r="75" spans="1:12" s="36" customFormat="1" ht="15" customHeight="1">
      <c r="A75" s="229"/>
      <c r="B75" s="278" t="s">
        <v>34</v>
      </c>
      <c r="C75" s="279" t="s">
        <v>35</v>
      </c>
      <c r="D75" s="35" t="s">
        <v>63</v>
      </c>
      <c r="E75" s="37"/>
      <c r="F75" s="35" t="s">
        <v>34</v>
      </c>
      <c r="G75" s="41" t="s">
        <v>35</v>
      </c>
      <c r="H75" s="35" t="s">
        <v>63</v>
      </c>
      <c r="I75" s="35"/>
      <c r="L75" s="119"/>
    </row>
    <row r="76" spans="1:12" s="36" customFormat="1" ht="15">
      <c r="A76" s="30" t="s">
        <v>66</v>
      </c>
      <c r="B76" s="280">
        <f>0.011</f>
        <v>1.0999999999999999E-2</v>
      </c>
      <c r="C76" s="242">
        <f>AVERAGE(3.6826,3.5997, 2.6808)</f>
        <v>3.3210333333333328</v>
      </c>
      <c r="D76" s="33">
        <f>B76*C76</f>
        <v>3.6531366666666662E-2</v>
      </c>
      <c r="F76" s="73">
        <v>0</v>
      </c>
      <c r="G76" s="118">
        <v>0</v>
      </c>
      <c r="H76" s="33">
        <f>F76*G76</f>
        <v>0</v>
      </c>
      <c r="I76" s="33"/>
      <c r="L76" s="119"/>
    </row>
    <row r="77" spans="1:12" s="36" customFormat="1" ht="15">
      <c r="A77" s="231" t="s">
        <v>69</v>
      </c>
      <c r="B77" s="272">
        <f>($B$68*$H$68+$B$69*$H$69+$B$70*$H$70+$B$71*$H$71)/2000</f>
        <v>0</v>
      </c>
      <c r="C77" s="242">
        <v>0</v>
      </c>
      <c r="D77" s="52">
        <f>B77*C77</f>
        <v>0</v>
      </c>
      <c r="F77" s="24">
        <f>($B$68*$L$68+$B$69*$L$69+$B$70*$L$70+$B$71*$L$71)/2000</f>
        <v>0</v>
      </c>
      <c r="G77" s="118">
        <v>0</v>
      </c>
      <c r="H77" s="52">
        <f>F77*G77</f>
        <v>0</v>
      </c>
      <c r="I77" s="52"/>
      <c r="L77" s="228"/>
    </row>
    <row r="78" spans="1:12" s="36" customFormat="1" ht="15">
      <c r="A78" s="30" t="s">
        <v>104</v>
      </c>
      <c r="B78" s="281">
        <v>1.8380000000000001</v>
      </c>
      <c r="C78" s="242">
        <v>8.0999999999999996E-3</v>
      </c>
      <c r="D78" s="52">
        <f>B78*C78</f>
        <v>1.48878E-2</v>
      </c>
      <c r="F78" s="24">
        <f>+B78</f>
        <v>1.8380000000000001</v>
      </c>
      <c r="G78" s="118">
        <v>0</v>
      </c>
      <c r="H78" s="52">
        <f>F78*G78</f>
        <v>0</v>
      </c>
      <c r="I78" s="52"/>
      <c r="L78" s="119"/>
    </row>
    <row r="79" spans="1:12" s="36" customFormat="1" ht="15">
      <c r="A79" s="30" t="s">
        <v>105</v>
      </c>
      <c r="B79" s="272">
        <f>750/1000</f>
        <v>0.75</v>
      </c>
      <c r="C79" s="242">
        <v>1.61E-2</v>
      </c>
      <c r="D79" s="52">
        <f t="shared" ref="D79:D80" si="14">B79*C79</f>
        <v>1.2074999999999999E-2</v>
      </c>
      <c r="F79" s="24">
        <f>+B79</f>
        <v>0.75</v>
      </c>
      <c r="G79" s="118">
        <v>0</v>
      </c>
      <c r="H79" s="52"/>
      <c r="I79" s="52"/>
      <c r="L79" s="119"/>
    </row>
    <row r="80" spans="1:12" s="36" customFormat="1" ht="16.5">
      <c r="A80" s="30" t="s">
        <v>103</v>
      </c>
      <c r="B80" s="272">
        <f>157.43/1000</f>
        <v>0.15743000000000001</v>
      </c>
      <c r="C80" s="242">
        <v>1.5699999999999999E-2</v>
      </c>
      <c r="D80" s="52">
        <f t="shared" si="14"/>
        <v>2.4716510000000001E-3</v>
      </c>
      <c r="F80" s="24">
        <f>+B80</f>
        <v>0.15743000000000001</v>
      </c>
      <c r="G80" s="118">
        <v>0</v>
      </c>
      <c r="H80" s="40">
        <v>0</v>
      </c>
      <c r="I80" s="40"/>
      <c r="L80" s="119"/>
    </row>
    <row r="82" spans="1:12" s="36" customFormat="1">
      <c r="A82" s="76" t="s">
        <v>67</v>
      </c>
      <c r="B82" s="74"/>
      <c r="C82" s="39"/>
      <c r="D82" s="38">
        <f>SUM(D76:D80)</f>
        <v>6.5965817666666662E-2</v>
      </c>
      <c r="F82" s="74"/>
      <c r="G82" s="39"/>
      <c r="H82" s="38">
        <f>SUM(H76:H80)</f>
        <v>0</v>
      </c>
      <c r="I82" s="38"/>
      <c r="L82" s="119"/>
    </row>
    <row r="83" spans="1:12" s="36" customFormat="1">
      <c r="A83" s="30"/>
      <c r="E83" s="37"/>
      <c r="F83" s="43"/>
      <c r="G83" s="42"/>
      <c r="H83" s="42"/>
      <c r="I83" s="42"/>
      <c r="L83" s="119"/>
    </row>
    <row r="84" spans="1:12" ht="15">
      <c r="A84" s="6"/>
      <c r="B84" s="354" t="s">
        <v>97</v>
      </c>
      <c r="C84" s="354"/>
      <c r="D84" s="354"/>
      <c r="E84" s="5"/>
      <c r="F84" s="354" t="s">
        <v>92</v>
      </c>
      <c r="G84" s="354"/>
      <c r="H84" s="354"/>
      <c r="I84" s="185"/>
      <c r="J84" s="354" t="s">
        <v>98</v>
      </c>
      <c r="K84" s="354"/>
      <c r="L84" s="355"/>
    </row>
    <row r="85" spans="1:12" ht="28.9" customHeight="1">
      <c r="A85" s="6"/>
      <c r="B85" s="35" t="s">
        <v>34</v>
      </c>
      <c r="C85" s="196" t="s">
        <v>101</v>
      </c>
      <c r="D85" s="35" t="s">
        <v>63</v>
      </c>
      <c r="F85" s="35" t="s">
        <v>34</v>
      </c>
      <c r="G85" s="41" t="s">
        <v>35</v>
      </c>
      <c r="H85" s="35" t="s">
        <v>63</v>
      </c>
      <c r="I85" s="35"/>
      <c r="J85" s="35" t="s">
        <v>34</v>
      </c>
      <c r="K85" s="41" t="s">
        <v>35</v>
      </c>
      <c r="L85" s="34" t="s">
        <v>63</v>
      </c>
    </row>
    <row r="86" spans="1:12" ht="15">
      <c r="A86" s="232" t="s">
        <v>68</v>
      </c>
      <c r="B86" s="73">
        <f>($B$64*$I$64+$B$65*$I$65)/2000</f>
        <v>0</v>
      </c>
      <c r="C86" s="118">
        <v>0</v>
      </c>
      <c r="D86" s="33">
        <f>B86*C86</f>
        <v>0</v>
      </c>
      <c r="F86" s="73">
        <f>($B$64*$J$64+$B$65*$J$65)/2000</f>
        <v>0</v>
      </c>
      <c r="G86" s="118">
        <v>0</v>
      </c>
      <c r="H86" s="89">
        <f>F86*G86</f>
        <v>0</v>
      </c>
      <c r="I86" s="89"/>
      <c r="J86" s="73">
        <f>($B$64*$K$64+$B$65*$K$65)/2000</f>
        <v>0</v>
      </c>
      <c r="K86" s="118">
        <v>0</v>
      </c>
      <c r="L86" s="50">
        <f>J86*K86</f>
        <v>0</v>
      </c>
    </row>
    <row r="87" spans="1:12" ht="15">
      <c r="A87" s="6" t="s">
        <v>69</v>
      </c>
      <c r="B87" s="24">
        <f>($B$68*$I$68+$B$69*$I$69+$B$70*$I$70+$B$71*$I$71)/2000</f>
        <v>0</v>
      </c>
      <c r="C87" s="118">
        <v>0</v>
      </c>
      <c r="D87" s="13">
        <f t="shared" ref="D87:D92" si="15">B87*C87</f>
        <v>0</v>
      </c>
      <c r="F87" s="24">
        <f>($B$68*$J$68+$B$69*$J$69+$B$70*$J$70+$B$71*$J$71)/2000</f>
        <v>0</v>
      </c>
      <c r="G87" s="118">
        <v>0</v>
      </c>
      <c r="H87" s="100">
        <f t="shared" ref="H87:H92" si="16">F87*G87</f>
        <v>0</v>
      </c>
      <c r="I87" s="13"/>
      <c r="J87" s="24">
        <f>($B$68*$K$68+$B$69*$K$69+$B$70*$K$70+$B$71*$K$71)/2000</f>
        <v>0</v>
      </c>
      <c r="K87" s="118">
        <v>0</v>
      </c>
      <c r="L87" s="31">
        <f t="shared" ref="L87:L94" si="17">J87*K87</f>
        <v>0</v>
      </c>
    </row>
    <row r="88" spans="1:12" ht="16.5">
      <c r="A88" s="30" t="s">
        <v>104</v>
      </c>
      <c r="B88" s="47">
        <v>2.54</v>
      </c>
      <c r="C88" s="118">
        <v>0</v>
      </c>
      <c r="D88" s="13">
        <f t="shared" si="15"/>
        <v>0</v>
      </c>
      <c r="F88" s="24">
        <f>+B88</f>
        <v>2.54</v>
      </c>
      <c r="G88" s="118">
        <v>0</v>
      </c>
      <c r="H88" s="100">
        <f t="shared" si="16"/>
        <v>0</v>
      </c>
      <c r="I88" s="88"/>
      <c r="J88" s="272">
        <v>1.964</v>
      </c>
      <c r="K88" s="118">
        <v>2.0848163962425278E-2</v>
      </c>
      <c r="L88" s="190">
        <f t="shared" si="17"/>
        <v>4.0945794022203247E-2</v>
      </c>
    </row>
    <row r="89" spans="1:12" ht="16.5">
      <c r="A89" s="30" t="s">
        <v>105</v>
      </c>
      <c r="B89" s="24">
        <f>750/1000</f>
        <v>0.75</v>
      </c>
      <c r="C89" s="118">
        <v>0</v>
      </c>
      <c r="D89" s="13">
        <f t="shared" si="15"/>
        <v>0</v>
      </c>
      <c r="F89" s="24">
        <f>+B89</f>
        <v>0.75</v>
      </c>
      <c r="G89" s="118">
        <v>0</v>
      </c>
      <c r="H89" s="100">
        <f t="shared" si="16"/>
        <v>0</v>
      </c>
      <c r="I89" s="88"/>
      <c r="J89" s="272">
        <v>0.59099999999999997</v>
      </c>
      <c r="K89" s="118">
        <v>3.101451750640478E-3</v>
      </c>
      <c r="L89" s="190">
        <f t="shared" si="17"/>
        <v>1.8329579846285225E-3</v>
      </c>
    </row>
    <row r="90" spans="1:12" ht="16.5">
      <c r="A90" s="30" t="s">
        <v>103</v>
      </c>
      <c r="B90" s="24">
        <f>157.43/1000</f>
        <v>0.15743000000000001</v>
      </c>
      <c r="C90" s="118">
        <v>0</v>
      </c>
      <c r="D90" s="13">
        <f t="shared" si="15"/>
        <v>0</v>
      </c>
      <c r="F90" s="24">
        <f>+B90</f>
        <v>0.15743000000000001</v>
      </c>
      <c r="G90" s="118">
        <v>0</v>
      </c>
      <c r="H90" s="100">
        <f t="shared" si="16"/>
        <v>0</v>
      </c>
      <c r="I90" s="88"/>
      <c r="J90" s="272">
        <v>0.105</v>
      </c>
      <c r="K90" s="118">
        <v>0.1</v>
      </c>
      <c r="L90" s="190">
        <f t="shared" si="17"/>
        <v>1.0500000000000001E-2</v>
      </c>
    </row>
    <row r="91" spans="1:12" ht="16.5">
      <c r="A91" s="30" t="s">
        <v>106</v>
      </c>
      <c r="B91" s="24"/>
      <c r="C91" s="118">
        <v>0</v>
      </c>
      <c r="D91" s="13">
        <f t="shared" si="15"/>
        <v>0</v>
      </c>
      <c r="F91" s="24">
        <f>+B91</f>
        <v>0</v>
      </c>
      <c r="G91" s="118">
        <v>0</v>
      </c>
      <c r="H91" s="100">
        <f t="shared" si="16"/>
        <v>0</v>
      </c>
      <c r="I91" s="88"/>
      <c r="J91" s="272">
        <v>1.0269999999999999</v>
      </c>
      <c r="K91" s="118">
        <v>2.1752348420153713E-3</v>
      </c>
      <c r="L91" s="190">
        <f t="shared" si="17"/>
        <v>2.2339661827497862E-3</v>
      </c>
    </row>
    <row r="92" spans="1:12" ht="16.5">
      <c r="A92" s="30" t="s">
        <v>107</v>
      </c>
      <c r="B92" s="24"/>
      <c r="C92" s="118">
        <v>0</v>
      </c>
      <c r="D92" s="13">
        <f t="shared" si="15"/>
        <v>0</v>
      </c>
      <c r="F92" s="24">
        <f>+B92</f>
        <v>0</v>
      </c>
      <c r="G92" s="118">
        <v>0</v>
      </c>
      <c r="H92" s="100">
        <f t="shared" si="16"/>
        <v>0</v>
      </c>
      <c r="I92" s="88"/>
      <c r="J92" s="272">
        <v>1.389</v>
      </c>
      <c r="K92" s="118">
        <v>2.3312553373185311E-3</v>
      </c>
      <c r="L92" s="190">
        <f t="shared" si="17"/>
        <v>3.2381136635354396E-3</v>
      </c>
    </row>
    <row r="93" spans="1:12" ht="16.5">
      <c r="A93" s="30" t="s">
        <v>108</v>
      </c>
      <c r="B93" s="239"/>
      <c r="C93" s="118"/>
      <c r="D93" s="13"/>
      <c r="F93" s="24"/>
      <c r="G93" s="118"/>
      <c r="H93" s="100"/>
      <c r="I93" s="88"/>
      <c r="J93" s="273">
        <v>18.84</v>
      </c>
      <c r="K93" s="118">
        <v>5.9999999999999995E-4</v>
      </c>
      <c r="L93" s="190">
        <f t="shared" si="17"/>
        <v>1.1303999999999998E-2</v>
      </c>
    </row>
    <row r="94" spans="1:12" ht="16.5">
      <c r="A94" s="30" t="s">
        <v>109</v>
      </c>
      <c r="B94" s="238"/>
      <c r="C94" s="118"/>
      <c r="D94" s="13"/>
      <c r="F94" s="24"/>
      <c r="G94" s="118"/>
      <c r="H94" s="100"/>
      <c r="I94" s="88"/>
      <c r="J94" s="274">
        <v>1.33</v>
      </c>
      <c r="K94" s="118">
        <v>5.9999999999999995E-4</v>
      </c>
      <c r="L94" s="190">
        <f t="shared" si="17"/>
        <v>7.9799999999999999E-4</v>
      </c>
    </row>
    <row r="95" spans="1:12" ht="16.5">
      <c r="A95" s="30"/>
      <c r="B95" s="191"/>
      <c r="C95" s="191"/>
      <c r="D95" s="40">
        <v>0</v>
      </c>
      <c r="F95" s="191"/>
      <c r="G95" s="191"/>
      <c r="H95" s="40">
        <v>0</v>
      </c>
      <c r="I95" s="88"/>
      <c r="J95" s="191"/>
      <c r="K95" s="191"/>
      <c r="L95" s="240">
        <v>0</v>
      </c>
    </row>
    <row r="96" spans="1:12">
      <c r="A96" s="83" t="s">
        <v>67</v>
      </c>
      <c r="B96" s="53"/>
      <c r="C96" s="75"/>
      <c r="D96" s="189">
        <f>SUM(D86:D95)</f>
        <v>0</v>
      </c>
      <c r="E96" s="53"/>
      <c r="F96" s="53"/>
      <c r="G96" s="75"/>
      <c r="H96" s="189">
        <f>SUM(H86:H95)</f>
        <v>0</v>
      </c>
      <c r="I96" s="123"/>
      <c r="J96" s="53"/>
      <c r="K96" s="75"/>
      <c r="L96" s="241">
        <f>SUM(L86:L95)</f>
        <v>7.0852831853116985E-2</v>
      </c>
    </row>
    <row r="98" spans="1:9">
      <c r="A98" s="356" t="s">
        <v>33</v>
      </c>
      <c r="B98" s="357"/>
      <c r="C98" s="357"/>
      <c r="D98" s="357"/>
      <c r="E98" s="357"/>
      <c r="F98" s="357"/>
      <c r="G98" s="357"/>
      <c r="H98" s="358"/>
    </row>
    <row r="99" spans="1:9" ht="14.65" customHeight="1">
      <c r="A99" s="71"/>
      <c r="B99" s="72"/>
      <c r="C99" s="72"/>
      <c r="D99" s="72"/>
      <c r="E99" s="72"/>
      <c r="F99" s="368" t="s">
        <v>53</v>
      </c>
      <c r="G99" s="368"/>
      <c r="H99" s="369"/>
    </row>
    <row r="100" spans="1:9" ht="15">
      <c r="A100" s="370" t="s">
        <v>55</v>
      </c>
      <c r="B100" s="371"/>
      <c r="C100" s="371"/>
      <c r="D100" s="371"/>
      <c r="E100" s="371"/>
      <c r="F100" s="368"/>
      <c r="G100" s="368"/>
      <c r="H100" s="369"/>
    </row>
    <row r="101" spans="1:9" ht="16.5">
      <c r="A101" s="16"/>
      <c r="B101" s="185" t="s">
        <v>56</v>
      </c>
      <c r="C101" s="185" t="s">
        <v>85</v>
      </c>
      <c r="D101" s="185" t="s">
        <v>32</v>
      </c>
      <c r="E101" s="185" t="s">
        <v>54</v>
      </c>
      <c r="F101" s="103">
        <v>1</v>
      </c>
      <c r="G101" s="128" t="s">
        <v>58</v>
      </c>
      <c r="H101" s="85">
        <f>(F101*C202*C204)+((F101*C202*C204*D113))</f>
        <v>345498296</v>
      </c>
    </row>
    <row r="102" spans="1:9" ht="15">
      <c r="A102" s="30" t="s">
        <v>95</v>
      </c>
      <c r="B102" s="28">
        <f>B54</f>
        <v>0</v>
      </c>
      <c r="C102" s="286">
        <v>550</v>
      </c>
      <c r="D102" s="28">
        <f>B102/C102</f>
        <v>0</v>
      </c>
      <c r="E102" s="21">
        <f t="shared" ref="E102:E108" si="18">D102/D$108</f>
        <v>0</v>
      </c>
      <c r="F102" s="86">
        <f>(F101*C202*C204*C116)+((F101*C202*C204*D113)*C118)</f>
        <v>18643340.973099794</v>
      </c>
      <c r="G102" s="5" t="s">
        <v>29</v>
      </c>
      <c r="H102" s="87">
        <f>F102/$H$101</f>
        <v>5.3960732046851527E-2</v>
      </c>
      <c r="I102" s="287" t="s">
        <v>120</v>
      </c>
    </row>
    <row r="103" spans="1:9" ht="15">
      <c r="A103" s="30" t="s">
        <v>96</v>
      </c>
      <c r="B103" s="43">
        <f t="shared" ref="B103:B107" si="19">B55</f>
        <v>0</v>
      </c>
      <c r="C103" s="108">
        <v>0</v>
      </c>
      <c r="D103" s="28">
        <v>0</v>
      </c>
      <c r="E103" s="21">
        <f t="shared" si="18"/>
        <v>0</v>
      </c>
      <c r="F103" s="195">
        <f>F102*C206</f>
        <v>5593002.2919299379</v>
      </c>
      <c r="G103" s="5" t="s">
        <v>28</v>
      </c>
      <c r="H103" s="87">
        <f>F103/$H$101</f>
        <v>1.6188219614055456E-2</v>
      </c>
    </row>
    <row r="104" spans="1:9" ht="15">
      <c r="A104" s="30" t="s">
        <v>97</v>
      </c>
      <c r="B104" s="43">
        <f t="shared" si="19"/>
        <v>0</v>
      </c>
      <c r="C104" s="108">
        <v>0</v>
      </c>
      <c r="D104" s="28">
        <v>0</v>
      </c>
      <c r="E104" s="21">
        <f t="shared" si="18"/>
        <v>0</v>
      </c>
      <c r="F104" s="86"/>
      <c r="G104" s="5"/>
      <c r="H104" s="87"/>
    </row>
    <row r="105" spans="1:9" ht="15">
      <c r="A105" s="30" t="s">
        <v>92</v>
      </c>
      <c r="B105" s="43">
        <f t="shared" si="19"/>
        <v>0</v>
      </c>
      <c r="C105" s="108">
        <v>0</v>
      </c>
      <c r="D105" s="28">
        <v>0</v>
      </c>
      <c r="E105" s="21">
        <f t="shared" si="18"/>
        <v>0</v>
      </c>
      <c r="F105" s="86"/>
      <c r="G105" s="5"/>
      <c r="H105" s="87"/>
    </row>
    <row r="106" spans="1:9" ht="15">
      <c r="A106" s="30" t="s">
        <v>90</v>
      </c>
      <c r="B106" s="43">
        <f t="shared" si="19"/>
        <v>4900</v>
      </c>
      <c r="C106" s="286">
        <v>110</v>
      </c>
      <c r="D106" s="28">
        <f t="shared" ref="D106" si="20">B106/C106</f>
        <v>44.545454545454547</v>
      </c>
      <c r="E106" s="21">
        <f>D106/D$108</f>
        <v>1</v>
      </c>
      <c r="F106" s="86"/>
      <c r="G106" s="5"/>
      <c r="H106" s="87"/>
      <c r="I106" s="287" t="s">
        <v>119</v>
      </c>
    </row>
    <row r="107" spans="1:9" ht="15">
      <c r="A107" s="83" t="s">
        <v>20</v>
      </c>
      <c r="B107" s="112">
        <f t="shared" si="19"/>
        <v>0</v>
      </c>
      <c r="C107" s="108">
        <v>0</v>
      </c>
      <c r="D107" s="106">
        <v>0</v>
      </c>
      <c r="E107" s="107">
        <f t="shared" si="18"/>
        <v>0</v>
      </c>
      <c r="H107" s="12"/>
    </row>
    <row r="108" spans="1:9">
      <c r="A108" s="96"/>
      <c r="B108" s="69">
        <f>SUM(B102:B107)</f>
        <v>4900</v>
      </c>
      <c r="C108" s="70">
        <f>B108/D108</f>
        <v>110</v>
      </c>
      <c r="D108" s="70">
        <f>SUM(D102:D107)</f>
        <v>44.545454545454547</v>
      </c>
      <c r="E108" s="314">
        <f t="shared" si="18"/>
        <v>1</v>
      </c>
      <c r="H108" s="27"/>
    </row>
    <row r="109" spans="1:9">
      <c r="A109" s="315" t="s">
        <v>115</v>
      </c>
      <c r="B109" s="69"/>
      <c r="C109" s="70"/>
      <c r="D109" s="70"/>
      <c r="E109" s="314"/>
      <c r="F109" s="4"/>
      <c r="G109" s="4"/>
      <c r="H109" s="316"/>
    </row>
    <row r="110" spans="1:9" ht="15">
      <c r="A110" s="6"/>
      <c r="B110" s="289"/>
      <c r="C110" s="289"/>
      <c r="D110" s="289"/>
      <c r="E110" s="289"/>
      <c r="F110" s="289"/>
      <c r="G110" s="289"/>
      <c r="H110" s="290"/>
    </row>
    <row r="111" spans="1:9">
      <c r="A111" s="6"/>
      <c r="B111" s="352"/>
      <c r="C111" s="352"/>
      <c r="D111" s="352"/>
      <c r="F111" s="352"/>
      <c r="G111" s="352"/>
      <c r="H111" s="353"/>
    </row>
    <row r="112" spans="1:9" ht="15">
      <c r="A112" s="6"/>
      <c r="B112" t="s">
        <v>125</v>
      </c>
      <c r="C112" t="s">
        <v>126</v>
      </c>
      <c r="D112" t="s">
        <v>127</v>
      </c>
      <c r="E112" t="s">
        <v>128</v>
      </c>
      <c r="F112" s="317" t="s">
        <v>129</v>
      </c>
      <c r="G112" s="317" t="s">
        <v>130</v>
      </c>
      <c r="H112" s="291" t="s">
        <v>131</v>
      </c>
    </row>
    <row r="113" spans="1:30" ht="15">
      <c r="A113" s="292" t="s">
        <v>31</v>
      </c>
      <c r="B113" s="293">
        <v>119702.77</v>
      </c>
      <c r="C113" s="293">
        <v>140371.43</v>
      </c>
      <c r="D113" s="293">
        <v>166103.95000000001</v>
      </c>
      <c r="E113" s="293">
        <v>166766.85999999999</v>
      </c>
      <c r="F113" s="294">
        <v>105842.43</v>
      </c>
      <c r="G113" s="294">
        <v>147383.65</v>
      </c>
      <c r="H113" s="295">
        <v>163283.07</v>
      </c>
      <c r="U113" s="178"/>
      <c r="V113" s="178"/>
      <c r="W113" s="178"/>
      <c r="X113" s="178"/>
      <c r="Z113" s="178"/>
      <c r="AA113" s="166"/>
      <c r="AB113" s="180"/>
      <c r="AC113" s="152"/>
      <c r="AD113" s="93"/>
    </row>
    <row r="114" spans="1:30" ht="15">
      <c r="A114" s="292" t="s">
        <v>30</v>
      </c>
      <c r="B114" s="293">
        <v>15222.93</v>
      </c>
      <c r="C114" s="293">
        <v>23913.55</v>
      </c>
      <c r="D114" s="293">
        <v>19670.79</v>
      </c>
      <c r="E114" s="293">
        <v>41336.57</v>
      </c>
      <c r="F114" s="294">
        <v>23672.31</v>
      </c>
      <c r="G114" s="294">
        <v>9419.99</v>
      </c>
      <c r="H114" s="295">
        <v>18308.82</v>
      </c>
      <c r="U114" s="178"/>
      <c r="V114" s="178"/>
      <c r="W114" s="178"/>
      <c r="X114" s="178"/>
      <c r="Z114" s="178"/>
      <c r="AA114" s="166"/>
      <c r="AB114" s="180"/>
      <c r="AC114" s="152"/>
      <c r="AD114" s="93"/>
    </row>
    <row r="115" spans="1:30" ht="15">
      <c r="A115" s="292" t="s">
        <v>28</v>
      </c>
      <c r="B115" s="293">
        <v>11228.99</v>
      </c>
      <c r="C115" s="293">
        <v>10794.51</v>
      </c>
      <c r="D115" s="293">
        <v>10146.4</v>
      </c>
      <c r="E115" s="293">
        <v>8112.73</v>
      </c>
      <c r="F115" s="294">
        <v>-1917.2</v>
      </c>
      <c r="G115" s="294">
        <v>49379.56</v>
      </c>
      <c r="H115" s="295">
        <v>50660.85</v>
      </c>
      <c r="U115" s="178"/>
      <c r="V115" s="178"/>
      <c r="W115" s="178"/>
      <c r="X115" s="178"/>
      <c r="Z115" s="178"/>
      <c r="AA115" s="166"/>
      <c r="AB115" s="180"/>
      <c r="AC115" s="152"/>
      <c r="AD115" s="93"/>
    </row>
    <row r="116" spans="1:30" ht="16.5">
      <c r="A116" s="296" t="s">
        <v>5</v>
      </c>
      <c r="B116" s="293">
        <v>3928.57</v>
      </c>
      <c r="C116" s="293">
        <v>-3928.57</v>
      </c>
      <c r="D116" s="293">
        <v>0</v>
      </c>
      <c r="E116" s="293">
        <v>-1311.46</v>
      </c>
      <c r="F116" s="294">
        <v>841.1</v>
      </c>
      <c r="G116" s="294">
        <v>0</v>
      </c>
      <c r="H116" s="295">
        <v>0</v>
      </c>
      <c r="I116" s="62"/>
      <c r="U116" s="179"/>
      <c r="V116" s="179"/>
      <c r="W116" s="179"/>
      <c r="X116" s="179"/>
      <c r="Z116" s="179"/>
      <c r="AA116" s="166"/>
      <c r="AB116" s="180"/>
      <c r="AC116" s="152"/>
      <c r="AD116" s="93"/>
    </row>
    <row r="117" spans="1:30" ht="16.5">
      <c r="A117" s="296" t="s">
        <v>132</v>
      </c>
      <c r="B117">
        <v>37953</v>
      </c>
      <c r="C117">
        <v>21274</v>
      </c>
      <c r="D117">
        <v>55365</v>
      </c>
      <c r="E117">
        <v>3960</v>
      </c>
      <c r="F117">
        <v>26641</v>
      </c>
      <c r="G117">
        <v>11698</v>
      </c>
      <c r="H117" s="318">
        <v>35168</v>
      </c>
      <c r="I117" s="62"/>
      <c r="U117" s="179"/>
      <c r="V117" s="179"/>
      <c r="W117" s="179"/>
      <c r="X117" s="179"/>
      <c r="Z117" s="179"/>
      <c r="AA117" s="166"/>
      <c r="AB117" s="180"/>
      <c r="AC117" s="152"/>
      <c r="AD117" s="93"/>
    </row>
    <row r="118" spans="1:30" ht="15">
      <c r="A118" s="296" t="s">
        <v>133</v>
      </c>
      <c r="B118" s="297">
        <f>B115/(B113+B114+B116-B117)</f>
        <v>0.11128690451567158</v>
      </c>
      <c r="C118" s="297">
        <f t="shared" ref="C118:H118" si="21">C115/(C113+C114+C116-C117)</f>
        <v>7.7612330703789228E-2</v>
      </c>
      <c r="D118" s="297">
        <f t="shared" si="21"/>
        <v>7.7804004516840525E-2</v>
      </c>
      <c r="E118" s="297">
        <f t="shared" si="21"/>
        <v>3.9997294312134321E-2</v>
      </c>
      <c r="F118" s="297">
        <f t="shared" si="21"/>
        <v>-1.848530065707087E-2</v>
      </c>
      <c r="G118" s="297">
        <f t="shared" si="21"/>
        <v>0.34030076294760153</v>
      </c>
      <c r="H118" s="300">
        <f t="shared" si="21"/>
        <v>0.34598759806203749</v>
      </c>
      <c r="U118" s="168"/>
      <c r="V118" s="168"/>
      <c r="W118" s="168"/>
      <c r="X118" s="168"/>
      <c r="Z118" s="168"/>
      <c r="AA118" s="151"/>
      <c r="AB118" s="177"/>
      <c r="AC118" s="181"/>
      <c r="AD118" s="5"/>
    </row>
    <row r="119" spans="1:30" ht="15">
      <c r="A119" s="296"/>
      <c r="B119" s="297"/>
      <c r="C119" s="297"/>
      <c r="D119" s="297"/>
      <c r="E119" s="297"/>
      <c r="F119" s="297"/>
      <c r="G119" s="297"/>
      <c r="H119" s="300"/>
    </row>
    <row r="120" spans="1:30">
      <c r="A120" s="6"/>
      <c r="B120" s="43"/>
      <c r="C120" s="301"/>
      <c r="D120" s="15" t="s">
        <v>134</v>
      </c>
      <c r="E120" s="63"/>
      <c r="F120" s="43" t="s">
        <v>135</v>
      </c>
      <c r="G120" s="301"/>
      <c r="H120" s="302"/>
    </row>
    <row r="121" spans="1:30" ht="15">
      <c r="A121" s="292" t="s">
        <v>136</v>
      </c>
      <c r="B121" s="303">
        <v>28</v>
      </c>
      <c r="C121" s="29"/>
      <c r="D121" s="26">
        <f>(AVERAGE((C113-C117),(G113-G117),(H113-H117)))/B121</f>
        <v>4558.3113095238095</v>
      </c>
      <c r="E121" s="63"/>
      <c r="F121" s="304">
        <f>D121*B121</f>
        <v>127632.71666666667</v>
      </c>
      <c r="G121" s="29"/>
      <c r="H121" s="12"/>
      <c r="S121" s="57"/>
      <c r="T121" s="372"/>
      <c r="U121" s="372"/>
      <c r="V121" s="372"/>
      <c r="W121" s="372"/>
      <c r="X121" s="372"/>
      <c r="Y121" s="372"/>
      <c r="Z121" s="372"/>
      <c r="AA121" s="372"/>
      <c r="AB121" s="372"/>
      <c r="AC121" s="372"/>
      <c r="AD121" s="372"/>
    </row>
    <row r="122" spans="1:30" ht="15">
      <c r="A122" s="292" t="s">
        <v>137</v>
      </c>
      <c r="B122" s="303">
        <v>2</v>
      </c>
      <c r="C122" s="78"/>
      <c r="D122" s="26">
        <f>AVERAGE(G114)/B122</f>
        <v>4709.9949999999999</v>
      </c>
      <c r="E122" s="63"/>
      <c r="F122" s="304">
        <f>D122*B122</f>
        <v>9419.99</v>
      </c>
      <c r="G122" s="305"/>
      <c r="H122" s="12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</row>
    <row r="123" spans="1:30">
      <c r="A123" s="76"/>
      <c r="B123" s="117"/>
      <c r="C123" s="284"/>
      <c r="D123" s="306"/>
      <c r="E123" s="63"/>
      <c r="F123" s="307"/>
      <c r="G123" s="319"/>
      <c r="H123" s="308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</row>
    <row r="124" spans="1:30">
      <c r="A124" s="309" t="s">
        <v>138</v>
      </c>
      <c r="B124" s="117">
        <v>15</v>
      </c>
      <c r="C124" s="284"/>
      <c r="D124" s="26">
        <f>D121</f>
        <v>4558.3113095238095</v>
      </c>
      <c r="E124" s="63"/>
      <c r="F124" s="304">
        <f>D124*B124</f>
        <v>68374.669642857145</v>
      </c>
      <c r="G124" s="91"/>
      <c r="H124" s="308"/>
      <c r="I124" s="63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</row>
    <row r="125" spans="1:30">
      <c r="A125" s="309" t="s">
        <v>139</v>
      </c>
      <c r="B125" s="117">
        <v>3</v>
      </c>
      <c r="C125" s="284"/>
      <c r="D125" s="26">
        <f>D122</f>
        <v>4709.9949999999999</v>
      </c>
      <c r="E125" s="63"/>
      <c r="F125" s="304">
        <f>D125*B125</f>
        <v>14129.985000000001</v>
      </c>
      <c r="G125" s="319"/>
      <c r="H125" s="310"/>
      <c r="I125" s="63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</row>
    <row r="126" spans="1:30">
      <c r="A126" s="6"/>
      <c r="B126" s="320"/>
      <c r="F126" s="311"/>
      <c r="H126" s="12"/>
      <c r="I126" s="63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</row>
    <row r="127" spans="1:30">
      <c r="A127" s="6" t="s">
        <v>140</v>
      </c>
      <c r="B127" s="43">
        <f>B121+B124</f>
        <v>43</v>
      </c>
      <c r="C127" s="29"/>
      <c r="D127" s="26">
        <f>D124</f>
        <v>4558.3113095238095</v>
      </c>
      <c r="F127" s="312">
        <f>D127*B127</f>
        <v>196007.3863095238</v>
      </c>
      <c r="H127" s="12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</row>
    <row r="128" spans="1:30">
      <c r="A128" s="6" t="s">
        <v>141</v>
      </c>
      <c r="B128" s="43">
        <f>B122+B125</f>
        <v>5</v>
      </c>
      <c r="C128" s="78"/>
      <c r="D128" s="26">
        <f>D125</f>
        <v>4709.9949999999999</v>
      </c>
      <c r="F128" s="312">
        <f>D128*B128</f>
        <v>23549.974999999999</v>
      </c>
      <c r="H128" s="12"/>
      <c r="S128" s="58"/>
      <c r="T128" s="58"/>
      <c r="U128" s="58"/>
      <c r="V128" s="58"/>
      <c r="W128" s="58"/>
      <c r="X128" s="58"/>
      <c r="Y128" s="58"/>
      <c r="Z128" s="58"/>
      <c r="AA128" s="58"/>
      <c r="AB128" s="59"/>
      <c r="AC128" s="58"/>
      <c r="AD128" s="58"/>
    </row>
    <row r="129" spans="1:8">
      <c r="A129" s="76" t="s">
        <v>132</v>
      </c>
      <c r="B129" s="43"/>
      <c r="C129" s="29"/>
      <c r="D129" s="77"/>
      <c r="F129" s="313">
        <v>0</v>
      </c>
      <c r="H129" s="12"/>
    </row>
    <row r="130" spans="1:8" ht="16.5" customHeight="1">
      <c r="A130" s="83" t="s">
        <v>28</v>
      </c>
      <c r="B130" s="321"/>
      <c r="C130" s="322"/>
      <c r="D130" s="323"/>
      <c r="E130" s="10"/>
      <c r="F130" s="324">
        <f>(F127+F128)*0.29</f>
        <v>63671.634779761902</v>
      </c>
      <c r="G130" s="10"/>
      <c r="H130" s="9"/>
    </row>
    <row r="131" spans="1:8">
      <c r="A131" s="283"/>
      <c r="B131" s="117"/>
      <c r="C131" s="284"/>
      <c r="D131" s="285"/>
      <c r="E131" s="63"/>
    </row>
    <row r="132" spans="1:8">
      <c r="A132" s="283"/>
      <c r="B132" s="117"/>
      <c r="C132" s="284"/>
      <c r="D132" s="285"/>
      <c r="E132" s="63"/>
    </row>
    <row r="133" spans="1:8">
      <c r="A133" s="283"/>
      <c r="B133" s="117"/>
      <c r="C133" s="284"/>
      <c r="D133" s="285"/>
      <c r="E133" s="63"/>
    </row>
    <row r="134" spans="1:8">
      <c r="A134" s="315" t="s">
        <v>116</v>
      </c>
      <c r="B134" s="69"/>
      <c r="C134" s="70"/>
      <c r="D134" s="70"/>
      <c r="E134" s="314"/>
      <c r="F134" s="4"/>
      <c r="G134" s="4"/>
      <c r="H134" s="316"/>
    </row>
    <row r="135" spans="1:8" ht="15">
      <c r="A135" s="6"/>
      <c r="B135" s="289"/>
      <c r="C135" s="289"/>
      <c r="D135" s="289"/>
      <c r="E135" s="289"/>
      <c r="F135" s="289"/>
      <c r="G135" s="289"/>
      <c r="H135" s="290"/>
    </row>
    <row r="136" spans="1:8">
      <c r="A136" s="6"/>
      <c r="B136" s="352"/>
      <c r="C136" s="352"/>
      <c r="D136" s="352"/>
      <c r="F136" s="352"/>
      <c r="G136" s="352"/>
      <c r="H136" s="353"/>
    </row>
    <row r="137" spans="1:8" ht="15">
      <c r="A137" s="6"/>
      <c r="B137" t="s">
        <v>125</v>
      </c>
      <c r="C137" t="s">
        <v>126</v>
      </c>
      <c r="D137" t="s">
        <v>127</v>
      </c>
      <c r="E137" t="s">
        <v>128</v>
      </c>
      <c r="F137" t="s">
        <v>129</v>
      </c>
      <c r="G137" s="317" t="s">
        <v>130</v>
      </c>
      <c r="H137" s="291" t="s">
        <v>131</v>
      </c>
    </row>
    <row r="138" spans="1:8" ht="15">
      <c r="A138" s="292" t="s">
        <v>31</v>
      </c>
      <c r="B138" s="294">
        <v>268968.01</v>
      </c>
      <c r="C138" s="294">
        <v>288390.24</v>
      </c>
      <c r="D138" s="293">
        <v>154345.41</v>
      </c>
      <c r="E138" s="293">
        <v>13412.75</v>
      </c>
      <c r="F138" s="325">
        <v>229529.76</v>
      </c>
      <c r="G138" s="294">
        <v>274156.28999999998</v>
      </c>
      <c r="H138" s="295">
        <v>267092.21000000002</v>
      </c>
    </row>
    <row r="139" spans="1:8" ht="15">
      <c r="A139" s="292" t="s">
        <v>30</v>
      </c>
      <c r="B139" s="294">
        <v>67812.91</v>
      </c>
      <c r="C139" s="294">
        <v>64354.51</v>
      </c>
      <c r="D139" s="293">
        <v>40616.39</v>
      </c>
      <c r="E139" s="293">
        <v>14950.76</v>
      </c>
      <c r="F139" s="325">
        <v>74301.16</v>
      </c>
      <c r="G139" s="294">
        <v>85619.44</v>
      </c>
      <c r="H139" s="295">
        <v>74393.95</v>
      </c>
    </row>
    <row r="140" spans="1:8" ht="15">
      <c r="A140" s="292" t="s">
        <v>28</v>
      </c>
      <c r="B140" s="294">
        <v>102162.56</v>
      </c>
      <c r="C140" s="294">
        <v>97023.8</v>
      </c>
      <c r="D140" s="293">
        <v>87771.29</v>
      </c>
      <c r="E140" s="293">
        <v>18740.91</v>
      </c>
      <c r="F140" s="325">
        <v>135347.70000000001</v>
      </c>
      <c r="G140" s="294">
        <v>89284.14</v>
      </c>
      <c r="H140" s="295">
        <v>88862.54</v>
      </c>
    </row>
    <row r="141" spans="1:8" ht="15">
      <c r="A141" s="292" t="s">
        <v>5</v>
      </c>
      <c r="B141" s="294">
        <v>6248.2</v>
      </c>
      <c r="C141" s="294">
        <v>7823.13</v>
      </c>
      <c r="D141" s="293">
        <v>4541.8500000000004</v>
      </c>
      <c r="E141" s="293">
        <v>10625.36</v>
      </c>
      <c r="F141" s="325">
        <v>11684.3</v>
      </c>
      <c r="G141" s="294">
        <v>7724.39</v>
      </c>
      <c r="H141" s="295">
        <v>6820.85</v>
      </c>
    </row>
    <row r="142" spans="1:8" ht="15">
      <c r="A142" s="296" t="s">
        <v>132</v>
      </c>
      <c r="B142" s="317">
        <v>35640</v>
      </c>
      <c r="C142" s="317">
        <v>61311</v>
      </c>
      <c r="D142">
        <v>50554</v>
      </c>
      <c r="E142"/>
      <c r="F142">
        <v>65416</v>
      </c>
      <c r="G142">
        <v>62538</v>
      </c>
      <c r="H142" s="318">
        <v>37211</v>
      </c>
    </row>
    <row r="143" spans="1:8" ht="15">
      <c r="A143" s="296" t="s">
        <v>133</v>
      </c>
      <c r="B143" s="298">
        <f>B140/(B138+B139-B142+B141)</f>
        <v>0.3323558101210608</v>
      </c>
      <c r="C143" s="298">
        <f t="shared" ref="C143:H143" si="22">C140/(C138+C139-C142+C141)</f>
        <v>0.3242157707451872</v>
      </c>
      <c r="D143" s="298">
        <f t="shared" si="22"/>
        <v>0.58926818559157401</v>
      </c>
      <c r="E143" s="298">
        <f t="shared" si="22"/>
        <v>0.48067333061973838</v>
      </c>
      <c r="F143" s="298">
        <f t="shared" si="22"/>
        <v>0.54117601806195159</v>
      </c>
      <c r="G143" s="298">
        <f t="shared" si="22"/>
        <v>0.29277124647480807</v>
      </c>
      <c r="H143" s="299">
        <f t="shared" si="22"/>
        <v>0.28564345778655276</v>
      </c>
    </row>
    <row r="145" spans="1:10">
      <c r="A145" s="6"/>
      <c r="B145" s="43"/>
      <c r="C145" s="301"/>
      <c r="D145" s="15" t="s">
        <v>134</v>
      </c>
      <c r="E145" s="63"/>
      <c r="F145" s="43" t="s">
        <v>135</v>
      </c>
      <c r="G145" s="301"/>
      <c r="H145" s="302"/>
      <c r="J145" s="283"/>
    </row>
    <row r="146" spans="1:10" ht="15">
      <c r="A146" s="292" t="s">
        <v>136</v>
      </c>
      <c r="B146" s="303">
        <v>46</v>
      </c>
      <c r="C146" s="29"/>
      <c r="D146" s="26">
        <f>(AVERAGE((B138-B142),(C138-C142),(G138-G142),(H138-H142)))/B146</f>
        <v>4901.667119565217</v>
      </c>
      <c r="E146" s="63"/>
      <c r="F146" s="304">
        <f>D146*B146</f>
        <v>225476.68749999997</v>
      </c>
      <c r="G146" s="29"/>
      <c r="H146" s="326"/>
      <c r="J146" s="283"/>
    </row>
    <row r="147" spans="1:10" ht="15">
      <c r="A147" s="292" t="s">
        <v>137</v>
      </c>
      <c r="B147" s="303">
        <v>16</v>
      </c>
      <c r="C147" s="78"/>
      <c r="D147" s="26">
        <f>AVERAGE($G$99:$H$99,B139:C139)/B147</f>
        <v>4130.2318750000004</v>
      </c>
      <c r="E147" s="63"/>
      <c r="F147" s="304">
        <f>D147*B147</f>
        <v>66083.710000000006</v>
      </c>
      <c r="G147" s="305"/>
      <c r="H147" s="12"/>
      <c r="J147" s="283"/>
    </row>
    <row r="148" spans="1:10">
      <c r="A148" s="76"/>
      <c r="B148" s="117"/>
      <c r="C148" s="284"/>
      <c r="D148" s="306"/>
      <c r="E148" s="63"/>
      <c r="F148" s="307"/>
      <c r="G148" s="319"/>
      <c r="H148" s="308"/>
      <c r="J148" s="283"/>
    </row>
    <row r="149" spans="1:10">
      <c r="A149" s="309" t="s">
        <v>138</v>
      </c>
      <c r="B149" s="117">
        <v>6</v>
      </c>
      <c r="C149" s="284"/>
      <c r="D149" s="26">
        <f>D146</f>
        <v>4901.667119565217</v>
      </c>
      <c r="E149" s="63"/>
      <c r="F149" s="304">
        <f>D149*B149</f>
        <v>29410.002717391304</v>
      </c>
      <c r="G149" s="91"/>
      <c r="H149" s="308"/>
      <c r="J149" s="283"/>
    </row>
    <row r="150" spans="1:10">
      <c r="A150" s="309" t="s">
        <v>139</v>
      </c>
      <c r="B150" s="117">
        <v>6</v>
      </c>
      <c r="C150" s="284"/>
      <c r="D150" s="26">
        <f>D147</f>
        <v>4130.2318750000004</v>
      </c>
      <c r="E150" s="63"/>
      <c r="F150" s="304">
        <f>D150*B150</f>
        <v>24781.391250000001</v>
      </c>
      <c r="G150" s="319"/>
      <c r="H150" s="310"/>
      <c r="J150" s="283"/>
    </row>
    <row r="151" spans="1:10">
      <c r="A151" s="6"/>
      <c r="B151" s="320"/>
      <c r="F151" s="311"/>
      <c r="H151" s="12"/>
      <c r="J151" s="283"/>
    </row>
    <row r="152" spans="1:10">
      <c r="A152" s="6" t="s">
        <v>140</v>
      </c>
      <c r="B152" s="43">
        <f>B146+B149</f>
        <v>52</v>
      </c>
      <c r="C152" s="29"/>
      <c r="D152" s="26">
        <f>D146</f>
        <v>4901.667119565217</v>
      </c>
      <c r="F152" s="312">
        <f>D152*B152</f>
        <v>254886.6902173913</v>
      </c>
      <c r="H152" s="12"/>
      <c r="J152" s="283"/>
    </row>
    <row r="153" spans="1:10">
      <c r="A153" s="6" t="s">
        <v>141</v>
      </c>
      <c r="B153" s="43">
        <f>B147+B150</f>
        <v>22</v>
      </c>
      <c r="C153" s="78"/>
      <c r="D153" s="26">
        <f>D146</f>
        <v>4901.667119565217</v>
      </c>
      <c r="F153" s="312">
        <f>D153*B153</f>
        <v>107836.67663043477</v>
      </c>
      <c r="H153" s="12"/>
      <c r="J153" s="283"/>
    </row>
    <row r="154" spans="1:10">
      <c r="A154" s="76" t="s">
        <v>5</v>
      </c>
      <c r="B154" s="43"/>
      <c r="C154" s="29"/>
      <c r="D154" s="77"/>
      <c r="F154" s="313">
        <v>7154</v>
      </c>
      <c r="H154" s="12"/>
      <c r="J154" s="283"/>
    </row>
    <row r="155" spans="1:10" ht="15">
      <c r="A155" s="83" t="s">
        <v>28</v>
      </c>
      <c r="B155" s="321"/>
      <c r="C155" s="322"/>
      <c r="D155" s="323"/>
      <c r="E155" s="10"/>
      <c r="F155" s="324">
        <f>(F152+F153+F154)*0.3</f>
        <v>110963.21005434782</v>
      </c>
      <c r="G155" s="10"/>
      <c r="H155" s="9"/>
      <c r="J155" s="283"/>
    </row>
    <row r="156" spans="1:10">
      <c r="A156" s="283"/>
      <c r="B156" s="117"/>
      <c r="C156" s="284"/>
      <c r="D156" s="285"/>
      <c r="E156" s="63"/>
      <c r="J156" s="283"/>
    </row>
    <row r="157" spans="1:10" ht="12.75" customHeight="1">
      <c r="J157" s="57"/>
    </row>
    <row r="158" spans="1:10" ht="15">
      <c r="A158" s="55" t="s">
        <v>26</v>
      </c>
      <c r="B158" s="183"/>
      <c r="C158" s="183"/>
      <c r="D158" s="132">
        <v>4.5</v>
      </c>
      <c r="E158" s="183"/>
      <c r="F158" s="183"/>
      <c r="G158" s="245"/>
      <c r="H158" s="183"/>
      <c r="I158" s="4"/>
      <c r="J158" s="131"/>
    </row>
    <row r="159" spans="1:10" ht="15">
      <c r="A159" s="6"/>
      <c r="B159" s="374" t="s">
        <v>25</v>
      </c>
      <c r="C159" s="375"/>
      <c r="D159" s="132">
        <v>4.5</v>
      </c>
      <c r="E159" s="374" t="s">
        <v>24</v>
      </c>
      <c r="F159" s="375"/>
      <c r="G159" s="132">
        <f>762256/10182780</f>
        <v>7.4857357224647883E-2</v>
      </c>
      <c r="H159" s="376" t="s">
        <v>86</v>
      </c>
      <c r="I159" s="377"/>
      <c r="J159" s="244">
        <f>30000*365</f>
        <v>10950000</v>
      </c>
    </row>
    <row r="160" spans="1:10">
      <c r="A160" s="6"/>
      <c r="B160" s="5"/>
      <c r="C160" s="5"/>
      <c r="D160" s="5"/>
      <c r="E160" s="5"/>
      <c r="F160" s="5"/>
      <c r="G160" s="5"/>
      <c r="H160" s="378" t="s">
        <v>87</v>
      </c>
      <c r="I160" s="379"/>
      <c r="J160" s="135">
        <f>ROUND(J159/B49/1000,3)</f>
        <v>2.2349999999999999</v>
      </c>
    </row>
    <row r="161" spans="1:10" ht="15" customHeight="1">
      <c r="A161" s="6"/>
      <c r="B161" s="380" t="s">
        <v>95</v>
      </c>
      <c r="C161" s="381"/>
      <c r="D161" s="382"/>
      <c r="E161" s="380" t="s">
        <v>96</v>
      </c>
      <c r="F161" s="381"/>
      <c r="G161" s="382"/>
      <c r="H161" s="380" t="s">
        <v>97</v>
      </c>
      <c r="I161" s="381"/>
      <c r="J161" s="382"/>
    </row>
    <row r="162" spans="1:10" ht="25.5">
      <c r="A162" s="6"/>
      <c r="B162" s="133" t="s">
        <v>79</v>
      </c>
      <c r="C162" s="61" t="s">
        <v>80</v>
      </c>
      <c r="D162" s="22" t="s">
        <v>81</v>
      </c>
      <c r="E162" s="133" t="s">
        <v>79</v>
      </c>
      <c r="F162" s="61" t="s">
        <v>80</v>
      </c>
      <c r="G162" s="22" t="s">
        <v>81</v>
      </c>
      <c r="H162" s="133" t="s">
        <v>79</v>
      </c>
      <c r="I162" s="61" t="s">
        <v>80</v>
      </c>
      <c r="J162" s="22" t="s">
        <v>81</v>
      </c>
    </row>
    <row r="163" spans="1:10" ht="15">
      <c r="A163" s="6" t="s">
        <v>23</v>
      </c>
      <c r="B163" s="275">
        <v>0.11509999999999999</v>
      </c>
      <c r="C163" s="282">
        <v>8.7999999999999995E-2</v>
      </c>
      <c r="D163" s="90">
        <f>B163*C163</f>
        <v>1.0128799999999999E-2</v>
      </c>
      <c r="E163" s="243">
        <v>0.26500000000000001</v>
      </c>
      <c r="F163" s="60">
        <f>G159</f>
        <v>7.4857357224647883E-2</v>
      </c>
      <c r="G163" s="90">
        <f>E163*F163</f>
        <v>1.983719966453169E-2</v>
      </c>
      <c r="H163" s="243">
        <v>0.26500000000000001</v>
      </c>
      <c r="I163" s="60">
        <f>$G$159</f>
        <v>7.4857357224647883E-2</v>
      </c>
      <c r="J163" s="90">
        <f>H163*I163</f>
        <v>1.983719966453169E-2</v>
      </c>
    </row>
    <row r="164" spans="1:10" ht="16.5">
      <c r="A164" s="6" t="s">
        <v>22</v>
      </c>
      <c r="B164" s="275">
        <v>6.4999999999999997E-3</v>
      </c>
      <c r="C164" s="276">
        <v>4</v>
      </c>
      <c r="D164" s="51">
        <f>B164*C164</f>
        <v>2.5999999999999999E-2</v>
      </c>
      <c r="E164" s="243">
        <v>3.8E-3</v>
      </c>
      <c r="F164" s="29">
        <f>$D$159</f>
        <v>4.5</v>
      </c>
      <c r="G164" s="51">
        <f>E164*F164</f>
        <v>1.7100000000000001E-2</v>
      </c>
      <c r="H164" s="243">
        <v>3.8E-3</v>
      </c>
      <c r="I164" s="29">
        <f>$D$159</f>
        <v>4.5</v>
      </c>
      <c r="J164" s="51">
        <f>H164*I164</f>
        <v>1.7100000000000001E-2</v>
      </c>
    </row>
    <row r="165" spans="1:10" ht="15">
      <c r="A165" s="6" t="s">
        <v>21</v>
      </c>
      <c r="B165" s="6"/>
      <c r="C165" s="5"/>
      <c r="D165" s="227">
        <f>SUM(D163:D164)</f>
        <v>3.6128799999999996E-2</v>
      </c>
      <c r="E165" s="6"/>
      <c r="F165" s="5"/>
      <c r="G165" s="227">
        <f>SUM(G163:G164)</f>
        <v>3.6937199664531691E-2</v>
      </c>
      <c r="H165" s="6"/>
      <c r="I165" s="5"/>
      <c r="J165" s="227">
        <f>SUM(J163:J164)</f>
        <v>3.6937199664531691E-2</v>
      </c>
    </row>
    <row r="166" spans="1:10">
      <c r="A166" s="16"/>
      <c r="B166" s="16"/>
      <c r="D166" s="12"/>
      <c r="E166" s="16"/>
      <c r="G166" s="12"/>
      <c r="H166" s="16"/>
      <c r="J166" s="12"/>
    </row>
    <row r="167" spans="1:10" ht="15" customHeight="1">
      <c r="A167" s="6"/>
      <c r="B167" s="383" t="s">
        <v>92</v>
      </c>
      <c r="C167" s="384"/>
      <c r="D167" s="385"/>
      <c r="E167" s="383" t="s">
        <v>90</v>
      </c>
      <c r="F167" s="384"/>
      <c r="G167" s="385"/>
      <c r="H167" s="383" t="s">
        <v>92</v>
      </c>
      <c r="I167" s="384"/>
      <c r="J167" s="385"/>
    </row>
    <row r="168" spans="1:10" ht="25.5">
      <c r="A168" s="6"/>
      <c r="B168" s="133" t="s">
        <v>79</v>
      </c>
      <c r="C168" s="61" t="s">
        <v>80</v>
      </c>
      <c r="D168" s="22" t="s">
        <v>81</v>
      </c>
      <c r="E168" s="133" t="s">
        <v>79</v>
      </c>
      <c r="F168" s="61" t="s">
        <v>80</v>
      </c>
      <c r="G168" s="22" t="s">
        <v>81</v>
      </c>
      <c r="H168" s="133" t="s">
        <v>79</v>
      </c>
      <c r="I168" s="61" t="s">
        <v>80</v>
      </c>
      <c r="J168" s="22" t="s">
        <v>81</v>
      </c>
    </row>
    <row r="169" spans="1:10" ht="15">
      <c r="A169" s="6" t="s">
        <v>23</v>
      </c>
      <c r="B169" s="275"/>
      <c r="C169" s="282"/>
      <c r="D169" s="90">
        <f>B169*C169</f>
        <v>0</v>
      </c>
      <c r="E169" s="275">
        <v>0.5867</v>
      </c>
      <c r="F169" s="60">
        <f>G159</f>
        <v>7.4857357224647883E-2</v>
      </c>
      <c r="G169" s="90">
        <f>E169*F169</f>
        <v>4.3918811483700915E-2</v>
      </c>
      <c r="H169" s="243">
        <v>0</v>
      </c>
      <c r="I169" s="60">
        <f>$G$159</f>
        <v>7.4857357224647883E-2</v>
      </c>
      <c r="J169" s="90">
        <f>H169*I169</f>
        <v>0</v>
      </c>
    </row>
    <row r="170" spans="1:10" ht="16.5">
      <c r="A170" s="6" t="s">
        <v>22</v>
      </c>
      <c r="B170" s="275"/>
      <c r="C170" s="276"/>
      <c r="D170" s="51">
        <f>B170*C170</f>
        <v>0</v>
      </c>
      <c r="E170" s="275">
        <v>6.4999999999999997E-3</v>
      </c>
      <c r="F170" s="276">
        <v>4</v>
      </c>
      <c r="G170" s="51">
        <f>E170*F170</f>
        <v>2.5999999999999999E-2</v>
      </c>
      <c r="H170" s="243">
        <v>0</v>
      </c>
      <c r="I170" s="29">
        <f>$D$159</f>
        <v>4.5</v>
      </c>
      <c r="J170" s="51">
        <f>H170*I170</f>
        <v>0</v>
      </c>
    </row>
    <row r="171" spans="1:10" ht="15">
      <c r="A171" s="25" t="s">
        <v>21</v>
      </c>
      <c r="B171" s="25"/>
      <c r="C171" s="53"/>
      <c r="D171" s="134">
        <f>SUM(D169:D170)</f>
        <v>0</v>
      </c>
      <c r="E171" s="25"/>
      <c r="F171" s="53"/>
      <c r="G171" s="134">
        <f>SUM(G169:G170)</f>
        <v>6.991881148370091E-2</v>
      </c>
      <c r="H171" s="25"/>
      <c r="I171" s="53"/>
      <c r="J171" s="134">
        <f>SUM(J169:J170)</f>
        <v>0</v>
      </c>
    </row>
    <row r="172" spans="1:10">
      <c r="J172" s="58"/>
    </row>
    <row r="173" spans="1:10">
      <c r="J173" s="58"/>
    </row>
    <row r="174" spans="1:10">
      <c r="A174" s="356" t="s">
        <v>19</v>
      </c>
      <c r="B174" s="357"/>
      <c r="C174" s="357"/>
      <c r="D174" s="357"/>
      <c r="E174" s="357"/>
      <c r="F174" s="357"/>
      <c r="G174" s="357"/>
      <c r="H174" s="358"/>
      <c r="J174" s="58"/>
    </row>
    <row r="175" spans="1:10" ht="25.5">
      <c r="A175" s="6" t="s">
        <v>18</v>
      </c>
      <c r="B175" s="98">
        <v>256000000</v>
      </c>
      <c r="C175" s="5"/>
      <c r="D175" s="5"/>
      <c r="E175" s="5"/>
      <c r="F175" s="5"/>
      <c r="G175" s="23" t="s">
        <v>17</v>
      </c>
      <c r="H175" s="22" t="s">
        <v>57</v>
      </c>
      <c r="J175" s="58"/>
    </row>
    <row r="176" spans="1:10">
      <c r="A176" s="6" t="s">
        <v>16</v>
      </c>
      <c r="B176" s="21">
        <f>G177/B175</f>
        <v>5.7421874999999997E-4</v>
      </c>
      <c r="C176" s="5"/>
      <c r="D176" s="5"/>
      <c r="E176" s="5"/>
      <c r="F176" s="5"/>
      <c r="G176" s="5" t="s">
        <v>142</v>
      </c>
      <c r="H176" s="5" t="s">
        <v>142</v>
      </c>
      <c r="I176" s="1" t="s">
        <v>95</v>
      </c>
      <c r="J176" s="1" t="s">
        <v>95</v>
      </c>
    </row>
    <row r="177" spans="1:10" ht="16.5">
      <c r="A177" s="6" t="s">
        <v>15</v>
      </c>
      <c r="B177" s="5"/>
      <c r="C177" s="5"/>
      <c r="D177" s="5"/>
      <c r="E177" s="5"/>
      <c r="F177" s="5"/>
      <c r="G177" s="277">
        <v>147000</v>
      </c>
      <c r="H177" s="20">
        <f>G177/(E$47*1000)</f>
        <v>0.03</v>
      </c>
      <c r="I177" s="277">
        <v>353000</v>
      </c>
      <c r="J177" s="20" t="e">
        <f>I177/B24/1000</f>
        <v>#DIV/0!</v>
      </c>
    </row>
    <row r="178" spans="1:10">
      <c r="A178" s="16"/>
      <c r="H178" s="12"/>
      <c r="J178" s="12"/>
    </row>
    <row r="179" spans="1:10">
      <c r="A179" s="16"/>
      <c r="F179" s="2"/>
      <c r="G179" s="63"/>
      <c r="H179" s="12"/>
      <c r="I179" s="63"/>
      <c r="J179" s="12"/>
    </row>
    <row r="180" spans="1:10">
      <c r="A180" s="373" t="s">
        <v>51</v>
      </c>
      <c r="B180" s="365"/>
      <c r="C180" s="5"/>
      <c r="D180" s="5"/>
      <c r="E180" s="5"/>
      <c r="F180" s="5"/>
      <c r="G180" s="5" t="s">
        <v>142</v>
      </c>
      <c r="H180" s="5" t="s">
        <v>142</v>
      </c>
      <c r="I180" s="5"/>
      <c r="J180" s="5"/>
    </row>
    <row r="181" spans="1:10" ht="16.5">
      <c r="A181" s="6" t="s">
        <v>14</v>
      </c>
      <c r="B181" s="5"/>
      <c r="C181" s="5"/>
      <c r="D181" s="5"/>
      <c r="E181" s="5"/>
      <c r="F181" s="5"/>
      <c r="G181" s="102">
        <v>27000</v>
      </c>
      <c r="H181" s="20">
        <f>G181/(E$47*1000)</f>
        <v>5.5102040816326532E-3</v>
      </c>
      <c r="I181" s="102">
        <v>75000</v>
      </c>
      <c r="J181" s="20" t="e">
        <f>I181/B24/1000</f>
        <v>#DIV/0!</v>
      </c>
    </row>
    <row r="182" spans="1:10">
      <c r="A182" s="6"/>
      <c r="B182" s="5"/>
      <c r="C182" s="5"/>
      <c r="D182" s="5"/>
      <c r="E182" s="5"/>
      <c r="F182" s="5"/>
      <c r="G182" s="5"/>
      <c r="H182" s="8"/>
      <c r="I182" s="5"/>
      <c r="J182" s="8"/>
    </row>
    <row r="183" spans="1:10">
      <c r="A183" s="373" t="s">
        <v>13</v>
      </c>
      <c r="B183" s="365"/>
      <c r="C183" s="5"/>
      <c r="D183" s="5"/>
      <c r="E183" s="5"/>
      <c r="F183" s="5"/>
      <c r="G183" s="5" t="s">
        <v>142</v>
      </c>
      <c r="H183" s="5" t="s">
        <v>142</v>
      </c>
      <c r="I183" s="5"/>
      <c r="J183" s="5"/>
    </row>
    <row r="184" spans="1:10" ht="16.5">
      <c r="A184" s="6" t="s">
        <v>12</v>
      </c>
      <c r="B184" s="5"/>
      <c r="C184" s="5"/>
      <c r="D184" s="5"/>
      <c r="E184" s="5"/>
      <c r="F184" s="5"/>
      <c r="G184" s="277">
        <v>55000</v>
      </c>
      <c r="H184" s="20">
        <f>G184/(E$47*1000)</f>
        <v>1.1224489795918367E-2</v>
      </c>
      <c r="I184" s="277">
        <v>57000</v>
      </c>
      <c r="J184" s="20" t="e">
        <f>I184/B24/1000</f>
        <v>#DIV/0!</v>
      </c>
    </row>
    <row r="185" spans="1:10">
      <c r="A185" s="11"/>
      <c r="B185" s="10"/>
      <c r="C185" s="19"/>
      <c r="D185" s="10"/>
      <c r="E185" s="10"/>
      <c r="F185" s="10"/>
      <c r="G185" s="10"/>
      <c r="H185" s="9"/>
      <c r="J185" s="58"/>
    </row>
    <row r="186" spans="1:10">
      <c r="C186" s="18"/>
      <c r="J186" s="58"/>
    </row>
    <row r="187" spans="1:10">
      <c r="J187" s="58"/>
    </row>
    <row r="188" spans="1:10">
      <c r="A188" s="55" t="s">
        <v>11</v>
      </c>
      <c r="B188" s="386" t="s">
        <v>10</v>
      </c>
      <c r="C188" s="386"/>
      <c r="D188" s="386"/>
      <c r="E188" s="386"/>
      <c r="F188" s="386"/>
      <c r="G188" s="386"/>
      <c r="H188" s="387"/>
      <c r="J188" s="58"/>
    </row>
    <row r="189" spans="1:10">
      <c r="A189" s="16"/>
      <c r="H189" s="12"/>
      <c r="J189" s="58"/>
    </row>
    <row r="190" spans="1:10">
      <c r="A190" s="16"/>
      <c r="B190" s="365" t="s">
        <v>9</v>
      </c>
      <c r="C190" s="365"/>
      <c r="D190" s="15">
        <f>B49</f>
        <v>4900</v>
      </c>
      <c r="E190" s="5"/>
      <c r="F190" s="365" t="s">
        <v>8</v>
      </c>
      <c r="G190" s="365"/>
      <c r="H190" s="17">
        <f>D190/D191</f>
        <v>4.8999999999999998E-3</v>
      </c>
      <c r="J190" s="58"/>
    </row>
    <row r="191" spans="1:10">
      <c r="A191" s="16"/>
      <c r="B191" s="365" t="s">
        <v>7</v>
      </c>
      <c r="C191" s="365"/>
      <c r="D191" s="15">
        <v>1000000</v>
      </c>
      <c r="E191" s="5"/>
      <c r="F191" s="5"/>
      <c r="G191" s="5"/>
      <c r="H191" s="14"/>
      <c r="J191" s="58"/>
    </row>
    <row r="193" spans="1:12" ht="33" customHeight="1">
      <c r="A193" s="6"/>
      <c r="B193" s="61" t="s">
        <v>82</v>
      </c>
      <c r="C193" s="61" t="s">
        <v>6</v>
      </c>
      <c r="D193" s="61" t="s">
        <v>75</v>
      </c>
      <c r="E193" s="193" t="s">
        <v>76</v>
      </c>
      <c r="F193" s="61" t="s">
        <v>63</v>
      </c>
      <c r="G193" s="61" t="s">
        <v>77</v>
      </c>
      <c r="H193" s="97" t="s">
        <v>78</v>
      </c>
      <c r="J193" s="58"/>
      <c r="K193" s="58"/>
      <c r="L193" s="58"/>
    </row>
    <row r="194" spans="1:12" ht="15">
      <c r="A194" s="6" t="s">
        <v>5</v>
      </c>
      <c r="B194" s="3">
        <f>C194/12</f>
        <v>0</v>
      </c>
      <c r="C194" s="250">
        <v>0</v>
      </c>
      <c r="D194" s="98">
        <f>ROUND($C$202/($C$202+$C$203)*12,0)*$B194</f>
        <v>0</v>
      </c>
      <c r="E194" s="194">
        <f>ROUND($C$203/($C$202+$C$203)*12,0)*$B194</f>
        <v>0</v>
      </c>
      <c r="F194" s="89">
        <f>$D194/$D$190/1000</f>
        <v>0</v>
      </c>
      <c r="G194" s="89">
        <f>$E194/$D$190/1000</f>
        <v>0</v>
      </c>
      <c r="H194" s="99">
        <f>SUM(F194:G194)</f>
        <v>0</v>
      </c>
      <c r="J194" s="58"/>
      <c r="K194" s="58"/>
      <c r="L194" s="58"/>
    </row>
    <row r="195" spans="1:12" ht="15">
      <c r="A195" s="6" t="s">
        <v>4</v>
      </c>
      <c r="B195" s="98">
        <f>C195/12</f>
        <v>95700</v>
      </c>
      <c r="C195" s="236">
        <f>+(95700*12)</f>
        <v>1148400</v>
      </c>
      <c r="D195" s="98">
        <f>ROUND($C$202/($C$202+$C$203)*12,0)*$B195</f>
        <v>1148400</v>
      </c>
      <c r="E195" s="194">
        <f>ROUND($C$203/($C$202+$C$203)*12,0)*$B195</f>
        <v>0</v>
      </c>
      <c r="F195" s="100">
        <f>$D195/D$190/1000</f>
        <v>0.23436734693877551</v>
      </c>
      <c r="G195" s="100">
        <f>$E195/$D$190/1000</f>
        <v>0</v>
      </c>
      <c r="H195" s="94">
        <f t="shared" ref="H195:H196" si="23">SUM(F195:G195)</f>
        <v>0.23436734693877551</v>
      </c>
      <c r="J195" s="58"/>
      <c r="K195" s="58"/>
      <c r="L195" s="58"/>
    </row>
    <row r="196" spans="1:12" ht="16.5">
      <c r="A196" s="6" t="s">
        <v>3</v>
      </c>
      <c r="B196" s="98">
        <f>C196/12</f>
        <v>22812.25</v>
      </c>
      <c r="C196" s="236">
        <f>(273747/12*12)</f>
        <v>273747</v>
      </c>
      <c r="D196" s="98">
        <f>ROUND($C$202/($C$202+$C$203)*12,0)*$B196</f>
        <v>273747</v>
      </c>
      <c r="E196" s="194">
        <f>ROUND($C$203/($C$202+$C$203)*12,0)*$B196</f>
        <v>0</v>
      </c>
      <c r="F196" s="88">
        <f>$D196/D$190/1000</f>
        <v>5.5866734693877554E-2</v>
      </c>
      <c r="G196" s="88">
        <f>$E196/$D$190/1000</f>
        <v>0</v>
      </c>
      <c r="H196" s="95">
        <f t="shared" si="23"/>
        <v>5.5866734693877554E-2</v>
      </c>
      <c r="J196" s="58"/>
      <c r="K196" s="58"/>
      <c r="L196" s="58"/>
    </row>
    <row r="197" spans="1:12">
      <c r="A197" s="6" t="s">
        <v>2</v>
      </c>
      <c r="F197" s="89">
        <f>SUM(F194:F196)</f>
        <v>0.29023408163265307</v>
      </c>
      <c r="G197" s="89">
        <f>SUM(G194:G196)</f>
        <v>0</v>
      </c>
      <c r="H197" s="99">
        <f>SUM(H194:H196)</f>
        <v>0.29023408163265307</v>
      </c>
      <c r="J197" s="58"/>
      <c r="K197" s="58"/>
      <c r="L197" s="58"/>
    </row>
    <row r="198" spans="1:12">
      <c r="A198" s="11"/>
      <c r="B198" s="10"/>
      <c r="C198" s="10"/>
      <c r="D198" s="10"/>
      <c r="E198" s="10"/>
      <c r="F198" s="10"/>
      <c r="G198" s="10"/>
      <c r="H198" s="9"/>
      <c r="J198" s="58"/>
      <c r="K198" s="58"/>
      <c r="L198" s="58"/>
    </row>
    <row r="199" spans="1:12">
      <c r="J199" s="58"/>
      <c r="K199" s="58"/>
      <c r="L199" s="58"/>
    </row>
    <row r="200" spans="1:12">
      <c r="J200" s="58"/>
      <c r="K200" s="58"/>
      <c r="L200" s="58"/>
    </row>
    <row r="201" spans="1:12">
      <c r="A201" s="356" t="s">
        <v>117</v>
      </c>
      <c r="B201" s="357"/>
      <c r="C201" s="357"/>
      <c r="D201" s="357"/>
      <c r="E201" s="357"/>
      <c r="F201" s="357"/>
      <c r="G201" s="357"/>
      <c r="H201" s="358"/>
      <c r="J201" s="58"/>
      <c r="K201" s="58"/>
      <c r="L201" s="58"/>
    </row>
    <row r="202" spans="1:12" ht="15">
      <c r="A202" s="6"/>
      <c r="B202" s="5" t="s">
        <v>73</v>
      </c>
      <c r="C202" s="104">
        <v>52</v>
      </c>
      <c r="D202" s="43" t="s">
        <v>110</v>
      </c>
      <c r="E202" s="237">
        <v>0.04</v>
      </c>
      <c r="F202" s="5" t="s">
        <v>83</v>
      </c>
      <c r="G202" s="5"/>
      <c r="H202" s="8"/>
      <c r="J202" s="58"/>
      <c r="K202" s="58"/>
      <c r="L202" s="58"/>
    </row>
    <row r="203" spans="1:12" ht="15">
      <c r="A203" s="6"/>
      <c r="B203" s="5" t="s">
        <v>72</v>
      </c>
      <c r="C203" s="104">
        <v>0</v>
      </c>
      <c r="E203" s="5"/>
      <c r="F203" s="5" t="s">
        <v>84</v>
      </c>
      <c r="G203" s="5"/>
      <c r="H203" s="8"/>
      <c r="J203" s="58"/>
      <c r="K203" s="58"/>
      <c r="L203" s="58"/>
    </row>
    <row r="204" spans="1:12" ht="15">
      <c r="A204" s="6"/>
      <c r="B204" s="5" t="s">
        <v>74</v>
      </c>
      <c r="C204" s="104">
        <v>40</v>
      </c>
      <c r="E204" s="5"/>
      <c r="F204" s="5" t="s">
        <v>0</v>
      </c>
      <c r="G204" s="5"/>
      <c r="H204" s="8"/>
      <c r="J204" s="58"/>
      <c r="K204" s="58"/>
      <c r="L204" s="58"/>
    </row>
    <row r="205" spans="1:12" ht="15">
      <c r="A205" s="6"/>
      <c r="B205" s="5" t="s">
        <v>1</v>
      </c>
      <c r="C205" s="105">
        <v>1.5</v>
      </c>
      <c r="E205" s="5"/>
      <c r="G205" s="5"/>
      <c r="H205" s="7"/>
      <c r="J205" s="58"/>
      <c r="K205" s="58"/>
      <c r="L205" s="58"/>
    </row>
    <row r="206" spans="1:12" ht="15">
      <c r="A206" s="25"/>
      <c r="B206" s="79" t="s">
        <v>52</v>
      </c>
      <c r="C206" s="237">
        <v>0.3</v>
      </c>
      <c r="D206" s="10"/>
      <c r="E206" s="53"/>
      <c r="F206" s="53"/>
      <c r="G206" s="53"/>
      <c r="H206" s="65"/>
      <c r="J206" s="58"/>
      <c r="K206" s="58"/>
      <c r="L206" s="58"/>
    </row>
    <row r="207" spans="1:12">
      <c r="B207" s="388"/>
      <c r="C207" s="388"/>
      <c r="D207" s="388"/>
      <c r="J207" s="58"/>
      <c r="K207" s="58" t="s">
        <v>121</v>
      </c>
      <c r="L207" s="58"/>
    </row>
    <row r="208" spans="1:12">
      <c r="A208" s="356" t="s">
        <v>118</v>
      </c>
      <c r="B208" s="357"/>
      <c r="C208" s="357"/>
      <c r="D208" s="357"/>
      <c r="E208" s="357"/>
      <c r="F208" s="357"/>
      <c r="G208" s="357"/>
      <c r="H208" s="358"/>
      <c r="J208" s="58"/>
      <c r="K208" s="58" t="s">
        <v>122</v>
      </c>
      <c r="L208" s="58">
        <f>52-C209</f>
        <v>43</v>
      </c>
    </row>
    <row r="209" spans="1:12" ht="15">
      <c r="A209" s="6"/>
      <c r="B209" s="5" t="s">
        <v>73</v>
      </c>
      <c r="C209" s="104">
        <v>9</v>
      </c>
      <c r="D209" s="43" t="s">
        <v>110</v>
      </c>
      <c r="E209" s="237">
        <v>0.04</v>
      </c>
      <c r="F209" s="5" t="s">
        <v>83</v>
      </c>
      <c r="G209" s="5"/>
      <c r="H209" s="8"/>
      <c r="J209" s="58"/>
      <c r="K209" s="58" t="s">
        <v>75</v>
      </c>
      <c r="L209" s="58">
        <f>E47*1000/52*L208</f>
        <v>4051923.076923077</v>
      </c>
    </row>
    <row r="210" spans="1:12" ht="15">
      <c r="A210" s="6"/>
      <c r="B210" s="5" t="s">
        <v>72</v>
      </c>
      <c r="C210" s="104">
        <v>0</v>
      </c>
      <c r="E210" s="5"/>
      <c r="F210" s="5" t="s">
        <v>84</v>
      </c>
      <c r="G210" s="5"/>
      <c r="H210" s="8"/>
      <c r="J210" s="58"/>
      <c r="K210" s="58" t="s">
        <v>123</v>
      </c>
      <c r="L210" s="288">
        <f>0.0315*L209</f>
        <v>127635.57692307692</v>
      </c>
    </row>
    <row r="211" spans="1:12" ht="15">
      <c r="A211" s="6"/>
      <c r="B211" s="5" t="s">
        <v>74</v>
      </c>
      <c r="C211" s="104">
        <v>40</v>
      </c>
      <c r="E211" s="5"/>
      <c r="F211" s="5" t="s">
        <v>0</v>
      </c>
      <c r="G211" s="5"/>
      <c r="H211" s="8"/>
      <c r="J211" s="58"/>
      <c r="K211" s="58"/>
      <c r="L211" s="58"/>
    </row>
    <row r="212" spans="1:12" ht="15">
      <c r="A212" s="6"/>
      <c r="B212" s="5" t="s">
        <v>1</v>
      </c>
      <c r="C212" s="105">
        <v>1.5</v>
      </c>
      <c r="E212" s="5"/>
      <c r="G212" s="5"/>
      <c r="H212" s="7"/>
      <c r="J212" s="58"/>
      <c r="K212" s="58"/>
      <c r="L212" s="58"/>
    </row>
    <row r="213" spans="1:12" ht="15">
      <c r="A213" s="25"/>
      <c r="B213" s="79" t="s">
        <v>52</v>
      </c>
      <c r="C213" s="237">
        <v>0.3</v>
      </c>
      <c r="D213" s="10"/>
      <c r="E213" s="53"/>
      <c r="F213" s="53"/>
      <c r="G213" s="53"/>
      <c r="H213" s="65"/>
      <c r="J213" s="58"/>
      <c r="K213" s="58"/>
      <c r="L213" s="58"/>
    </row>
  </sheetData>
  <mergeCells count="47">
    <mergeCell ref="A208:H208"/>
    <mergeCell ref="B188:H188"/>
    <mergeCell ref="B190:C190"/>
    <mergeCell ref="F190:G190"/>
    <mergeCell ref="B191:C191"/>
    <mergeCell ref="A201:H201"/>
    <mergeCell ref="B207:D207"/>
    <mergeCell ref="T121:AD121"/>
    <mergeCell ref="A183:B183"/>
    <mergeCell ref="B159:C159"/>
    <mergeCell ref="E159:F159"/>
    <mergeCell ref="H159:I159"/>
    <mergeCell ref="H160:I160"/>
    <mergeCell ref="B161:D161"/>
    <mergeCell ref="E161:G161"/>
    <mergeCell ref="H161:J161"/>
    <mergeCell ref="B167:D167"/>
    <mergeCell ref="E167:G167"/>
    <mergeCell ref="H167:J167"/>
    <mergeCell ref="A174:H174"/>
    <mergeCell ref="A180:B180"/>
    <mergeCell ref="B136:D136"/>
    <mergeCell ref="F136:H136"/>
    <mergeCell ref="B111:D111"/>
    <mergeCell ref="F111:H111"/>
    <mergeCell ref="J84:L84"/>
    <mergeCell ref="A98:H98"/>
    <mergeCell ref="B26:D26"/>
    <mergeCell ref="E26:G26"/>
    <mergeCell ref="H26:J26"/>
    <mergeCell ref="B51:K51"/>
    <mergeCell ref="C62:F62"/>
    <mergeCell ref="G62:K62"/>
    <mergeCell ref="B74:D74"/>
    <mergeCell ref="F74:H74"/>
    <mergeCell ref="B84:D84"/>
    <mergeCell ref="F84:H84"/>
    <mergeCell ref="F99:H100"/>
    <mergeCell ref="A100:E100"/>
    <mergeCell ref="A1:J1"/>
    <mergeCell ref="S1:AA1"/>
    <mergeCell ref="AL1:AQ1"/>
    <mergeCell ref="B3:D3"/>
    <mergeCell ref="E3:G3"/>
    <mergeCell ref="H3:J3"/>
    <mergeCell ref="N3:O3"/>
    <mergeCell ref="P3:Q3"/>
  </mergeCells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491FE-607B-4B05-B259-30DAAADB1896}">
  <dimension ref="A1:AX213"/>
  <sheetViews>
    <sheetView topLeftCell="A33" workbookViewId="0">
      <selection activeCell="E43" sqref="E43"/>
    </sheetView>
  </sheetViews>
  <sheetFormatPr defaultColWidth="10.7109375" defaultRowHeight="12.75" outlineLevelCol="1"/>
  <cols>
    <col min="1" max="1" width="37.28515625" style="1" bestFit="1" customWidth="1"/>
    <col min="2" max="2" width="16.7109375" style="1" customWidth="1"/>
    <col min="3" max="3" width="13.28515625" style="1" customWidth="1"/>
    <col min="4" max="4" width="13.5703125" style="1" customWidth="1"/>
    <col min="5" max="5" width="12.7109375" style="1" customWidth="1"/>
    <col min="6" max="6" width="12.42578125" style="1" customWidth="1"/>
    <col min="7" max="7" width="14.28515625" style="1" customWidth="1"/>
    <col min="8" max="8" width="12.7109375" style="1" customWidth="1"/>
    <col min="9" max="9" width="10.7109375" style="1"/>
    <col min="10" max="10" width="13" style="1" customWidth="1"/>
    <col min="11" max="11" width="12.28515625" style="1" customWidth="1"/>
    <col min="12" max="12" width="11.28515625" style="1" customWidth="1"/>
    <col min="13" max="13" width="21.7109375" style="1" customWidth="1"/>
    <col min="14" max="14" width="13.42578125" style="1" customWidth="1"/>
    <col min="15" max="15" width="10.7109375" style="1"/>
    <col min="16" max="16" width="12.28515625" style="1" customWidth="1"/>
    <col min="17" max="17" width="9.7109375" style="1" customWidth="1"/>
    <col min="18" max="18" width="2.7109375" style="1" customWidth="1"/>
    <col min="19" max="19" width="12.140625" style="1" bestFit="1" customWidth="1" outlineLevel="1"/>
    <col min="20" max="20" width="11.42578125" style="1" customWidth="1" outlineLevel="1"/>
    <col min="21" max="21" width="17.7109375" style="1" customWidth="1" outlineLevel="1"/>
    <col min="22" max="24" width="15.28515625" style="1" customWidth="1" outlineLevel="1"/>
    <col min="25" max="25" width="14.7109375" style="1" customWidth="1" outlineLevel="1"/>
    <col min="26" max="26" width="12.42578125" style="1" customWidth="1" outlineLevel="1"/>
    <col min="27" max="27" width="15.28515625" style="1" customWidth="1" outlineLevel="1"/>
    <col min="28" max="28" width="12.42578125" style="1" customWidth="1" outlineLevel="1"/>
    <col min="29" max="29" width="9.42578125" style="1" customWidth="1" outlineLevel="1"/>
    <col min="30" max="30" width="13.28515625" style="1" bestFit="1" customWidth="1" outlineLevel="1"/>
    <col min="31" max="31" width="13.28515625" style="1" customWidth="1" outlineLevel="1"/>
    <col min="32" max="32" width="9.5703125" style="1" bestFit="1" customWidth="1" outlineLevel="1"/>
    <col min="33" max="33" width="9.28515625" style="1" customWidth="1" outlineLevel="1"/>
    <col min="34" max="34" width="9.5703125" style="1" bestFit="1" customWidth="1" outlineLevel="1"/>
    <col min="35" max="35" width="12" style="1" customWidth="1" outlineLevel="1"/>
    <col min="36" max="36" width="11.7109375" style="1" customWidth="1" outlineLevel="1"/>
    <col min="37" max="37" width="12.28515625" style="1" customWidth="1" outlineLevel="1"/>
    <col min="38" max="38" width="11.42578125" style="1" customWidth="1" outlineLevel="1"/>
    <col min="39" max="39" width="12.42578125" style="1" customWidth="1" outlineLevel="1"/>
    <col min="40" max="40" width="12.28515625" style="1" customWidth="1" outlineLevel="1"/>
    <col min="41" max="41" width="12.5703125" style="1" customWidth="1" outlineLevel="1"/>
    <col min="42" max="42" width="12.42578125" style="1" customWidth="1" outlineLevel="1"/>
    <col min="43" max="43" width="14.28515625" style="1" customWidth="1" outlineLevel="1"/>
    <col min="44" max="44" width="10.28515625" style="1" customWidth="1" outlineLevel="1"/>
    <col min="45" max="45" width="11.5703125" style="1" customWidth="1" outlineLevel="1"/>
    <col min="46" max="46" width="11.42578125" style="1" customWidth="1" outlineLevel="1"/>
    <col min="47" max="48" width="12.7109375" style="1" customWidth="1" outlineLevel="1"/>
    <col min="49" max="49" width="11" style="1" customWidth="1" outlineLevel="1"/>
    <col min="50" max="50" width="12.7109375" style="1" customWidth="1" outlineLevel="1"/>
    <col min="51" max="250" width="8.7109375" style="1" customWidth="1"/>
    <col min="251" max="16384" width="10.7109375" style="1"/>
  </cols>
  <sheetData>
    <row r="1" spans="1:43" ht="18.75" customHeight="1">
      <c r="A1" s="344" t="s">
        <v>124</v>
      </c>
      <c r="B1" s="344"/>
      <c r="C1" s="344"/>
      <c r="D1" s="344"/>
      <c r="E1" s="344"/>
      <c r="F1" s="344"/>
      <c r="G1" s="344"/>
      <c r="H1" s="344"/>
      <c r="I1" s="344"/>
      <c r="J1" s="344"/>
      <c r="K1" s="91"/>
      <c r="L1" s="91"/>
      <c r="S1" s="345"/>
      <c r="T1" s="345"/>
      <c r="U1" s="345"/>
      <c r="V1" s="345"/>
      <c r="W1" s="345"/>
      <c r="X1" s="345"/>
      <c r="Y1" s="345"/>
      <c r="Z1" s="345"/>
      <c r="AA1" s="345"/>
      <c r="AB1" s="149"/>
      <c r="AC1" s="150"/>
      <c r="AD1" s="150"/>
      <c r="AE1" s="151"/>
      <c r="AF1" s="151"/>
      <c r="AG1" s="151"/>
      <c r="AH1" s="151"/>
      <c r="AI1" s="152"/>
      <c r="AJ1" s="151"/>
      <c r="AK1" s="152"/>
      <c r="AL1" s="346"/>
      <c r="AM1" s="346"/>
      <c r="AN1" s="346"/>
      <c r="AO1" s="346"/>
      <c r="AP1" s="346"/>
      <c r="AQ1" s="346"/>
    </row>
    <row r="2" spans="1:43" ht="36.6" customHeight="1">
      <c r="A2" s="56" t="s">
        <v>59</v>
      </c>
      <c r="B2" s="186"/>
      <c r="C2" s="56"/>
      <c r="D2" s="56"/>
      <c r="E2" s="56"/>
      <c r="F2" s="56"/>
      <c r="G2" s="56"/>
      <c r="H2" s="84"/>
      <c r="I2" s="92"/>
      <c r="J2" s="92"/>
      <c r="K2" s="92"/>
      <c r="L2" s="92"/>
      <c r="S2" s="155"/>
      <c r="T2" s="155"/>
      <c r="U2" s="155"/>
      <c r="V2" s="155"/>
      <c r="W2" s="155"/>
      <c r="X2" s="155"/>
      <c r="Y2" s="155"/>
      <c r="Z2" s="155"/>
      <c r="AA2" s="156"/>
      <c r="AB2" s="182"/>
      <c r="AC2" s="151"/>
      <c r="AD2" s="150"/>
      <c r="AE2" s="157"/>
      <c r="AF2" s="157"/>
      <c r="AG2" s="157"/>
      <c r="AH2" s="157"/>
      <c r="AI2" s="155"/>
      <c r="AJ2" s="157"/>
      <c r="AK2" s="158"/>
      <c r="AL2" s="159"/>
      <c r="AM2" s="234"/>
      <c r="AN2" s="234"/>
      <c r="AO2" s="155"/>
      <c r="AP2" s="155"/>
      <c r="AQ2" s="155"/>
    </row>
    <row r="3" spans="1:43" ht="18" customHeight="1">
      <c r="A3" s="64" t="s">
        <v>20</v>
      </c>
      <c r="B3" s="347" t="s">
        <v>91</v>
      </c>
      <c r="C3" s="348"/>
      <c r="D3" s="348"/>
      <c r="E3" s="347" t="s">
        <v>93</v>
      </c>
      <c r="F3" s="348"/>
      <c r="G3" s="348"/>
      <c r="H3" s="347" t="s">
        <v>94</v>
      </c>
      <c r="I3" s="348"/>
      <c r="J3" s="349"/>
      <c r="M3" s="252"/>
      <c r="N3" s="350"/>
      <c r="O3" s="350"/>
      <c r="P3" s="350"/>
      <c r="Q3" s="351"/>
      <c r="S3" s="160"/>
      <c r="T3" s="161"/>
      <c r="U3" s="160"/>
      <c r="V3" s="160"/>
      <c r="W3" s="160"/>
      <c r="X3" s="160"/>
      <c r="Y3" s="160"/>
      <c r="Z3" s="160"/>
      <c r="AA3" s="161"/>
      <c r="AB3" s="151"/>
      <c r="AC3" s="161"/>
      <c r="AD3" s="161"/>
      <c r="AE3" s="160"/>
      <c r="AF3" s="160"/>
      <c r="AG3" s="160"/>
      <c r="AH3" s="160"/>
      <c r="AI3" s="161"/>
      <c r="AJ3" s="160"/>
      <c r="AK3" s="161"/>
      <c r="AL3" s="161"/>
      <c r="AM3" s="161"/>
      <c r="AN3" s="161"/>
      <c r="AO3" s="161"/>
      <c r="AP3" s="161"/>
      <c r="AQ3" s="161"/>
    </row>
    <row r="4" spans="1:43" s="46" customFormat="1" ht="15">
      <c r="A4" s="66"/>
      <c r="B4" s="218" t="s">
        <v>143</v>
      </c>
      <c r="C4" s="219" t="s">
        <v>114</v>
      </c>
      <c r="D4" s="219" t="s">
        <v>88</v>
      </c>
      <c r="E4" s="218" t="str">
        <f>$B$4</f>
        <v>25 Standard</v>
      </c>
      <c r="F4" s="219" t="str">
        <f>+C4</f>
        <v>23 Actual</v>
      </c>
      <c r="G4" s="219" t="str">
        <f>+D4</f>
        <v>20 Standard</v>
      </c>
      <c r="H4" s="218" t="str">
        <f>+B4</f>
        <v>25 Standard</v>
      </c>
      <c r="I4" s="219" t="str">
        <f>+C4</f>
        <v>23 Actual</v>
      </c>
      <c r="J4" s="220" t="str">
        <f>+D4</f>
        <v>20 Standard</v>
      </c>
      <c r="M4" s="253"/>
      <c r="N4" s="254"/>
      <c r="O4" s="254"/>
      <c r="P4" s="254"/>
      <c r="Q4" s="255"/>
      <c r="S4" s="162"/>
      <c r="T4" s="163"/>
      <c r="U4" s="163"/>
      <c r="V4" s="163"/>
      <c r="W4" s="163"/>
      <c r="X4" s="163"/>
      <c r="Y4" s="163"/>
      <c r="Z4" s="163"/>
      <c r="AA4" s="164"/>
      <c r="AB4" s="165"/>
      <c r="AC4" s="166"/>
      <c r="AD4" s="164"/>
      <c r="AE4" s="164"/>
      <c r="AF4" s="164"/>
      <c r="AG4" s="164"/>
      <c r="AH4" s="164"/>
      <c r="AI4" s="163"/>
      <c r="AJ4" s="164"/>
      <c r="AK4" s="163"/>
      <c r="AL4" s="164"/>
      <c r="AM4" s="164"/>
      <c r="AN4" s="164"/>
      <c r="AO4" s="164"/>
      <c r="AP4" s="164"/>
      <c r="AQ4" s="164"/>
    </row>
    <row r="5" spans="1:43" s="46" customFormat="1">
      <c r="A5" s="66"/>
      <c r="B5" s="221"/>
      <c r="C5" s="202" t="s">
        <v>89</v>
      </c>
      <c r="D5" s="202"/>
      <c r="E5" s="221"/>
      <c r="F5" s="202" t="s">
        <v>89</v>
      </c>
      <c r="G5" s="202"/>
      <c r="H5" s="221"/>
      <c r="I5" s="202" t="s">
        <v>89</v>
      </c>
      <c r="J5" s="222"/>
      <c r="M5" s="253"/>
      <c r="N5" s="256"/>
      <c r="O5" s="256"/>
      <c r="P5" s="257"/>
      <c r="Q5" s="258"/>
      <c r="S5" s="162"/>
      <c r="T5" s="163"/>
      <c r="U5" s="163"/>
      <c r="V5" s="163"/>
      <c r="W5" s="163"/>
      <c r="X5" s="163"/>
      <c r="Y5" s="163"/>
      <c r="Z5" s="163"/>
      <c r="AA5" s="164"/>
      <c r="AB5" s="165"/>
      <c r="AC5" s="166"/>
      <c r="AD5" s="164"/>
      <c r="AE5" s="164"/>
      <c r="AF5" s="164"/>
      <c r="AG5" s="154"/>
      <c r="AH5" s="164"/>
      <c r="AI5" s="163"/>
      <c r="AJ5" s="164"/>
      <c r="AK5" s="163"/>
      <c r="AL5" s="164"/>
      <c r="AM5" s="164"/>
      <c r="AN5" s="164"/>
      <c r="AO5" s="164"/>
      <c r="AP5" s="164"/>
      <c r="AQ5" s="164"/>
    </row>
    <row r="6" spans="1:43">
      <c r="A6" s="30" t="s">
        <v>50</v>
      </c>
      <c r="B6" s="192">
        <f>IF(B24&lt;&gt;0,$D$82,0)</f>
        <v>6.5965817666666662E-2</v>
      </c>
      <c r="C6" s="192">
        <v>5.8500000000000003E-2</v>
      </c>
      <c r="D6" s="192">
        <v>4.1565810184720102E-2</v>
      </c>
      <c r="E6" s="204">
        <f>+H82</f>
        <v>0</v>
      </c>
      <c r="F6" s="192">
        <v>0</v>
      </c>
      <c r="G6" s="192">
        <v>0</v>
      </c>
      <c r="H6" s="204">
        <f>+D96</f>
        <v>0</v>
      </c>
      <c r="I6" s="192">
        <v>0</v>
      </c>
      <c r="J6" s="205">
        <v>0</v>
      </c>
      <c r="M6" s="259"/>
      <c r="N6" s="260"/>
      <c r="O6" s="261"/>
      <c r="P6" s="260"/>
      <c r="Q6" s="262"/>
      <c r="S6" s="167"/>
      <c r="T6" s="163"/>
      <c r="U6" s="163"/>
      <c r="V6" s="163"/>
      <c r="W6" s="163"/>
      <c r="X6" s="163"/>
      <c r="Y6" s="163"/>
      <c r="Z6" s="163"/>
      <c r="AA6" s="164"/>
      <c r="AB6" s="165"/>
      <c r="AC6" s="166"/>
      <c r="AD6" s="164"/>
      <c r="AE6" s="164"/>
      <c r="AF6" s="164"/>
      <c r="AG6" s="164"/>
      <c r="AH6" s="164"/>
      <c r="AI6" s="163"/>
      <c r="AJ6" s="164"/>
      <c r="AK6" s="163"/>
      <c r="AL6" s="164"/>
      <c r="AM6" s="164"/>
      <c r="AN6" s="164"/>
      <c r="AO6" s="164"/>
      <c r="AP6" s="164"/>
      <c r="AQ6" s="164"/>
    </row>
    <row r="7" spans="1:43" ht="15">
      <c r="A7" s="30" t="s">
        <v>27</v>
      </c>
      <c r="B7" s="192">
        <f>IF(B24&lt;&gt;0,$D$163,0)</f>
        <v>1.0128799999999999E-2</v>
      </c>
      <c r="C7" s="192">
        <v>1.0500000000000001E-2</v>
      </c>
      <c r="D7" s="192">
        <v>2.0277328909623641E-2</v>
      </c>
      <c r="E7" s="204">
        <f>G163</f>
        <v>1.983719966453169E-2</v>
      </c>
      <c r="F7" s="192">
        <v>0</v>
      </c>
      <c r="G7" s="192">
        <v>0</v>
      </c>
      <c r="H7" s="204">
        <f>J163</f>
        <v>1.983719966453169E-2</v>
      </c>
      <c r="I7" s="192">
        <v>0</v>
      </c>
      <c r="J7" s="205">
        <v>0</v>
      </c>
      <c r="M7" s="263"/>
      <c r="N7" s="264"/>
      <c r="O7" s="207"/>
      <c r="P7" s="264"/>
      <c r="Q7" s="208"/>
      <c r="S7" s="168"/>
      <c r="T7" s="168"/>
      <c r="U7" s="168"/>
      <c r="V7" s="168"/>
      <c r="W7" s="168"/>
      <c r="X7" s="168"/>
      <c r="Y7" s="168"/>
      <c r="Z7" s="168"/>
      <c r="AA7" s="168"/>
      <c r="AB7" s="165"/>
      <c r="AC7" s="166"/>
      <c r="AD7" s="169"/>
      <c r="AE7" s="170"/>
      <c r="AF7" s="171"/>
      <c r="AG7" s="171"/>
      <c r="AH7" s="171"/>
      <c r="AI7" s="168"/>
      <c r="AJ7" s="170"/>
      <c r="AK7" s="168"/>
      <c r="AL7" s="169"/>
      <c r="AM7" s="169"/>
      <c r="AN7" s="169"/>
      <c r="AO7" s="169"/>
      <c r="AP7" s="169"/>
      <c r="AQ7" s="169"/>
    </row>
    <row r="8" spans="1:43" ht="15">
      <c r="A8" s="6" t="s">
        <v>49</v>
      </c>
      <c r="B8" s="192">
        <f>IF(B24&lt;&gt;0,$D$164,0)</f>
        <v>2.5999999999999999E-2</v>
      </c>
      <c r="C8" s="192">
        <v>1.5599999999999999E-2</v>
      </c>
      <c r="D8" s="192">
        <v>1.4965000000000001E-2</v>
      </c>
      <c r="E8" s="204">
        <f>G164</f>
        <v>1.7100000000000001E-2</v>
      </c>
      <c r="F8" s="192">
        <v>0</v>
      </c>
      <c r="G8" s="192">
        <v>0</v>
      </c>
      <c r="H8" s="204">
        <f>J164</f>
        <v>1.7100000000000001E-2</v>
      </c>
      <c r="I8" s="192">
        <v>0</v>
      </c>
      <c r="J8" s="205">
        <v>0</v>
      </c>
      <c r="M8" s="263"/>
      <c r="N8" s="265"/>
      <c r="O8" s="266"/>
      <c r="P8" s="265"/>
      <c r="Q8" s="267"/>
      <c r="S8" s="168"/>
      <c r="T8" s="168"/>
      <c r="U8" s="168"/>
      <c r="V8" s="168"/>
      <c r="W8" s="168"/>
      <c r="X8" s="168"/>
      <c r="Y8" s="168"/>
      <c r="Z8" s="168"/>
      <c r="AA8" s="168"/>
      <c r="AB8" s="165"/>
      <c r="AC8" s="166"/>
      <c r="AD8" s="169"/>
      <c r="AE8" s="170"/>
      <c r="AF8" s="171"/>
      <c r="AG8" s="171"/>
      <c r="AH8" s="171"/>
      <c r="AI8" s="168"/>
      <c r="AJ8" s="170"/>
      <c r="AK8" s="168"/>
      <c r="AL8" s="169"/>
      <c r="AM8" s="169"/>
      <c r="AN8" s="169"/>
      <c r="AO8" s="169"/>
      <c r="AP8" s="169"/>
      <c r="AQ8" s="169"/>
    </row>
    <row r="9" spans="1:43">
      <c r="A9" s="30" t="s">
        <v>48</v>
      </c>
      <c r="B9" s="192">
        <f>IF(B24&lt;&gt;0,$J$177,0)</f>
        <v>3.2090909090909094E-2</v>
      </c>
      <c r="C9" s="192">
        <v>1.9199999999999998E-2</v>
      </c>
      <c r="D9" s="192">
        <v>1.591578947368421E-2</v>
      </c>
      <c r="E9" s="204">
        <f>$H$177</f>
        <v>0.03</v>
      </c>
      <c r="F9" s="192">
        <v>0</v>
      </c>
      <c r="G9" s="192">
        <v>0</v>
      </c>
      <c r="H9" s="204">
        <f>$H$177</f>
        <v>0.03</v>
      </c>
      <c r="I9" s="192">
        <v>0</v>
      </c>
      <c r="J9" s="205">
        <v>0</v>
      </c>
      <c r="M9" s="259"/>
      <c r="N9" s="260"/>
      <c r="O9" s="261"/>
      <c r="P9" s="268"/>
      <c r="Q9" s="262"/>
      <c r="S9" s="168"/>
      <c r="T9" s="168"/>
      <c r="U9" s="168"/>
      <c r="V9" s="168"/>
      <c r="W9" s="168"/>
      <c r="X9" s="168"/>
      <c r="Y9" s="168"/>
      <c r="Z9" s="168"/>
      <c r="AA9" s="168"/>
      <c r="AB9" s="165"/>
      <c r="AC9" s="166"/>
      <c r="AD9" s="169"/>
      <c r="AE9" s="170"/>
      <c r="AF9" s="171"/>
      <c r="AG9" s="171"/>
      <c r="AH9" s="171"/>
      <c r="AI9" s="168"/>
      <c r="AJ9" s="170"/>
      <c r="AK9" s="168"/>
      <c r="AL9" s="169"/>
      <c r="AM9" s="169"/>
      <c r="AN9" s="169"/>
      <c r="AO9" s="169"/>
      <c r="AP9" s="169"/>
      <c r="AQ9" s="169"/>
    </row>
    <row r="10" spans="1:43">
      <c r="A10" s="30" t="s">
        <v>47</v>
      </c>
      <c r="B10" s="192">
        <f>IF(B24&lt;&gt;0,$J$181,0)</f>
        <v>6.8181818181818187E-3</v>
      </c>
      <c r="C10" s="192">
        <v>8.0000000000000004E-4</v>
      </c>
      <c r="D10" s="192">
        <v>2.6315789473684214E-3</v>
      </c>
      <c r="E10" s="204">
        <f>$H$181</f>
        <v>5.5102040816326532E-3</v>
      </c>
      <c r="F10" s="192">
        <v>0</v>
      </c>
      <c r="G10" s="192">
        <v>0</v>
      </c>
      <c r="H10" s="204">
        <f>$H$181</f>
        <v>5.5102040816326532E-3</v>
      </c>
      <c r="I10" s="192">
        <v>0</v>
      </c>
      <c r="J10" s="205">
        <v>0</v>
      </c>
      <c r="M10" s="263"/>
      <c r="N10" s="260"/>
      <c r="O10" s="261"/>
      <c r="P10" s="260"/>
      <c r="Q10" s="262"/>
      <c r="S10" s="168"/>
      <c r="T10" s="168"/>
      <c r="U10" s="168"/>
      <c r="V10" s="168"/>
      <c r="W10" s="168"/>
      <c r="X10" s="168"/>
      <c r="Y10" s="168"/>
      <c r="Z10" s="168"/>
      <c r="AA10" s="168"/>
      <c r="AB10" s="165"/>
      <c r="AC10" s="166"/>
      <c r="AD10" s="169"/>
      <c r="AE10" s="170"/>
      <c r="AF10" s="171"/>
      <c r="AG10" s="171"/>
      <c r="AH10" s="171"/>
      <c r="AI10" s="168"/>
      <c r="AJ10" s="170"/>
      <c r="AK10" s="168"/>
      <c r="AL10" s="169"/>
      <c r="AM10" s="169"/>
      <c r="AN10" s="169"/>
      <c r="AO10" s="169"/>
      <c r="AP10" s="169"/>
      <c r="AQ10" s="169"/>
    </row>
    <row r="11" spans="1:43" ht="15">
      <c r="A11" s="30" t="s">
        <v>46</v>
      </c>
      <c r="B11" s="207">
        <f>IF(B24&lt;&gt;0,$J$184,0)</f>
        <v>5.1818181818181815E-3</v>
      </c>
      <c r="C11" s="207">
        <v>5.7999999999999996E-3</v>
      </c>
      <c r="D11" s="207">
        <v>9.4736842105263147E-3</v>
      </c>
      <c r="E11" s="206">
        <f>$H$184</f>
        <v>1.1224489795918367E-2</v>
      </c>
      <c r="F11" s="207">
        <v>0</v>
      </c>
      <c r="G11" s="207">
        <v>0</v>
      </c>
      <c r="H11" s="206">
        <f>$H$184</f>
        <v>1.1224489795918367E-2</v>
      </c>
      <c r="I11" s="207">
        <v>0</v>
      </c>
      <c r="J11" s="208">
        <v>0</v>
      </c>
      <c r="M11" s="263"/>
      <c r="N11" s="269"/>
      <c r="O11" s="192"/>
      <c r="P11" s="269"/>
      <c r="Q11" s="205"/>
      <c r="S11" s="174"/>
      <c r="T11" s="174"/>
      <c r="U11" s="174"/>
      <c r="V11" s="174"/>
      <c r="W11" s="174"/>
      <c r="X11" s="174"/>
      <c r="Y11" s="174"/>
      <c r="Z11" s="174"/>
      <c r="AA11" s="174"/>
      <c r="AB11" s="165"/>
      <c r="AC11" s="166"/>
      <c r="AD11" s="169"/>
      <c r="AE11" s="170"/>
      <c r="AF11" s="175"/>
      <c r="AG11" s="175"/>
      <c r="AH11" s="175"/>
      <c r="AI11" s="174"/>
      <c r="AJ11" s="170"/>
      <c r="AK11" s="174"/>
      <c r="AL11" s="169"/>
      <c r="AM11" s="169"/>
      <c r="AN11" s="169"/>
      <c r="AO11" s="169"/>
      <c r="AP11" s="169"/>
      <c r="AQ11" s="169"/>
    </row>
    <row r="12" spans="1:43" ht="15">
      <c r="A12" s="30" t="s">
        <v>45</v>
      </c>
      <c r="B12" s="192">
        <f t="shared" ref="B12:D12" si="0">SUM(B6:B11)</f>
        <v>0.14618552675757573</v>
      </c>
      <c r="C12" s="192">
        <f t="shared" si="0"/>
        <v>0.1104</v>
      </c>
      <c r="D12" s="192">
        <f t="shared" si="0"/>
        <v>0.1048291917259227</v>
      </c>
      <c r="E12" s="204">
        <f>SUM(E6:E11)</f>
        <v>8.3671893542082695E-2</v>
      </c>
      <c r="F12" s="192">
        <f t="shared" ref="F12:G12" si="1">SUM(F6:F11)</f>
        <v>0</v>
      </c>
      <c r="G12" s="192">
        <f t="shared" si="1"/>
        <v>0</v>
      </c>
      <c r="H12" s="204">
        <f>SUM(H6:H11)</f>
        <v>8.3671893542082695E-2</v>
      </c>
      <c r="I12" s="192">
        <f t="shared" ref="I12:J12" si="2">SUM(I6:I11)</f>
        <v>0</v>
      </c>
      <c r="J12" s="205">
        <f t="shared" si="2"/>
        <v>0</v>
      </c>
      <c r="M12" s="263"/>
      <c r="N12" s="264"/>
      <c r="O12" s="207"/>
      <c r="P12" s="264"/>
      <c r="Q12" s="208"/>
      <c r="S12" s="168"/>
      <c r="T12" s="168"/>
      <c r="U12" s="168"/>
      <c r="V12" s="168"/>
      <c r="W12" s="168"/>
      <c r="X12" s="168"/>
      <c r="Y12" s="168"/>
      <c r="Z12" s="168"/>
      <c r="AA12" s="168"/>
      <c r="AB12" s="165"/>
      <c r="AC12" s="166"/>
      <c r="AD12" s="164"/>
      <c r="AE12" s="164"/>
      <c r="AF12" s="171"/>
      <c r="AG12" s="171"/>
      <c r="AH12" s="171"/>
      <c r="AI12" s="168"/>
      <c r="AJ12" s="164"/>
      <c r="AK12" s="168"/>
      <c r="AL12" s="164"/>
      <c r="AM12" s="164"/>
      <c r="AN12" s="164"/>
      <c r="AO12" s="164"/>
      <c r="AP12" s="164"/>
      <c r="AQ12" s="164"/>
    </row>
    <row r="13" spans="1:43" ht="15">
      <c r="A13" s="30"/>
      <c r="B13" s="204"/>
      <c r="C13" s="192"/>
      <c r="D13" s="192"/>
      <c r="E13" s="204"/>
      <c r="F13" s="192"/>
      <c r="G13" s="192"/>
      <c r="H13" s="204"/>
      <c r="I13" s="192"/>
      <c r="J13" s="205"/>
      <c r="M13" s="263"/>
      <c r="N13" s="265"/>
      <c r="O13" s="266"/>
      <c r="P13" s="265"/>
      <c r="Q13" s="267"/>
      <c r="S13" s="163"/>
      <c r="T13" s="163"/>
      <c r="U13" s="163"/>
      <c r="V13" s="163"/>
      <c r="W13" s="163"/>
      <c r="X13" s="163"/>
      <c r="Y13" s="163"/>
      <c r="Z13" s="163"/>
      <c r="AA13" s="164"/>
      <c r="AB13" s="165"/>
      <c r="AC13" s="166"/>
      <c r="AD13" s="164"/>
      <c r="AE13" s="164"/>
      <c r="AF13" s="167"/>
      <c r="AG13" s="167"/>
      <c r="AH13" s="167"/>
      <c r="AI13" s="163"/>
      <c r="AJ13" s="164"/>
      <c r="AK13" s="163"/>
      <c r="AL13" s="164"/>
      <c r="AM13" s="164"/>
      <c r="AN13" s="164"/>
      <c r="AO13" s="164"/>
      <c r="AP13" s="164"/>
      <c r="AQ13" s="164"/>
    </row>
    <row r="14" spans="1:43">
      <c r="A14" s="30" t="s">
        <v>31</v>
      </c>
      <c r="B14" s="192">
        <f>IF($B$24&lt;&gt;0,$F$152/B24/1000,0)</f>
        <v>2.3171517292490118E-2</v>
      </c>
      <c r="C14" s="192">
        <v>2.46E-2</v>
      </c>
      <c r="D14" s="192">
        <v>7.3599375000000002E-3</v>
      </c>
      <c r="E14" s="204">
        <f>$D$124*$E$108/$B$49/1000</f>
        <v>2.866862458820006E-4</v>
      </c>
      <c r="F14" s="192">
        <v>0</v>
      </c>
      <c r="G14" s="192">
        <v>0</v>
      </c>
      <c r="H14" s="204">
        <f>$D$124*$E$108/$B$49/1000</f>
        <v>2.866862458820006E-4</v>
      </c>
      <c r="I14" s="192">
        <v>0</v>
      </c>
      <c r="J14" s="205">
        <v>0</v>
      </c>
      <c r="M14" s="259"/>
      <c r="N14" s="269"/>
      <c r="O14" s="270"/>
      <c r="P14" s="269"/>
      <c r="Q14" s="271"/>
      <c r="S14" s="168"/>
      <c r="T14" s="168"/>
      <c r="U14" s="168"/>
      <c r="V14" s="168"/>
      <c r="W14" s="168"/>
      <c r="X14" s="168"/>
      <c r="Y14" s="168"/>
      <c r="Z14" s="168"/>
      <c r="AA14" s="168"/>
      <c r="AB14" s="165"/>
      <c r="AC14" s="166"/>
      <c r="AD14" s="169"/>
      <c r="AE14" s="170"/>
      <c r="AF14" s="171"/>
      <c r="AG14" s="171"/>
      <c r="AH14" s="171"/>
      <c r="AI14" s="168"/>
      <c r="AJ14" s="170"/>
      <c r="AK14" s="168"/>
      <c r="AL14" s="169"/>
      <c r="AM14" s="169"/>
      <c r="AN14" s="169"/>
      <c r="AO14" s="169"/>
      <c r="AP14" s="169"/>
      <c r="AQ14" s="169"/>
    </row>
    <row r="15" spans="1:43">
      <c r="A15" s="30" t="s">
        <v>44</v>
      </c>
      <c r="B15" s="192">
        <f>IF($B$24&lt;&gt;0,$F$153/$B$24/1000,0)</f>
        <v>9.8033342391304346E-3</v>
      </c>
      <c r="C15" s="192">
        <v>8.9999999999999993E-3</v>
      </c>
      <c r="D15" s="192">
        <v>4.2419375E-3</v>
      </c>
      <c r="E15" s="204">
        <f>$H$124*$E$108/$B$49/1000</f>
        <v>0</v>
      </c>
      <c r="F15" s="192">
        <v>0</v>
      </c>
      <c r="G15" s="192">
        <v>0</v>
      </c>
      <c r="H15" s="204">
        <f>$H$124*$E$108/$B$49/1000</f>
        <v>0</v>
      </c>
      <c r="I15" s="192">
        <v>0</v>
      </c>
      <c r="J15" s="205">
        <v>0</v>
      </c>
      <c r="M15" s="263"/>
      <c r="N15" s="269"/>
      <c r="O15" s="268"/>
      <c r="P15" s="269"/>
      <c r="Q15" s="258"/>
      <c r="S15" s="176"/>
      <c r="T15" s="168"/>
      <c r="U15" s="168"/>
      <c r="V15" s="168"/>
      <c r="W15" s="168"/>
      <c r="X15" s="176"/>
      <c r="Y15" s="176"/>
      <c r="Z15" s="176"/>
      <c r="AA15" s="176"/>
      <c r="AB15" s="165"/>
      <c r="AC15" s="166"/>
      <c r="AD15" s="169"/>
      <c r="AE15" s="170"/>
      <c r="AF15" s="167"/>
      <c r="AG15" s="167"/>
      <c r="AH15" s="167"/>
      <c r="AI15" s="176"/>
      <c r="AJ15" s="170"/>
      <c r="AK15" s="176"/>
      <c r="AL15" s="169"/>
      <c r="AM15" s="169"/>
      <c r="AN15" s="169"/>
      <c r="AO15" s="169"/>
      <c r="AP15" s="169"/>
      <c r="AQ15" s="169"/>
    </row>
    <row r="16" spans="1:43">
      <c r="A16" s="30" t="s">
        <v>43</v>
      </c>
      <c r="B16" s="192">
        <f>IF($B$24&lt;&gt;0,$F$155/$B$24/1000,0)</f>
        <v>1.0087564550395256E-2</v>
      </c>
      <c r="C16" s="192">
        <v>7.9000000000000008E-3</v>
      </c>
      <c r="D16" s="192">
        <v>5.3897125000000002E-3</v>
      </c>
      <c r="E16" s="204">
        <f>$D$131*$E$108/$B$49/1000</f>
        <v>0</v>
      </c>
      <c r="F16" s="192">
        <v>0</v>
      </c>
      <c r="G16" s="192">
        <v>0</v>
      </c>
      <c r="H16" s="204">
        <f>$D$131*$E$108/$B$49/1000</f>
        <v>0</v>
      </c>
      <c r="I16" s="192">
        <v>0</v>
      </c>
      <c r="J16" s="205">
        <v>0</v>
      </c>
      <c r="M16" s="263"/>
      <c r="N16" s="269"/>
      <c r="O16" s="268"/>
      <c r="P16" s="269"/>
      <c r="Q16" s="258"/>
      <c r="S16" s="168"/>
      <c r="T16" s="168"/>
      <c r="U16" s="168"/>
      <c r="V16" s="168"/>
      <c r="W16" s="168"/>
      <c r="X16" s="168"/>
      <c r="Y16" s="168"/>
      <c r="Z16" s="168"/>
      <c r="AA16" s="176"/>
      <c r="AB16" s="165"/>
      <c r="AC16" s="166"/>
      <c r="AD16" s="169"/>
      <c r="AE16" s="170"/>
      <c r="AF16" s="171"/>
      <c r="AG16" s="171"/>
      <c r="AH16" s="171"/>
      <c r="AI16" s="168"/>
      <c r="AJ16" s="170"/>
      <c r="AK16" s="168"/>
      <c r="AL16" s="169"/>
      <c r="AM16" s="169"/>
      <c r="AN16" s="169"/>
      <c r="AO16" s="169"/>
      <c r="AP16" s="169"/>
      <c r="AQ16" s="169"/>
    </row>
    <row r="17" spans="1:10">
      <c r="A17" s="6" t="s">
        <v>5</v>
      </c>
      <c r="B17" s="192">
        <f>IF($B$24&lt;&gt;0,$F$154/$B$24/1000,0)</f>
        <v>6.5036363636363631E-4</v>
      </c>
      <c r="C17" s="192">
        <v>0</v>
      </c>
      <c r="D17" s="192">
        <v>2.6778947368421052E-3</v>
      </c>
      <c r="E17" s="204">
        <f>$F$194</f>
        <v>0</v>
      </c>
      <c r="F17" s="192">
        <v>0</v>
      </c>
      <c r="G17" s="192">
        <v>0</v>
      </c>
      <c r="H17" s="204">
        <f>$F$194</f>
        <v>0</v>
      </c>
      <c r="I17" s="192">
        <v>0</v>
      </c>
      <c r="J17" s="205">
        <v>0</v>
      </c>
    </row>
    <row r="18" spans="1:10">
      <c r="A18" s="6" t="s">
        <v>3</v>
      </c>
      <c r="B18" s="192">
        <f>IF($B$24&lt;&gt;0,$B$196/$B$49/1000,0)</f>
        <v>1.4347327044025157E-3</v>
      </c>
      <c r="C18" s="192">
        <v>2.7000000000000001E-3</v>
      </c>
      <c r="D18" s="192">
        <v>0.16719999999999999</v>
      </c>
      <c r="E18" s="204">
        <f>$F$196</f>
        <v>1.7216792452830188E-2</v>
      </c>
      <c r="F18" s="192">
        <v>0</v>
      </c>
      <c r="G18" s="192">
        <v>0</v>
      </c>
      <c r="H18" s="204">
        <f>$F$196</f>
        <v>1.7216792452830188E-2</v>
      </c>
      <c r="I18" s="192">
        <v>0</v>
      </c>
      <c r="J18" s="205">
        <v>0</v>
      </c>
    </row>
    <row r="19" spans="1:10" ht="15">
      <c r="A19" s="6" t="s">
        <v>4</v>
      </c>
      <c r="B19" s="207">
        <f>IF($B$24&lt;&gt;0,$B$195/$B$49/1000,0)</f>
        <v>6.0188679245283018E-3</v>
      </c>
      <c r="C19" s="207">
        <v>1.2E-2</v>
      </c>
      <c r="D19" s="207">
        <v>1.2884210526315788E-2</v>
      </c>
      <c r="E19" s="206">
        <f>$F$195</f>
        <v>7.2226415094339635E-2</v>
      </c>
      <c r="F19" s="207">
        <v>0</v>
      </c>
      <c r="G19" s="207">
        <v>0</v>
      </c>
      <c r="H19" s="206">
        <f>$F$195</f>
        <v>7.2226415094339635E-2</v>
      </c>
      <c r="I19" s="207">
        <v>0</v>
      </c>
      <c r="J19" s="208">
        <v>0</v>
      </c>
    </row>
    <row r="20" spans="1:10">
      <c r="A20" s="30" t="s">
        <v>42</v>
      </c>
      <c r="B20" s="192">
        <f t="shared" ref="B20:J20" si="3">SUM(B14:B19)</f>
        <v>5.1166380347310261E-2</v>
      </c>
      <c r="C20" s="192">
        <f t="shared" si="3"/>
        <v>5.62E-2</v>
      </c>
      <c r="D20" s="192">
        <f t="shared" si="3"/>
        <v>0.19975369276315788</v>
      </c>
      <c r="E20" s="204">
        <f t="shared" si="3"/>
        <v>8.9729893793051824E-2</v>
      </c>
      <c r="F20" s="192">
        <f t="shared" ref="F20:G20" si="4">SUM(F14:F19)</f>
        <v>0</v>
      </c>
      <c r="G20" s="192">
        <f t="shared" si="4"/>
        <v>0</v>
      </c>
      <c r="H20" s="204">
        <f t="shared" si="3"/>
        <v>8.9729893793051824E-2</v>
      </c>
      <c r="I20" s="192">
        <f t="shared" si="3"/>
        <v>0</v>
      </c>
      <c r="J20" s="205">
        <f t="shared" si="3"/>
        <v>0</v>
      </c>
    </row>
    <row r="21" spans="1:10">
      <c r="A21" s="6"/>
      <c r="B21" s="204"/>
      <c r="C21" s="192"/>
      <c r="D21" s="192"/>
      <c r="E21" s="204"/>
      <c r="F21" s="192"/>
      <c r="G21" s="192"/>
      <c r="H21" s="223"/>
      <c r="I21" s="192"/>
      <c r="J21" s="224"/>
    </row>
    <row r="22" spans="1:10">
      <c r="A22" s="30" t="s">
        <v>41</v>
      </c>
      <c r="B22" s="209">
        <f t="shared" ref="B22:J22" si="5">B12+B20</f>
        <v>0.19735190710488598</v>
      </c>
      <c r="C22" s="210">
        <f t="shared" si="5"/>
        <v>0.1666</v>
      </c>
      <c r="D22" s="210">
        <f t="shared" si="5"/>
        <v>0.30458288448908055</v>
      </c>
      <c r="E22" s="209">
        <f t="shared" si="5"/>
        <v>0.17340178733513451</v>
      </c>
      <c r="F22" s="210">
        <f t="shared" si="5"/>
        <v>0</v>
      </c>
      <c r="G22" s="210">
        <f t="shared" si="5"/>
        <v>0</v>
      </c>
      <c r="H22" s="209">
        <f t="shared" si="5"/>
        <v>0.17340178733513451</v>
      </c>
      <c r="I22" s="210">
        <f t="shared" si="5"/>
        <v>0</v>
      </c>
      <c r="J22" s="211">
        <f t="shared" si="5"/>
        <v>0</v>
      </c>
    </row>
    <row r="23" spans="1:10">
      <c r="A23" s="6"/>
      <c r="B23" s="212"/>
      <c r="C23" s="213"/>
      <c r="D23" s="213"/>
      <c r="E23" s="212"/>
      <c r="F23" s="213"/>
      <c r="G23" s="213"/>
      <c r="H23" s="212"/>
      <c r="I23" s="213"/>
      <c r="J23" s="225"/>
    </row>
    <row r="24" spans="1:10">
      <c r="A24" s="25" t="s">
        <v>40</v>
      </c>
      <c r="B24" s="215">
        <f>+B54</f>
        <v>11000</v>
      </c>
      <c r="C24" s="226">
        <v>0</v>
      </c>
      <c r="D24" s="226">
        <v>80000</v>
      </c>
      <c r="E24" s="215">
        <f>+B55</f>
        <v>0</v>
      </c>
      <c r="F24" s="226">
        <v>0</v>
      </c>
      <c r="G24" s="216">
        <v>0</v>
      </c>
      <c r="H24" s="215">
        <f>+B56</f>
        <v>0</v>
      </c>
      <c r="I24" s="226">
        <v>0</v>
      </c>
      <c r="J24" s="217">
        <v>0</v>
      </c>
    </row>
    <row r="25" spans="1:10">
      <c r="B25" s="49"/>
      <c r="C25" s="47"/>
      <c r="D25" s="47"/>
      <c r="E25" s="47"/>
      <c r="F25" s="48"/>
      <c r="G25" s="47"/>
      <c r="H25" s="47"/>
      <c r="J25" s="46"/>
    </row>
    <row r="26" spans="1:10" ht="18" customHeight="1">
      <c r="A26" s="64"/>
      <c r="B26" s="359" t="s">
        <v>92</v>
      </c>
      <c r="C26" s="360"/>
      <c r="D26" s="361"/>
      <c r="E26" s="347" t="s">
        <v>90</v>
      </c>
      <c r="F26" s="348"/>
      <c r="G26" s="348"/>
      <c r="H26" s="362" t="s">
        <v>20</v>
      </c>
      <c r="I26" s="363"/>
      <c r="J26" s="364"/>
    </row>
    <row r="27" spans="1:10" s="46" customFormat="1" ht="15">
      <c r="A27" s="66"/>
      <c r="B27" s="198" t="str">
        <f>$B$4</f>
        <v>25 Standard</v>
      </c>
      <c r="C27" s="199" t="str">
        <f>+C4</f>
        <v>23 Actual</v>
      </c>
      <c r="D27" s="200" t="str">
        <f>+D4</f>
        <v>20 Standard</v>
      </c>
      <c r="E27" s="218" t="s">
        <v>113</v>
      </c>
      <c r="F27" s="327" t="s">
        <v>114</v>
      </c>
      <c r="G27" s="219" t="s">
        <v>111</v>
      </c>
      <c r="H27" s="143" t="str">
        <f>+B27</f>
        <v>25 Standard</v>
      </c>
      <c r="I27" s="144" t="str">
        <f>+C27</f>
        <v>23 Actual</v>
      </c>
      <c r="J27" s="145" t="str">
        <f>+D27</f>
        <v>20 Standard</v>
      </c>
    </row>
    <row r="28" spans="1:10" s="46" customFormat="1">
      <c r="A28" s="66"/>
      <c r="B28" s="201"/>
      <c r="C28" s="202" t="s">
        <v>89</v>
      </c>
      <c r="D28" s="203"/>
      <c r="E28" s="201"/>
      <c r="F28" s="202" t="s">
        <v>102</v>
      </c>
      <c r="G28" s="203"/>
      <c r="H28" s="146"/>
      <c r="I28" s="137"/>
      <c r="J28" s="115"/>
    </row>
    <row r="29" spans="1:10">
      <c r="A29" s="30" t="s">
        <v>50</v>
      </c>
      <c r="B29" s="204">
        <f>D82</f>
        <v>6.5965817666666662E-2</v>
      </c>
      <c r="C29" s="192">
        <v>0</v>
      </c>
      <c r="D29" s="205">
        <v>0</v>
      </c>
      <c r="E29" s="192">
        <f>IF(E47&lt;&gt;0,$L$96,0)</f>
        <v>7.0852831853116985E-2</v>
      </c>
      <c r="F29" s="192">
        <v>7.8E-2</v>
      </c>
      <c r="G29" s="205">
        <v>6.0259679999999996E-2</v>
      </c>
      <c r="H29" s="138">
        <v>0</v>
      </c>
      <c r="I29" s="24">
        <v>0</v>
      </c>
      <c r="J29" s="94">
        <v>0</v>
      </c>
    </row>
    <row r="30" spans="1:10">
      <c r="A30" s="30" t="s">
        <v>27</v>
      </c>
      <c r="B30" s="204">
        <f>D169</f>
        <v>0</v>
      </c>
      <c r="C30" s="192">
        <v>0</v>
      </c>
      <c r="D30" s="205">
        <v>0</v>
      </c>
      <c r="E30" s="192">
        <f>IF(E47&lt;&gt;0,$G$169,0)</f>
        <v>4.3918811483700915E-2</v>
      </c>
      <c r="F30" s="192">
        <v>4.3200000000000002E-2</v>
      </c>
      <c r="G30" s="205">
        <v>2.6879417927194393E-2</v>
      </c>
      <c r="H30" s="138">
        <v>0</v>
      </c>
      <c r="I30" s="24">
        <v>0</v>
      </c>
      <c r="J30" s="94">
        <v>0</v>
      </c>
    </row>
    <row r="31" spans="1:10">
      <c r="A31" s="6" t="s">
        <v>49</v>
      </c>
      <c r="B31" s="204">
        <f>D170</f>
        <v>0</v>
      </c>
      <c r="C31" s="192">
        <v>0</v>
      </c>
      <c r="D31" s="205">
        <v>0</v>
      </c>
      <c r="E31" s="192">
        <f>IF(E47&lt;&gt;0,$G$170,0)</f>
        <v>2.5999999999999999E-2</v>
      </c>
      <c r="F31" s="192">
        <v>1.9E-2</v>
      </c>
      <c r="G31" s="205">
        <v>2.8566999999999999E-2</v>
      </c>
      <c r="H31" s="138">
        <f>J170</f>
        <v>0</v>
      </c>
      <c r="I31" s="24">
        <v>0</v>
      </c>
      <c r="J31" s="94">
        <v>0</v>
      </c>
    </row>
    <row r="32" spans="1:10">
      <c r="A32" s="30" t="s">
        <v>48</v>
      </c>
      <c r="B32" s="204">
        <f>IF($B$47&lt;&gt;0,$H$177,0)</f>
        <v>0</v>
      </c>
      <c r="C32" s="192">
        <v>0</v>
      </c>
      <c r="D32" s="205">
        <v>0</v>
      </c>
      <c r="E32" s="192">
        <f>IF(E47&lt;&gt;0,$H$177,0)</f>
        <v>0.03</v>
      </c>
      <c r="F32" s="192">
        <v>2.98E-2</v>
      </c>
      <c r="G32" s="205">
        <v>2.7777777777777776E-2</v>
      </c>
      <c r="H32" s="138">
        <v>0</v>
      </c>
      <c r="I32" s="24">
        <v>0</v>
      </c>
      <c r="J32" s="94">
        <v>0</v>
      </c>
    </row>
    <row r="33" spans="1:13">
      <c r="A33" s="30" t="s">
        <v>47</v>
      </c>
      <c r="B33" s="204">
        <f>IF($B$47&lt;&gt;0,$H$181,0)</f>
        <v>0</v>
      </c>
      <c r="C33" s="192">
        <v>0</v>
      </c>
      <c r="D33" s="205">
        <v>0</v>
      </c>
      <c r="E33" s="192">
        <f>IF(E47&lt;&gt;0,$H$181,0)</f>
        <v>5.5102040816326532E-3</v>
      </c>
      <c r="F33" s="192">
        <v>1.1999999999999999E-3</v>
      </c>
      <c r="G33" s="205">
        <v>6.9444444444444441E-3</v>
      </c>
      <c r="H33" s="138">
        <v>0</v>
      </c>
      <c r="I33" s="24">
        <v>0</v>
      </c>
      <c r="J33" s="94">
        <v>0</v>
      </c>
      <c r="K33" s="24"/>
      <c r="L33" s="24"/>
    </row>
    <row r="34" spans="1:13" ht="15">
      <c r="A34" s="30" t="s">
        <v>46</v>
      </c>
      <c r="B34" s="206">
        <f>IF($B$47&lt;&gt;0,$H$184,0)</f>
        <v>0</v>
      </c>
      <c r="C34" s="207">
        <v>0</v>
      </c>
      <c r="D34" s="208">
        <v>0</v>
      </c>
      <c r="E34" s="207">
        <f>IF(E47&lt;&gt;0,$H$184,0)</f>
        <v>1.1224489795918367E-2</v>
      </c>
      <c r="F34" s="207">
        <v>1.3899999999999999E-2</v>
      </c>
      <c r="G34" s="208">
        <v>1.2500000000000001E-2</v>
      </c>
      <c r="H34" s="139">
        <v>0</v>
      </c>
      <c r="I34" s="67">
        <v>0</v>
      </c>
      <c r="J34" s="95">
        <v>0</v>
      </c>
      <c r="K34" s="67"/>
      <c r="L34" s="67"/>
    </row>
    <row r="35" spans="1:13">
      <c r="A35" s="30" t="s">
        <v>45</v>
      </c>
      <c r="B35" s="204">
        <f>SUM(B29:B34)</f>
        <v>6.5965817666666662E-2</v>
      </c>
      <c r="C35" s="192">
        <f t="shared" ref="C35:D35" si="6">SUM(C29:C34)</f>
        <v>0</v>
      </c>
      <c r="D35" s="192">
        <f t="shared" si="6"/>
        <v>0</v>
      </c>
      <c r="E35" s="192">
        <f t="shared" ref="E35" si="7">SUM(E29:E34)</f>
        <v>0.18750633721436893</v>
      </c>
      <c r="F35" s="192">
        <f>SUM(F29:F34)</f>
        <v>0.18509999999999999</v>
      </c>
      <c r="G35" s="192">
        <f>SUM(G29:G34)</f>
        <v>0.16292832014941663</v>
      </c>
      <c r="H35" s="138">
        <f>SUM(H29:H34)</f>
        <v>0</v>
      </c>
      <c r="I35" s="24">
        <f t="shared" ref="I35" si="8">SUM(I29:I34)</f>
        <v>0</v>
      </c>
      <c r="J35" s="94">
        <f>SUM(J29:J34)</f>
        <v>0</v>
      </c>
      <c r="K35" s="24"/>
      <c r="L35" s="24"/>
    </row>
    <row r="36" spans="1:13">
      <c r="A36" s="30"/>
      <c r="B36" s="204"/>
      <c r="C36" s="192"/>
      <c r="D36" s="205"/>
      <c r="E36" s="204"/>
      <c r="F36" s="192"/>
      <c r="G36" s="205"/>
      <c r="H36" s="138"/>
      <c r="I36" s="24"/>
      <c r="J36" s="94"/>
      <c r="K36" s="24"/>
      <c r="L36" s="24"/>
    </row>
    <row r="37" spans="1:13">
      <c r="A37" s="30" t="s">
        <v>31</v>
      </c>
      <c r="B37" s="204">
        <f>$D$124*$E$108/$B$49/1000</f>
        <v>2.866862458820006E-4</v>
      </c>
      <c r="C37" s="192">
        <v>0</v>
      </c>
      <c r="D37" s="205">
        <v>0</v>
      </c>
      <c r="E37" s="192">
        <f>IF($E$47&lt;&gt;0,$F$127/$E$47/1000,0)</f>
        <v>4.0001507410106898E-2</v>
      </c>
      <c r="F37" s="192">
        <v>3.5299999999999998E-2</v>
      </c>
      <c r="G37" s="205">
        <v>2.1569210091743118E-2</v>
      </c>
      <c r="H37" s="138">
        <v>0</v>
      </c>
      <c r="I37" s="24">
        <v>0</v>
      </c>
      <c r="J37" s="94">
        <v>0</v>
      </c>
      <c r="K37" s="24"/>
      <c r="L37" s="24"/>
    </row>
    <row r="38" spans="1:13">
      <c r="A38" s="30" t="s">
        <v>44</v>
      </c>
      <c r="B38" s="204">
        <f>$H$124*$E$108/$B$49/1000</f>
        <v>0</v>
      </c>
      <c r="C38" s="192">
        <v>0</v>
      </c>
      <c r="D38" s="205">
        <v>0</v>
      </c>
      <c r="E38" s="192">
        <f>IF($E$47&lt;&gt;0,$F$128/$E$47/1000,0)</f>
        <v>4.806117346938775E-3</v>
      </c>
      <c r="F38" s="192">
        <v>6.7000000000000002E-3</v>
      </c>
      <c r="G38" s="205">
        <v>5.1700857142857144E-3</v>
      </c>
      <c r="H38" s="138">
        <v>0</v>
      </c>
      <c r="I38" s="24">
        <v>0</v>
      </c>
      <c r="J38" s="94">
        <v>0</v>
      </c>
      <c r="K38" s="24"/>
      <c r="L38" s="24"/>
    </row>
    <row r="39" spans="1:13">
      <c r="A39" s="30" t="s">
        <v>43</v>
      </c>
      <c r="B39" s="204">
        <f>$D$131*$E$108/$B$49/1000</f>
        <v>0</v>
      </c>
      <c r="C39" s="192">
        <v>0</v>
      </c>
      <c r="D39" s="205">
        <v>0</v>
      </c>
      <c r="E39" s="192">
        <f>IF($E$47&lt;&gt;0,$F$130/$E$47/1000,0)</f>
        <v>1.2994211179543245E-2</v>
      </c>
      <c r="F39" s="192">
        <v>1.12E-2</v>
      </c>
      <c r="G39" s="205">
        <v>8.0162316187989569E-3</v>
      </c>
      <c r="H39" s="138">
        <v>0</v>
      </c>
      <c r="I39" s="24">
        <v>0</v>
      </c>
      <c r="J39" s="94">
        <v>0</v>
      </c>
      <c r="K39" s="24"/>
      <c r="L39" s="24"/>
    </row>
    <row r="40" spans="1:13">
      <c r="A40" s="6" t="s">
        <v>5</v>
      </c>
      <c r="B40" s="204">
        <f>IF($B$49&lt;&gt;0,$F$194,0)</f>
        <v>0</v>
      </c>
      <c r="C40" s="192">
        <v>0</v>
      </c>
      <c r="D40" s="205">
        <v>0</v>
      </c>
      <c r="E40" s="192">
        <f>IF($E$47&lt;&gt;0,$F$129/$E$47/1000,0)</f>
        <v>0</v>
      </c>
      <c r="F40" s="192">
        <v>0</v>
      </c>
      <c r="G40" s="205">
        <v>4.7638888888888888E-4</v>
      </c>
      <c r="H40" s="138">
        <v>0</v>
      </c>
      <c r="I40" s="24">
        <v>0</v>
      </c>
      <c r="J40" s="94">
        <v>0</v>
      </c>
      <c r="K40" s="24"/>
      <c r="L40" s="24"/>
    </row>
    <row r="41" spans="1:13" ht="15">
      <c r="A41" s="6" t="s">
        <v>3</v>
      </c>
      <c r="B41" s="204">
        <f>IF($B$49&lt;&gt;0,$F$196,0)</f>
        <v>1.7216792452830188E-2</v>
      </c>
      <c r="C41" s="192">
        <v>0</v>
      </c>
      <c r="D41" s="205">
        <v>0</v>
      </c>
      <c r="E41" s="192">
        <f>IF($E$47&lt;&gt;0,$B$196/$B$49/1000/4,0)</f>
        <v>3.5868317610062892E-4</v>
      </c>
      <c r="F41" s="192">
        <v>8.5000000000000006E-3</v>
      </c>
      <c r="G41" s="205">
        <v>5.6777777777777781E-3</v>
      </c>
      <c r="H41" s="138">
        <v>0</v>
      </c>
      <c r="I41" s="24">
        <v>0</v>
      </c>
      <c r="J41" s="94">
        <v>0</v>
      </c>
      <c r="K41" s="67"/>
      <c r="L41" s="67"/>
    </row>
    <row r="42" spans="1:13" ht="15">
      <c r="A42" s="6" t="s">
        <v>4</v>
      </c>
      <c r="B42" s="206">
        <f>IF($B$49&lt;&gt;0,$F$195,0)</f>
        <v>7.2226415094339635E-2</v>
      </c>
      <c r="C42" s="207">
        <v>0</v>
      </c>
      <c r="D42" s="208">
        <v>0</v>
      </c>
      <c r="E42" s="207">
        <f>IF($E$47&lt;&gt;0,$B$195/$B$49/1000/4,0)</f>
        <v>1.5047169811320754E-3</v>
      </c>
      <c r="F42" s="207">
        <v>3.6200000000000003E-2</v>
      </c>
      <c r="G42" s="208">
        <v>2.5861111111111109E-2</v>
      </c>
      <c r="H42" s="139">
        <v>0</v>
      </c>
      <c r="I42" s="67">
        <v>0</v>
      </c>
      <c r="J42" s="95">
        <v>0</v>
      </c>
      <c r="K42" s="24"/>
      <c r="L42" s="24"/>
    </row>
    <row r="43" spans="1:13">
      <c r="A43" s="30" t="s">
        <v>42</v>
      </c>
      <c r="B43" s="204">
        <f t="shared" ref="B43:J43" si="9">SUM(B37:B42)</f>
        <v>8.9729893793051824E-2</v>
      </c>
      <c r="C43" s="192">
        <f t="shared" si="9"/>
        <v>0</v>
      </c>
      <c r="D43" s="192">
        <f t="shared" si="9"/>
        <v>0</v>
      </c>
      <c r="E43" s="192">
        <f t="shared" ref="E43" si="10">SUM(E37:E42)</f>
        <v>5.9665236093821621E-2</v>
      </c>
      <c r="F43" s="192">
        <f>SUM(F37:F42)</f>
        <v>9.7900000000000001E-2</v>
      </c>
      <c r="G43" s="192">
        <f t="shared" si="9"/>
        <v>6.6770805202605574E-2</v>
      </c>
      <c r="H43" s="138">
        <f t="shared" si="9"/>
        <v>0</v>
      </c>
      <c r="I43" s="24">
        <f t="shared" si="9"/>
        <v>0</v>
      </c>
      <c r="J43" s="94">
        <f t="shared" si="9"/>
        <v>0</v>
      </c>
      <c r="K43" s="24"/>
      <c r="L43" s="24"/>
    </row>
    <row r="44" spans="1:13">
      <c r="A44" s="76" t="s">
        <v>112</v>
      </c>
      <c r="B44" s="204"/>
      <c r="C44" s="192"/>
      <c r="D44" s="205"/>
      <c r="E44" s="328"/>
      <c r="F44" s="328">
        <v>-4.5499999999999999E-2</v>
      </c>
      <c r="G44" s="205"/>
      <c r="H44" s="138"/>
      <c r="I44" s="24"/>
      <c r="J44" s="94"/>
      <c r="K44" s="24"/>
      <c r="L44" s="24"/>
    </row>
    <row r="45" spans="1:13">
      <c r="A45" s="30" t="s">
        <v>41</v>
      </c>
      <c r="B45" s="209">
        <f>B35+B43</f>
        <v>0.1556957114597185</v>
      </c>
      <c r="C45" s="210">
        <f t="shared" ref="C45:J45" si="11">C35+C43</f>
        <v>0</v>
      </c>
      <c r="D45" s="211">
        <v>0.19962945623832437</v>
      </c>
      <c r="E45" s="210">
        <f>E35+E43+E44</f>
        <v>0.24717157330819056</v>
      </c>
      <c r="F45" s="210">
        <f>F35+F43+F44</f>
        <v>0.23749999999999999</v>
      </c>
      <c r="G45" s="211">
        <f>+G35+G43</f>
        <v>0.22969912535202219</v>
      </c>
      <c r="H45" s="140">
        <f t="shared" si="11"/>
        <v>0</v>
      </c>
      <c r="I45" s="124">
        <f t="shared" si="11"/>
        <v>0</v>
      </c>
      <c r="J45" s="125">
        <f t="shared" si="11"/>
        <v>0</v>
      </c>
      <c r="K45" s="116"/>
      <c r="L45" s="116">
        <f>E45-0.245</f>
        <v>2.1715733081905664E-3</v>
      </c>
      <c r="M45" s="1">
        <f>E47*1000*L45</f>
        <v>10640.709210133775</v>
      </c>
    </row>
    <row r="46" spans="1:13">
      <c r="A46" s="6"/>
      <c r="B46" s="212"/>
      <c r="C46" s="213"/>
      <c r="D46" s="214"/>
      <c r="E46" s="212"/>
      <c r="F46" s="213"/>
      <c r="G46" s="214"/>
      <c r="H46" s="141"/>
      <c r="I46" s="24"/>
      <c r="J46" s="94"/>
      <c r="K46" s="47"/>
      <c r="L46" s="47"/>
      <c r="M46" s="1">
        <f>M45/12</f>
        <v>886.72576751114786</v>
      </c>
    </row>
    <row r="47" spans="1:13">
      <c r="A47" s="25" t="s">
        <v>40</v>
      </c>
      <c r="B47" s="215">
        <f>+B57</f>
        <v>0</v>
      </c>
      <c r="C47" s="216">
        <v>0</v>
      </c>
      <c r="D47" s="217">
        <v>0</v>
      </c>
      <c r="E47" s="215">
        <f>+B58</f>
        <v>4900</v>
      </c>
      <c r="F47" s="216">
        <v>15776</v>
      </c>
      <c r="G47" s="217">
        <v>36000</v>
      </c>
      <c r="H47" s="142">
        <f>+B59</f>
        <v>0</v>
      </c>
      <c r="I47" s="112">
        <v>0</v>
      </c>
      <c r="J47" s="147">
        <v>0</v>
      </c>
      <c r="K47" s="117"/>
      <c r="L47" s="117"/>
      <c r="M47" s="251"/>
    </row>
    <row r="49" spans="1:12">
      <c r="A49" s="68" t="s">
        <v>39</v>
      </c>
      <c r="B49" s="114">
        <f>B24+E24+H24+B47+E47+H47</f>
        <v>15900</v>
      </c>
      <c r="C49" s="126">
        <f>C24+F24+I24+C47+F47+I47</f>
        <v>15776</v>
      </c>
      <c r="D49" s="127">
        <f>D24+G24+J24+D47+G47+J47</f>
        <v>116000</v>
      </c>
      <c r="E49" s="113"/>
    </row>
    <row r="50" spans="1:12"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>
      <c r="A51" s="54" t="s">
        <v>38</v>
      </c>
      <c r="B51" s="365" t="s">
        <v>37</v>
      </c>
      <c r="C51" s="365"/>
      <c r="D51" s="365"/>
      <c r="E51" s="365"/>
      <c r="F51" s="365"/>
      <c r="G51" s="365"/>
      <c r="H51" s="365"/>
      <c r="I51" s="365"/>
      <c r="J51" s="365"/>
      <c r="K51" s="365"/>
      <c r="L51" s="12"/>
    </row>
    <row r="52" spans="1:12">
      <c r="A52" s="30"/>
      <c r="L52" s="12"/>
    </row>
    <row r="53" spans="1:12" ht="15">
      <c r="A53" s="82" t="s">
        <v>61</v>
      </c>
      <c r="B53" s="45" t="s">
        <v>62</v>
      </c>
      <c r="C53" s="45" t="s">
        <v>64</v>
      </c>
      <c r="D53" s="185"/>
      <c r="E53" s="5"/>
      <c r="F53" s="45"/>
      <c r="G53" s="5"/>
      <c r="H53" s="5"/>
      <c r="L53" s="12"/>
    </row>
    <row r="54" spans="1:12" ht="15">
      <c r="A54" s="30" t="s">
        <v>95</v>
      </c>
      <c r="B54" s="120">
        <f>'2025 Summary'!$D$16</f>
        <v>11000</v>
      </c>
      <c r="C54" s="129">
        <f>B54/$B$60</f>
        <v>0.69182389937106914</v>
      </c>
      <c r="D54" s="32"/>
      <c r="E54" s="5">
        <f>9*400000*7</f>
        <v>25200000</v>
      </c>
      <c r="F54" s="44"/>
      <c r="G54" s="5" t="s">
        <v>20</v>
      </c>
      <c r="H54" s="121"/>
      <c r="L54" s="12"/>
    </row>
    <row r="55" spans="1:12" ht="15">
      <c r="A55" s="30" t="s">
        <v>96</v>
      </c>
      <c r="B55" s="120">
        <v>0</v>
      </c>
      <c r="C55" s="129">
        <f t="shared" ref="C55:C60" si="12">B55/$B$60</f>
        <v>0</v>
      </c>
      <c r="D55" s="32"/>
      <c r="E55" s="5"/>
      <c r="F55" s="44"/>
      <c r="G55" s="5" t="s">
        <v>20</v>
      </c>
      <c r="H55" s="121"/>
      <c r="L55" s="12"/>
    </row>
    <row r="56" spans="1:12" ht="15">
      <c r="A56" s="30" t="s">
        <v>97</v>
      </c>
      <c r="B56" s="120">
        <v>0</v>
      </c>
      <c r="C56" s="129">
        <f t="shared" si="12"/>
        <v>0</v>
      </c>
      <c r="D56" s="32"/>
      <c r="E56" s="5"/>
      <c r="F56" s="5"/>
      <c r="G56" s="5"/>
      <c r="H56" s="5"/>
      <c r="L56" s="12"/>
    </row>
    <row r="57" spans="1:12" ht="15">
      <c r="A57" s="30" t="s">
        <v>92</v>
      </c>
      <c r="B57" s="120">
        <v>0</v>
      </c>
      <c r="C57" s="129">
        <f t="shared" si="12"/>
        <v>0</v>
      </c>
      <c r="D57" s="32"/>
      <c r="E57" s="5"/>
      <c r="F57" s="5"/>
      <c r="G57" s="5"/>
      <c r="H57" s="5"/>
      <c r="L57" s="12"/>
    </row>
    <row r="58" spans="1:12" ht="15">
      <c r="A58" s="30" t="s">
        <v>90</v>
      </c>
      <c r="B58" s="103">
        <f>'2025 Summary'!$E$16</f>
        <v>4900</v>
      </c>
      <c r="C58" s="129">
        <f t="shared" si="12"/>
        <v>0.3081761006289308</v>
      </c>
      <c r="D58" s="32"/>
      <c r="E58" s="5"/>
      <c r="F58" s="5"/>
      <c r="G58" s="5"/>
      <c r="H58" s="5"/>
      <c r="L58" s="12"/>
    </row>
    <row r="59" spans="1:12" ht="15">
      <c r="A59" s="30" t="s">
        <v>20</v>
      </c>
      <c r="B59" s="120">
        <v>0</v>
      </c>
      <c r="C59" s="130">
        <f t="shared" si="12"/>
        <v>0</v>
      </c>
      <c r="D59" s="32"/>
      <c r="E59" s="5"/>
      <c r="F59" s="5"/>
      <c r="G59" s="5"/>
      <c r="H59" s="5"/>
      <c r="L59" s="12"/>
    </row>
    <row r="60" spans="1:12">
      <c r="A60" s="83" t="s">
        <v>65</v>
      </c>
      <c r="B60" s="112">
        <f>SUM(B54:B59)</f>
        <v>15900</v>
      </c>
      <c r="C60" s="188">
        <f t="shared" si="12"/>
        <v>1</v>
      </c>
      <c r="D60" s="75"/>
      <c r="E60" s="53"/>
      <c r="F60" s="53"/>
      <c r="G60" s="53"/>
      <c r="H60" s="53"/>
      <c r="I60" s="10"/>
      <c r="J60" s="10"/>
      <c r="K60" s="10"/>
      <c r="L60" s="9"/>
    </row>
    <row r="61" spans="1:12">
      <c r="A61" s="16"/>
      <c r="B61" s="5"/>
      <c r="C61" s="5"/>
      <c r="D61" s="5"/>
      <c r="E61" s="5"/>
      <c r="F61" s="5"/>
      <c r="G61" s="5"/>
      <c r="H61" s="122"/>
      <c r="L61" s="12"/>
    </row>
    <row r="62" spans="1:12" ht="15" customHeight="1">
      <c r="A62" s="16"/>
      <c r="B62" s="5"/>
      <c r="C62" s="366" t="s">
        <v>35</v>
      </c>
      <c r="D62" s="366"/>
      <c r="E62" s="366"/>
      <c r="F62" s="366"/>
      <c r="G62" s="367" t="s">
        <v>60</v>
      </c>
      <c r="H62" s="367"/>
      <c r="I62" s="367"/>
      <c r="J62" s="367"/>
      <c r="K62" s="367"/>
      <c r="L62" s="233"/>
    </row>
    <row r="63" spans="1:12" s="36" customFormat="1" ht="15">
      <c r="A63" s="229" t="s">
        <v>66</v>
      </c>
      <c r="B63" s="101" t="s">
        <v>36</v>
      </c>
      <c r="C63" s="184" t="s">
        <v>95</v>
      </c>
      <c r="D63" s="197" t="s">
        <v>96</v>
      </c>
      <c r="E63" s="197" t="s">
        <v>97</v>
      </c>
      <c r="F63" s="197" t="s">
        <v>92</v>
      </c>
      <c r="G63" s="197" t="s">
        <v>98</v>
      </c>
      <c r="H63" s="184" t="s">
        <v>95</v>
      </c>
      <c r="I63" s="197" t="s">
        <v>96</v>
      </c>
      <c r="J63" s="197" t="s">
        <v>97</v>
      </c>
      <c r="K63" s="185" t="s">
        <v>92</v>
      </c>
      <c r="L63" s="197" t="s">
        <v>98</v>
      </c>
    </row>
    <row r="64" spans="1:12" s="36" customFormat="1" ht="15">
      <c r="A64" s="136" t="s">
        <v>71</v>
      </c>
      <c r="B64" s="235">
        <f>11.89*2</f>
        <v>23.78</v>
      </c>
      <c r="C64" s="248">
        <f>$C$76*H64</f>
        <v>0</v>
      </c>
      <c r="D64" s="248">
        <f>$C$86*I64</f>
        <v>0</v>
      </c>
      <c r="E64" s="248">
        <f>$G$86*J64</f>
        <v>0</v>
      </c>
      <c r="F64" s="248">
        <f>$K$86*K64</f>
        <v>0</v>
      </c>
      <c r="G64" s="109">
        <f>$K$86*L64</f>
        <v>0</v>
      </c>
      <c r="H64" s="246">
        <v>0</v>
      </c>
      <c r="I64" s="246">
        <v>0</v>
      </c>
      <c r="J64" s="246">
        <v>0</v>
      </c>
      <c r="K64" s="247">
        <v>0</v>
      </c>
      <c r="L64" s="187">
        <v>0</v>
      </c>
    </row>
    <row r="65" spans="1:12" s="36" customFormat="1" ht="15">
      <c r="A65" s="136"/>
      <c r="B65" s="120">
        <v>0</v>
      </c>
      <c r="C65" s="249">
        <f>$C$76*H65</f>
        <v>0</v>
      </c>
      <c r="D65" s="249">
        <f>$C$86*I65</f>
        <v>0</v>
      </c>
      <c r="E65" s="249">
        <f>$G$86*J65</f>
        <v>0</v>
      </c>
      <c r="F65" s="249">
        <f>$K$86*K65</f>
        <v>0</v>
      </c>
      <c r="G65" s="111">
        <f>$K$86*L65</f>
        <v>0</v>
      </c>
      <c r="H65" s="246">
        <v>0</v>
      </c>
      <c r="I65" s="246">
        <v>0</v>
      </c>
      <c r="J65" s="246">
        <v>0</v>
      </c>
      <c r="K65" s="247">
        <v>0</v>
      </c>
      <c r="L65" s="187">
        <v>0</v>
      </c>
    </row>
    <row r="66" spans="1:12" s="36" customFormat="1">
      <c r="A66" s="136"/>
      <c r="B66" s="42"/>
      <c r="C66" s="109">
        <f>SUM(C64:C65)</f>
        <v>0</v>
      </c>
      <c r="D66" s="109">
        <f>SUM(D64:D65)</f>
        <v>0</v>
      </c>
      <c r="E66" s="109">
        <f>SUM(E64:E65)</f>
        <v>0</v>
      </c>
      <c r="F66" s="109">
        <f>SUM(F64:F65)</f>
        <v>0</v>
      </c>
      <c r="G66" s="109">
        <f>SUM(G64:G65)</f>
        <v>0</v>
      </c>
      <c r="H66" s="80"/>
      <c r="I66" s="80"/>
      <c r="J66" s="80"/>
      <c r="K66" s="110"/>
      <c r="L66" s="110"/>
    </row>
    <row r="67" spans="1:12" s="36" customFormat="1">
      <c r="A67" s="230" t="s">
        <v>70</v>
      </c>
      <c r="B67" s="42"/>
      <c r="C67" s="109"/>
      <c r="D67" s="109"/>
      <c r="E67" s="109"/>
      <c r="F67" s="109"/>
      <c r="G67" s="109"/>
      <c r="H67" s="80"/>
      <c r="I67" s="80"/>
      <c r="J67" s="80"/>
      <c r="K67" s="110"/>
      <c r="L67" s="110"/>
    </row>
    <row r="68" spans="1:12" s="36" customFormat="1" ht="15">
      <c r="A68" s="136" t="s">
        <v>99</v>
      </c>
      <c r="B68" s="235">
        <v>0</v>
      </c>
      <c r="C68" s="248">
        <f>$C$77*H68</f>
        <v>0</v>
      </c>
      <c r="D68" s="248">
        <f>$C$87*I68</f>
        <v>0</v>
      </c>
      <c r="E68" s="248">
        <f>$G$87*J68</f>
        <v>0</v>
      </c>
      <c r="F68" s="248">
        <f t="shared" ref="F68:G71" si="13">$K$87*K68</f>
        <v>0</v>
      </c>
      <c r="G68" s="109">
        <f t="shared" si="13"/>
        <v>0</v>
      </c>
      <c r="H68" s="246">
        <v>0</v>
      </c>
      <c r="I68" s="246">
        <v>0</v>
      </c>
      <c r="J68" s="246">
        <v>0</v>
      </c>
      <c r="K68" s="247">
        <v>0</v>
      </c>
      <c r="L68" s="187">
        <v>0</v>
      </c>
    </row>
    <row r="69" spans="1:12" s="36" customFormat="1" ht="15">
      <c r="A69" s="136" t="s">
        <v>100</v>
      </c>
      <c r="B69" s="235">
        <f>116.72*2</f>
        <v>233.44</v>
      </c>
      <c r="C69" s="248">
        <f>$C$77*H69</f>
        <v>0</v>
      </c>
      <c r="D69" s="248">
        <f>$C$87*I69</f>
        <v>0</v>
      </c>
      <c r="E69" s="248">
        <f>$G$87*J69</f>
        <v>0</v>
      </c>
      <c r="F69" s="248">
        <f t="shared" si="13"/>
        <v>0</v>
      </c>
      <c r="G69" s="109">
        <f t="shared" si="13"/>
        <v>0</v>
      </c>
      <c r="H69" s="246">
        <v>0</v>
      </c>
      <c r="I69" s="246">
        <v>0</v>
      </c>
      <c r="J69" s="246">
        <v>0</v>
      </c>
      <c r="K69" s="247">
        <v>0</v>
      </c>
      <c r="L69" s="187">
        <v>0</v>
      </c>
    </row>
    <row r="70" spans="1:12" s="36" customFormat="1" ht="15">
      <c r="A70" s="136" t="s">
        <v>20</v>
      </c>
      <c r="B70" s="120">
        <v>0</v>
      </c>
      <c r="C70" s="248">
        <v>0</v>
      </c>
      <c r="D70" s="248">
        <f>$C$87*I70</f>
        <v>0</v>
      </c>
      <c r="E70" s="248">
        <f>$G$87*J70</f>
        <v>0</v>
      </c>
      <c r="F70" s="248">
        <f t="shared" si="13"/>
        <v>0</v>
      </c>
      <c r="G70" s="109">
        <f t="shared" si="13"/>
        <v>0</v>
      </c>
      <c r="H70" s="246">
        <v>0</v>
      </c>
      <c r="I70" s="246">
        <v>0</v>
      </c>
      <c r="J70" s="246">
        <v>0</v>
      </c>
      <c r="K70" s="247">
        <v>0</v>
      </c>
      <c r="L70" s="187">
        <v>0</v>
      </c>
    </row>
    <row r="71" spans="1:12" s="36" customFormat="1" ht="15">
      <c r="A71" s="136"/>
      <c r="B71" s="120">
        <v>0</v>
      </c>
      <c r="C71" s="249">
        <v>0</v>
      </c>
      <c r="D71" s="249">
        <f>$C$87*I71</f>
        <v>0</v>
      </c>
      <c r="E71" s="249">
        <f>$G$87*J71</f>
        <v>0</v>
      </c>
      <c r="F71" s="249">
        <f t="shared" si="13"/>
        <v>0</v>
      </c>
      <c r="G71" s="111">
        <f t="shared" si="13"/>
        <v>0</v>
      </c>
      <c r="H71" s="246">
        <v>0</v>
      </c>
      <c r="I71" s="246">
        <v>0</v>
      </c>
      <c r="J71" s="246">
        <v>0</v>
      </c>
      <c r="K71" s="247">
        <v>0</v>
      </c>
      <c r="L71" s="187">
        <v>0</v>
      </c>
    </row>
    <row r="72" spans="1:12" s="36" customFormat="1">
      <c r="A72" s="148"/>
      <c r="B72" s="42"/>
      <c r="C72" s="109">
        <f>SUM(C68:C71)</f>
        <v>0</v>
      </c>
      <c r="D72" s="109">
        <f>SUM(D68:D71)</f>
        <v>0</v>
      </c>
      <c r="E72" s="109">
        <f>SUM(E68:E71)</f>
        <v>0</v>
      </c>
      <c r="F72" s="109">
        <f>SUM(F68:F71)</f>
        <v>0</v>
      </c>
      <c r="G72" s="109">
        <f>SUM(G68:G71)</f>
        <v>0</v>
      </c>
      <c r="H72" s="80"/>
      <c r="I72" s="80"/>
      <c r="L72" s="119"/>
    </row>
    <row r="73" spans="1:12" s="36" customFormat="1">
      <c r="A73" s="148"/>
      <c r="B73" s="42"/>
      <c r="C73" s="109"/>
      <c r="D73" s="109"/>
      <c r="E73" s="109"/>
      <c r="F73" s="80"/>
      <c r="G73" s="80"/>
      <c r="H73" s="80"/>
      <c r="I73" s="80"/>
      <c r="L73" s="119"/>
    </row>
    <row r="74" spans="1:12" s="36" customFormat="1" ht="15">
      <c r="A74" s="6"/>
      <c r="B74" s="354" t="s">
        <v>95</v>
      </c>
      <c r="C74" s="354"/>
      <c r="D74" s="354"/>
      <c r="E74" s="37"/>
      <c r="F74" s="354" t="s">
        <v>96</v>
      </c>
      <c r="G74" s="354"/>
      <c r="H74" s="354"/>
      <c r="I74" s="185"/>
      <c r="L74" s="119"/>
    </row>
    <row r="75" spans="1:12" s="36" customFormat="1" ht="15" customHeight="1">
      <c r="A75" s="229"/>
      <c r="B75" s="278" t="s">
        <v>34</v>
      </c>
      <c r="C75" s="279" t="s">
        <v>35</v>
      </c>
      <c r="D75" s="35" t="s">
        <v>63</v>
      </c>
      <c r="E75" s="37"/>
      <c r="F75" s="35" t="s">
        <v>34</v>
      </c>
      <c r="G75" s="41" t="s">
        <v>35</v>
      </c>
      <c r="H75" s="35" t="s">
        <v>63</v>
      </c>
      <c r="I75" s="35"/>
      <c r="L75" s="119"/>
    </row>
    <row r="76" spans="1:12" s="36" customFormat="1" ht="15">
      <c r="A76" s="30" t="s">
        <v>66</v>
      </c>
      <c r="B76" s="280">
        <f>0.011</f>
        <v>1.0999999999999999E-2</v>
      </c>
      <c r="C76" s="242">
        <f>AVERAGE(3.6826,3.5997, 2.6808)</f>
        <v>3.3210333333333328</v>
      </c>
      <c r="D76" s="33">
        <f>B76*C76</f>
        <v>3.6531366666666662E-2</v>
      </c>
      <c r="F76" s="73">
        <v>0</v>
      </c>
      <c r="G76" s="118">
        <v>0</v>
      </c>
      <c r="H76" s="33">
        <f>F76*G76</f>
        <v>0</v>
      </c>
      <c r="I76" s="33"/>
      <c r="L76" s="119"/>
    </row>
    <row r="77" spans="1:12" s="36" customFormat="1" ht="15">
      <c r="A77" s="231" t="s">
        <v>69</v>
      </c>
      <c r="B77" s="272">
        <f>($B$68*$H$68+$B$69*$H$69+$B$70*$H$70+$B$71*$H$71)/2000</f>
        <v>0</v>
      </c>
      <c r="C77" s="242">
        <v>0</v>
      </c>
      <c r="D77" s="52">
        <f>B77*C77</f>
        <v>0</v>
      </c>
      <c r="F77" s="24">
        <f>($B$68*$L$68+$B$69*$L$69+$B$70*$L$70+$B$71*$L$71)/2000</f>
        <v>0</v>
      </c>
      <c r="G77" s="118">
        <v>0</v>
      </c>
      <c r="H77" s="52">
        <f>F77*G77</f>
        <v>0</v>
      </c>
      <c r="I77" s="52"/>
      <c r="L77" s="228"/>
    </row>
    <row r="78" spans="1:12" s="36" customFormat="1" ht="15">
      <c r="A78" s="30" t="s">
        <v>104</v>
      </c>
      <c r="B78" s="281">
        <v>1.8380000000000001</v>
      </c>
      <c r="C78" s="242">
        <v>8.0999999999999996E-3</v>
      </c>
      <c r="D78" s="52">
        <f>B78*C78</f>
        <v>1.48878E-2</v>
      </c>
      <c r="F78" s="24">
        <f>+B78</f>
        <v>1.8380000000000001</v>
      </c>
      <c r="G78" s="118">
        <v>0</v>
      </c>
      <c r="H78" s="52">
        <f>F78*G78</f>
        <v>0</v>
      </c>
      <c r="I78" s="52"/>
      <c r="L78" s="119"/>
    </row>
    <row r="79" spans="1:12" s="36" customFormat="1" ht="15">
      <c r="A79" s="30" t="s">
        <v>105</v>
      </c>
      <c r="B79" s="272">
        <f>750/1000</f>
        <v>0.75</v>
      </c>
      <c r="C79" s="242">
        <v>1.61E-2</v>
      </c>
      <c r="D79" s="52">
        <f t="shared" ref="D79:D80" si="14">B79*C79</f>
        <v>1.2074999999999999E-2</v>
      </c>
      <c r="F79" s="24">
        <f>+B79</f>
        <v>0.75</v>
      </c>
      <c r="G79" s="118">
        <v>0</v>
      </c>
      <c r="H79" s="52"/>
      <c r="I79" s="52"/>
      <c r="L79" s="119"/>
    </row>
    <row r="80" spans="1:12" s="36" customFormat="1" ht="16.5">
      <c r="A80" s="30" t="s">
        <v>103</v>
      </c>
      <c r="B80" s="272">
        <f>157.43/1000</f>
        <v>0.15743000000000001</v>
      </c>
      <c r="C80" s="242">
        <v>1.5699999999999999E-2</v>
      </c>
      <c r="D80" s="52">
        <f t="shared" si="14"/>
        <v>2.4716510000000001E-3</v>
      </c>
      <c r="F80" s="24">
        <f>+B80</f>
        <v>0.15743000000000001</v>
      </c>
      <c r="G80" s="118">
        <v>0</v>
      </c>
      <c r="H80" s="40">
        <v>0</v>
      </c>
      <c r="I80" s="40"/>
      <c r="L80" s="119"/>
    </row>
    <row r="82" spans="1:12" s="36" customFormat="1">
      <c r="A82" s="76" t="s">
        <v>67</v>
      </c>
      <c r="B82" s="74"/>
      <c r="C82" s="39"/>
      <c r="D82" s="38">
        <f>SUM(D76:D80)</f>
        <v>6.5965817666666662E-2</v>
      </c>
      <c r="F82" s="74"/>
      <c r="G82" s="39"/>
      <c r="H82" s="38">
        <f>SUM(H76:H80)</f>
        <v>0</v>
      </c>
      <c r="I82" s="38"/>
      <c r="L82" s="119"/>
    </row>
    <row r="83" spans="1:12" s="36" customFormat="1">
      <c r="A83" s="30"/>
      <c r="E83" s="37"/>
      <c r="F83" s="43"/>
      <c r="G83" s="42"/>
      <c r="H83" s="42"/>
      <c r="I83" s="42"/>
      <c r="L83" s="119"/>
    </row>
    <row r="84" spans="1:12" ht="15">
      <c r="A84" s="6"/>
      <c r="B84" s="354" t="s">
        <v>97</v>
      </c>
      <c r="C84" s="354"/>
      <c r="D84" s="354"/>
      <c r="E84" s="5"/>
      <c r="F84" s="354" t="s">
        <v>92</v>
      </c>
      <c r="G84" s="354"/>
      <c r="H84" s="354"/>
      <c r="I84" s="185"/>
      <c r="J84" s="354" t="s">
        <v>98</v>
      </c>
      <c r="K84" s="354"/>
      <c r="L84" s="355"/>
    </row>
    <row r="85" spans="1:12" ht="28.9" customHeight="1">
      <c r="A85" s="6"/>
      <c r="B85" s="35" t="s">
        <v>34</v>
      </c>
      <c r="C85" s="196" t="s">
        <v>101</v>
      </c>
      <c r="D85" s="35" t="s">
        <v>63</v>
      </c>
      <c r="F85" s="35" t="s">
        <v>34</v>
      </c>
      <c r="G85" s="41" t="s">
        <v>35</v>
      </c>
      <c r="H85" s="35" t="s">
        <v>63</v>
      </c>
      <c r="I85" s="35"/>
      <c r="J85" s="35" t="s">
        <v>34</v>
      </c>
      <c r="K85" s="41" t="s">
        <v>35</v>
      </c>
      <c r="L85" s="34" t="s">
        <v>63</v>
      </c>
    </row>
    <row r="86" spans="1:12" ht="15">
      <c r="A86" s="232" t="s">
        <v>68</v>
      </c>
      <c r="B86" s="73">
        <f>($B$64*$I$64+$B$65*$I$65)/2000</f>
        <v>0</v>
      </c>
      <c r="C86" s="118">
        <v>0</v>
      </c>
      <c r="D86" s="33">
        <f>B86*C86</f>
        <v>0</v>
      </c>
      <c r="F86" s="73">
        <f>($B$64*$J$64+$B$65*$J$65)/2000</f>
        <v>0</v>
      </c>
      <c r="G86" s="118">
        <v>0</v>
      </c>
      <c r="H86" s="89">
        <f>F86*G86</f>
        <v>0</v>
      </c>
      <c r="I86" s="89"/>
      <c r="J86" s="73">
        <f>($B$64*$K$64+$B$65*$K$65)/2000</f>
        <v>0</v>
      </c>
      <c r="K86" s="118">
        <v>0</v>
      </c>
      <c r="L86" s="50">
        <f>J86*K86</f>
        <v>0</v>
      </c>
    </row>
    <row r="87" spans="1:12" ht="15">
      <c r="A87" s="6" t="s">
        <v>69</v>
      </c>
      <c r="B87" s="24">
        <f>($B$68*$I$68+$B$69*$I$69+$B$70*$I$70+$B$71*$I$71)/2000</f>
        <v>0</v>
      </c>
      <c r="C87" s="118">
        <v>0</v>
      </c>
      <c r="D87" s="13">
        <f t="shared" ref="D87:D92" si="15">B87*C87</f>
        <v>0</v>
      </c>
      <c r="F87" s="24">
        <f>($B$68*$J$68+$B$69*$J$69+$B$70*$J$70+$B$71*$J$71)/2000</f>
        <v>0</v>
      </c>
      <c r="G87" s="118">
        <v>0</v>
      </c>
      <c r="H87" s="100">
        <f t="shared" ref="H87:H92" si="16">F87*G87</f>
        <v>0</v>
      </c>
      <c r="I87" s="13"/>
      <c r="J87" s="24">
        <f>($B$68*$K$68+$B$69*$K$69+$B$70*$K$70+$B$71*$K$71)/2000</f>
        <v>0</v>
      </c>
      <c r="K87" s="118">
        <v>0</v>
      </c>
      <c r="L87" s="31">
        <f t="shared" ref="L87:L94" si="17">J87*K87</f>
        <v>0</v>
      </c>
    </row>
    <row r="88" spans="1:12" ht="16.5">
      <c r="A88" s="30" t="s">
        <v>104</v>
      </c>
      <c r="B88" s="47">
        <v>2.54</v>
      </c>
      <c r="C88" s="118">
        <v>0</v>
      </c>
      <c r="D88" s="13">
        <f t="shared" si="15"/>
        <v>0</v>
      </c>
      <c r="F88" s="24">
        <f>+B88</f>
        <v>2.54</v>
      </c>
      <c r="G88" s="118">
        <v>0</v>
      </c>
      <c r="H88" s="100">
        <f t="shared" si="16"/>
        <v>0</v>
      </c>
      <c r="I88" s="88"/>
      <c r="J88" s="272">
        <v>1.964</v>
      </c>
      <c r="K88" s="118">
        <v>2.0848163962425278E-2</v>
      </c>
      <c r="L88" s="190">
        <f t="shared" si="17"/>
        <v>4.0945794022203247E-2</v>
      </c>
    </row>
    <row r="89" spans="1:12" ht="16.5">
      <c r="A89" s="30" t="s">
        <v>105</v>
      </c>
      <c r="B89" s="24">
        <f>750/1000</f>
        <v>0.75</v>
      </c>
      <c r="C89" s="118">
        <v>0</v>
      </c>
      <c r="D89" s="13">
        <f t="shared" si="15"/>
        <v>0</v>
      </c>
      <c r="F89" s="24">
        <f>+B89</f>
        <v>0.75</v>
      </c>
      <c r="G89" s="118">
        <v>0</v>
      </c>
      <c r="H89" s="100">
        <f t="shared" si="16"/>
        <v>0</v>
      </c>
      <c r="I89" s="88"/>
      <c r="J89" s="272">
        <v>0.59099999999999997</v>
      </c>
      <c r="K89" s="118">
        <v>3.101451750640478E-3</v>
      </c>
      <c r="L89" s="190">
        <f t="shared" si="17"/>
        <v>1.8329579846285225E-3</v>
      </c>
    </row>
    <row r="90" spans="1:12" ht="16.5">
      <c r="A90" s="30" t="s">
        <v>103</v>
      </c>
      <c r="B90" s="24">
        <f>157.43/1000</f>
        <v>0.15743000000000001</v>
      </c>
      <c r="C90" s="118">
        <v>0</v>
      </c>
      <c r="D90" s="13">
        <f t="shared" si="15"/>
        <v>0</v>
      </c>
      <c r="F90" s="24">
        <f>+B90</f>
        <v>0.15743000000000001</v>
      </c>
      <c r="G90" s="118">
        <v>0</v>
      </c>
      <c r="H90" s="100">
        <f t="shared" si="16"/>
        <v>0</v>
      </c>
      <c r="I90" s="88"/>
      <c r="J90" s="272">
        <v>0.105</v>
      </c>
      <c r="K90" s="118">
        <v>0.1</v>
      </c>
      <c r="L90" s="190">
        <f t="shared" si="17"/>
        <v>1.0500000000000001E-2</v>
      </c>
    </row>
    <row r="91" spans="1:12" ht="16.5">
      <c r="A91" s="30" t="s">
        <v>106</v>
      </c>
      <c r="B91" s="24"/>
      <c r="C91" s="118">
        <v>0</v>
      </c>
      <c r="D91" s="13">
        <f t="shared" si="15"/>
        <v>0</v>
      </c>
      <c r="F91" s="24">
        <f>+B91</f>
        <v>0</v>
      </c>
      <c r="G91" s="118">
        <v>0</v>
      </c>
      <c r="H91" s="100">
        <f t="shared" si="16"/>
        <v>0</v>
      </c>
      <c r="I91" s="88"/>
      <c r="J91" s="272">
        <v>1.0269999999999999</v>
      </c>
      <c r="K91" s="118">
        <v>2.1752348420153713E-3</v>
      </c>
      <c r="L91" s="190">
        <f t="shared" si="17"/>
        <v>2.2339661827497862E-3</v>
      </c>
    </row>
    <row r="92" spans="1:12" ht="16.5">
      <c r="A92" s="30" t="s">
        <v>107</v>
      </c>
      <c r="B92" s="24"/>
      <c r="C92" s="118">
        <v>0</v>
      </c>
      <c r="D92" s="13">
        <f t="shared" si="15"/>
        <v>0</v>
      </c>
      <c r="F92" s="24">
        <f>+B92</f>
        <v>0</v>
      </c>
      <c r="G92" s="118">
        <v>0</v>
      </c>
      <c r="H92" s="100">
        <f t="shared" si="16"/>
        <v>0</v>
      </c>
      <c r="I92" s="88"/>
      <c r="J92" s="272">
        <v>1.389</v>
      </c>
      <c r="K92" s="118">
        <v>2.3312553373185311E-3</v>
      </c>
      <c r="L92" s="190">
        <f t="shared" si="17"/>
        <v>3.2381136635354396E-3</v>
      </c>
    </row>
    <row r="93" spans="1:12" ht="16.5">
      <c r="A93" s="30" t="s">
        <v>108</v>
      </c>
      <c r="B93" s="239"/>
      <c r="C93" s="118"/>
      <c r="D93" s="13"/>
      <c r="F93" s="24"/>
      <c r="G93" s="118"/>
      <c r="H93" s="100"/>
      <c r="I93" s="88"/>
      <c r="J93" s="273">
        <v>18.84</v>
      </c>
      <c r="K93" s="118">
        <v>5.9999999999999995E-4</v>
      </c>
      <c r="L93" s="190">
        <f t="shared" si="17"/>
        <v>1.1303999999999998E-2</v>
      </c>
    </row>
    <row r="94" spans="1:12" ht="16.5">
      <c r="A94" s="30" t="s">
        <v>109</v>
      </c>
      <c r="B94" s="238"/>
      <c r="C94" s="118"/>
      <c r="D94" s="13"/>
      <c r="F94" s="24"/>
      <c r="G94" s="118"/>
      <c r="H94" s="100"/>
      <c r="I94" s="88"/>
      <c r="J94" s="274">
        <v>1.33</v>
      </c>
      <c r="K94" s="118">
        <v>5.9999999999999995E-4</v>
      </c>
      <c r="L94" s="190">
        <f t="shared" si="17"/>
        <v>7.9799999999999999E-4</v>
      </c>
    </row>
    <row r="95" spans="1:12" ht="16.5">
      <c r="A95" s="30"/>
      <c r="B95" s="191"/>
      <c r="C95" s="191"/>
      <c r="D95" s="40">
        <v>0</v>
      </c>
      <c r="F95" s="191"/>
      <c r="G95" s="191"/>
      <c r="H95" s="40">
        <v>0</v>
      </c>
      <c r="I95" s="88"/>
      <c r="J95" s="191"/>
      <c r="K95" s="191"/>
      <c r="L95" s="240">
        <v>0</v>
      </c>
    </row>
    <row r="96" spans="1:12">
      <c r="A96" s="83" t="s">
        <v>67</v>
      </c>
      <c r="B96" s="53"/>
      <c r="C96" s="75"/>
      <c r="D96" s="189">
        <f>SUM(D86:D95)</f>
        <v>0</v>
      </c>
      <c r="E96" s="53"/>
      <c r="F96" s="53"/>
      <c r="G96" s="75"/>
      <c r="H96" s="189">
        <f>SUM(H86:H95)</f>
        <v>0</v>
      </c>
      <c r="I96" s="123"/>
      <c r="J96" s="53"/>
      <c r="K96" s="75"/>
      <c r="L96" s="241">
        <f>SUM(L86:L95)</f>
        <v>7.0852831853116985E-2</v>
      </c>
    </row>
    <row r="98" spans="1:9">
      <c r="A98" s="356" t="s">
        <v>33</v>
      </c>
      <c r="B98" s="357"/>
      <c r="C98" s="357"/>
      <c r="D98" s="357"/>
      <c r="E98" s="357"/>
      <c r="F98" s="357"/>
      <c r="G98" s="357"/>
      <c r="H98" s="358"/>
    </row>
    <row r="99" spans="1:9" ht="14.65" customHeight="1">
      <c r="A99" s="71"/>
      <c r="B99" s="72"/>
      <c r="C99" s="72"/>
      <c r="D99" s="72"/>
      <c r="E99" s="72"/>
      <c r="F99" s="368" t="s">
        <v>53</v>
      </c>
      <c r="G99" s="368"/>
      <c r="H99" s="369"/>
    </row>
    <row r="100" spans="1:9" ht="15">
      <c r="A100" s="370" t="s">
        <v>55</v>
      </c>
      <c r="B100" s="371"/>
      <c r="C100" s="371"/>
      <c r="D100" s="371"/>
      <c r="E100" s="371"/>
      <c r="F100" s="368"/>
      <c r="G100" s="368"/>
      <c r="H100" s="369"/>
    </row>
    <row r="101" spans="1:9" ht="16.5">
      <c r="A101" s="16"/>
      <c r="B101" s="185" t="s">
        <v>56</v>
      </c>
      <c r="C101" s="185" t="s">
        <v>85</v>
      </c>
      <c r="D101" s="185" t="s">
        <v>32</v>
      </c>
      <c r="E101" s="185" t="s">
        <v>54</v>
      </c>
      <c r="F101" s="103">
        <v>1</v>
      </c>
      <c r="G101" s="128" t="s">
        <v>58</v>
      </c>
      <c r="H101" s="85">
        <f>(F101*C202*C204)+((F101*C202*C204*D113))</f>
        <v>345498296</v>
      </c>
    </row>
    <row r="102" spans="1:9" ht="15">
      <c r="A102" s="30" t="s">
        <v>95</v>
      </c>
      <c r="B102" s="28">
        <f>B54</f>
        <v>11000</v>
      </c>
      <c r="C102" s="286">
        <v>550</v>
      </c>
      <c r="D102" s="28">
        <f>B102/C102</f>
        <v>20</v>
      </c>
      <c r="E102" s="21">
        <f t="shared" ref="E102:E108" si="18">D102/D$108</f>
        <v>0.30985915492957744</v>
      </c>
      <c r="F102" s="86">
        <f>(F101*C202*C204*C116)+((F101*C202*C204*D113)*C118)</f>
        <v>18643340.973099794</v>
      </c>
      <c r="G102" s="5" t="s">
        <v>29</v>
      </c>
      <c r="H102" s="87">
        <f>F102/$H$101</f>
        <v>5.3960732046851527E-2</v>
      </c>
      <c r="I102" s="287" t="s">
        <v>120</v>
      </c>
    </row>
    <row r="103" spans="1:9" ht="15">
      <c r="A103" s="30" t="s">
        <v>96</v>
      </c>
      <c r="B103" s="43">
        <f t="shared" ref="B103:B107" si="19">B55</f>
        <v>0</v>
      </c>
      <c r="C103" s="108">
        <v>0</v>
      </c>
      <c r="D103" s="28">
        <v>0</v>
      </c>
      <c r="E103" s="21">
        <f t="shared" si="18"/>
        <v>0</v>
      </c>
      <c r="F103" s="195">
        <f>F102*C206</f>
        <v>5593002.2919299379</v>
      </c>
      <c r="G103" s="5" t="s">
        <v>28</v>
      </c>
      <c r="H103" s="87">
        <f>F103/$H$101</f>
        <v>1.6188219614055456E-2</v>
      </c>
    </row>
    <row r="104" spans="1:9" ht="15">
      <c r="A104" s="30" t="s">
        <v>97</v>
      </c>
      <c r="B104" s="43">
        <f t="shared" si="19"/>
        <v>0</v>
      </c>
      <c r="C104" s="108">
        <v>0</v>
      </c>
      <c r="D104" s="28">
        <v>0</v>
      </c>
      <c r="E104" s="21">
        <f t="shared" si="18"/>
        <v>0</v>
      </c>
      <c r="F104" s="86"/>
      <c r="G104" s="5"/>
      <c r="H104" s="87"/>
    </row>
    <row r="105" spans="1:9" ht="15">
      <c r="A105" s="30" t="s">
        <v>92</v>
      </c>
      <c r="B105" s="43">
        <f t="shared" si="19"/>
        <v>0</v>
      </c>
      <c r="C105" s="108">
        <v>0</v>
      </c>
      <c r="D105" s="28">
        <v>0</v>
      </c>
      <c r="E105" s="21">
        <f t="shared" si="18"/>
        <v>0</v>
      </c>
      <c r="F105" s="86"/>
      <c r="G105" s="5"/>
      <c r="H105" s="87"/>
    </row>
    <row r="106" spans="1:9" ht="15">
      <c r="A106" s="30" t="s">
        <v>90</v>
      </c>
      <c r="B106" s="43">
        <f t="shared" si="19"/>
        <v>4900</v>
      </c>
      <c r="C106" s="286">
        <v>110</v>
      </c>
      <c r="D106" s="28">
        <f t="shared" ref="D106" si="20">B106/C106</f>
        <v>44.545454545454547</v>
      </c>
      <c r="E106" s="21">
        <f>D106/D$108</f>
        <v>0.6901408450704225</v>
      </c>
      <c r="F106" s="86"/>
      <c r="G106" s="5"/>
      <c r="H106" s="87"/>
      <c r="I106" s="287" t="s">
        <v>119</v>
      </c>
    </row>
    <row r="107" spans="1:9" ht="15">
      <c r="A107" s="83" t="s">
        <v>20</v>
      </c>
      <c r="B107" s="112">
        <f t="shared" si="19"/>
        <v>0</v>
      </c>
      <c r="C107" s="108">
        <v>0</v>
      </c>
      <c r="D107" s="106">
        <v>0</v>
      </c>
      <c r="E107" s="107">
        <f t="shared" si="18"/>
        <v>0</v>
      </c>
      <c r="H107" s="12"/>
    </row>
    <row r="108" spans="1:9">
      <c r="A108" s="96"/>
      <c r="B108" s="69">
        <f>SUM(B102:B107)</f>
        <v>15900</v>
      </c>
      <c r="C108" s="70">
        <f>B108/D108</f>
        <v>246.33802816901408</v>
      </c>
      <c r="D108" s="70">
        <f>SUM(D102:D107)</f>
        <v>64.545454545454547</v>
      </c>
      <c r="E108" s="314">
        <f t="shared" si="18"/>
        <v>1</v>
      </c>
      <c r="H108" s="27"/>
    </row>
    <row r="109" spans="1:9">
      <c r="A109" s="315" t="s">
        <v>115</v>
      </c>
      <c r="B109" s="69"/>
      <c r="C109" s="70"/>
      <c r="D109" s="70"/>
      <c r="E109" s="314"/>
      <c r="F109" s="4"/>
      <c r="G109" s="4"/>
      <c r="H109" s="316"/>
    </row>
    <row r="110" spans="1:9" ht="15">
      <c r="A110" s="6"/>
      <c r="B110" s="289"/>
      <c r="C110" s="289"/>
      <c r="D110" s="289"/>
      <c r="E110" s="289"/>
      <c r="F110" s="289"/>
      <c r="G110" s="289"/>
      <c r="H110" s="290"/>
    </row>
    <row r="111" spans="1:9">
      <c r="A111" s="6"/>
      <c r="B111" s="352"/>
      <c r="C111" s="352"/>
      <c r="D111" s="352"/>
      <c r="F111" s="352"/>
      <c r="G111" s="352"/>
      <c r="H111" s="353"/>
    </row>
    <row r="112" spans="1:9" ht="15">
      <c r="A112" s="6"/>
      <c r="B112" t="s">
        <v>125</v>
      </c>
      <c r="C112" t="s">
        <v>126</v>
      </c>
      <c r="D112" t="s">
        <v>127</v>
      </c>
      <c r="E112" t="s">
        <v>128</v>
      </c>
      <c r="F112" s="317" t="s">
        <v>129</v>
      </c>
      <c r="G112" s="317" t="s">
        <v>130</v>
      </c>
      <c r="H112" s="291" t="s">
        <v>131</v>
      </c>
    </row>
    <row r="113" spans="1:30" ht="15">
      <c r="A113" s="292" t="s">
        <v>31</v>
      </c>
      <c r="B113" s="293">
        <v>119702.77</v>
      </c>
      <c r="C113" s="293">
        <v>140371.43</v>
      </c>
      <c r="D113" s="293">
        <v>166103.95000000001</v>
      </c>
      <c r="E113" s="293">
        <v>166766.85999999999</v>
      </c>
      <c r="F113" s="294">
        <v>105842.43</v>
      </c>
      <c r="G113" s="294">
        <v>147383.65</v>
      </c>
      <c r="H113" s="295">
        <v>163283.07</v>
      </c>
      <c r="U113" s="178"/>
      <c r="V113" s="178"/>
      <c r="W113" s="178"/>
      <c r="X113" s="178"/>
      <c r="Z113" s="178"/>
      <c r="AA113" s="166"/>
      <c r="AB113" s="180"/>
      <c r="AC113" s="152"/>
      <c r="AD113" s="93"/>
    </row>
    <row r="114" spans="1:30" ht="15">
      <c r="A114" s="292" t="s">
        <v>30</v>
      </c>
      <c r="B114" s="293">
        <v>15222.93</v>
      </c>
      <c r="C114" s="293">
        <v>23913.55</v>
      </c>
      <c r="D114" s="293">
        <v>19670.79</v>
      </c>
      <c r="E114" s="293">
        <v>41336.57</v>
      </c>
      <c r="F114" s="294">
        <v>23672.31</v>
      </c>
      <c r="G114" s="294">
        <v>9419.99</v>
      </c>
      <c r="H114" s="295">
        <v>18308.82</v>
      </c>
      <c r="U114" s="178"/>
      <c r="V114" s="178"/>
      <c r="W114" s="178"/>
      <c r="X114" s="178"/>
      <c r="Z114" s="178"/>
      <c r="AA114" s="166"/>
      <c r="AB114" s="180"/>
      <c r="AC114" s="152"/>
      <c r="AD114" s="93"/>
    </row>
    <row r="115" spans="1:30" ht="15">
      <c r="A115" s="292" t="s">
        <v>28</v>
      </c>
      <c r="B115" s="293">
        <v>11228.99</v>
      </c>
      <c r="C115" s="293">
        <v>10794.51</v>
      </c>
      <c r="D115" s="293">
        <v>10146.4</v>
      </c>
      <c r="E115" s="293">
        <v>8112.73</v>
      </c>
      <c r="F115" s="294">
        <v>-1917.2</v>
      </c>
      <c r="G115" s="294">
        <v>49379.56</v>
      </c>
      <c r="H115" s="295">
        <v>50660.85</v>
      </c>
      <c r="U115" s="178"/>
      <c r="V115" s="178"/>
      <c r="W115" s="178"/>
      <c r="X115" s="178"/>
      <c r="Z115" s="178"/>
      <c r="AA115" s="166"/>
      <c r="AB115" s="180"/>
      <c r="AC115" s="152"/>
      <c r="AD115" s="93"/>
    </row>
    <row r="116" spans="1:30" ht="16.5">
      <c r="A116" s="296" t="s">
        <v>5</v>
      </c>
      <c r="B116" s="293">
        <v>3928.57</v>
      </c>
      <c r="C116" s="293">
        <v>-3928.57</v>
      </c>
      <c r="D116" s="293">
        <v>0</v>
      </c>
      <c r="E116" s="293">
        <v>-1311.46</v>
      </c>
      <c r="F116" s="294">
        <v>841.1</v>
      </c>
      <c r="G116" s="294">
        <v>0</v>
      </c>
      <c r="H116" s="295">
        <v>0</v>
      </c>
      <c r="I116" s="62"/>
      <c r="U116" s="179"/>
      <c r="V116" s="179"/>
      <c r="W116" s="179"/>
      <c r="X116" s="179"/>
      <c r="Z116" s="179"/>
      <c r="AA116" s="166"/>
      <c r="AB116" s="180"/>
      <c r="AC116" s="152"/>
      <c r="AD116" s="93"/>
    </row>
    <row r="117" spans="1:30" ht="16.5">
      <c r="A117" s="296" t="s">
        <v>132</v>
      </c>
      <c r="B117">
        <v>37953</v>
      </c>
      <c r="C117">
        <v>21274</v>
      </c>
      <c r="D117">
        <v>55365</v>
      </c>
      <c r="E117">
        <v>3960</v>
      </c>
      <c r="F117">
        <v>26641</v>
      </c>
      <c r="G117">
        <v>11698</v>
      </c>
      <c r="H117" s="318">
        <v>35168</v>
      </c>
      <c r="I117" s="62"/>
      <c r="U117" s="179"/>
      <c r="V117" s="179"/>
      <c r="W117" s="179"/>
      <c r="X117" s="179"/>
      <c r="Z117" s="179"/>
      <c r="AA117" s="166"/>
      <c r="AB117" s="180"/>
      <c r="AC117" s="152"/>
      <c r="AD117" s="93"/>
    </row>
    <row r="118" spans="1:30" ht="15">
      <c r="A118" s="296" t="s">
        <v>133</v>
      </c>
      <c r="B118" s="297">
        <f>B115/(B113+B114+B116-B117)</f>
        <v>0.11128690451567158</v>
      </c>
      <c r="C118" s="297">
        <f t="shared" ref="C118:H118" si="21">C115/(C113+C114+C116-C117)</f>
        <v>7.7612330703789228E-2</v>
      </c>
      <c r="D118" s="297">
        <f t="shared" si="21"/>
        <v>7.7804004516840525E-2</v>
      </c>
      <c r="E118" s="297">
        <f t="shared" si="21"/>
        <v>3.9997294312134321E-2</v>
      </c>
      <c r="F118" s="297">
        <f t="shared" si="21"/>
        <v>-1.848530065707087E-2</v>
      </c>
      <c r="G118" s="297">
        <f t="shared" si="21"/>
        <v>0.34030076294760153</v>
      </c>
      <c r="H118" s="300">
        <f t="shared" si="21"/>
        <v>0.34598759806203749</v>
      </c>
      <c r="U118" s="168"/>
      <c r="V118" s="168"/>
      <c r="W118" s="168"/>
      <c r="X118" s="168"/>
      <c r="Z118" s="168"/>
      <c r="AA118" s="151"/>
      <c r="AB118" s="177"/>
      <c r="AC118" s="181"/>
      <c r="AD118" s="5"/>
    </row>
    <row r="119" spans="1:30" ht="15">
      <c r="A119" s="296"/>
      <c r="B119" s="297"/>
      <c r="C119" s="297"/>
      <c r="D119" s="297"/>
      <c r="E119" s="297"/>
      <c r="F119" s="297"/>
      <c r="G119" s="297"/>
      <c r="H119" s="300"/>
    </row>
    <row r="120" spans="1:30">
      <c r="A120" s="6"/>
      <c r="B120" s="43"/>
      <c r="C120" s="301"/>
      <c r="D120" s="15" t="s">
        <v>134</v>
      </c>
      <c r="E120" s="63"/>
      <c r="F120" s="43" t="s">
        <v>135</v>
      </c>
      <c r="G120" s="301"/>
      <c r="H120" s="302"/>
    </row>
    <row r="121" spans="1:30" ht="15">
      <c r="A121" s="292" t="s">
        <v>136</v>
      </c>
      <c r="B121" s="303">
        <v>28</v>
      </c>
      <c r="C121" s="29"/>
      <c r="D121" s="26">
        <f>(AVERAGE((C113-C117),(G113-G117),(H113-H117)))/B121</f>
        <v>4558.3113095238095</v>
      </c>
      <c r="E121" s="63"/>
      <c r="F121" s="304">
        <f>D121*B121</f>
        <v>127632.71666666667</v>
      </c>
      <c r="G121" s="29"/>
      <c r="H121" s="12"/>
      <c r="S121" s="57"/>
      <c r="T121" s="372"/>
      <c r="U121" s="372"/>
      <c r="V121" s="372"/>
      <c r="W121" s="372"/>
      <c r="X121" s="372"/>
      <c r="Y121" s="372"/>
      <c r="Z121" s="372"/>
      <c r="AA121" s="372"/>
      <c r="AB121" s="372"/>
      <c r="AC121" s="372"/>
      <c r="AD121" s="372"/>
    </row>
    <row r="122" spans="1:30" ht="15">
      <c r="A122" s="292" t="s">
        <v>137</v>
      </c>
      <c r="B122" s="303">
        <v>2</v>
      </c>
      <c r="C122" s="78"/>
      <c r="D122" s="26">
        <f>AVERAGE(G114)/B122</f>
        <v>4709.9949999999999</v>
      </c>
      <c r="E122" s="63"/>
      <c r="F122" s="304">
        <f>D122*B122</f>
        <v>9419.99</v>
      </c>
      <c r="G122" s="305"/>
      <c r="H122" s="12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</row>
    <row r="123" spans="1:30">
      <c r="A123" s="76"/>
      <c r="B123" s="117"/>
      <c r="C123" s="284"/>
      <c r="D123" s="306"/>
      <c r="E123" s="63"/>
      <c r="F123" s="307"/>
      <c r="G123" s="319"/>
      <c r="H123" s="308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</row>
    <row r="124" spans="1:30">
      <c r="A124" s="309" t="s">
        <v>138</v>
      </c>
      <c r="B124" s="117">
        <v>15</v>
      </c>
      <c r="C124" s="284"/>
      <c r="D124" s="26">
        <f>D121</f>
        <v>4558.3113095238095</v>
      </c>
      <c r="E124" s="63"/>
      <c r="F124" s="304">
        <f>D124*B124</f>
        <v>68374.669642857145</v>
      </c>
      <c r="G124" s="91"/>
      <c r="H124" s="308"/>
      <c r="I124" s="63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</row>
    <row r="125" spans="1:30">
      <c r="A125" s="309" t="s">
        <v>139</v>
      </c>
      <c r="B125" s="117">
        <v>3</v>
      </c>
      <c r="C125" s="284"/>
      <c r="D125" s="26">
        <f>D122</f>
        <v>4709.9949999999999</v>
      </c>
      <c r="E125" s="63"/>
      <c r="F125" s="304">
        <f>D125*B125</f>
        <v>14129.985000000001</v>
      </c>
      <c r="G125" s="319"/>
      <c r="H125" s="310"/>
      <c r="I125" s="63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</row>
    <row r="126" spans="1:30">
      <c r="A126" s="6"/>
      <c r="B126" s="320"/>
      <c r="F126" s="311"/>
      <c r="H126" s="12"/>
      <c r="I126" s="63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</row>
    <row r="127" spans="1:30">
      <c r="A127" s="6" t="s">
        <v>140</v>
      </c>
      <c r="B127" s="43">
        <f>B121+B124</f>
        <v>43</v>
      </c>
      <c r="C127" s="29"/>
      <c r="D127" s="26">
        <f>D124</f>
        <v>4558.3113095238095</v>
      </c>
      <c r="F127" s="312">
        <f>D127*B127</f>
        <v>196007.3863095238</v>
      </c>
      <c r="H127" s="12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</row>
    <row r="128" spans="1:30">
      <c r="A128" s="6" t="s">
        <v>141</v>
      </c>
      <c r="B128" s="43">
        <f>B122+B125</f>
        <v>5</v>
      </c>
      <c r="C128" s="78"/>
      <c r="D128" s="26">
        <f>D125</f>
        <v>4709.9949999999999</v>
      </c>
      <c r="F128" s="312">
        <f>D128*B128</f>
        <v>23549.974999999999</v>
      </c>
      <c r="H128" s="12"/>
      <c r="S128" s="58"/>
      <c r="T128" s="58"/>
      <c r="U128" s="58"/>
      <c r="V128" s="58"/>
      <c r="W128" s="58"/>
      <c r="X128" s="58"/>
      <c r="Y128" s="58"/>
      <c r="Z128" s="58"/>
      <c r="AA128" s="58"/>
      <c r="AB128" s="59"/>
      <c r="AC128" s="58"/>
      <c r="AD128" s="58"/>
    </row>
    <row r="129" spans="1:8">
      <c r="A129" s="76" t="s">
        <v>132</v>
      </c>
      <c r="B129" s="43"/>
      <c r="C129" s="29"/>
      <c r="D129" s="77"/>
      <c r="F129" s="313">
        <v>0</v>
      </c>
      <c r="H129" s="12"/>
    </row>
    <row r="130" spans="1:8" ht="16.5" customHeight="1">
      <c r="A130" s="83" t="s">
        <v>28</v>
      </c>
      <c r="B130" s="321"/>
      <c r="C130" s="322"/>
      <c r="D130" s="323"/>
      <c r="E130" s="10"/>
      <c r="F130" s="324">
        <f>(F127+F128)*0.29</f>
        <v>63671.634779761902</v>
      </c>
      <c r="G130" s="10"/>
      <c r="H130" s="9"/>
    </row>
    <row r="131" spans="1:8">
      <c r="A131" s="283"/>
      <c r="B131" s="117"/>
      <c r="C131" s="284"/>
      <c r="D131" s="285"/>
      <c r="E131" s="63"/>
    </row>
    <row r="132" spans="1:8">
      <c r="A132" s="283"/>
      <c r="B132" s="117"/>
      <c r="C132" s="284"/>
      <c r="D132" s="285"/>
      <c r="E132" s="63"/>
    </row>
    <row r="133" spans="1:8">
      <c r="A133" s="283"/>
      <c r="B133" s="117"/>
      <c r="C133" s="284"/>
      <c r="D133" s="285"/>
      <c r="E133" s="63"/>
    </row>
    <row r="134" spans="1:8">
      <c r="A134" s="315" t="s">
        <v>116</v>
      </c>
      <c r="B134" s="69"/>
      <c r="C134" s="70"/>
      <c r="D134" s="70"/>
      <c r="E134" s="314"/>
      <c r="F134" s="4"/>
      <c r="G134" s="4"/>
      <c r="H134" s="316"/>
    </row>
    <row r="135" spans="1:8" ht="15">
      <c r="A135" s="6"/>
      <c r="B135" s="289"/>
      <c r="C135" s="289"/>
      <c r="D135" s="289"/>
      <c r="E135" s="289"/>
      <c r="F135" s="289"/>
      <c r="G135" s="289"/>
      <c r="H135" s="290"/>
    </row>
    <row r="136" spans="1:8">
      <c r="A136" s="6"/>
      <c r="B136" s="352"/>
      <c r="C136" s="352"/>
      <c r="D136" s="352"/>
      <c r="F136" s="352"/>
      <c r="G136" s="352"/>
      <c r="H136" s="353"/>
    </row>
    <row r="137" spans="1:8" ht="15">
      <c r="A137" s="6"/>
      <c r="B137" t="s">
        <v>125</v>
      </c>
      <c r="C137" t="s">
        <v>126</v>
      </c>
      <c r="D137" t="s">
        <v>127</v>
      </c>
      <c r="E137" t="s">
        <v>128</v>
      </c>
      <c r="F137" t="s">
        <v>129</v>
      </c>
      <c r="G137" s="317" t="s">
        <v>130</v>
      </c>
      <c r="H137" s="291" t="s">
        <v>131</v>
      </c>
    </row>
    <row r="138" spans="1:8" ht="15">
      <c r="A138" s="292" t="s">
        <v>31</v>
      </c>
      <c r="B138" s="294">
        <v>268968.01</v>
      </c>
      <c r="C138" s="294">
        <v>288390.24</v>
      </c>
      <c r="D138" s="293">
        <v>154345.41</v>
      </c>
      <c r="E138" s="293">
        <v>13412.75</v>
      </c>
      <c r="F138" s="325">
        <v>229529.76</v>
      </c>
      <c r="G138" s="294">
        <v>274156.28999999998</v>
      </c>
      <c r="H138" s="295">
        <v>267092.21000000002</v>
      </c>
    </row>
    <row r="139" spans="1:8" ht="15">
      <c r="A139" s="292" t="s">
        <v>30</v>
      </c>
      <c r="B139" s="294">
        <v>67812.91</v>
      </c>
      <c r="C139" s="294">
        <v>64354.51</v>
      </c>
      <c r="D139" s="293">
        <v>40616.39</v>
      </c>
      <c r="E139" s="293">
        <v>14950.76</v>
      </c>
      <c r="F139" s="325">
        <v>74301.16</v>
      </c>
      <c r="G139" s="294">
        <v>85619.44</v>
      </c>
      <c r="H139" s="295">
        <v>74393.95</v>
      </c>
    </row>
    <row r="140" spans="1:8" ht="15">
      <c r="A140" s="292" t="s">
        <v>28</v>
      </c>
      <c r="B140" s="294">
        <v>102162.56</v>
      </c>
      <c r="C140" s="294">
        <v>97023.8</v>
      </c>
      <c r="D140" s="293">
        <v>87771.29</v>
      </c>
      <c r="E140" s="293">
        <v>18740.91</v>
      </c>
      <c r="F140" s="325">
        <v>135347.70000000001</v>
      </c>
      <c r="G140" s="294">
        <v>89284.14</v>
      </c>
      <c r="H140" s="295">
        <v>88862.54</v>
      </c>
    </row>
    <row r="141" spans="1:8" ht="15">
      <c r="A141" s="292" t="s">
        <v>5</v>
      </c>
      <c r="B141" s="294">
        <v>6248.2</v>
      </c>
      <c r="C141" s="294">
        <v>7823.13</v>
      </c>
      <c r="D141" s="293">
        <v>4541.8500000000004</v>
      </c>
      <c r="E141" s="293">
        <v>10625.36</v>
      </c>
      <c r="F141" s="325">
        <v>11684.3</v>
      </c>
      <c r="G141" s="294">
        <v>7724.39</v>
      </c>
      <c r="H141" s="295">
        <v>6820.85</v>
      </c>
    </row>
    <row r="142" spans="1:8" ht="15">
      <c r="A142" s="296" t="s">
        <v>132</v>
      </c>
      <c r="B142" s="317">
        <v>35640</v>
      </c>
      <c r="C142" s="317">
        <v>61311</v>
      </c>
      <c r="D142">
        <v>50554</v>
      </c>
      <c r="E142"/>
      <c r="F142">
        <v>65416</v>
      </c>
      <c r="G142">
        <v>62538</v>
      </c>
      <c r="H142" s="318">
        <v>37211</v>
      </c>
    </row>
    <row r="143" spans="1:8" ht="15">
      <c r="A143" s="296" t="s">
        <v>133</v>
      </c>
      <c r="B143" s="298">
        <f>B140/(B138+B139-B142+B141)</f>
        <v>0.3323558101210608</v>
      </c>
      <c r="C143" s="298">
        <f t="shared" ref="C143:H143" si="22">C140/(C138+C139-C142+C141)</f>
        <v>0.3242157707451872</v>
      </c>
      <c r="D143" s="298">
        <f t="shared" si="22"/>
        <v>0.58926818559157401</v>
      </c>
      <c r="E143" s="298">
        <f t="shared" si="22"/>
        <v>0.48067333061973838</v>
      </c>
      <c r="F143" s="298">
        <f t="shared" si="22"/>
        <v>0.54117601806195159</v>
      </c>
      <c r="G143" s="298">
        <f t="shared" si="22"/>
        <v>0.29277124647480807</v>
      </c>
      <c r="H143" s="299">
        <f t="shared" si="22"/>
        <v>0.28564345778655276</v>
      </c>
    </row>
    <row r="145" spans="1:10">
      <c r="A145" s="6"/>
      <c r="B145" s="43"/>
      <c r="C145" s="301"/>
      <c r="D145" s="15" t="s">
        <v>134</v>
      </c>
      <c r="E145" s="63"/>
      <c r="F145" s="43" t="s">
        <v>135</v>
      </c>
      <c r="G145" s="301"/>
      <c r="H145" s="302"/>
      <c r="J145" s="283"/>
    </row>
    <row r="146" spans="1:10" ht="15">
      <c r="A146" s="292" t="s">
        <v>136</v>
      </c>
      <c r="B146" s="303">
        <v>46</v>
      </c>
      <c r="C146" s="29"/>
      <c r="D146" s="26">
        <f>(AVERAGE((B138-B142),(C138-C142),(G138-G142),(H138-H142)))/B146</f>
        <v>4901.667119565217</v>
      </c>
      <c r="E146" s="63"/>
      <c r="F146" s="304">
        <f>D146*B146</f>
        <v>225476.68749999997</v>
      </c>
      <c r="G146" s="29"/>
      <c r="H146" s="326"/>
      <c r="J146" s="283"/>
    </row>
    <row r="147" spans="1:10" ht="15">
      <c r="A147" s="292" t="s">
        <v>137</v>
      </c>
      <c r="B147" s="303">
        <v>16</v>
      </c>
      <c r="C147" s="78"/>
      <c r="D147" s="26">
        <f>AVERAGE($G$99:$H$99,B139:C139)/B147</f>
        <v>4130.2318750000004</v>
      </c>
      <c r="E147" s="63"/>
      <c r="F147" s="304">
        <f>D147*B147</f>
        <v>66083.710000000006</v>
      </c>
      <c r="G147" s="305"/>
      <c r="H147" s="12"/>
      <c r="J147" s="283"/>
    </row>
    <row r="148" spans="1:10">
      <c r="A148" s="76"/>
      <c r="B148" s="117"/>
      <c r="C148" s="284"/>
      <c r="D148" s="306"/>
      <c r="E148" s="63"/>
      <c r="F148" s="307"/>
      <c r="G148" s="319"/>
      <c r="H148" s="308"/>
      <c r="J148" s="283"/>
    </row>
    <row r="149" spans="1:10">
      <c r="A149" s="309" t="s">
        <v>138</v>
      </c>
      <c r="B149" s="117">
        <v>6</v>
      </c>
      <c r="C149" s="284"/>
      <c r="D149" s="26">
        <f>D146</f>
        <v>4901.667119565217</v>
      </c>
      <c r="E149" s="63"/>
      <c r="F149" s="304">
        <f>D149*B149</f>
        <v>29410.002717391304</v>
      </c>
      <c r="G149" s="91"/>
      <c r="H149" s="308"/>
      <c r="J149" s="283"/>
    </row>
    <row r="150" spans="1:10">
      <c r="A150" s="309" t="s">
        <v>139</v>
      </c>
      <c r="B150" s="117">
        <v>6</v>
      </c>
      <c r="C150" s="284"/>
      <c r="D150" s="26">
        <f>D147</f>
        <v>4130.2318750000004</v>
      </c>
      <c r="E150" s="63"/>
      <c r="F150" s="304">
        <f>D150*B150</f>
        <v>24781.391250000001</v>
      </c>
      <c r="G150" s="319"/>
      <c r="H150" s="310"/>
      <c r="J150" s="283"/>
    </row>
    <row r="151" spans="1:10">
      <c r="A151" s="6"/>
      <c r="B151" s="320"/>
      <c r="F151" s="311"/>
      <c r="H151" s="12"/>
      <c r="J151" s="283"/>
    </row>
    <row r="152" spans="1:10">
      <c r="A152" s="6" t="s">
        <v>140</v>
      </c>
      <c r="B152" s="43">
        <f>B146+B149</f>
        <v>52</v>
      </c>
      <c r="C152" s="29"/>
      <c r="D152" s="26">
        <f>D146</f>
        <v>4901.667119565217</v>
      </c>
      <c r="F152" s="312">
        <f>D152*B152</f>
        <v>254886.6902173913</v>
      </c>
      <c r="H152" s="12"/>
      <c r="J152" s="283"/>
    </row>
    <row r="153" spans="1:10">
      <c r="A153" s="6" t="s">
        <v>141</v>
      </c>
      <c r="B153" s="43">
        <f>B147+B150</f>
        <v>22</v>
      </c>
      <c r="C153" s="78"/>
      <c r="D153" s="26">
        <f>D146</f>
        <v>4901.667119565217</v>
      </c>
      <c r="F153" s="312">
        <f>D153*B153</f>
        <v>107836.67663043477</v>
      </c>
      <c r="H153" s="12"/>
      <c r="J153" s="283"/>
    </row>
    <row r="154" spans="1:10">
      <c r="A154" s="76" t="s">
        <v>5</v>
      </c>
      <c r="B154" s="43"/>
      <c r="C154" s="29"/>
      <c r="D154" s="77"/>
      <c r="F154" s="313">
        <v>7154</v>
      </c>
      <c r="H154" s="12"/>
      <c r="J154" s="283"/>
    </row>
    <row r="155" spans="1:10" ht="15">
      <c r="A155" s="83" t="s">
        <v>28</v>
      </c>
      <c r="B155" s="321"/>
      <c r="C155" s="322"/>
      <c r="D155" s="323"/>
      <c r="E155" s="10"/>
      <c r="F155" s="324">
        <f>(F152+F153+F154)*0.3</f>
        <v>110963.21005434782</v>
      </c>
      <c r="G155" s="10"/>
      <c r="H155" s="9"/>
      <c r="J155" s="283"/>
    </row>
    <row r="156" spans="1:10">
      <c r="A156" s="283"/>
      <c r="B156" s="117"/>
      <c r="C156" s="284"/>
      <c r="D156" s="285"/>
      <c r="E156" s="63"/>
      <c r="J156" s="283"/>
    </row>
    <row r="157" spans="1:10" ht="12.75" customHeight="1">
      <c r="J157" s="57"/>
    </row>
    <row r="158" spans="1:10" ht="15">
      <c r="A158" s="55" t="s">
        <v>26</v>
      </c>
      <c r="B158" s="183"/>
      <c r="C158" s="183"/>
      <c r="D158" s="132">
        <v>4.5</v>
      </c>
      <c r="E158" s="183"/>
      <c r="F158" s="183"/>
      <c r="G158" s="245"/>
      <c r="H158" s="183"/>
      <c r="I158" s="4"/>
      <c r="J158" s="131"/>
    </row>
    <row r="159" spans="1:10" ht="15">
      <c r="A159" s="6"/>
      <c r="B159" s="374" t="s">
        <v>25</v>
      </c>
      <c r="C159" s="375"/>
      <c r="D159" s="132">
        <v>4.5</v>
      </c>
      <c r="E159" s="374" t="s">
        <v>24</v>
      </c>
      <c r="F159" s="375"/>
      <c r="G159" s="132">
        <f>762256/10182780</f>
        <v>7.4857357224647883E-2</v>
      </c>
      <c r="H159" s="376" t="s">
        <v>86</v>
      </c>
      <c r="I159" s="377"/>
      <c r="J159" s="244">
        <f>30000*365</f>
        <v>10950000</v>
      </c>
    </row>
    <row r="160" spans="1:10">
      <c r="A160" s="6"/>
      <c r="B160" s="5"/>
      <c r="C160" s="5"/>
      <c r="D160" s="5"/>
      <c r="E160" s="5"/>
      <c r="F160" s="5"/>
      <c r="G160" s="5"/>
      <c r="H160" s="378" t="s">
        <v>87</v>
      </c>
      <c r="I160" s="379"/>
      <c r="J160" s="135">
        <f>ROUND(J159/B49/1000,3)</f>
        <v>0.68899999999999995</v>
      </c>
    </row>
    <row r="161" spans="1:10" ht="15" customHeight="1">
      <c r="A161" s="6"/>
      <c r="B161" s="380" t="s">
        <v>95</v>
      </c>
      <c r="C161" s="381"/>
      <c r="D161" s="382"/>
      <c r="E161" s="380" t="s">
        <v>96</v>
      </c>
      <c r="F161" s="381"/>
      <c r="G161" s="382"/>
      <c r="H161" s="380" t="s">
        <v>97</v>
      </c>
      <c r="I161" s="381"/>
      <c r="J161" s="382"/>
    </row>
    <row r="162" spans="1:10" ht="25.5">
      <c r="A162" s="6"/>
      <c r="B162" s="133" t="s">
        <v>79</v>
      </c>
      <c r="C162" s="61" t="s">
        <v>80</v>
      </c>
      <c r="D162" s="22" t="s">
        <v>81</v>
      </c>
      <c r="E162" s="133" t="s">
        <v>79</v>
      </c>
      <c r="F162" s="61" t="s">
        <v>80</v>
      </c>
      <c r="G162" s="22" t="s">
        <v>81</v>
      </c>
      <c r="H162" s="133" t="s">
        <v>79</v>
      </c>
      <c r="I162" s="61" t="s">
        <v>80</v>
      </c>
      <c r="J162" s="22" t="s">
        <v>81</v>
      </c>
    </row>
    <row r="163" spans="1:10" ht="15">
      <c r="A163" s="6" t="s">
        <v>23</v>
      </c>
      <c r="B163" s="275">
        <v>0.11509999999999999</v>
      </c>
      <c r="C163" s="282">
        <v>8.7999999999999995E-2</v>
      </c>
      <c r="D163" s="90">
        <f>B163*C163</f>
        <v>1.0128799999999999E-2</v>
      </c>
      <c r="E163" s="243">
        <v>0.26500000000000001</v>
      </c>
      <c r="F163" s="60">
        <f>G159</f>
        <v>7.4857357224647883E-2</v>
      </c>
      <c r="G163" s="90">
        <f>E163*F163</f>
        <v>1.983719966453169E-2</v>
      </c>
      <c r="H163" s="243">
        <v>0.26500000000000001</v>
      </c>
      <c r="I163" s="60">
        <f>$G$159</f>
        <v>7.4857357224647883E-2</v>
      </c>
      <c r="J163" s="90">
        <f>H163*I163</f>
        <v>1.983719966453169E-2</v>
      </c>
    </row>
    <row r="164" spans="1:10" ht="16.5">
      <c r="A164" s="6" t="s">
        <v>22</v>
      </c>
      <c r="B164" s="275">
        <v>6.4999999999999997E-3</v>
      </c>
      <c r="C164" s="276">
        <v>4</v>
      </c>
      <c r="D164" s="51">
        <f>B164*C164</f>
        <v>2.5999999999999999E-2</v>
      </c>
      <c r="E164" s="243">
        <v>3.8E-3</v>
      </c>
      <c r="F164" s="29">
        <f>$D$159</f>
        <v>4.5</v>
      </c>
      <c r="G164" s="51">
        <f>E164*F164</f>
        <v>1.7100000000000001E-2</v>
      </c>
      <c r="H164" s="243">
        <v>3.8E-3</v>
      </c>
      <c r="I164" s="29">
        <f>$D$159</f>
        <v>4.5</v>
      </c>
      <c r="J164" s="51">
        <f>H164*I164</f>
        <v>1.7100000000000001E-2</v>
      </c>
    </row>
    <row r="165" spans="1:10" ht="15">
      <c r="A165" s="6" t="s">
        <v>21</v>
      </c>
      <c r="B165" s="6"/>
      <c r="C165" s="5"/>
      <c r="D165" s="227">
        <f>SUM(D163:D164)</f>
        <v>3.6128799999999996E-2</v>
      </c>
      <c r="E165" s="6"/>
      <c r="F165" s="5"/>
      <c r="G165" s="227">
        <f>SUM(G163:G164)</f>
        <v>3.6937199664531691E-2</v>
      </c>
      <c r="H165" s="6"/>
      <c r="I165" s="5"/>
      <c r="J165" s="227">
        <f>SUM(J163:J164)</f>
        <v>3.6937199664531691E-2</v>
      </c>
    </row>
    <row r="166" spans="1:10">
      <c r="A166" s="16"/>
      <c r="B166" s="16"/>
      <c r="D166" s="12"/>
      <c r="E166" s="16"/>
      <c r="G166" s="12"/>
      <c r="H166" s="16"/>
      <c r="J166" s="12"/>
    </row>
    <row r="167" spans="1:10" ht="15" customHeight="1">
      <c r="A167" s="6"/>
      <c r="B167" s="383" t="s">
        <v>92</v>
      </c>
      <c r="C167" s="384"/>
      <c r="D167" s="385"/>
      <c r="E167" s="383" t="s">
        <v>90</v>
      </c>
      <c r="F167" s="384"/>
      <c r="G167" s="385"/>
      <c r="H167" s="383" t="s">
        <v>92</v>
      </c>
      <c r="I167" s="384"/>
      <c r="J167" s="385"/>
    </row>
    <row r="168" spans="1:10" ht="25.5">
      <c r="A168" s="6"/>
      <c r="B168" s="133" t="s">
        <v>79</v>
      </c>
      <c r="C168" s="61" t="s">
        <v>80</v>
      </c>
      <c r="D168" s="22" t="s">
        <v>81</v>
      </c>
      <c r="E168" s="133" t="s">
        <v>79</v>
      </c>
      <c r="F168" s="61" t="s">
        <v>80</v>
      </c>
      <c r="G168" s="22" t="s">
        <v>81</v>
      </c>
      <c r="H168" s="133" t="s">
        <v>79</v>
      </c>
      <c r="I168" s="61" t="s">
        <v>80</v>
      </c>
      <c r="J168" s="22" t="s">
        <v>81</v>
      </c>
    </row>
    <row r="169" spans="1:10" ht="15">
      <c r="A169" s="6" t="s">
        <v>23</v>
      </c>
      <c r="B169" s="275"/>
      <c r="C169" s="282"/>
      <c r="D169" s="90">
        <f>B169*C169</f>
        <v>0</v>
      </c>
      <c r="E169" s="275">
        <v>0.5867</v>
      </c>
      <c r="F169" s="60">
        <f>G159</f>
        <v>7.4857357224647883E-2</v>
      </c>
      <c r="G169" s="90">
        <f>E169*F169</f>
        <v>4.3918811483700915E-2</v>
      </c>
      <c r="H169" s="243">
        <v>0</v>
      </c>
      <c r="I169" s="60">
        <f>$G$159</f>
        <v>7.4857357224647883E-2</v>
      </c>
      <c r="J169" s="90">
        <f>H169*I169</f>
        <v>0</v>
      </c>
    </row>
    <row r="170" spans="1:10" ht="16.5">
      <c r="A170" s="6" t="s">
        <v>22</v>
      </c>
      <c r="B170" s="275"/>
      <c r="C170" s="276"/>
      <c r="D170" s="51">
        <f>B170*C170</f>
        <v>0</v>
      </c>
      <c r="E170" s="275">
        <v>6.4999999999999997E-3</v>
      </c>
      <c r="F170" s="276">
        <v>4</v>
      </c>
      <c r="G170" s="51">
        <f>E170*F170</f>
        <v>2.5999999999999999E-2</v>
      </c>
      <c r="H170" s="243">
        <v>0</v>
      </c>
      <c r="I170" s="29">
        <f>$D$159</f>
        <v>4.5</v>
      </c>
      <c r="J170" s="51">
        <f>H170*I170</f>
        <v>0</v>
      </c>
    </row>
    <row r="171" spans="1:10" ht="15">
      <c r="A171" s="25" t="s">
        <v>21</v>
      </c>
      <c r="B171" s="25"/>
      <c r="C171" s="53"/>
      <c r="D171" s="134">
        <f>SUM(D169:D170)</f>
        <v>0</v>
      </c>
      <c r="E171" s="25"/>
      <c r="F171" s="53"/>
      <c r="G171" s="134">
        <f>SUM(G169:G170)</f>
        <v>6.991881148370091E-2</v>
      </c>
      <c r="H171" s="25"/>
      <c r="I171" s="53"/>
      <c r="J171" s="134">
        <f>SUM(J169:J170)</f>
        <v>0</v>
      </c>
    </row>
    <row r="172" spans="1:10">
      <c r="J172" s="58"/>
    </row>
    <row r="173" spans="1:10">
      <c r="J173" s="58"/>
    </row>
    <row r="174" spans="1:10">
      <c r="A174" s="356" t="s">
        <v>19</v>
      </c>
      <c r="B174" s="357"/>
      <c r="C174" s="357"/>
      <c r="D174" s="357"/>
      <c r="E174" s="357"/>
      <c r="F174" s="357"/>
      <c r="G174" s="357"/>
      <c r="H174" s="358"/>
      <c r="J174" s="58"/>
    </row>
    <row r="175" spans="1:10" ht="25.5">
      <c r="A175" s="6" t="s">
        <v>18</v>
      </c>
      <c r="B175" s="98">
        <v>256000000</v>
      </c>
      <c r="C175" s="5"/>
      <c r="D175" s="5"/>
      <c r="E175" s="5"/>
      <c r="F175" s="5"/>
      <c r="G175" s="23" t="s">
        <v>17</v>
      </c>
      <c r="H175" s="22" t="s">
        <v>57</v>
      </c>
      <c r="J175" s="58"/>
    </row>
    <row r="176" spans="1:10">
      <c r="A176" s="6" t="s">
        <v>16</v>
      </c>
      <c r="B176" s="21">
        <f>G177/B175</f>
        <v>5.7421874999999997E-4</v>
      </c>
      <c r="C176" s="5"/>
      <c r="D176" s="5"/>
      <c r="E176" s="5"/>
      <c r="F176" s="5"/>
      <c r="G176" s="5" t="s">
        <v>142</v>
      </c>
      <c r="H176" s="5" t="s">
        <v>142</v>
      </c>
      <c r="I176" s="1" t="s">
        <v>95</v>
      </c>
      <c r="J176" s="1" t="s">
        <v>95</v>
      </c>
    </row>
    <row r="177" spans="1:10" ht="16.5">
      <c r="A177" s="6" t="s">
        <v>15</v>
      </c>
      <c r="B177" s="5"/>
      <c r="C177" s="5"/>
      <c r="D177" s="5"/>
      <c r="E177" s="5"/>
      <c r="F177" s="5"/>
      <c r="G177" s="277">
        <v>147000</v>
      </c>
      <c r="H177" s="20">
        <f>G177/(E$47*1000)</f>
        <v>0.03</v>
      </c>
      <c r="I177" s="277">
        <v>353000</v>
      </c>
      <c r="J177" s="20">
        <f>I177/B24/1000</f>
        <v>3.2090909090909094E-2</v>
      </c>
    </row>
    <row r="178" spans="1:10">
      <c r="A178" s="16"/>
      <c r="H178" s="12"/>
      <c r="J178" s="12"/>
    </row>
    <row r="179" spans="1:10">
      <c r="A179" s="16"/>
      <c r="F179" s="2"/>
      <c r="G179" s="63"/>
      <c r="H179" s="12"/>
      <c r="I179" s="63"/>
      <c r="J179" s="12"/>
    </row>
    <row r="180" spans="1:10">
      <c r="A180" s="373" t="s">
        <v>51</v>
      </c>
      <c r="B180" s="365"/>
      <c r="C180" s="5"/>
      <c r="D180" s="5"/>
      <c r="E180" s="5"/>
      <c r="F180" s="5"/>
      <c r="G180" s="5" t="s">
        <v>142</v>
      </c>
      <c r="H180" s="5" t="s">
        <v>142</v>
      </c>
      <c r="I180" s="5"/>
      <c r="J180" s="5"/>
    </row>
    <row r="181" spans="1:10" ht="16.5">
      <c r="A181" s="6" t="s">
        <v>14</v>
      </c>
      <c r="B181" s="5"/>
      <c r="C181" s="5"/>
      <c r="D181" s="5"/>
      <c r="E181" s="5"/>
      <c r="F181" s="5"/>
      <c r="G181" s="102">
        <v>27000</v>
      </c>
      <c r="H181" s="20">
        <f>G181/(E$47*1000)</f>
        <v>5.5102040816326532E-3</v>
      </c>
      <c r="I181" s="102">
        <v>75000</v>
      </c>
      <c r="J181" s="20">
        <f>I181/B24/1000</f>
        <v>6.8181818181818187E-3</v>
      </c>
    </row>
    <row r="182" spans="1:10">
      <c r="A182" s="6"/>
      <c r="B182" s="5"/>
      <c r="C182" s="5"/>
      <c r="D182" s="5"/>
      <c r="E182" s="5"/>
      <c r="F182" s="5"/>
      <c r="G182" s="5"/>
      <c r="H182" s="8"/>
      <c r="I182" s="5"/>
      <c r="J182" s="8"/>
    </row>
    <row r="183" spans="1:10">
      <c r="A183" s="373" t="s">
        <v>13</v>
      </c>
      <c r="B183" s="365"/>
      <c r="C183" s="5"/>
      <c r="D183" s="5"/>
      <c r="E183" s="5"/>
      <c r="F183" s="5"/>
      <c r="G183" s="5" t="s">
        <v>142</v>
      </c>
      <c r="H183" s="5" t="s">
        <v>142</v>
      </c>
      <c r="I183" s="5"/>
      <c r="J183" s="5"/>
    </row>
    <row r="184" spans="1:10" ht="16.5">
      <c r="A184" s="6" t="s">
        <v>12</v>
      </c>
      <c r="B184" s="5"/>
      <c r="C184" s="5"/>
      <c r="D184" s="5"/>
      <c r="E184" s="5"/>
      <c r="F184" s="5"/>
      <c r="G184" s="277">
        <v>55000</v>
      </c>
      <c r="H184" s="20">
        <f>G184/(E$47*1000)</f>
        <v>1.1224489795918367E-2</v>
      </c>
      <c r="I184" s="277">
        <v>57000</v>
      </c>
      <c r="J184" s="20">
        <f>I184/B24/1000</f>
        <v>5.1818181818181815E-3</v>
      </c>
    </row>
    <row r="185" spans="1:10">
      <c r="A185" s="11"/>
      <c r="B185" s="10"/>
      <c r="C185" s="19"/>
      <c r="D185" s="10"/>
      <c r="E185" s="10"/>
      <c r="F185" s="10"/>
      <c r="G185" s="10"/>
      <c r="H185" s="9"/>
      <c r="J185" s="58"/>
    </row>
    <row r="186" spans="1:10">
      <c r="C186" s="18"/>
      <c r="J186" s="58"/>
    </row>
    <row r="187" spans="1:10">
      <c r="J187" s="58"/>
    </row>
    <row r="188" spans="1:10">
      <c r="A188" s="55" t="s">
        <v>11</v>
      </c>
      <c r="B188" s="386" t="s">
        <v>10</v>
      </c>
      <c r="C188" s="386"/>
      <c r="D188" s="386"/>
      <c r="E188" s="386"/>
      <c r="F188" s="386"/>
      <c r="G188" s="386"/>
      <c r="H188" s="387"/>
      <c r="J188" s="58"/>
    </row>
    <row r="189" spans="1:10">
      <c r="A189" s="16"/>
      <c r="H189" s="12"/>
      <c r="J189" s="58"/>
    </row>
    <row r="190" spans="1:10">
      <c r="A190" s="16"/>
      <c r="B190" s="365" t="s">
        <v>9</v>
      </c>
      <c r="C190" s="365"/>
      <c r="D190" s="15">
        <f>B49</f>
        <v>15900</v>
      </c>
      <c r="E190" s="5"/>
      <c r="F190" s="365" t="s">
        <v>8</v>
      </c>
      <c r="G190" s="365"/>
      <c r="H190" s="17">
        <f>D190/D191</f>
        <v>1.5900000000000001E-2</v>
      </c>
      <c r="J190" s="58"/>
    </row>
    <row r="191" spans="1:10">
      <c r="A191" s="16"/>
      <c r="B191" s="365" t="s">
        <v>7</v>
      </c>
      <c r="C191" s="365"/>
      <c r="D191" s="15">
        <v>1000000</v>
      </c>
      <c r="E191" s="5"/>
      <c r="F191" s="5"/>
      <c r="G191" s="5"/>
      <c r="H191" s="14"/>
      <c r="J191" s="58"/>
    </row>
    <row r="193" spans="1:12" ht="33" customHeight="1">
      <c r="A193" s="6"/>
      <c r="B193" s="61" t="s">
        <v>82</v>
      </c>
      <c r="C193" s="61" t="s">
        <v>6</v>
      </c>
      <c r="D193" s="61" t="s">
        <v>75</v>
      </c>
      <c r="E193" s="193" t="s">
        <v>76</v>
      </c>
      <c r="F193" s="61" t="s">
        <v>63</v>
      </c>
      <c r="G193" s="61" t="s">
        <v>77</v>
      </c>
      <c r="H193" s="97" t="s">
        <v>78</v>
      </c>
      <c r="J193" s="58"/>
      <c r="K193" s="58"/>
      <c r="L193" s="58"/>
    </row>
    <row r="194" spans="1:12" ht="15">
      <c r="A194" s="6" t="s">
        <v>5</v>
      </c>
      <c r="B194" s="3">
        <f>C194/12</f>
        <v>0</v>
      </c>
      <c r="C194" s="250">
        <v>0</v>
      </c>
      <c r="D194" s="98">
        <f>ROUND($C$202/($C$202+$C$203)*12,0)*$B194</f>
        <v>0</v>
      </c>
      <c r="E194" s="194">
        <f>ROUND($C$203/($C$202+$C$203)*12,0)*$B194</f>
        <v>0</v>
      </c>
      <c r="F194" s="89">
        <f>$D194/$D$190/1000</f>
        <v>0</v>
      </c>
      <c r="G194" s="89">
        <f>$E194/$D$190/1000</f>
        <v>0</v>
      </c>
      <c r="H194" s="99">
        <f>SUM(F194:G194)</f>
        <v>0</v>
      </c>
      <c r="J194" s="58"/>
      <c r="K194" s="58"/>
      <c r="L194" s="58"/>
    </row>
    <row r="195" spans="1:12" ht="15">
      <c r="A195" s="6" t="s">
        <v>4</v>
      </c>
      <c r="B195" s="98">
        <f>C195/12</f>
        <v>95700</v>
      </c>
      <c r="C195" s="236">
        <f>+(95700*12)</f>
        <v>1148400</v>
      </c>
      <c r="D195" s="98">
        <f>ROUND($C$202/($C$202+$C$203)*12,0)*$B195</f>
        <v>1148400</v>
      </c>
      <c r="E195" s="194">
        <f>ROUND($C$203/($C$202+$C$203)*12,0)*$B195</f>
        <v>0</v>
      </c>
      <c r="F195" s="100">
        <f>$D195/D$190/1000</f>
        <v>7.2226415094339635E-2</v>
      </c>
      <c r="G195" s="100">
        <f>$E195/$D$190/1000</f>
        <v>0</v>
      </c>
      <c r="H195" s="94">
        <f t="shared" ref="H195:H196" si="23">SUM(F195:G195)</f>
        <v>7.2226415094339635E-2</v>
      </c>
      <c r="J195" s="58"/>
      <c r="K195" s="58"/>
      <c r="L195" s="58"/>
    </row>
    <row r="196" spans="1:12" ht="16.5">
      <c r="A196" s="6" t="s">
        <v>3</v>
      </c>
      <c r="B196" s="98">
        <f>C196/12</f>
        <v>22812.25</v>
      </c>
      <c r="C196" s="236">
        <f>(273747/12*12)</f>
        <v>273747</v>
      </c>
      <c r="D196" s="98">
        <f>ROUND($C$202/($C$202+$C$203)*12,0)*$B196</f>
        <v>273747</v>
      </c>
      <c r="E196" s="194">
        <f>ROUND($C$203/($C$202+$C$203)*12,0)*$B196</f>
        <v>0</v>
      </c>
      <c r="F196" s="88">
        <f>$D196/D$190/1000</f>
        <v>1.7216792452830188E-2</v>
      </c>
      <c r="G196" s="88">
        <f>$E196/$D$190/1000</f>
        <v>0</v>
      </c>
      <c r="H196" s="95">
        <f t="shared" si="23"/>
        <v>1.7216792452830188E-2</v>
      </c>
      <c r="J196" s="58"/>
      <c r="K196" s="58"/>
      <c r="L196" s="58"/>
    </row>
    <row r="197" spans="1:12">
      <c r="A197" s="6" t="s">
        <v>2</v>
      </c>
      <c r="F197" s="89">
        <f>SUM(F194:F196)</f>
        <v>8.944320754716982E-2</v>
      </c>
      <c r="G197" s="89">
        <f>SUM(G194:G196)</f>
        <v>0</v>
      </c>
      <c r="H197" s="99">
        <f>SUM(H194:H196)</f>
        <v>8.944320754716982E-2</v>
      </c>
      <c r="J197" s="58"/>
      <c r="K197" s="58"/>
      <c r="L197" s="58"/>
    </row>
    <row r="198" spans="1:12">
      <c r="A198" s="11"/>
      <c r="B198" s="10"/>
      <c r="C198" s="10"/>
      <c r="D198" s="10"/>
      <c r="E198" s="10"/>
      <c r="F198" s="10"/>
      <c r="G198" s="10"/>
      <c r="H198" s="9"/>
      <c r="J198" s="58"/>
      <c r="K198" s="58"/>
      <c r="L198" s="58"/>
    </row>
    <row r="199" spans="1:12">
      <c r="J199" s="58"/>
      <c r="K199" s="58"/>
      <c r="L199" s="58"/>
    </row>
    <row r="200" spans="1:12">
      <c r="J200" s="58"/>
      <c r="K200" s="58"/>
      <c r="L200" s="58"/>
    </row>
    <row r="201" spans="1:12">
      <c r="A201" s="356" t="s">
        <v>117</v>
      </c>
      <c r="B201" s="357"/>
      <c r="C201" s="357"/>
      <c r="D201" s="357"/>
      <c r="E201" s="357"/>
      <c r="F201" s="357"/>
      <c r="G201" s="357"/>
      <c r="H201" s="358"/>
      <c r="J201" s="58"/>
      <c r="K201" s="58"/>
      <c r="L201" s="58"/>
    </row>
    <row r="202" spans="1:12" ht="15">
      <c r="A202" s="6"/>
      <c r="B202" s="5" t="s">
        <v>73</v>
      </c>
      <c r="C202" s="104">
        <v>52</v>
      </c>
      <c r="D202" s="43" t="s">
        <v>110</v>
      </c>
      <c r="E202" s="237">
        <v>0.04</v>
      </c>
      <c r="F202" s="5" t="s">
        <v>83</v>
      </c>
      <c r="G202" s="5"/>
      <c r="H202" s="8"/>
      <c r="J202" s="58"/>
      <c r="K202" s="58"/>
      <c r="L202" s="58"/>
    </row>
    <row r="203" spans="1:12" ht="15">
      <c r="A203" s="6"/>
      <c r="B203" s="5" t="s">
        <v>72</v>
      </c>
      <c r="C203" s="104">
        <v>0</v>
      </c>
      <c r="E203" s="5"/>
      <c r="F203" s="5" t="s">
        <v>84</v>
      </c>
      <c r="G203" s="5"/>
      <c r="H203" s="8"/>
      <c r="J203" s="58"/>
      <c r="K203" s="58"/>
      <c r="L203" s="58"/>
    </row>
    <row r="204" spans="1:12" ht="15">
      <c r="A204" s="6"/>
      <c r="B204" s="5" t="s">
        <v>74</v>
      </c>
      <c r="C204" s="104">
        <v>40</v>
      </c>
      <c r="E204" s="5"/>
      <c r="F204" s="5" t="s">
        <v>0</v>
      </c>
      <c r="G204" s="5"/>
      <c r="H204" s="8"/>
      <c r="J204" s="58"/>
      <c r="K204" s="58"/>
      <c r="L204" s="58"/>
    </row>
    <row r="205" spans="1:12" ht="15">
      <c r="A205" s="6"/>
      <c r="B205" s="5" t="s">
        <v>1</v>
      </c>
      <c r="C205" s="105">
        <v>1.5</v>
      </c>
      <c r="E205" s="5"/>
      <c r="G205" s="5"/>
      <c r="H205" s="7"/>
      <c r="J205" s="58"/>
      <c r="K205" s="58"/>
      <c r="L205" s="58"/>
    </row>
    <row r="206" spans="1:12" ht="15">
      <c r="A206" s="25"/>
      <c r="B206" s="79" t="s">
        <v>52</v>
      </c>
      <c r="C206" s="237">
        <v>0.3</v>
      </c>
      <c r="D206" s="10"/>
      <c r="E206" s="53"/>
      <c r="F206" s="53"/>
      <c r="G206" s="53"/>
      <c r="H206" s="65"/>
      <c r="J206" s="58"/>
      <c r="K206" s="58"/>
      <c r="L206" s="58"/>
    </row>
    <row r="207" spans="1:12">
      <c r="B207" s="388"/>
      <c r="C207" s="388"/>
      <c r="D207" s="388"/>
      <c r="J207" s="58"/>
      <c r="K207" s="58" t="s">
        <v>121</v>
      </c>
      <c r="L207" s="58"/>
    </row>
    <row r="208" spans="1:12">
      <c r="A208" s="356" t="s">
        <v>118</v>
      </c>
      <c r="B208" s="357"/>
      <c r="C208" s="357"/>
      <c r="D208" s="357"/>
      <c r="E208" s="357"/>
      <c r="F208" s="357"/>
      <c r="G208" s="357"/>
      <c r="H208" s="358"/>
      <c r="J208" s="58"/>
      <c r="K208" s="58" t="s">
        <v>122</v>
      </c>
      <c r="L208" s="58">
        <f>52-C209</f>
        <v>43</v>
      </c>
    </row>
    <row r="209" spans="1:12" ht="15">
      <c r="A209" s="6"/>
      <c r="B209" s="5" t="s">
        <v>73</v>
      </c>
      <c r="C209" s="104">
        <v>9</v>
      </c>
      <c r="D209" s="43" t="s">
        <v>110</v>
      </c>
      <c r="E209" s="237">
        <v>0.04</v>
      </c>
      <c r="F209" s="5" t="s">
        <v>83</v>
      </c>
      <c r="G209" s="5"/>
      <c r="H209" s="8"/>
      <c r="J209" s="58"/>
      <c r="K209" s="58" t="s">
        <v>75</v>
      </c>
      <c r="L209" s="58">
        <f>E47*1000/52*L208</f>
        <v>4051923.076923077</v>
      </c>
    </row>
    <row r="210" spans="1:12" ht="15">
      <c r="A210" s="6"/>
      <c r="B210" s="5" t="s">
        <v>72</v>
      </c>
      <c r="C210" s="104">
        <v>0</v>
      </c>
      <c r="E210" s="5"/>
      <c r="F210" s="5" t="s">
        <v>84</v>
      </c>
      <c r="G210" s="5"/>
      <c r="H210" s="8"/>
      <c r="J210" s="58"/>
      <c r="K210" s="58" t="s">
        <v>123</v>
      </c>
      <c r="L210" s="288">
        <f>0.0315*L209</f>
        <v>127635.57692307692</v>
      </c>
    </row>
    <row r="211" spans="1:12" ht="15">
      <c r="A211" s="6"/>
      <c r="B211" s="5" t="s">
        <v>74</v>
      </c>
      <c r="C211" s="104">
        <v>40</v>
      </c>
      <c r="E211" s="5"/>
      <c r="F211" s="5" t="s">
        <v>0</v>
      </c>
      <c r="G211" s="5"/>
      <c r="H211" s="8"/>
      <c r="J211" s="58"/>
      <c r="K211" s="58"/>
      <c r="L211" s="58"/>
    </row>
    <row r="212" spans="1:12" ht="15">
      <c r="A212" s="6"/>
      <c r="B212" s="5" t="s">
        <v>1</v>
      </c>
      <c r="C212" s="105">
        <v>1.5</v>
      </c>
      <c r="E212" s="5"/>
      <c r="G212" s="5"/>
      <c r="H212" s="7"/>
      <c r="J212" s="58"/>
      <c r="K212" s="58"/>
      <c r="L212" s="58"/>
    </row>
    <row r="213" spans="1:12" ht="15">
      <c r="A213" s="25"/>
      <c r="B213" s="79" t="s">
        <v>52</v>
      </c>
      <c r="C213" s="237">
        <v>0.3</v>
      </c>
      <c r="D213" s="10"/>
      <c r="E213" s="53"/>
      <c r="F213" s="53"/>
      <c r="G213" s="53"/>
      <c r="H213" s="65"/>
      <c r="J213" s="58"/>
      <c r="K213" s="58"/>
      <c r="L213" s="58"/>
    </row>
  </sheetData>
  <mergeCells count="47">
    <mergeCell ref="A208:H208"/>
    <mergeCell ref="B188:H188"/>
    <mergeCell ref="B190:C190"/>
    <mergeCell ref="F190:G190"/>
    <mergeCell ref="B191:C191"/>
    <mergeCell ref="A201:H201"/>
    <mergeCell ref="B207:D207"/>
    <mergeCell ref="T121:AD121"/>
    <mergeCell ref="A183:B183"/>
    <mergeCell ref="B159:C159"/>
    <mergeCell ref="E159:F159"/>
    <mergeCell ref="H159:I159"/>
    <mergeCell ref="H160:I160"/>
    <mergeCell ref="B161:D161"/>
    <mergeCell ref="E161:G161"/>
    <mergeCell ref="H161:J161"/>
    <mergeCell ref="B167:D167"/>
    <mergeCell ref="E167:G167"/>
    <mergeCell ref="H167:J167"/>
    <mergeCell ref="A174:H174"/>
    <mergeCell ref="A180:B180"/>
    <mergeCell ref="B136:D136"/>
    <mergeCell ref="F136:H136"/>
    <mergeCell ref="B111:D111"/>
    <mergeCell ref="F111:H111"/>
    <mergeCell ref="J84:L84"/>
    <mergeCell ref="A98:H98"/>
    <mergeCell ref="B26:D26"/>
    <mergeCell ref="E26:G26"/>
    <mergeCell ref="H26:J26"/>
    <mergeCell ref="B51:K51"/>
    <mergeCell ref="C62:F62"/>
    <mergeCell ref="G62:K62"/>
    <mergeCell ref="B74:D74"/>
    <mergeCell ref="F74:H74"/>
    <mergeCell ref="B84:D84"/>
    <mergeCell ref="F84:H84"/>
    <mergeCell ref="F99:H100"/>
    <mergeCell ref="A100:E100"/>
    <mergeCell ref="A1:J1"/>
    <mergeCell ref="S1:AA1"/>
    <mergeCell ref="AL1:AQ1"/>
    <mergeCell ref="B3:D3"/>
    <mergeCell ref="E3:G3"/>
    <mergeCell ref="H3:J3"/>
    <mergeCell ref="N3:O3"/>
    <mergeCell ref="P3:Q3"/>
  </mergeCells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E8E6F-9B20-418A-96A0-80EF1E6BD33D}">
  <dimension ref="A1:AX213"/>
  <sheetViews>
    <sheetView topLeftCell="A26" workbookViewId="0">
      <selection activeCell="E43" sqref="E43"/>
    </sheetView>
  </sheetViews>
  <sheetFormatPr defaultColWidth="10.7109375" defaultRowHeight="12.75" outlineLevelCol="1"/>
  <cols>
    <col min="1" max="1" width="37.28515625" style="1" bestFit="1" customWidth="1"/>
    <col min="2" max="2" width="16.7109375" style="1" customWidth="1"/>
    <col min="3" max="3" width="13.28515625" style="1" customWidth="1"/>
    <col min="4" max="4" width="13.5703125" style="1" customWidth="1"/>
    <col min="5" max="5" width="12.7109375" style="1" customWidth="1"/>
    <col min="6" max="6" width="12.42578125" style="1" customWidth="1"/>
    <col min="7" max="7" width="14.28515625" style="1" customWidth="1"/>
    <col min="8" max="8" width="12.7109375" style="1" customWidth="1"/>
    <col min="9" max="9" width="10.7109375" style="1"/>
    <col min="10" max="10" width="13" style="1" customWidth="1"/>
    <col min="11" max="11" width="12.28515625" style="1" customWidth="1"/>
    <col min="12" max="12" width="11.28515625" style="1" customWidth="1"/>
    <col min="13" max="13" width="21.7109375" style="1" customWidth="1"/>
    <col min="14" max="14" width="13.42578125" style="1" customWidth="1"/>
    <col min="15" max="15" width="10.7109375" style="1"/>
    <col min="16" max="16" width="12.28515625" style="1" customWidth="1"/>
    <col min="17" max="17" width="9.7109375" style="1" customWidth="1"/>
    <col min="18" max="18" width="2.7109375" style="1" customWidth="1"/>
    <col min="19" max="19" width="12.140625" style="1" bestFit="1" customWidth="1" outlineLevel="1"/>
    <col min="20" max="20" width="11.42578125" style="1" customWidth="1" outlineLevel="1"/>
    <col min="21" max="21" width="17.7109375" style="1" customWidth="1" outlineLevel="1"/>
    <col min="22" max="24" width="15.28515625" style="1" customWidth="1" outlineLevel="1"/>
    <col min="25" max="25" width="14.7109375" style="1" customWidth="1" outlineLevel="1"/>
    <col min="26" max="26" width="12.42578125" style="1" customWidth="1" outlineLevel="1"/>
    <col min="27" max="27" width="15.28515625" style="1" customWidth="1" outlineLevel="1"/>
    <col min="28" max="28" width="12.42578125" style="1" customWidth="1" outlineLevel="1"/>
    <col min="29" max="29" width="9.42578125" style="1" customWidth="1" outlineLevel="1"/>
    <col min="30" max="30" width="13.28515625" style="1" bestFit="1" customWidth="1" outlineLevel="1"/>
    <col min="31" max="31" width="13.28515625" style="1" customWidth="1" outlineLevel="1"/>
    <col min="32" max="32" width="9.5703125" style="1" bestFit="1" customWidth="1" outlineLevel="1"/>
    <col min="33" max="33" width="9.28515625" style="1" customWidth="1" outlineLevel="1"/>
    <col min="34" max="34" width="9.5703125" style="1" bestFit="1" customWidth="1" outlineLevel="1"/>
    <col min="35" max="35" width="12" style="1" customWidth="1" outlineLevel="1"/>
    <col min="36" max="36" width="11.7109375" style="1" customWidth="1" outlineLevel="1"/>
    <col min="37" max="37" width="12.28515625" style="1" customWidth="1" outlineLevel="1"/>
    <col min="38" max="38" width="11.42578125" style="1" customWidth="1" outlineLevel="1"/>
    <col min="39" max="39" width="12.42578125" style="1" customWidth="1" outlineLevel="1"/>
    <col min="40" max="40" width="12.28515625" style="1" customWidth="1" outlineLevel="1"/>
    <col min="41" max="41" width="12.5703125" style="1" customWidth="1" outlineLevel="1"/>
    <col min="42" max="42" width="12.42578125" style="1" customWidth="1" outlineLevel="1"/>
    <col min="43" max="43" width="14.28515625" style="1" customWidth="1" outlineLevel="1"/>
    <col min="44" max="44" width="10.28515625" style="1" customWidth="1" outlineLevel="1"/>
    <col min="45" max="45" width="11.5703125" style="1" customWidth="1" outlineLevel="1"/>
    <col min="46" max="46" width="11.42578125" style="1" customWidth="1" outlineLevel="1"/>
    <col min="47" max="48" width="12.7109375" style="1" customWidth="1" outlineLevel="1"/>
    <col min="49" max="49" width="11" style="1" customWidth="1" outlineLevel="1"/>
    <col min="50" max="50" width="12.7109375" style="1" customWidth="1" outlineLevel="1"/>
    <col min="51" max="250" width="8.7109375" style="1" customWidth="1"/>
    <col min="251" max="16384" width="10.7109375" style="1"/>
  </cols>
  <sheetData>
    <row r="1" spans="1:43" ht="18.75" customHeight="1">
      <c r="A1" s="344" t="s">
        <v>124</v>
      </c>
      <c r="B1" s="344"/>
      <c r="C1" s="344"/>
      <c r="D1" s="344"/>
      <c r="E1" s="344"/>
      <c r="F1" s="344"/>
      <c r="G1" s="344"/>
      <c r="H1" s="344"/>
      <c r="I1" s="344"/>
      <c r="J1" s="344"/>
      <c r="K1" s="91"/>
      <c r="L1" s="91"/>
      <c r="S1" s="345"/>
      <c r="T1" s="345"/>
      <c r="U1" s="345"/>
      <c r="V1" s="345"/>
      <c r="W1" s="345"/>
      <c r="X1" s="345"/>
      <c r="Y1" s="345"/>
      <c r="Z1" s="345"/>
      <c r="AA1" s="345"/>
      <c r="AB1" s="149"/>
      <c r="AC1" s="150"/>
      <c r="AD1" s="150"/>
      <c r="AE1" s="151"/>
      <c r="AF1" s="151"/>
      <c r="AG1" s="151"/>
      <c r="AH1" s="151"/>
      <c r="AI1" s="152"/>
      <c r="AJ1" s="151"/>
      <c r="AK1" s="152"/>
      <c r="AL1" s="346"/>
      <c r="AM1" s="346"/>
      <c r="AN1" s="346"/>
      <c r="AO1" s="346"/>
      <c r="AP1" s="346"/>
      <c r="AQ1" s="346"/>
    </row>
    <row r="2" spans="1:43" ht="36.6" customHeight="1">
      <c r="A2" s="56" t="s">
        <v>59</v>
      </c>
      <c r="B2" s="186"/>
      <c r="C2" s="56"/>
      <c r="D2" s="56"/>
      <c r="E2" s="56"/>
      <c r="F2" s="56"/>
      <c r="G2" s="56"/>
      <c r="H2" s="84"/>
      <c r="I2" s="92"/>
      <c r="J2" s="92"/>
      <c r="K2" s="92"/>
      <c r="L2" s="92"/>
      <c r="S2" s="155"/>
      <c r="T2" s="155"/>
      <c r="U2" s="155"/>
      <c r="V2" s="155"/>
      <c r="W2" s="155"/>
      <c r="X2" s="155"/>
      <c r="Y2" s="155"/>
      <c r="Z2" s="155"/>
      <c r="AA2" s="156"/>
      <c r="AB2" s="182"/>
      <c r="AC2" s="151"/>
      <c r="AD2" s="150"/>
      <c r="AE2" s="157"/>
      <c r="AF2" s="157"/>
      <c r="AG2" s="157"/>
      <c r="AH2" s="157"/>
      <c r="AI2" s="155"/>
      <c r="AJ2" s="157"/>
      <c r="AK2" s="158"/>
      <c r="AL2" s="159"/>
      <c r="AM2" s="234"/>
      <c r="AN2" s="234"/>
      <c r="AO2" s="155"/>
      <c r="AP2" s="155"/>
      <c r="AQ2" s="155"/>
    </row>
    <row r="3" spans="1:43" ht="18" customHeight="1">
      <c r="A3" s="64" t="s">
        <v>20</v>
      </c>
      <c r="B3" s="347" t="s">
        <v>91</v>
      </c>
      <c r="C3" s="348"/>
      <c r="D3" s="348"/>
      <c r="E3" s="347" t="s">
        <v>93</v>
      </c>
      <c r="F3" s="348"/>
      <c r="G3" s="348"/>
      <c r="H3" s="347" t="s">
        <v>94</v>
      </c>
      <c r="I3" s="348"/>
      <c r="J3" s="349"/>
      <c r="M3" s="252"/>
      <c r="N3" s="350"/>
      <c r="O3" s="350"/>
      <c r="P3" s="350"/>
      <c r="Q3" s="351"/>
      <c r="S3" s="160"/>
      <c r="T3" s="161"/>
      <c r="U3" s="160"/>
      <c r="V3" s="160"/>
      <c r="W3" s="160"/>
      <c r="X3" s="160"/>
      <c r="Y3" s="160"/>
      <c r="Z3" s="160"/>
      <c r="AA3" s="161"/>
      <c r="AB3" s="151"/>
      <c r="AC3" s="161"/>
      <c r="AD3" s="161"/>
      <c r="AE3" s="160"/>
      <c r="AF3" s="160"/>
      <c r="AG3" s="160"/>
      <c r="AH3" s="160"/>
      <c r="AI3" s="161"/>
      <c r="AJ3" s="160"/>
      <c r="AK3" s="161"/>
      <c r="AL3" s="161"/>
      <c r="AM3" s="161"/>
      <c r="AN3" s="161"/>
      <c r="AO3" s="161"/>
      <c r="AP3" s="161"/>
      <c r="AQ3" s="161"/>
    </row>
    <row r="4" spans="1:43" s="46" customFormat="1" ht="15">
      <c r="A4" s="66"/>
      <c r="B4" s="218" t="s">
        <v>143</v>
      </c>
      <c r="C4" s="219" t="s">
        <v>114</v>
      </c>
      <c r="D4" s="219" t="s">
        <v>88</v>
      </c>
      <c r="E4" s="218" t="str">
        <f>$B$4</f>
        <v>25 Standard</v>
      </c>
      <c r="F4" s="219" t="str">
        <f>+C4</f>
        <v>23 Actual</v>
      </c>
      <c r="G4" s="219" t="str">
        <f>+D4</f>
        <v>20 Standard</v>
      </c>
      <c r="H4" s="218" t="str">
        <f>+B4</f>
        <v>25 Standard</v>
      </c>
      <c r="I4" s="219" t="str">
        <f>+C4</f>
        <v>23 Actual</v>
      </c>
      <c r="J4" s="220" t="str">
        <f>+D4</f>
        <v>20 Standard</v>
      </c>
      <c r="M4" s="253"/>
      <c r="N4" s="254"/>
      <c r="O4" s="254"/>
      <c r="P4" s="254"/>
      <c r="Q4" s="255"/>
      <c r="S4" s="162"/>
      <c r="T4" s="163"/>
      <c r="U4" s="163"/>
      <c r="V4" s="163"/>
      <c r="W4" s="163"/>
      <c r="X4" s="163"/>
      <c r="Y4" s="163"/>
      <c r="Z4" s="163"/>
      <c r="AA4" s="164"/>
      <c r="AB4" s="165"/>
      <c r="AC4" s="166"/>
      <c r="AD4" s="164"/>
      <c r="AE4" s="164"/>
      <c r="AF4" s="164"/>
      <c r="AG4" s="164"/>
      <c r="AH4" s="164"/>
      <c r="AI4" s="163"/>
      <c r="AJ4" s="164"/>
      <c r="AK4" s="163"/>
      <c r="AL4" s="164"/>
      <c r="AM4" s="164"/>
      <c r="AN4" s="164"/>
      <c r="AO4" s="164"/>
      <c r="AP4" s="164"/>
      <c r="AQ4" s="164"/>
    </row>
    <row r="5" spans="1:43" s="46" customFormat="1">
      <c r="A5" s="66"/>
      <c r="B5" s="221"/>
      <c r="C5" s="202" t="s">
        <v>89</v>
      </c>
      <c r="D5" s="202"/>
      <c r="E5" s="221"/>
      <c r="F5" s="202" t="s">
        <v>89</v>
      </c>
      <c r="G5" s="202"/>
      <c r="H5" s="221"/>
      <c r="I5" s="202" t="s">
        <v>89</v>
      </c>
      <c r="J5" s="222"/>
      <c r="M5" s="253"/>
      <c r="N5" s="256"/>
      <c r="O5" s="256"/>
      <c r="P5" s="257"/>
      <c r="Q5" s="258"/>
      <c r="S5" s="162"/>
      <c r="T5" s="163"/>
      <c r="U5" s="163"/>
      <c r="V5" s="163"/>
      <c r="W5" s="163"/>
      <c r="X5" s="163"/>
      <c r="Y5" s="163"/>
      <c r="Z5" s="163"/>
      <c r="AA5" s="164"/>
      <c r="AB5" s="165"/>
      <c r="AC5" s="166"/>
      <c r="AD5" s="164"/>
      <c r="AE5" s="164"/>
      <c r="AF5" s="164"/>
      <c r="AG5" s="154"/>
      <c r="AH5" s="164"/>
      <c r="AI5" s="163"/>
      <c r="AJ5" s="164"/>
      <c r="AK5" s="163"/>
      <c r="AL5" s="164"/>
      <c r="AM5" s="164"/>
      <c r="AN5" s="164"/>
      <c r="AO5" s="164"/>
      <c r="AP5" s="164"/>
      <c r="AQ5" s="164"/>
    </row>
    <row r="6" spans="1:43">
      <c r="A6" s="30" t="s">
        <v>50</v>
      </c>
      <c r="B6" s="192">
        <f>IF(B24&lt;&gt;0,$D$82,0)</f>
        <v>0</v>
      </c>
      <c r="C6" s="192">
        <v>5.8500000000000003E-2</v>
      </c>
      <c r="D6" s="192">
        <v>4.1565810184720102E-2</v>
      </c>
      <c r="E6" s="204">
        <f>+H82</f>
        <v>0</v>
      </c>
      <c r="F6" s="192">
        <v>0</v>
      </c>
      <c r="G6" s="192">
        <v>0</v>
      </c>
      <c r="H6" s="204">
        <f>+D96</f>
        <v>0</v>
      </c>
      <c r="I6" s="192">
        <v>0</v>
      </c>
      <c r="J6" s="205">
        <v>0</v>
      </c>
      <c r="M6" s="259"/>
      <c r="N6" s="260"/>
      <c r="O6" s="261"/>
      <c r="P6" s="260"/>
      <c r="Q6" s="262"/>
      <c r="S6" s="167"/>
      <c r="T6" s="163"/>
      <c r="U6" s="163"/>
      <c r="V6" s="163"/>
      <c r="W6" s="163"/>
      <c r="X6" s="163"/>
      <c r="Y6" s="163"/>
      <c r="Z6" s="163"/>
      <c r="AA6" s="164"/>
      <c r="AB6" s="165"/>
      <c r="AC6" s="166"/>
      <c r="AD6" s="164"/>
      <c r="AE6" s="164"/>
      <c r="AF6" s="164"/>
      <c r="AG6" s="164"/>
      <c r="AH6" s="164"/>
      <c r="AI6" s="163"/>
      <c r="AJ6" s="164"/>
      <c r="AK6" s="163"/>
      <c r="AL6" s="164"/>
      <c r="AM6" s="164"/>
      <c r="AN6" s="164"/>
      <c r="AO6" s="164"/>
      <c r="AP6" s="164"/>
      <c r="AQ6" s="164"/>
    </row>
    <row r="7" spans="1:43" ht="15">
      <c r="A7" s="30" t="s">
        <v>27</v>
      </c>
      <c r="B7" s="192">
        <f>IF(B24&lt;&gt;0,$D$163,0)</f>
        <v>0</v>
      </c>
      <c r="C7" s="192">
        <v>1.0500000000000001E-2</v>
      </c>
      <c r="D7" s="192">
        <v>2.0277328909623641E-2</v>
      </c>
      <c r="E7" s="204">
        <f>G163</f>
        <v>1.983719966453169E-2</v>
      </c>
      <c r="F7" s="192">
        <v>0</v>
      </c>
      <c r="G7" s="192">
        <v>0</v>
      </c>
      <c r="H7" s="204">
        <f>J163</f>
        <v>1.983719966453169E-2</v>
      </c>
      <c r="I7" s="192">
        <v>0</v>
      </c>
      <c r="J7" s="205">
        <v>0</v>
      </c>
      <c r="M7" s="263"/>
      <c r="N7" s="264"/>
      <c r="O7" s="207"/>
      <c r="P7" s="264"/>
      <c r="Q7" s="208"/>
      <c r="S7" s="168"/>
      <c r="T7" s="168"/>
      <c r="U7" s="168"/>
      <c r="V7" s="168"/>
      <c r="W7" s="168"/>
      <c r="X7" s="168"/>
      <c r="Y7" s="168"/>
      <c r="Z7" s="168"/>
      <c r="AA7" s="168"/>
      <c r="AB7" s="165"/>
      <c r="AC7" s="166"/>
      <c r="AD7" s="169"/>
      <c r="AE7" s="170"/>
      <c r="AF7" s="171"/>
      <c r="AG7" s="171"/>
      <c r="AH7" s="171"/>
      <c r="AI7" s="168"/>
      <c r="AJ7" s="170"/>
      <c r="AK7" s="168"/>
      <c r="AL7" s="169"/>
      <c r="AM7" s="169"/>
      <c r="AN7" s="169"/>
      <c r="AO7" s="169"/>
      <c r="AP7" s="169"/>
      <c r="AQ7" s="169"/>
    </row>
    <row r="8" spans="1:43" ht="15">
      <c r="A8" s="6" t="s">
        <v>49</v>
      </c>
      <c r="B8" s="192">
        <f>IF(B24&lt;&gt;0,$D$164,0)</f>
        <v>0</v>
      </c>
      <c r="C8" s="192">
        <v>1.5599999999999999E-2</v>
      </c>
      <c r="D8" s="192">
        <v>1.4965000000000001E-2</v>
      </c>
      <c r="E8" s="204">
        <f>G164</f>
        <v>1.7100000000000001E-2</v>
      </c>
      <c r="F8" s="192">
        <v>0</v>
      </c>
      <c r="G8" s="192">
        <v>0</v>
      </c>
      <c r="H8" s="204">
        <f>J164</f>
        <v>1.7100000000000001E-2</v>
      </c>
      <c r="I8" s="192">
        <v>0</v>
      </c>
      <c r="J8" s="205">
        <v>0</v>
      </c>
      <c r="M8" s="263"/>
      <c r="N8" s="265"/>
      <c r="O8" s="266"/>
      <c r="P8" s="265"/>
      <c r="Q8" s="267"/>
      <c r="S8" s="168"/>
      <c r="T8" s="168"/>
      <c r="U8" s="168"/>
      <c r="V8" s="168"/>
      <c r="W8" s="168"/>
      <c r="X8" s="168"/>
      <c r="Y8" s="168"/>
      <c r="Z8" s="168"/>
      <c r="AA8" s="168"/>
      <c r="AB8" s="165"/>
      <c r="AC8" s="166"/>
      <c r="AD8" s="169"/>
      <c r="AE8" s="170"/>
      <c r="AF8" s="171"/>
      <c r="AG8" s="171"/>
      <c r="AH8" s="171"/>
      <c r="AI8" s="168"/>
      <c r="AJ8" s="170"/>
      <c r="AK8" s="168"/>
      <c r="AL8" s="169"/>
      <c r="AM8" s="169"/>
      <c r="AN8" s="169"/>
      <c r="AO8" s="169"/>
      <c r="AP8" s="169"/>
      <c r="AQ8" s="169"/>
    </row>
    <row r="9" spans="1:43">
      <c r="A9" s="30" t="s">
        <v>48</v>
      </c>
      <c r="B9" s="192">
        <f>IF(B24&lt;&gt;0,$J$177,0)</f>
        <v>0</v>
      </c>
      <c r="C9" s="192">
        <v>1.9199999999999998E-2</v>
      </c>
      <c r="D9" s="192">
        <v>1.591578947368421E-2</v>
      </c>
      <c r="E9" s="204">
        <f>$H$177</f>
        <v>0.03</v>
      </c>
      <c r="F9" s="192">
        <v>0</v>
      </c>
      <c r="G9" s="192">
        <v>0</v>
      </c>
      <c r="H9" s="204">
        <f>$H$177</f>
        <v>0.03</v>
      </c>
      <c r="I9" s="192">
        <v>0</v>
      </c>
      <c r="J9" s="205">
        <v>0</v>
      </c>
      <c r="M9" s="259"/>
      <c r="N9" s="260"/>
      <c r="O9" s="261"/>
      <c r="P9" s="268"/>
      <c r="Q9" s="262"/>
      <c r="S9" s="168"/>
      <c r="T9" s="168"/>
      <c r="U9" s="168"/>
      <c r="V9" s="168"/>
      <c r="W9" s="168"/>
      <c r="X9" s="168"/>
      <c r="Y9" s="168"/>
      <c r="Z9" s="168"/>
      <c r="AA9" s="168"/>
      <c r="AB9" s="165"/>
      <c r="AC9" s="166"/>
      <c r="AD9" s="169"/>
      <c r="AE9" s="170"/>
      <c r="AF9" s="171"/>
      <c r="AG9" s="171"/>
      <c r="AH9" s="171"/>
      <c r="AI9" s="168"/>
      <c r="AJ9" s="170"/>
      <c r="AK9" s="168"/>
      <c r="AL9" s="169"/>
      <c r="AM9" s="169"/>
      <c r="AN9" s="169"/>
      <c r="AO9" s="169"/>
      <c r="AP9" s="169"/>
      <c r="AQ9" s="169"/>
    </row>
    <row r="10" spans="1:43">
      <c r="A10" s="30" t="s">
        <v>47</v>
      </c>
      <c r="B10" s="192">
        <f>IF(B24&lt;&gt;0,$J$181,0)</f>
        <v>0</v>
      </c>
      <c r="C10" s="192">
        <v>8.0000000000000004E-4</v>
      </c>
      <c r="D10" s="192">
        <v>2.6315789473684214E-3</v>
      </c>
      <c r="E10" s="204">
        <f>$H$181</f>
        <v>5.5102040816326532E-3</v>
      </c>
      <c r="F10" s="192">
        <v>0</v>
      </c>
      <c r="G10" s="192">
        <v>0</v>
      </c>
      <c r="H10" s="204">
        <f>$H$181</f>
        <v>5.5102040816326532E-3</v>
      </c>
      <c r="I10" s="192">
        <v>0</v>
      </c>
      <c r="J10" s="205">
        <v>0</v>
      </c>
      <c r="M10" s="263"/>
      <c r="N10" s="260"/>
      <c r="O10" s="261"/>
      <c r="P10" s="260"/>
      <c r="Q10" s="262"/>
      <c r="S10" s="168"/>
      <c r="T10" s="168"/>
      <c r="U10" s="168"/>
      <c r="V10" s="168"/>
      <c r="W10" s="168"/>
      <c r="X10" s="168"/>
      <c r="Y10" s="168"/>
      <c r="Z10" s="168"/>
      <c r="AA10" s="168"/>
      <c r="AB10" s="165"/>
      <c r="AC10" s="166"/>
      <c r="AD10" s="169"/>
      <c r="AE10" s="170"/>
      <c r="AF10" s="171"/>
      <c r="AG10" s="171"/>
      <c r="AH10" s="171"/>
      <c r="AI10" s="168"/>
      <c r="AJ10" s="170"/>
      <c r="AK10" s="168"/>
      <c r="AL10" s="169"/>
      <c r="AM10" s="169"/>
      <c r="AN10" s="169"/>
      <c r="AO10" s="169"/>
      <c r="AP10" s="169"/>
      <c r="AQ10" s="169"/>
    </row>
    <row r="11" spans="1:43" ht="15">
      <c r="A11" s="30" t="s">
        <v>46</v>
      </c>
      <c r="B11" s="207">
        <f>IF(B24&lt;&gt;0,$J$184,0)</f>
        <v>0</v>
      </c>
      <c r="C11" s="207">
        <v>5.7999999999999996E-3</v>
      </c>
      <c r="D11" s="207">
        <v>9.4736842105263147E-3</v>
      </c>
      <c r="E11" s="206">
        <f>$H$184</f>
        <v>1.1224489795918367E-2</v>
      </c>
      <c r="F11" s="207">
        <v>0</v>
      </c>
      <c r="G11" s="207">
        <v>0</v>
      </c>
      <c r="H11" s="206">
        <f>$H$184</f>
        <v>1.1224489795918367E-2</v>
      </c>
      <c r="I11" s="207">
        <v>0</v>
      </c>
      <c r="J11" s="208">
        <v>0</v>
      </c>
      <c r="M11" s="263"/>
      <c r="N11" s="269"/>
      <c r="O11" s="192"/>
      <c r="P11" s="269"/>
      <c r="Q11" s="205"/>
      <c r="S11" s="174"/>
      <c r="T11" s="174"/>
      <c r="U11" s="174"/>
      <c r="V11" s="174"/>
      <c r="W11" s="174"/>
      <c r="X11" s="174"/>
      <c r="Y11" s="174"/>
      <c r="Z11" s="174"/>
      <c r="AA11" s="174"/>
      <c r="AB11" s="165"/>
      <c r="AC11" s="166"/>
      <c r="AD11" s="169"/>
      <c r="AE11" s="170"/>
      <c r="AF11" s="175"/>
      <c r="AG11" s="175"/>
      <c r="AH11" s="175"/>
      <c r="AI11" s="174"/>
      <c r="AJ11" s="170"/>
      <c r="AK11" s="174"/>
      <c r="AL11" s="169"/>
      <c r="AM11" s="169"/>
      <c r="AN11" s="169"/>
      <c r="AO11" s="169"/>
      <c r="AP11" s="169"/>
      <c r="AQ11" s="169"/>
    </row>
    <row r="12" spans="1:43" ht="15">
      <c r="A12" s="30" t="s">
        <v>45</v>
      </c>
      <c r="B12" s="192">
        <f t="shared" ref="B12:D12" si="0">SUM(B6:B11)</f>
        <v>0</v>
      </c>
      <c r="C12" s="192">
        <f t="shared" si="0"/>
        <v>0.1104</v>
      </c>
      <c r="D12" s="192">
        <f t="shared" si="0"/>
        <v>0.1048291917259227</v>
      </c>
      <c r="E12" s="204">
        <f>SUM(E6:E11)</f>
        <v>8.3671893542082695E-2</v>
      </c>
      <c r="F12" s="192">
        <f t="shared" ref="F12:G12" si="1">SUM(F6:F11)</f>
        <v>0</v>
      </c>
      <c r="G12" s="192">
        <f t="shared" si="1"/>
        <v>0</v>
      </c>
      <c r="H12" s="204">
        <f>SUM(H6:H11)</f>
        <v>8.3671893542082695E-2</v>
      </c>
      <c r="I12" s="192">
        <f t="shared" ref="I12:J12" si="2">SUM(I6:I11)</f>
        <v>0</v>
      </c>
      <c r="J12" s="205">
        <f t="shared" si="2"/>
        <v>0</v>
      </c>
      <c r="M12" s="263"/>
      <c r="N12" s="264"/>
      <c r="O12" s="207"/>
      <c r="P12" s="264"/>
      <c r="Q12" s="208"/>
      <c r="S12" s="168"/>
      <c r="T12" s="168"/>
      <c r="U12" s="168"/>
      <c r="V12" s="168"/>
      <c r="W12" s="168"/>
      <c r="X12" s="168"/>
      <c r="Y12" s="168"/>
      <c r="Z12" s="168"/>
      <c r="AA12" s="168"/>
      <c r="AB12" s="165"/>
      <c r="AC12" s="166"/>
      <c r="AD12" s="164"/>
      <c r="AE12" s="164"/>
      <c r="AF12" s="171"/>
      <c r="AG12" s="171"/>
      <c r="AH12" s="171"/>
      <c r="AI12" s="168"/>
      <c r="AJ12" s="164"/>
      <c r="AK12" s="168"/>
      <c r="AL12" s="164"/>
      <c r="AM12" s="164"/>
      <c r="AN12" s="164"/>
      <c r="AO12" s="164"/>
      <c r="AP12" s="164"/>
      <c r="AQ12" s="164"/>
    </row>
    <row r="13" spans="1:43" ht="15">
      <c r="A13" s="30"/>
      <c r="B13" s="204"/>
      <c r="C13" s="192"/>
      <c r="D13" s="192"/>
      <c r="E13" s="204"/>
      <c r="F13" s="192"/>
      <c r="G13" s="192"/>
      <c r="H13" s="204"/>
      <c r="I13" s="192"/>
      <c r="J13" s="205"/>
      <c r="M13" s="263"/>
      <c r="N13" s="265"/>
      <c r="O13" s="266"/>
      <c r="P13" s="265"/>
      <c r="Q13" s="267"/>
      <c r="S13" s="163"/>
      <c r="T13" s="163"/>
      <c r="U13" s="163"/>
      <c r="V13" s="163"/>
      <c r="W13" s="163"/>
      <c r="X13" s="163"/>
      <c r="Y13" s="163"/>
      <c r="Z13" s="163"/>
      <c r="AA13" s="164"/>
      <c r="AB13" s="165"/>
      <c r="AC13" s="166"/>
      <c r="AD13" s="164"/>
      <c r="AE13" s="164"/>
      <c r="AF13" s="167"/>
      <c r="AG13" s="167"/>
      <c r="AH13" s="167"/>
      <c r="AI13" s="163"/>
      <c r="AJ13" s="164"/>
      <c r="AK13" s="163"/>
      <c r="AL13" s="164"/>
      <c r="AM13" s="164"/>
      <c r="AN13" s="164"/>
      <c r="AO13" s="164"/>
      <c r="AP13" s="164"/>
      <c r="AQ13" s="164"/>
    </row>
    <row r="14" spans="1:43">
      <c r="A14" s="30" t="s">
        <v>31</v>
      </c>
      <c r="B14" s="192">
        <f>IF($B$24&lt;&gt;0,$F$152/B24/1000,0)</f>
        <v>0</v>
      </c>
      <c r="C14" s="192">
        <v>2.46E-2</v>
      </c>
      <c r="D14" s="192">
        <v>7.3599375000000002E-3</v>
      </c>
      <c r="E14" s="204">
        <f>$D$124*$E$108/$B$49/1000</f>
        <v>9.3026761418853253E-4</v>
      </c>
      <c r="F14" s="192">
        <v>0</v>
      </c>
      <c r="G14" s="192">
        <v>0</v>
      </c>
      <c r="H14" s="204">
        <f>$D$124*$E$108/$B$49/1000</f>
        <v>9.3026761418853253E-4</v>
      </c>
      <c r="I14" s="192">
        <v>0</v>
      </c>
      <c r="J14" s="205">
        <v>0</v>
      </c>
      <c r="M14" s="259"/>
      <c r="N14" s="269"/>
      <c r="O14" s="270"/>
      <c r="P14" s="269"/>
      <c r="Q14" s="271"/>
      <c r="S14" s="168"/>
      <c r="T14" s="168"/>
      <c r="U14" s="168"/>
      <c r="V14" s="168"/>
      <c r="W14" s="168"/>
      <c r="X14" s="168"/>
      <c r="Y14" s="168"/>
      <c r="Z14" s="168"/>
      <c r="AA14" s="168"/>
      <c r="AB14" s="165"/>
      <c r="AC14" s="166"/>
      <c r="AD14" s="169"/>
      <c r="AE14" s="170"/>
      <c r="AF14" s="171"/>
      <c r="AG14" s="171"/>
      <c r="AH14" s="171"/>
      <c r="AI14" s="168"/>
      <c r="AJ14" s="170"/>
      <c r="AK14" s="168"/>
      <c r="AL14" s="169"/>
      <c r="AM14" s="169"/>
      <c r="AN14" s="169"/>
      <c r="AO14" s="169"/>
      <c r="AP14" s="169"/>
      <c r="AQ14" s="169"/>
    </row>
    <row r="15" spans="1:43">
      <c r="A15" s="30" t="s">
        <v>44</v>
      </c>
      <c r="B15" s="192">
        <f>IF($B$24&lt;&gt;0,$F$153/$B$24/1000,0)</f>
        <v>0</v>
      </c>
      <c r="C15" s="192">
        <v>8.9999999999999993E-3</v>
      </c>
      <c r="D15" s="192">
        <v>4.2419375E-3</v>
      </c>
      <c r="E15" s="204">
        <f>$H$124*$E$108/$B$49/1000</f>
        <v>0</v>
      </c>
      <c r="F15" s="192">
        <v>0</v>
      </c>
      <c r="G15" s="192">
        <v>0</v>
      </c>
      <c r="H15" s="204">
        <f>$H$124*$E$108/$B$49/1000</f>
        <v>0</v>
      </c>
      <c r="I15" s="192">
        <v>0</v>
      </c>
      <c r="J15" s="205">
        <v>0</v>
      </c>
      <c r="M15" s="263"/>
      <c r="N15" s="269"/>
      <c r="O15" s="268"/>
      <c r="P15" s="269"/>
      <c r="Q15" s="258"/>
      <c r="S15" s="176"/>
      <c r="T15" s="168"/>
      <c r="U15" s="168"/>
      <c r="V15" s="168"/>
      <c r="W15" s="168"/>
      <c r="X15" s="176"/>
      <c r="Y15" s="176"/>
      <c r="Z15" s="176"/>
      <c r="AA15" s="176"/>
      <c r="AB15" s="165"/>
      <c r="AC15" s="166"/>
      <c r="AD15" s="169"/>
      <c r="AE15" s="170"/>
      <c r="AF15" s="167"/>
      <c r="AG15" s="167"/>
      <c r="AH15" s="167"/>
      <c r="AI15" s="176"/>
      <c r="AJ15" s="170"/>
      <c r="AK15" s="176"/>
      <c r="AL15" s="169"/>
      <c r="AM15" s="169"/>
      <c r="AN15" s="169"/>
      <c r="AO15" s="169"/>
      <c r="AP15" s="169"/>
      <c r="AQ15" s="169"/>
    </row>
    <row r="16" spans="1:43">
      <c r="A16" s="30" t="s">
        <v>43</v>
      </c>
      <c r="B16" s="192">
        <f>IF($B$24&lt;&gt;0,$F$155/$B$24/1000,0)</f>
        <v>0</v>
      </c>
      <c r="C16" s="192">
        <v>7.9000000000000008E-3</v>
      </c>
      <c r="D16" s="192">
        <v>5.3897125000000002E-3</v>
      </c>
      <c r="E16" s="204">
        <f>$D$131*$E$108/$B$49/1000</f>
        <v>0</v>
      </c>
      <c r="F16" s="192">
        <v>0</v>
      </c>
      <c r="G16" s="192">
        <v>0</v>
      </c>
      <c r="H16" s="204">
        <f>$D$131*$E$108/$B$49/1000</f>
        <v>0</v>
      </c>
      <c r="I16" s="192">
        <v>0</v>
      </c>
      <c r="J16" s="205">
        <v>0</v>
      </c>
      <c r="M16" s="263"/>
      <c r="N16" s="269"/>
      <c r="O16" s="268"/>
      <c r="P16" s="269"/>
      <c r="Q16" s="258"/>
      <c r="S16" s="168"/>
      <c r="T16" s="168"/>
      <c r="U16" s="168"/>
      <c r="V16" s="168"/>
      <c r="W16" s="168"/>
      <c r="X16" s="168"/>
      <c r="Y16" s="168"/>
      <c r="Z16" s="168"/>
      <c r="AA16" s="176"/>
      <c r="AB16" s="165"/>
      <c r="AC16" s="166"/>
      <c r="AD16" s="169"/>
      <c r="AE16" s="170"/>
      <c r="AF16" s="171"/>
      <c r="AG16" s="171"/>
      <c r="AH16" s="171"/>
      <c r="AI16" s="168"/>
      <c r="AJ16" s="170"/>
      <c r="AK16" s="168"/>
      <c r="AL16" s="169"/>
      <c r="AM16" s="169"/>
      <c r="AN16" s="169"/>
      <c r="AO16" s="169"/>
      <c r="AP16" s="169"/>
      <c r="AQ16" s="169"/>
    </row>
    <row r="17" spans="1:10">
      <c r="A17" s="6" t="s">
        <v>5</v>
      </c>
      <c r="B17" s="192">
        <f>IF($B$24&lt;&gt;0,$F$154/$B$24/1000,0)</f>
        <v>0</v>
      </c>
      <c r="C17" s="192">
        <v>0</v>
      </c>
      <c r="D17" s="192">
        <v>2.6778947368421052E-3</v>
      </c>
      <c r="E17" s="204">
        <f>$F$194</f>
        <v>0</v>
      </c>
      <c r="F17" s="192">
        <v>0</v>
      </c>
      <c r="G17" s="192">
        <v>0</v>
      </c>
      <c r="H17" s="204">
        <f>$F$194</f>
        <v>0</v>
      </c>
      <c r="I17" s="192">
        <v>0</v>
      </c>
      <c r="J17" s="205">
        <v>0</v>
      </c>
    </row>
    <row r="18" spans="1:10">
      <c r="A18" s="6" t="s">
        <v>3</v>
      </c>
      <c r="B18" s="192">
        <f>IF($B$24&lt;&gt;0,$B$196/$B$49/1000,0)</f>
        <v>0</v>
      </c>
      <c r="C18" s="192">
        <v>2.7000000000000001E-3</v>
      </c>
      <c r="D18" s="192">
        <v>0.16719999999999999</v>
      </c>
      <c r="E18" s="204">
        <f>$F$196</f>
        <v>5.5866734693877554E-2</v>
      </c>
      <c r="F18" s="192">
        <v>0</v>
      </c>
      <c r="G18" s="192">
        <v>0</v>
      </c>
      <c r="H18" s="204">
        <f>$F$196</f>
        <v>5.5866734693877554E-2</v>
      </c>
      <c r="I18" s="192">
        <v>0</v>
      </c>
      <c r="J18" s="205">
        <v>0</v>
      </c>
    </row>
    <row r="19" spans="1:10" ht="15">
      <c r="A19" s="6" t="s">
        <v>4</v>
      </c>
      <c r="B19" s="207">
        <f>IF($B$24&lt;&gt;0,$B$195/$B$49/1000,0)</f>
        <v>0</v>
      </c>
      <c r="C19" s="207">
        <v>1.2E-2</v>
      </c>
      <c r="D19" s="207">
        <v>1.2884210526315788E-2</v>
      </c>
      <c r="E19" s="206">
        <f>$F$195</f>
        <v>0.23436734693877551</v>
      </c>
      <c r="F19" s="207">
        <v>0</v>
      </c>
      <c r="G19" s="207">
        <v>0</v>
      </c>
      <c r="H19" s="206">
        <f>$F$195</f>
        <v>0.23436734693877551</v>
      </c>
      <c r="I19" s="207">
        <v>0</v>
      </c>
      <c r="J19" s="208">
        <v>0</v>
      </c>
    </row>
    <row r="20" spans="1:10">
      <c r="A20" s="30" t="s">
        <v>42</v>
      </c>
      <c r="B20" s="192">
        <f t="shared" ref="B20:J20" si="3">SUM(B14:B19)</f>
        <v>0</v>
      </c>
      <c r="C20" s="192">
        <f t="shared" si="3"/>
        <v>5.62E-2</v>
      </c>
      <c r="D20" s="192">
        <f t="shared" si="3"/>
        <v>0.19975369276315788</v>
      </c>
      <c r="E20" s="204">
        <f t="shared" si="3"/>
        <v>0.29116434924684159</v>
      </c>
      <c r="F20" s="192">
        <f t="shared" ref="F20:G20" si="4">SUM(F14:F19)</f>
        <v>0</v>
      </c>
      <c r="G20" s="192">
        <f t="shared" si="4"/>
        <v>0</v>
      </c>
      <c r="H20" s="204">
        <f t="shared" si="3"/>
        <v>0.29116434924684159</v>
      </c>
      <c r="I20" s="192">
        <f t="shared" si="3"/>
        <v>0</v>
      </c>
      <c r="J20" s="205">
        <f t="shared" si="3"/>
        <v>0</v>
      </c>
    </row>
    <row r="21" spans="1:10">
      <c r="A21" s="6"/>
      <c r="B21" s="204"/>
      <c r="C21" s="192"/>
      <c r="D21" s="192"/>
      <c r="E21" s="204"/>
      <c r="F21" s="192"/>
      <c r="G21" s="192"/>
      <c r="H21" s="223"/>
      <c r="I21" s="192"/>
      <c r="J21" s="224"/>
    </row>
    <row r="22" spans="1:10">
      <c r="A22" s="30" t="s">
        <v>41</v>
      </c>
      <c r="B22" s="209">
        <f t="shared" ref="B22:J22" si="5">B12+B20</f>
        <v>0</v>
      </c>
      <c r="C22" s="210">
        <f t="shared" si="5"/>
        <v>0.1666</v>
      </c>
      <c r="D22" s="210">
        <f t="shared" si="5"/>
        <v>0.30458288448908055</v>
      </c>
      <c r="E22" s="209">
        <f t="shared" si="5"/>
        <v>0.3748362427889243</v>
      </c>
      <c r="F22" s="210">
        <f t="shared" si="5"/>
        <v>0</v>
      </c>
      <c r="G22" s="210">
        <f t="shared" si="5"/>
        <v>0</v>
      </c>
      <c r="H22" s="209">
        <f t="shared" si="5"/>
        <v>0.3748362427889243</v>
      </c>
      <c r="I22" s="210">
        <f t="shared" si="5"/>
        <v>0</v>
      </c>
      <c r="J22" s="211">
        <f t="shared" si="5"/>
        <v>0</v>
      </c>
    </row>
    <row r="23" spans="1:10">
      <c r="A23" s="6"/>
      <c r="B23" s="212"/>
      <c r="C23" s="213"/>
      <c r="D23" s="213"/>
      <c r="E23" s="212"/>
      <c r="F23" s="213"/>
      <c r="G23" s="213"/>
      <c r="H23" s="212"/>
      <c r="I23" s="213"/>
      <c r="J23" s="225"/>
    </row>
    <row r="24" spans="1:10">
      <c r="A24" s="25" t="s">
        <v>40</v>
      </c>
      <c r="B24" s="215">
        <f>+B54</f>
        <v>0</v>
      </c>
      <c r="C24" s="226">
        <v>0</v>
      </c>
      <c r="D24" s="226">
        <v>80000</v>
      </c>
      <c r="E24" s="215">
        <f>+B55</f>
        <v>0</v>
      </c>
      <c r="F24" s="226">
        <v>0</v>
      </c>
      <c r="G24" s="216">
        <v>0</v>
      </c>
      <c r="H24" s="215">
        <f>+B56</f>
        <v>0</v>
      </c>
      <c r="I24" s="226">
        <v>0</v>
      </c>
      <c r="J24" s="217">
        <v>0</v>
      </c>
    </row>
    <row r="25" spans="1:10">
      <c r="B25" s="49"/>
      <c r="C25" s="47"/>
      <c r="D25" s="47"/>
      <c r="E25" s="47"/>
      <c r="F25" s="48"/>
      <c r="G25" s="47"/>
      <c r="H25" s="47"/>
      <c r="J25" s="46"/>
    </row>
    <row r="26" spans="1:10" ht="18" customHeight="1">
      <c r="A26" s="64"/>
      <c r="B26" s="359" t="s">
        <v>92</v>
      </c>
      <c r="C26" s="360"/>
      <c r="D26" s="361"/>
      <c r="E26" s="347" t="s">
        <v>90</v>
      </c>
      <c r="F26" s="348"/>
      <c r="G26" s="348"/>
      <c r="H26" s="362" t="s">
        <v>20</v>
      </c>
      <c r="I26" s="363"/>
      <c r="J26" s="364"/>
    </row>
    <row r="27" spans="1:10" s="46" customFormat="1" ht="15">
      <c r="A27" s="66"/>
      <c r="B27" s="198" t="str">
        <f>$B$4</f>
        <v>25 Standard</v>
      </c>
      <c r="C27" s="199" t="str">
        <f>+C4</f>
        <v>23 Actual</v>
      </c>
      <c r="D27" s="200" t="str">
        <f>+D4</f>
        <v>20 Standard</v>
      </c>
      <c r="E27" s="218" t="s">
        <v>113</v>
      </c>
      <c r="F27" s="327" t="s">
        <v>114</v>
      </c>
      <c r="G27" s="219" t="s">
        <v>111</v>
      </c>
      <c r="H27" s="143" t="str">
        <f>+B27</f>
        <v>25 Standard</v>
      </c>
      <c r="I27" s="144" t="str">
        <f>+C27</f>
        <v>23 Actual</v>
      </c>
      <c r="J27" s="145" t="str">
        <f>+D27</f>
        <v>20 Standard</v>
      </c>
    </row>
    <row r="28" spans="1:10" s="46" customFormat="1">
      <c r="A28" s="66"/>
      <c r="B28" s="201"/>
      <c r="C28" s="202" t="s">
        <v>89</v>
      </c>
      <c r="D28" s="203"/>
      <c r="E28" s="201"/>
      <c r="F28" s="202" t="s">
        <v>102</v>
      </c>
      <c r="G28" s="203"/>
      <c r="H28" s="146"/>
      <c r="I28" s="137"/>
      <c r="J28" s="115"/>
    </row>
    <row r="29" spans="1:10">
      <c r="A29" s="30" t="s">
        <v>50</v>
      </c>
      <c r="B29" s="204">
        <f>D82</f>
        <v>6.5965817666666662E-2</v>
      </c>
      <c r="C29" s="192">
        <v>0</v>
      </c>
      <c r="D29" s="205">
        <v>0</v>
      </c>
      <c r="E29" s="192">
        <f>IF(E47&lt;&gt;0,$L$96,0)</f>
        <v>7.0852831853116985E-2</v>
      </c>
      <c r="F29" s="192">
        <v>7.8E-2</v>
      </c>
      <c r="G29" s="205">
        <v>6.0259679999999996E-2</v>
      </c>
      <c r="H29" s="138">
        <v>0</v>
      </c>
      <c r="I29" s="24">
        <v>0</v>
      </c>
      <c r="J29" s="94">
        <v>0</v>
      </c>
    </row>
    <row r="30" spans="1:10">
      <c r="A30" s="30" t="s">
        <v>27</v>
      </c>
      <c r="B30" s="204">
        <f>D169</f>
        <v>0</v>
      </c>
      <c r="C30" s="192">
        <v>0</v>
      </c>
      <c r="D30" s="205">
        <v>0</v>
      </c>
      <c r="E30" s="192">
        <f>IF(E47&lt;&gt;0,$G$169,0)</f>
        <v>4.3918811483700915E-2</v>
      </c>
      <c r="F30" s="192">
        <v>4.3200000000000002E-2</v>
      </c>
      <c r="G30" s="205">
        <v>2.6879417927194393E-2</v>
      </c>
      <c r="H30" s="138">
        <v>0</v>
      </c>
      <c r="I30" s="24">
        <v>0</v>
      </c>
      <c r="J30" s="94">
        <v>0</v>
      </c>
    </row>
    <row r="31" spans="1:10">
      <c r="A31" s="6" t="s">
        <v>49</v>
      </c>
      <c r="B31" s="204">
        <f>D170</f>
        <v>0</v>
      </c>
      <c r="C31" s="192">
        <v>0</v>
      </c>
      <c r="D31" s="205">
        <v>0</v>
      </c>
      <c r="E31" s="192">
        <f>IF(E47&lt;&gt;0,$G$170,0)</f>
        <v>2.5999999999999999E-2</v>
      </c>
      <c r="F31" s="192">
        <v>1.9E-2</v>
      </c>
      <c r="G31" s="205">
        <v>2.8566999999999999E-2</v>
      </c>
      <c r="H31" s="138">
        <f>J170</f>
        <v>0</v>
      </c>
      <c r="I31" s="24">
        <v>0</v>
      </c>
      <c r="J31" s="94">
        <v>0</v>
      </c>
    </row>
    <row r="32" spans="1:10">
      <c r="A32" s="30" t="s">
        <v>48</v>
      </c>
      <c r="B32" s="204">
        <f>IF($B$47&lt;&gt;0,$H$177,0)</f>
        <v>0</v>
      </c>
      <c r="C32" s="192">
        <v>0</v>
      </c>
      <c r="D32" s="205">
        <v>0</v>
      </c>
      <c r="E32" s="192">
        <f>IF(E47&lt;&gt;0,$H$177,0)</f>
        <v>0.03</v>
      </c>
      <c r="F32" s="192">
        <v>2.98E-2</v>
      </c>
      <c r="G32" s="205">
        <v>2.7777777777777776E-2</v>
      </c>
      <c r="H32" s="138">
        <v>0</v>
      </c>
      <c r="I32" s="24">
        <v>0</v>
      </c>
      <c r="J32" s="94">
        <v>0</v>
      </c>
    </row>
    <row r="33" spans="1:13">
      <c r="A33" s="30" t="s">
        <v>47</v>
      </c>
      <c r="B33" s="204">
        <f>IF($B$47&lt;&gt;0,$H$181,0)</f>
        <v>0</v>
      </c>
      <c r="C33" s="192">
        <v>0</v>
      </c>
      <c r="D33" s="205">
        <v>0</v>
      </c>
      <c r="E33" s="192">
        <f>IF(E47&lt;&gt;0,$H$181,0)</f>
        <v>5.5102040816326532E-3</v>
      </c>
      <c r="F33" s="192">
        <v>1.1999999999999999E-3</v>
      </c>
      <c r="G33" s="205">
        <v>6.9444444444444441E-3</v>
      </c>
      <c r="H33" s="138">
        <v>0</v>
      </c>
      <c r="I33" s="24">
        <v>0</v>
      </c>
      <c r="J33" s="94">
        <v>0</v>
      </c>
      <c r="K33" s="24"/>
      <c r="L33" s="24"/>
    </row>
    <row r="34" spans="1:13" ht="15">
      <c r="A34" s="30" t="s">
        <v>46</v>
      </c>
      <c r="B34" s="206">
        <f>IF($B$47&lt;&gt;0,$H$184,0)</f>
        <v>0</v>
      </c>
      <c r="C34" s="207">
        <v>0</v>
      </c>
      <c r="D34" s="208">
        <v>0</v>
      </c>
      <c r="E34" s="207">
        <f>IF(E47&lt;&gt;0,$H$184,0)</f>
        <v>1.1224489795918367E-2</v>
      </c>
      <c r="F34" s="207">
        <v>1.3899999999999999E-2</v>
      </c>
      <c r="G34" s="208">
        <v>1.2500000000000001E-2</v>
      </c>
      <c r="H34" s="139">
        <v>0</v>
      </c>
      <c r="I34" s="67">
        <v>0</v>
      </c>
      <c r="J34" s="95">
        <v>0</v>
      </c>
      <c r="K34" s="67"/>
      <c r="L34" s="67"/>
    </row>
    <row r="35" spans="1:13">
      <c r="A35" s="30" t="s">
        <v>45</v>
      </c>
      <c r="B35" s="204">
        <f>SUM(B29:B34)</f>
        <v>6.5965817666666662E-2</v>
      </c>
      <c r="C35" s="192">
        <f t="shared" ref="C35:D35" si="6">SUM(C29:C34)</f>
        <v>0</v>
      </c>
      <c r="D35" s="192">
        <f t="shared" si="6"/>
        <v>0</v>
      </c>
      <c r="E35" s="192">
        <f t="shared" ref="E35" si="7">SUM(E29:E34)</f>
        <v>0.18750633721436893</v>
      </c>
      <c r="F35" s="192">
        <f>SUM(F29:F34)</f>
        <v>0.18509999999999999</v>
      </c>
      <c r="G35" s="192">
        <f>SUM(G29:G34)</f>
        <v>0.16292832014941663</v>
      </c>
      <c r="H35" s="138">
        <f>SUM(H29:H34)</f>
        <v>0</v>
      </c>
      <c r="I35" s="24">
        <f t="shared" ref="I35" si="8">SUM(I29:I34)</f>
        <v>0</v>
      </c>
      <c r="J35" s="94">
        <f>SUM(J29:J34)</f>
        <v>0</v>
      </c>
      <c r="K35" s="24"/>
      <c r="L35" s="24"/>
    </row>
    <row r="36" spans="1:13">
      <c r="A36" s="30"/>
      <c r="B36" s="204"/>
      <c r="C36" s="192"/>
      <c r="D36" s="205"/>
      <c r="E36" s="204"/>
      <c r="F36" s="192"/>
      <c r="G36" s="205"/>
      <c r="H36" s="138"/>
      <c r="I36" s="24"/>
      <c r="J36" s="94"/>
      <c r="K36" s="24"/>
      <c r="L36" s="24"/>
    </row>
    <row r="37" spans="1:13">
      <c r="A37" s="30" t="s">
        <v>31</v>
      </c>
      <c r="B37" s="204">
        <f>$D$124*$E$108/$B$49/1000</f>
        <v>9.3026761418853253E-4</v>
      </c>
      <c r="C37" s="192">
        <v>0</v>
      </c>
      <c r="D37" s="205">
        <v>0</v>
      </c>
      <c r="E37" s="192">
        <f>IF($E$47&lt;&gt;0,$F$127/$E$47/1000,0)</f>
        <v>4.0001507410106898E-2</v>
      </c>
      <c r="F37" s="192">
        <v>3.5299999999999998E-2</v>
      </c>
      <c r="G37" s="205">
        <v>2.1569210091743118E-2</v>
      </c>
      <c r="H37" s="138">
        <v>0</v>
      </c>
      <c r="I37" s="24">
        <v>0</v>
      </c>
      <c r="J37" s="94">
        <v>0</v>
      </c>
      <c r="K37" s="24"/>
      <c r="L37" s="24"/>
    </row>
    <row r="38" spans="1:13">
      <c r="A38" s="30" t="s">
        <v>44</v>
      </c>
      <c r="B38" s="204">
        <f>$H$124*$E$108/$B$49/1000</f>
        <v>0</v>
      </c>
      <c r="C38" s="192">
        <v>0</v>
      </c>
      <c r="D38" s="205">
        <v>0</v>
      </c>
      <c r="E38" s="192">
        <f>IF($E$47&lt;&gt;0,$F$128/$E$47/1000,0)</f>
        <v>4.806117346938775E-3</v>
      </c>
      <c r="F38" s="192">
        <v>6.7000000000000002E-3</v>
      </c>
      <c r="G38" s="205">
        <v>5.1700857142857144E-3</v>
      </c>
      <c r="H38" s="138">
        <v>0</v>
      </c>
      <c r="I38" s="24">
        <v>0</v>
      </c>
      <c r="J38" s="94">
        <v>0</v>
      </c>
      <c r="K38" s="24"/>
      <c r="L38" s="24"/>
    </row>
    <row r="39" spans="1:13">
      <c r="A39" s="30" t="s">
        <v>43</v>
      </c>
      <c r="B39" s="204">
        <f>$D$131*$E$108/$B$49/1000</f>
        <v>0</v>
      </c>
      <c r="C39" s="192">
        <v>0</v>
      </c>
      <c r="D39" s="205">
        <v>0</v>
      </c>
      <c r="E39" s="192">
        <f>IF($E$47&lt;&gt;0,$F$130/$E$47/1000,0)</f>
        <v>1.2994211179543245E-2</v>
      </c>
      <c r="F39" s="192">
        <v>1.12E-2</v>
      </c>
      <c r="G39" s="205">
        <v>8.0162316187989569E-3</v>
      </c>
      <c r="H39" s="138">
        <v>0</v>
      </c>
      <c r="I39" s="24">
        <v>0</v>
      </c>
      <c r="J39" s="94">
        <v>0</v>
      </c>
      <c r="K39" s="24"/>
      <c r="L39" s="24"/>
    </row>
    <row r="40" spans="1:13">
      <c r="A40" s="6" t="s">
        <v>5</v>
      </c>
      <c r="B40" s="204">
        <f>IF($B$49&lt;&gt;0,$F$194,0)</f>
        <v>0</v>
      </c>
      <c r="C40" s="192">
        <v>0</v>
      </c>
      <c r="D40" s="205">
        <v>0</v>
      </c>
      <c r="E40" s="192">
        <f>IF($E$47&lt;&gt;0,$F$129/$E$47/1000,0)</f>
        <v>0</v>
      </c>
      <c r="F40" s="192">
        <v>0</v>
      </c>
      <c r="G40" s="205">
        <v>4.7638888888888888E-4</v>
      </c>
      <c r="H40" s="138">
        <v>0</v>
      </c>
      <c r="I40" s="24">
        <v>0</v>
      </c>
      <c r="J40" s="94">
        <v>0</v>
      </c>
      <c r="K40" s="24"/>
      <c r="L40" s="24"/>
    </row>
    <row r="41" spans="1:13" ht="15">
      <c r="A41" s="6" t="s">
        <v>3</v>
      </c>
      <c r="B41" s="204">
        <f>IF($B$49&lt;&gt;0,$F$196,0)</f>
        <v>5.5866734693877554E-2</v>
      </c>
      <c r="C41" s="192">
        <v>0</v>
      </c>
      <c r="D41" s="205">
        <v>0</v>
      </c>
      <c r="E41" s="192">
        <f>IF($E$47&lt;&gt;0,$B$196/$B$49/1000/4,0)</f>
        <v>1.1638903061224491E-3</v>
      </c>
      <c r="F41" s="192">
        <v>8.5000000000000006E-3</v>
      </c>
      <c r="G41" s="205">
        <v>5.6777777777777781E-3</v>
      </c>
      <c r="H41" s="138">
        <v>0</v>
      </c>
      <c r="I41" s="24">
        <v>0</v>
      </c>
      <c r="J41" s="94">
        <v>0</v>
      </c>
      <c r="K41" s="67"/>
      <c r="L41" s="67"/>
    </row>
    <row r="42" spans="1:13" ht="15">
      <c r="A42" s="6" t="s">
        <v>4</v>
      </c>
      <c r="B42" s="206">
        <f>IF($B$49&lt;&gt;0,$F$195,0)</f>
        <v>0.23436734693877551</v>
      </c>
      <c r="C42" s="207">
        <v>0</v>
      </c>
      <c r="D42" s="208">
        <v>0</v>
      </c>
      <c r="E42" s="207">
        <f>IF($E$47&lt;&gt;0,$B$195/$B$49/1000/4,0)</f>
        <v>4.8826530612244897E-3</v>
      </c>
      <c r="F42" s="207">
        <v>3.6200000000000003E-2</v>
      </c>
      <c r="G42" s="208">
        <v>2.5861111111111109E-2</v>
      </c>
      <c r="H42" s="139">
        <v>0</v>
      </c>
      <c r="I42" s="67">
        <v>0</v>
      </c>
      <c r="J42" s="95">
        <v>0</v>
      </c>
      <c r="K42" s="24"/>
      <c r="L42" s="24"/>
    </row>
    <row r="43" spans="1:13">
      <c r="A43" s="30" t="s">
        <v>42</v>
      </c>
      <c r="B43" s="204">
        <f t="shared" ref="B43:J43" si="9">SUM(B37:B42)</f>
        <v>0.29116434924684159</v>
      </c>
      <c r="C43" s="192">
        <f t="shared" si="9"/>
        <v>0</v>
      </c>
      <c r="D43" s="192">
        <f t="shared" si="9"/>
        <v>0</v>
      </c>
      <c r="E43" s="192">
        <f t="shared" ref="E43" si="10">SUM(E37:E42)</f>
        <v>6.3848379303935859E-2</v>
      </c>
      <c r="F43" s="192">
        <f>SUM(F37:F42)</f>
        <v>9.7900000000000001E-2</v>
      </c>
      <c r="G43" s="192">
        <f t="shared" si="9"/>
        <v>6.6770805202605574E-2</v>
      </c>
      <c r="H43" s="138">
        <f t="shared" si="9"/>
        <v>0</v>
      </c>
      <c r="I43" s="24">
        <f t="shared" si="9"/>
        <v>0</v>
      </c>
      <c r="J43" s="94">
        <f t="shared" si="9"/>
        <v>0</v>
      </c>
      <c r="K43" s="24"/>
      <c r="L43" s="24"/>
    </row>
    <row r="44" spans="1:13">
      <c r="A44" s="76" t="s">
        <v>112</v>
      </c>
      <c r="B44" s="204"/>
      <c r="C44" s="192"/>
      <c r="D44" s="205"/>
      <c r="E44" s="328"/>
      <c r="F44" s="328">
        <v>-4.5499999999999999E-2</v>
      </c>
      <c r="G44" s="205"/>
      <c r="H44" s="138"/>
      <c r="I44" s="24"/>
      <c r="J44" s="94"/>
      <c r="K44" s="24"/>
      <c r="L44" s="24"/>
    </row>
    <row r="45" spans="1:13">
      <c r="A45" s="30" t="s">
        <v>41</v>
      </c>
      <c r="B45" s="209">
        <f>B35+B43</f>
        <v>0.35713016691350824</v>
      </c>
      <c r="C45" s="210">
        <f t="shared" ref="C45:J45" si="11">C35+C43</f>
        <v>0</v>
      </c>
      <c r="D45" s="211">
        <v>0.19962945623832437</v>
      </c>
      <c r="E45" s="210">
        <f>E35+E43+E44</f>
        <v>0.25135471651830477</v>
      </c>
      <c r="F45" s="210">
        <f>F35+F43+F44</f>
        <v>0.23749999999999999</v>
      </c>
      <c r="G45" s="211">
        <f>+G35+G43</f>
        <v>0.22969912535202219</v>
      </c>
      <c r="H45" s="140">
        <f t="shared" si="11"/>
        <v>0</v>
      </c>
      <c r="I45" s="124">
        <f t="shared" si="11"/>
        <v>0</v>
      </c>
      <c r="J45" s="125">
        <f t="shared" si="11"/>
        <v>0</v>
      </c>
      <c r="K45" s="116"/>
      <c r="L45" s="116">
        <f>E45-0.245</f>
        <v>6.3547165183047705E-3</v>
      </c>
      <c r="M45" s="1">
        <f>E47*1000*L45</f>
        <v>31138.110939693375</v>
      </c>
    </row>
    <row r="46" spans="1:13">
      <c r="A46" s="6"/>
      <c r="B46" s="212"/>
      <c r="C46" s="213"/>
      <c r="D46" s="214"/>
      <c r="E46" s="212"/>
      <c r="F46" s="213"/>
      <c r="G46" s="214"/>
      <c r="H46" s="141"/>
      <c r="I46" s="24"/>
      <c r="J46" s="94"/>
      <c r="K46" s="47"/>
      <c r="L46" s="47"/>
      <c r="M46" s="1">
        <f>M45/12</f>
        <v>2594.8425783077814</v>
      </c>
    </row>
    <row r="47" spans="1:13">
      <c r="A47" s="25" t="s">
        <v>40</v>
      </c>
      <c r="B47" s="215">
        <f>+B57</f>
        <v>0</v>
      </c>
      <c r="C47" s="216">
        <v>0</v>
      </c>
      <c r="D47" s="217">
        <v>0</v>
      </c>
      <c r="E47" s="215">
        <f>+B58</f>
        <v>4900</v>
      </c>
      <c r="F47" s="216">
        <v>15776</v>
      </c>
      <c r="G47" s="217">
        <v>36000</v>
      </c>
      <c r="H47" s="142">
        <f>+B59</f>
        <v>0</v>
      </c>
      <c r="I47" s="112">
        <v>0</v>
      </c>
      <c r="J47" s="147">
        <v>0</v>
      </c>
      <c r="K47" s="117"/>
      <c r="L47" s="117"/>
      <c r="M47" s="251"/>
    </row>
    <row r="49" spans="1:12">
      <c r="A49" s="68" t="s">
        <v>39</v>
      </c>
      <c r="B49" s="114">
        <f>B24+E24+H24+B47+E47+H47</f>
        <v>4900</v>
      </c>
      <c r="C49" s="126">
        <f>C24+F24+I24+C47+F47+I47</f>
        <v>15776</v>
      </c>
      <c r="D49" s="127">
        <f>D24+G24+J24+D47+G47+J47</f>
        <v>116000</v>
      </c>
      <c r="E49" s="113"/>
    </row>
    <row r="50" spans="1:12"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>
      <c r="A51" s="54" t="s">
        <v>38</v>
      </c>
      <c r="B51" s="365" t="s">
        <v>37</v>
      </c>
      <c r="C51" s="365"/>
      <c r="D51" s="365"/>
      <c r="E51" s="365"/>
      <c r="F51" s="365"/>
      <c r="G51" s="365"/>
      <c r="H51" s="365"/>
      <c r="I51" s="365"/>
      <c r="J51" s="365"/>
      <c r="K51" s="365"/>
      <c r="L51" s="12"/>
    </row>
    <row r="52" spans="1:12">
      <c r="A52" s="30"/>
      <c r="L52" s="12"/>
    </row>
    <row r="53" spans="1:12" ht="15">
      <c r="A53" s="82" t="s">
        <v>61</v>
      </c>
      <c r="B53" s="45" t="s">
        <v>62</v>
      </c>
      <c r="C53" s="45" t="s">
        <v>64</v>
      </c>
      <c r="D53" s="185"/>
      <c r="E53" s="5"/>
      <c r="F53" s="45"/>
      <c r="G53" s="5"/>
      <c r="H53" s="5"/>
      <c r="L53" s="12"/>
    </row>
    <row r="54" spans="1:12" ht="15">
      <c r="A54" s="30" t="s">
        <v>95</v>
      </c>
      <c r="B54" s="120">
        <f>'2025 Summary'!$D$17</f>
        <v>0</v>
      </c>
      <c r="C54" s="129">
        <f>B54/$B$60</f>
        <v>0</v>
      </c>
      <c r="D54" s="32"/>
      <c r="E54" s="5">
        <f>9*400000*7</f>
        <v>25200000</v>
      </c>
      <c r="F54" s="44"/>
      <c r="G54" s="5" t="s">
        <v>20</v>
      </c>
      <c r="H54" s="121"/>
      <c r="L54" s="12"/>
    </row>
    <row r="55" spans="1:12" ht="15">
      <c r="A55" s="30" t="s">
        <v>96</v>
      </c>
      <c r="B55" s="120">
        <v>0</v>
      </c>
      <c r="C55" s="129">
        <f t="shared" ref="C55:C60" si="12">B55/$B$60</f>
        <v>0</v>
      </c>
      <c r="D55" s="32"/>
      <c r="E55" s="5"/>
      <c r="F55" s="44"/>
      <c r="G55" s="5" t="s">
        <v>20</v>
      </c>
      <c r="H55" s="121"/>
      <c r="L55" s="12"/>
    </row>
    <row r="56" spans="1:12" ht="15">
      <c r="A56" s="30" t="s">
        <v>97</v>
      </c>
      <c r="B56" s="120">
        <v>0</v>
      </c>
      <c r="C56" s="129">
        <f t="shared" si="12"/>
        <v>0</v>
      </c>
      <c r="D56" s="32"/>
      <c r="E56" s="5"/>
      <c r="F56" s="5"/>
      <c r="G56" s="5"/>
      <c r="H56" s="5"/>
      <c r="L56" s="12"/>
    </row>
    <row r="57" spans="1:12" ht="15">
      <c r="A57" s="30" t="s">
        <v>92</v>
      </c>
      <c r="B57" s="120">
        <v>0</v>
      </c>
      <c r="C57" s="129">
        <f t="shared" si="12"/>
        <v>0</v>
      </c>
      <c r="D57" s="32"/>
      <c r="E57" s="5"/>
      <c r="F57" s="5"/>
      <c r="G57" s="5"/>
      <c r="H57" s="5"/>
      <c r="L57" s="12"/>
    </row>
    <row r="58" spans="1:12" ht="15">
      <c r="A58" s="30" t="s">
        <v>90</v>
      </c>
      <c r="B58" s="103">
        <f>'2025 Summary'!$E$17</f>
        <v>4900</v>
      </c>
      <c r="C58" s="129">
        <f t="shared" si="12"/>
        <v>1</v>
      </c>
      <c r="D58" s="32"/>
      <c r="E58" s="5"/>
      <c r="F58" s="5"/>
      <c r="G58" s="5"/>
      <c r="H58" s="5"/>
      <c r="L58" s="12"/>
    </row>
    <row r="59" spans="1:12" ht="15">
      <c r="A59" s="30" t="s">
        <v>20</v>
      </c>
      <c r="B59" s="120">
        <v>0</v>
      </c>
      <c r="C59" s="130">
        <f t="shared" si="12"/>
        <v>0</v>
      </c>
      <c r="D59" s="32"/>
      <c r="E59" s="5"/>
      <c r="F59" s="5"/>
      <c r="G59" s="5"/>
      <c r="H59" s="5"/>
      <c r="L59" s="12"/>
    </row>
    <row r="60" spans="1:12">
      <c r="A60" s="83" t="s">
        <v>65</v>
      </c>
      <c r="B60" s="112">
        <f>SUM(B54:B59)</f>
        <v>4900</v>
      </c>
      <c r="C60" s="188">
        <f t="shared" si="12"/>
        <v>1</v>
      </c>
      <c r="D60" s="75"/>
      <c r="E60" s="53"/>
      <c r="F60" s="53"/>
      <c r="G60" s="53"/>
      <c r="H60" s="53"/>
      <c r="I60" s="10"/>
      <c r="J60" s="10"/>
      <c r="K60" s="10"/>
      <c r="L60" s="9"/>
    </row>
    <row r="61" spans="1:12">
      <c r="A61" s="16"/>
      <c r="B61" s="5"/>
      <c r="C61" s="5"/>
      <c r="D61" s="5"/>
      <c r="E61" s="5"/>
      <c r="F61" s="5"/>
      <c r="G61" s="5"/>
      <c r="H61" s="122"/>
      <c r="L61" s="12"/>
    </row>
    <row r="62" spans="1:12" ht="15" customHeight="1">
      <c r="A62" s="16"/>
      <c r="B62" s="5"/>
      <c r="C62" s="366" t="s">
        <v>35</v>
      </c>
      <c r="D62" s="366"/>
      <c r="E62" s="366"/>
      <c r="F62" s="366"/>
      <c r="G62" s="367" t="s">
        <v>60</v>
      </c>
      <c r="H62" s="367"/>
      <c r="I62" s="367"/>
      <c r="J62" s="367"/>
      <c r="K62" s="367"/>
      <c r="L62" s="233"/>
    </row>
    <row r="63" spans="1:12" s="36" customFormat="1" ht="15">
      <c r="A63" s="229" t="s">
        <v>66</v>
      </c>
      <c r="B63" s="101" t="s">
        <v>36</v>
      </c>
      <c r="C63" s="184" t="s">
        <v>95</v>
      </c>
      <c r="D63" s="197" t="s">
        <v>96</v>
      </c>
      <c r="E63" s="197" t="s">
        <v>97</v>
      </c>
      <c r="F63" s="197" t="s">
        <v>92</v>
      </c>
      <c r="G63" s="197" t="s">
        <v>98</v>
      </c>
      <c r="H63" s="184" t="s">
        <v>95</v>
      </c>
      <c r="I63" s="197" t="s">
        <v>96</v>
      </c>
      <c r="J63" s="197" t="s">
        <v>97</v>
      </c>
      <c r="K63" s="185" t="s">
        <v>92</v>
      </c>
      <c r="L63" s="197" t="s">
        <v>98</v>
      </c>
    </row>
    <row r="64" spans="1:12" s="36" customFormat="1" ht="15">
      <c r="A64" s="136" t="s">
        <v>71</v>
      </c>
      <c r="B64" s="235">
        <f>11.89*2</f>
        <v>23.78</v>
      </c>
      <c r="C64" s="248">
        <f>$C$76*H64</f>
        <v>0</v>
      </c>
      <c r="D64" s="248">
        <f>$C$86*I64</f>
        <v>0</v>
      </c>
      <c r="E64" s="248">
        <f>$G$86*J64</f>
        <v>0</v>
      </c>
      <c r="F64" s="248">
        <f>$K$86*K64</f>
        <v>0</v>
      </c>
      <c r="G64" s="109">
        <f>$K$86*L64</f>
        <v>0</v>
      </c>
      <c r="H64" s="246">
        <v>0</v>
      </c>
      <c r="I64" s="246">
        <v>0</v>
      </c>
      <c r="J64" s="246">
        <v>0</v>
      </c>
      <c r="K64" s="247">
        <v>0</v>
      </c>
      <c r="L64" s="187">
        <v>0</v>
      </c>
    </row>
    <row r="65" spans="1:12" s="36" customFormat="1" ht="15">
      <c r="A65" s="136"/>
      <c r="B65" s="120">
        <v>0</v>
      </c>
      <c r="C65" s="249">
        <f>$C$76*H65</f>
        <v>0</v>
      </c>
      <c r="D65" s="249">
        <f>$C$86*I65</f>
        <v>0</v>
      </c>
      <c r="E65" s="249">
        <f>$G$86*J65</f>
        <v>0</v>
      </c>
      <c r="F65" s="249">
        <f>$K$86*K65</f>
        <v>0</v>
      </c>
      <c r="G65" s="111">
        <f>$K$86*L65</f>
        <v>0</v>
      </c>
      <c r="H65" s="246">
        <v>0</v>
      </c>
      <c r="I65" s="246">
        <v>0</v>
      </c>
      <c r="J65" s="246">
        <v>0</v>
      </c>
      <c r="K65" s="247">
        <v>0</v>
      </c>
      <c r="L65" s="187">
        <v>0</v>
      </c>
    </row>
    <row r="66" spans="1:12" s="36" customFormat="1">
      <c r="A66" s="136"/>
      <c r="B66" s="42"/>
      <c r="C66" s="109">
        <f>SUM(C64:C65)</f>
        <v>0</v>
      </c>
      <c r="D66" s="109">
        <f>SUM(D64:D65)</f>
        <v>0</v>
      </c>
      <c r="E66" s="109">
        <f>SUM(E64:E65)</f>
        <v>0</v>
      </c>
      <c r="F66" s="109">
        <f>SUM(F64:F65)</f>
        <v>0</v>
      </c>
      <c r="G66" s="109">
        <f>SUM(G64:G65)</f>
        <v>0</v>
      </c>
      <c r="H66" s="80"/>
      <c r="I66" s="80"/>
      <c r="J66" s="80"/>
      <c r="K66" s="110"/>
      <c r="L66" s="110"/>
    </row>
    <row r="67" spans="1:12" s="36" customFormat="1">
      <c r="A67" s="230" t="s">
        <v>70</v>
      </c>
      <c r="B67" s="42"/>
      <c r="C67" s="109"/>
      <c r="D67" s="109"/>
      <c r="E67" s="109"/>
      <c r="F67" s="109"/>
      <c r="G67" s="109"/>
      <c r="H67" s="80"/>
      <c r="I67" s="80"/>
      <c r="J67" s="80"/>
      <c r="K67" s="110"/>
      <c r="L67" s="110"/>
    </row>
    <row r="68" spans="1:12" s="36" customFormat="1" ht="15">
      <c r="A68" s="136" t="s">
        <v>99</v>
      </c>
      <c r="B68" s="235">
        <v>0</v>
      </c>
      <c r="C68" s="248">
        <f>$C$77*H68</f>
        <v>0</v>
      </c>
      <c r="D68" s="248">
        <f>$C$87*I68</f>
        <v>0</v>
      </c>
      <c r="E68" s="248">
        <f>$G$87*J68</f>
        <v>0</v>
      </c>
      <c r="F68" s="248">
        <f t="shared" ref="F68:G71" si="13">$K$87*K68</f>
        <v>0</v>
      </c>
      <c r="G68" s="109">
        <f t="shared" si="13"/>
        <v>0</v>
      </c>
      <c r="H68" s="246">
        <v>0</v>
      </c>
      <c r="I68" s="246">
        <v>0</v>
      </c>
      <c r="J68" s="246">
        <v>0</v>
      </c>
      <c r="K68" s="247">
        <v>0</v>
      </c>
      <c r="L68" s="187">
        <v>0</v>
      </c>
    </row>
    <row r="69" spans="1:12" s="36" customFormat="1" ht="15">
      <c r="A69" s="136" t="s">
        <v>100</v>
      </c>
      <c r="B69" s="235">
        <f>116.72*2</f>
        <v>233.44</v>
      </c>
      <c r="C69" s="248">
        <f>$C$77*H69</f>
        <v>0</v>
      </c>
      <c r="D69" s="248">
        <f>$C$87*I69</f>
        <v>0</v>
      </c>
      <c r="E69" s="248">
        <f>$G$87*J69</f>
        <v>0</v>
      </c>
      <c r="F69" s="248">
        <f t="shared" si="13"/>
        <v>0</v>
      </c>
      <c r="G69" s="109">
        <f t="shared" si="13"/>
        <v>0</v>
      </c>
      <c r="H69" s="246">
        <v>0</v>
      </c>
      <c r="I69" s="246">
        <v>0</v>
      </c>
      <c r="J69" s="246">
        <v>0</v>
      </c>
      <c r="K69" s="247">
        <v>0</v>
      </c>
      <c r="L69" s="187">
        <v>0</v>
      </c>
    </row>
    <row r="70" spans="1:12" s="36" customFormat="1" ht="15">
      <c r="A70" s="136" t="s">
        <v>20</v>
      </c>
      <c r="B70" s="120">
        <v>0</v>
      </c>
      <c r="C70" s="248">
        <v>0</v>
      </c>
      <c r="D70" s="248">
        <f>$C$87*I70</f>
        <v>0</v>
      </c>
      <c r="E70" s="248">
        <f>$G$87*J70</f>
        <v>0</v>
      </c>
      <c r="F70" s="248">
        <f t="shared" si="13"/>
        <v>0</v>
      </c>
      <c r="G70" s="109">
        <f t="shared" si="13"/>
        <v>0</v>
      </c>
      <c r="H70" s="246">
        <v>0</v>
      </c>
      <c r="I70" s="246">
        <v>0</v>
      </c>
      <c r="J70" s="246">
        <v>0</v>
      </c>
      <c r="K70" s="247">
        <v>0</v>
      </c>
      <c r="L70" s="187">
        <v>0</v>
      </c>
    </row>
    <row r="71" spans="1:12" s="36" customFormat="1" ht="15">
      <c r="A71" s="136"/>
      <c r="B71" s="120">
        <v>0</v>
      </c>
      <c r="C71" s="249">
        <v>0</v>
      </c>
      <c r="D71" s="249">
        <f>$C$87*I71</f>
        <v>0</v>
      </c>
      <c r="E71" s="249">
        <f>$G$87*J71</f>
        <v>0</v>
      </c>
      <c r="F71" s="249">
        <f t="shared" si="13"/>
        <v>0</v>
      </c>
      <c r="G71" s="111">
        <f t="shared" si="13"/>
        <v>0</v>
      </c>
      <c r="H71" s="246">
        <v>0</v>
      </c>
      <c r="I71" s="246">
        <v>0</v>
      </c>
      <c r="J71" s="246">
        <v>0</v>
      </c>
      <c r="K71" s="247">
        <v>0</v>
      </c>
      <c r="L71" s="187">
        <v>0</v>
      </c>
    </row>
    <row r="72" spans="1:12" s="36" customFormat="1">
      <c r="A72" s="148"/>
      <c r="B72" s="42"/>
      <c r="C72" s="109">
        <f>SUM(C68:C71)</f>
        <v>0</v>
      </c>
      <c r="D72" s="109">
        <f>SUM(D68:D71)</f>
        <v>0</v>
      </c>
      <c r="E72" s="109">
        <f>SUM(E68:E71)</f>
        <v>0</v>
      </c>
      <c r="F72" s="109">
        <f>SUM(F68:F71)</f>
        <v>0</v>
      </c>
      <c r="G72" s="109">
        <f>SUM(G68:G71)</f>
        <v>0</v>
      </c>
      <c r="H72" s="80"/>
      <c r="I72" s="80"/>
      <c r="L72" s="119"/>
    </row>
    <row r="73" spans="1:12" s="36" customFormat="1">
      <c r="A73" s="148"/>
      <c r="B73" s="42"/>
      <c r="C73" s="109"/>
      <c r="D73" s="109"/>
      <c r="E73" s="109"/>
      <c r="F73" s="80"/>
      <c r="G73" s="80"/>
      <c r="H73" s="80"/>
      <c r="I73" s="80"/>
      <c r="L73" s="119"/>
    </row>
    <row r="74" spans="1:12" s="36" customFormat="1" ht="15">
      <c r="A74" s="6"/>
      <c r="B74" s="354" t="s">
        <v>95</v>
      </c>
      <c r="C74" s="354"/>
      <c r="D74" s="354"/>
      <c r="E74" s="37"/>
      <c r="F74" s="354" t="s">
        <v>96</v>
      </c>
      <c r="G74" s="354"/>
      <c r="H74" s="354"/>
      <c r="I74" s="185"/>
      <c r="L74" s="119"/>
    </row>
    <row r="75" spans="1:12" s="36" customFormat="1" ht="15" customHeight="1">
      <c r="A75" s="229"/>
      <c r="B75" s="278" t="s">
        <v>34</v>
      </c>
      <c r="C75" s="279" t="s">
        <v>35</v>
      </c>
      <c r="D75" s="35" t="s">
        <v>63</v>
      </c>
      <c r="E75" s="37"/>
      <c r="F75" s="35" t="s">
        <v>34</v>
      </c>
      <c r="G75" s="41" t="s">
        <v>35</v>
      </c>
      <c r="H75" s="35" t="s">
        <v>63</v>
      </c>
      <c r="I75" s="35"/>
      <c r="L75" s="119"/>
    </row>
    <row r="76" spans="1:12" s="36" customFormat="1" ht="15">
      <c r="A76" s="30" t="s">
        <v>66</v>
      </c>
      <c r="B76" s="280">
        <f>0.011</f>
        <v>1.0999999999999999E-2</v>
      </c>
      <c r="C76" s="242">
        <f>AVERAGE(3.6826,3.5997, 2.6808)</f>
        <v>3.3210333333333328</v>
      </c>
      <c r="D76" s="33">
        <f>B76*C76</f>
        <v>3.6531366666666662E-2</v>
      </c>
      <c r="F76" s="73">
        <v>0</v>
      </c>
      <c r="G76" s="118">
        <v>0</v>
      </c>
      <c r="H76" s="33">
        <f>F76*G76</f>
        <v>0</v>
      </c>
      <c r="I76" s="33"/>
      <c r="L76" s="119"/>
    </row>
    <row r="77" spans="1:12" s="36" customFormat="1" ht="15">
      <c r="A77" s="231" t="s">
        <v>69</v>
      </c>
      <c r="B77" s="272">
        <f>($B$68*$H$68+$B$69*$H$69+$B$70*$H$70+$B$71*$H$71)/2000</f>
        <v>0</v>
      </c>
      <c r="C77" s="242">
        <v>0</v>
      </c>
      <c r="D77" s="52">
        <f>B77*C77</f>
        <v>0</v>
      </c>
      <c r="F77" s="24">
        <f>($B$68*$L$68+$B$69*$L$69+$B$70*$L$70+$B$71*$L$71)/2000</f>
        <v>0</v>
      </c>
      <c r="G77" s="118">
        <v>0</v>
      </c>
      <c r="H77" s="52">
        <f>F77*G77</f>
        <v>0</v>
      </c>
      <c r="I77" s="52"/>
      <c r="L77" s="228"/>
    </row>
    <row r="78" spans="1:12" s="36" customFormat="1" ht="15">
      <c r="A78" s="30" t="s">
        <v>104</v>
      </c>
      <c r="B78" s="281">
        <v>1.8380000000000001</v>
      </c>
      <c r="C78" s="242">
        <v>8.0999999999999996E-3</v>
      </c>
      <c r="D78" s="52">
        <f>B78*C78</f>
        <v>1.48878E-2</v>
      </c>
      <c r="F78" s="24">
        <f>+B78</f>
        <v>1.8380000000000001</v>
      </c>
      <c r="G78" s="118">
        <v>0</v>
      </c>
      <c r="H78" s="52">
        <f>F78*G78</f>
        <v>0</v>
      </c>
      <c r="I78" s="52"/>
      <c r="L78" s="119"/>
    </row>
    <row r="79" spans="1:12" s="36" customFormat="1" ht="15">
      <c r="A79" s="30" t="s">
        <v>105</v>
      </c>
      <c r="B79" s="272">
        <f>750/1000</f>
        <v>0.75</v>
      </c>
      <c r="C79" s="242">
        <v>1.61E-2</v>
      </c>
      <c r="D79" s="52">
        <f t="shared" ref="D79:D80" si="14">B79*C79</f>
        <v>1.2074999999999999E-2</v>
      </c>
      <c r="F79" s="24">
        <f>+B79</f>
        <v>0.75</v>
      </c>
      <c r="G79" s="118">
        <v>0</v>
      </c>
      <c r="H79" s="52"/>
      <c r="I79" s="52"/>
      <c r="L79" s="119"/>
    </row>
    <row r="80" spans="1:12" s="36" customFormat="1" ht="16.5">
      <c r="A80" s="30" t="s">
        <v>103</v>
      </c>
      <c r="B80" s="272">
        <f>157.43/1000</f>
        <v>0.15743000000000001</v>
      </c>
      <c r="C80" s="242">
        <v>1.5699999999999999E-2</v>
      </c>
      <c r="D80" s="52">
        <f t="shared" si="14"/>
        <v>2.4716510000000001E-3</v>
      </c>
      <c r="F80" s="24">
        <f>+B80</f>
        <v>0.15743000000000001</v>
      </c>
      <c r="G80" s="118">
        <v>0</v>
      </c>
      <c r="H80" s="40">
        <v>0</v>
      </c>
      <c r="I80" s="40"/>
      <c r="L80" s="119"/>
    </row>
    <row r="82" spans="1:12" s="36" customFormat="1">
      <c r="A82" s="76" t="s">
        <v>67</v>
      </c>
      <c r="B82" s="74"/>
      <c r="C82" s="39"/>
      <c r="D82" s="38">
        <f>SUM(D76:D80)</f>
        <v>6.5965817666666662E-2</v>
      </c>
      <c r="F82" s="74"/>
      <c r="G82" s="39"/>
      <c r="H82" s="38">
        <f>SUM(H76:H80)</f>
        <v>0</v>
      </c>
      <c r="I82" s="38"/>
      <c r="L82" s="119"/>
    </row>
    <row r="83" spans="1:12" s="36" customFormat="1">
      <c r="A83" s="30"/>
      <c r="E83" s="37"/>
      <c r="F83" s="43"/>
      <c r="G83" s="42"/>
      <c r="H83" s="42"/>
      <c r="I83" s="42"/>
      <c r="L83" s="119"/>
    </row>
    <row r="84" spans="1:12" ht="15">
      <c r="A84" s="6"/>
      <c r="B84" s="354" t="s">
        <v>97</v>
      </c>
      <c r="C84" s="354"/>
      <c r="D84" s="354"/>
      <c r="E84" s="5"/>
      <c r="F84" s="354" t="s">
        <v>92</v>
      </c>
      <c r="G84" s="354"/>
      <c r="H84" s="354"/>
      <c r="I84" s="185"/>
      <c r="J84" s="354" t="s">
        <v>98</v>
      </c>
      <c r="K84" s="354"/>
      <c r="L84" s="355"/>
    </row>
    <row r="85" spans="1:12" ht="28.9" customHeight="1">
      <c r="A85" s="6"/>
      <c r="B85" s="35" t="s">
        <v>34</v>
      </c>
      <c r="C85" s="196" t="s">
        <v>101</v>
      </c>
      <c r="D85" s="35" t="s">
        <v>63</v>
      </c>
      <c r="F85" s="35" t="s">
        <v>34</v>
      </c>
      <c r="G85" s="41" t="s">
        <v>35</v>
      </c>
      <c r="H85" s="35" t="s">
        <v>63</v>
      </c>
      <c r="I85" s="35"/>
      <c r="J85" s="35" t="s">
        <v>34</v>
      </c>
      <c r="K85" s="41" t="s">
        <v>35</v>
      </c>
      <c r="L85" s="34" t="s">
        <v>63</v>
      </c>
    </row>
    <row r="86" spans="1:12" ht="15">
      <c r="A86" s="232" t="s">
        <v>68</v>
      </c>
      <c r="B86" s="73">
        <f>($B$64*$I$64+$B$65*$I$65)/2000</f>
        <v>0</v>
      </c>
      <c r="C86" s="118">
        <v>0</v>
      </c>
      <c r="D86" s="33">
        <f>B86*C86</f>
        <v>0</v>
      </c>
      <c r="F86" s="73">
        <f>($B$64*$J$64+$B$65*$J$65)/2000</f>
        <v>0</v>
      </c>
      <c r="G86" s="118">
        <v>0</v>
      </c>
      <c r="H86" s="89">
        <f>F86*G86</f>
        <v>0</v>
      </c>
      <c r="I86" s="89"/>
      <c r="J86" s="73">
        <f>($B$64*$K$64+$B$65*$K$65)/2000</f>
        <v>0</v>
      </c>
      <c r="K86" s="118">
        <v>0</v>
      </c>
      <c r="L86" s="50">
        <f>J86*K86</f>
        <v>0</v>
      </c>
    </row>
    <row r="87" spans="1:12" ht="15">
      <c r="A87" s="6" t="s">
        <v>69</v>
      </c>
      <c r="B87" s="24">
        <f>($B$68*$I$68+$B$69*$I$69+$B$70*$I$70+$B$71*$I$71)/2000</f>
        <v>0</v>
      </c>
      <c r="C87" s="118">
        <v>0</v>
      </c>
      <c r="D87" s="13">
        <f t="shared" ref="D87:D92" si="15">B87*C87</f>
        <v>0</v>
      </c>
      <c r="F87" s="24">
        <f>($B$68*$J$68+$B$69*$J$69+$B$70*$J$70+$B$71*$J$71)/2000</f>
        <v>0</v>
      </c>
      <c r="G87" s="118">
        <v>0</v>
      </c>
      <c r="H87" s="100">
        <f t="shared" ref="H87:H92" si="16">F87*G87</f>
        <v>0</v>
      </c>
      <c r="I87" s="13"/>
      <c r="J87" s="24">
        <f>($B$68*$K$68+$B$69*$K$69+$B$70*$K$70+$B$71*$K$71)/2000</f>
        <v>0</v>
      </c>
      <c r="K87" s="118">
        <v>0</v>
      </c>
      <c r="L87" s="31">
        <f t="shared" ref="L87:L94" si="17">J87*K87</f>
        <v>0</v>
      </c>
    </row>
    <row r="88" spans="1:12" ht="16.5">
      <c r="A88" s="30" t="s">
        <v>104</v>
      </c>
      <c r="B88" s="47">
        <v>2.54</v>
      </c>
      <c r="C88" s="118">
        <v>0</v>
      </c>
      <c r="D88" s="13">
        <f t="shared" si="15"/>
        <v>0</v>
      </c>
      <c r="F88" s="24">
        <f>+B88</f>
        <v>2.54</v>
      </c>
      <c r="G88" s="118">
        <v>0</v>
      </c>
      <c r="H88" s="100">
        <f t="shared" si="16"/>
        <v>0</v>
      </c>
      <c r="I88" s="88"/>
      <c r="J88" s="272">
        <v>1.964</v>
      </c>
      <c r="K88" s="118">
        <v>2.0848163962425278E-2</v>
      </c>
      <c r="L88" s="190">
        <f t="shared" si="17"/>
        <v>4.0945794022203247E-2</v>
      </c>
    </row>
    <row r="89" spans="1:12" ht="16.5">
      <c r="A89" s="30" t="s">
        <v>105</v>
      </c>
      <c r="B89" s="24">
        <f>750/1000</f>
        <v>0.75</v>
      </c>
      <c r="C89" s="118">
        <v>0</v>
      </c>
      <c r="D89" s="13">
        <f t="shared" si="15"/>
        <v>0</v>
      </c>
      <c r="F89" s="24">
        <f>+B89</f>
        <v>0.75</v>
      </c>
      <c r="G89" s="118">
        <v>0</v>
      </c>
      <c r="H89" s="100">
        <f t="shared" si="16"/>
        <v>0</v>
      </c>
      <c r="I89" s="88"/>
      <c r="J89" s="272">
        <v>0.59099999999999997</v>
      </c>
      <c r="K89" s="118">
        <v>3.101451750640478E-3</v>
      </c>
      <c r="L89" s="190">
        <f t="shared" si="17"/>
        <v>1.8329579846285225E-3</v>
      </c>
    </row>
    <row r="90" spans="1:12" ht="16.5">
      <c r="A90" s="30" t="s">
        <v>103</v>
      </c>
      <c r="B90" s="24">
        <f>157.43/1000</f>
        <v>0.15743000000000001</v>
      </c>
      <c r="C90" s="118">
        <v>0</v>
      </c>
      <c r="D90" s="13">
        <f t="shared" si="15"/>
        <v>0</v>
      </c>
      <c r="F90" s="24">
        <f>+B90</f>
        <v>0.15743000000000001</v>
      </c>
      <c r="G90" s="118">
        <v>0</v>
      </c>
      <c r="H90" s="100">
        <f t="shared" si="16"/>
        <v>0</v>
      </c>
      <c r="I90" s="88"/>
      <c r="J90" s="272">
        <v>0.105</v>
      </c>
      <c r="K90" s="118">
        <v>0.1</v>
      </c>
      <c r="L90" s="190">
        <f t="shared" si="17"/>
        <v>1.0500000000000001E-2</v>
      </c>
    </row>
    <row r="91" spans="1:12" ht="16.5">
      <c r="A91" s="30" t="s">
        <v>106</v>
      </c>
      <c r="B91" s="24"/>
      <c r="C91" s="118">
        <v>0</v>
      </c>
      <c r="D91" s="13">
        <f t="shared" si="15"/>
        <v>0</v>
      </c>
      <c r="F91" s="24">
        <f>+B91</f>
        <v>0</v>
      </c>
      <c r="G91" s="118">
        <v>0</v>
      </c>
      <c r="H91" s="100">
        <f t="shared" si="16"/>
        <v>0</v>
      </c>
      <c r="I91" s="88"/>
      <c r="J91" s="272">
        <v>1.0269999999999999</v>
      </c>
      <c r="K91" s="118">
        <v>2.1752348420153713E-3</v>
      </c>
      <c r="L91" s="190">
        <f t="shared" si="17"/>
        <v>2.2339661827497862E-3</v>
      </c>
    </row>
    <row r="92" spans="1:12" ht="16.5">
      <c r="A92" s="30" t="s">
        <v>107</v>
      </c>
      <c r="B92" s="24"/>
      <c r="C92" s="118">
        <v>0</v>
      </c>
      <c r="D92" s="13">
        <f t="shared" si="15"/>
        <v>0</v>
      </c>
      <c r="F92" s="24">
        <f>+B92</f>
        <v>0</v>
      </c>
      <c r="G92" s="118">
        <v>0</v>
      </c>
      <c r="H92" s="100">
        <f t="shared" si="16"/>
        <v>0</v>
      </c>
      <c r="I92" s="88"/>
      <c r="J92" s="272">
        <v>1.389</v>
      </c>
      <c r="K92" s="118">
        <v>2.3312553373185311E-3</v>
      </c>
      <c r="L92" s="190">
        <f t="shared" si="17"/>
        <v>3.2381136635354396E-3</v>
      </c>
    </row>
    <row r="93" spans="1:12" ht="16.5">
      <c r="A93" s="30" t="s">
        <v>108</v>
      </c>
      <c r="B93" s="239"/>
      <c r="C93" s="118"/>
      <c r="D93" s="13"/>
      <c r="F93" s="24"/>
      <c r="G93" s="118"/>
      <c r="H93" s="100"/>
      <c r="I93" s="88"/>
      <c r="J93" s="273">
        <v>18.84</v>
      </c>
      <c r="K93" s="118">
        <v>5.9999999999999995E-4</v>
      </c>
      <c r="L93" s="190">
        <f t="shared" si="17"/>
        <v>1.1303999999999998E-2</v>
      </c>
    </row>
    <row r="94" spans="1:12" ht="16.5">
      <c r="A94" s="30" t="s">
        <v>109</v>
      </c>
      <c r="B94" s="238"/>
      <c r="C94" s="118"/>
      <c r="D94" s="13"/>
      <c r="F94" s="24"/>
      <c r="G94" s="118"/>
      <c r="H94" s="100"/>
      <c r="I94" s="88"/>
      <c r="J94" s="274">
        <v>1.33</v>
      </c>
      <c r="K94" s="118">
        <v>5.9999999999999995E-4</v>
      </c>
      <c r="L94" s="190">
        <f t="shared" si="17"/>
        <v>7.9799999999999999E-4</v>
      </c>
    </row>
    <row r="95" spans="1:12" ht="16.5">
      <c r="A95" s="30"/>
      <c r="B95" s="191"/>
      <c r="C95" s="191"/>
      <c r="D95" s="40">
        <v>0</v>
      </c>
      <c r="F95" s="191"/>
      <c r="G95" s="191"/>
      <c r="H95" s="40">
        <v>0</v>
      </c>
      <c r="I95" s="88"/>
      <c r="J95" s="191"/>
      <c r="K95" s="191"/>
      <c r="L95" s="240">
        <v>0</v>
      </c>
    </row>
    <row r="96" spans="1:12">
      <c r="A96" s="83" t="s">
        <v>67</v>
      </c>
      <c r="B96" s="53"/>
      <c r="C96" s="75"/>
      <c r="D96" s="189">
        <f>SUM(D86:D95)</f>
        <v>0</v>
      </c>
      <c r="E96" s="53"/>
      <c r="F96" s="53"/>
      <c r="G96" s="75"/>
      <c r="H96" s="189">
        <f>SUM(H86:H95)</f>
        <v>0</v>
      </c>
      <c r="I96" s="123"/>
      <c r="J96" s="53"/>
      <c r="K96" s="75"/>
      <c r="L96" s="241">
        <f>SUM(L86:L95)</f>
        <v>7.0852831853116985E-2</v>
      </c>
    </row>
    <row r="98" spans="1:9">
      <c r="A98" s="356" t="s">
        <v>33</v>
      </c>
      <c r="B98" s="357"/>
      <c r="C98" s="357"/>
      <c r="D98" s="357"/>
      <c r="E98" s="357"/>
      <c r="F98" s="357"/>
      <c r="G98" s="357"/>
      <c r="H98" s="358"/>
    </row>
    <row r="99" spans="1:9" ht="14.65" customHeight="1">
      <c r="A99" s="71"/>
      <c r="B99" s="72"/>
      <c r="C99" s="72"/>
      <c r="D99" s="72"/>
      <c r="E99" s="72"/>
      <c r="F99" s="368" t="s">
        <v>53</v>
      </c>
      <c r="G99" s="368"/>
      <c r="H99" s="369"/>
    </row>
    <row r="100" spans="1:9" ht="15">
      <c r="A100" s="370" t="s">
        <v>55</v>
      </c>
      <c r="B100" s="371"/>
      <c r="C100" s="371"/>
      <c r="D100" s="371"/>
      <c r="E100" s="371"/>
      <c r="F100" s="368"/>
      <c r="G100" s="368"/>
      <c r="H100" s="369"/>
    </row>
    <row r="101" spans="1:9" ht="16.5">
      <c r="A101" s="16"/>
      <c r="B101" s="185" t="s">
        <v>56</v>
      </c>
      <c r="C101" s="185" t="s">
        <v>85</v>
      </c>
      <c r="D101" s="185" t="s">
        <v>32</v>
      </c>
      <c r="E101" s="185" t="s">
        <v>54</v>
      </c>
      <c r="F101" s="103">
        <v>1</v>
      </c>
      <c r="G101" s="128" t="s">
        <v>58</v>
      </c>
      <c r="H101" s="85">
        <f>(F101*C202*C204)+((F101*C202*C204*D113))</f>
        <v>345498296</v>
      </c>
    </row>
    <row r="102" spans="1:9" ht="15">
      <c r="A102" s="30" t="s">
        <v>95</v>
      </c>
      <c r="B102" s="28">
        <f>B54</f>
        <v>0</v>
      </c>
      <c r="C102" s="286">
        <v>550</v>
      </c>
      <c r="D102" s="28">
        <f>B102/C102</f>
        <v>0</v>
      </c>
      <c r="E102" s="21">
        <f t="shared" ref="E102:E108" si="18">D102/D$108</f>
        <v>0</v>
      </c>
      <c r="F102" s="86">
        <f>(F101*C202*C204*C116)+((F101*C202*C204*D113)*C118)</f>
        <v>18643340.973099794</v>
      </c>
      <c r="G102" s="5" t="s">
        <v>29</v>
      </c>
      <c r="H102" s="87">
        <f>F102/$H$101</f>
        <v>5.3960732046851527E-2</v>
      </c>
      <c r="I102" s="287" t="s">
        <v>120</v>
      </c>
    </row>
    <row r="103" spans="1:9" ht="15">
      <c r="A103" s="30" t="s">
        <v>96</v>
      </c>
      <c r="B103" s="43">
        <f t="shared" ref="B103:B107" si="19">B55</f>
        <v>0</v>
      </c>
      <c r="C103" s="108">
        <v>0</v>
      </c>
      <c r="D103" s="28">
        <v>0</v>
      </c>
      <c r="E103" s="21">
        <f t="shared" si="18"/>
        <v>0</v>
      </c>
      <c r="F103" s="195">
        <f>F102*C206</f>
        <v>5593002.2919299379</v>
      </c>
      <c r="G103" s="5" t="s">
        <v>28</v>
      </c>
      <c r="H103" s="87">
        <f>F103/$H$101</f>
        <v>1.6188219614055456E-2</v>
      </c>
    </row>
    <row r="104" spans="1:9" ht="15">
      <c r="A104" s="30" t="s">
        <v>97</v>
      </c>
      <c r="B104" s="43">
        <f t="shared" si="19"/>
        <v>0</v>
      </c>
      <c r="C104" s="108">
        <v>0</v>
      </c>
      <c r="D104" s="28">
        <v>0</v>
      </c>
      <c r="E104" s="21">
        <f t="shared" si="18"/>
        <v>0</v>
      </c>
      <c r="F104" s="86"/>
      <c r="G104" s="5"/>
      <c r="H104" s="87"/>
    </row>
    <row r="105" spans="1:9" ht="15">
      <c r="A105" s="30" t="s">
        <v>92</v>
      </c>
      <c r="B105" s="43">
        <f t="shared" si="19"/>
        <v>0</v>
      </c>
      <c r="C105" s="108">
        <v>0</v>
      </c>
      <c r="D105" s="28">
        <v>0</v>
      </c>
      <c r="E105" s="21">
        <f t="shared" si="18"/>
        <v>0</v>
      </c>
      <c r="F105" s="86"/>
      <c r="G105" s="5"/>
      <c r="H105" s="87"/>
    </row>
    <row r="106" spans="1:9" ht="15">
      <c r="A106" s="30" t="s">
        <v>90</v>
      </c>
      <c r="B106" s="43">
        <f t="shared" si="19"/>
        <v>4900</v>
      </c>
      <c r="C106" s="286">
        <v>110</v>
      </c>
      <c r="D106" s="28">
        <f t="shared" ref="D106" si="20">B106/C106</f>
        <v>44.545454545454547</v>
      </c>
      <c r="E106" s="21">
        <f>D106/D$108</f>
        <v>1</v>
      </c>
      <c r="F106" s="86"/>
      <c r="G106" s="5"/>
      <c r="H106" s="87"/>
      <c r="I106" s="287" t="s">
        <v>119</v>
      </c>
    </row>
    <row r="107" spans="1:9" ht="15">
      <c r="A107" s="83" t="s">
        <v>20</v>
      </c>
      <c r="B107" s="112">
        <f t="shared" si="19"/>
        <v>0</v>
      </c>
      <c r="C107" s="108">
        <v>0</v>
      </c>
      <c r="D107" s="106">
        <v>0</v>
      </c>
      <c r="E107" s="107">
        <f t="shared" si="18"/>
        <v>0</v>
      </c>
      <c r="H107" s="12"/>
    </row>
    <row r="108" spans="1:9">
      <c r="A108" s="96"/>
      <c r="B108" s="69">
        <f>SUM(B102:B107)</f>
        <v>4900</v>
      </c>
      <c r="C108" s="70">
        <f>B108/D108</f>
        <v>110</v>
      </c>
      <c r="D108" s="70">
        <f>SUM(D102:D107)</f>
        <v>44.545454545454547</v>
      </c>
      <c r="E108" s="314">
        <f t="shared" si="18"/>
        <v>1</v>
      </c>
      <c r="H108" s="27"/>
    </row>
    <row r="109" spans="1:9">
      <c r="A109" s="315" t="s">
        <v>115</v>
      </c>
      <c r="B109" s="69"/>
      <c r="C109" s="70"/>
      <c r="D109" s="70"/>
      <c r="E109" s="314"/>
      <c r="F109" s="4"/>
      <c r="G109" s="4"/>
      <c r="H109" s="316"/>
    </row>
    <row r="110" spans="1:9" ht="15">
      <c r="A110" s="6"/>
      <c r="B110" s="289"/>
      <c r="C110" s="289"/>
      <c r="D110" s="289"/>
      <c r="E110" s="289"/>
      <c r="F110" s="289"/>
      <c r="G110" s="289"/>
      <c r="H110" s="290"/>
    </row>
    <row r="111" spans="1:9">
      <c r="A111" s="6"/>
      <c r="B111" s="352"/>
      <c r="C111" s="352"/>
      <c r="D111" s="352"/>
      <c r="F111" s="352"/>
      <c r="G111" s="352"/>
      <c r="H111" s="353"/>
    </row>
    <row r="112" spans="1:9" ht="15">
      <c r="A112" s="6"/>
      <c r="B112" t="s">
        <v>125</v>
      </c>
      <c r="C112" t="s">
        <v>126</v>
      </c>
      <c r="D112" t="s">
        <v>127</v>
      </c>
      <c r="E112" t="s">
        <v>128</v>
      </c>
      <c r="F112" s="317" t="s">
        <v>129</v>
      </c>
      <c r="G112" s="317" t="s">
        <v>130</v>
      </c>
      <c r="H112" s="291" t="s">
        <v>131</v>
      </c>
    </row>
    <row r="113" spans="1:30" ht="15">
      <c r="A113" s="292" t="s">
        <v>31</v>
      </c>
      <c r="B113" s="293">
        <v>119702.77</v>
      </c>
      <c r="C113" s="293">
        <v>140371.43</v>
      </c>
      <c r="D113" s="293">
        <v>166103.95000000001</v>
      </c>
      <c r="E113" s="293">
        <v>166766.85999999999</v>
      </c>
      <c r="F113" s="294">
        <v>105842.43</v>
      </c>
      <c r="G113" s="294">
        <v>147383.65</v>
      </c>
      <c r="H113" s="295">
        <v>163283.07</v>
      </c>
      <c r="U113" s="178"/>
      <c r="V113" s="178"/>
      <c r="W113" s="178"/>
      <c r="X113" s="178"/>
      <c r="Z113" s="178"/>
      <c r="AA113" s="166"/>
      <c r="AB113" s="180"/>
      <c r="AC113" s="152"/>
      <c r="AD113" s="93"/>
    </row>
    <row r="114" spans="1:30" ht="15">
      <c r="A114" s="292" t="s">
        <v>30</v>
      </c>
      <c r="B114" s="293">
        <v>15222.93</v>
      </c>
      <c r="C114" s="293">
        <v>23913.55</v>
      </c>
      <c r="D114" s="293">
        <v>19670.79</v>
      </c>
      <c r="E114" s="293">
        <v>41336.57</v>
      </c>
      <c r="F114" s="294">
        <v>23672.31</v>
      </c>
      <c r="G114" s="294">
        <v>9419.99</v>
      </c>
      <c r="H114" s="295">
        <v>18308.82</v>
      </c>
      <c r="U114" s="178"/>
      <c r="V114" s="178"/>
      <c r="W114" s="178"/>
      <c r="X114" s="178"/>
      <c r="Z114" s="178"/>
      <c r="AA114" s="166"/>
      <c r="AB114" s="180"/>
      <c r="AC114" s="152"/>
      <c r="AD114" s="93"/>
    </row>
    <row r="115" spans="1:30" ht="15">
      <c r="A115" s="292" t="s">
        <v>28</v>
      </c>
      <c r="B115" s="293">
        <v>11228.99</v>
      </c>
      <c r="C115" s="293">
        <v>10794.51</v>
      </c>
      <c r="D115" s="293">
        <v>10146.4</v>
      </c>
      <c r="E115" s="293">
        <v>8112.73</v>
      </c>
      <c r="F115" s="294">
        <v>-1917.2</v>
      </c>
      <c r="G115" s="294">
        <v>49379.56</v>
      </c>
      <c r="H115" s="295">
        <v>50660.85</v>
      </c>
      <c r="U115" s="178"/>
      <c r="V115" s="178"/>
      <c r="W115" s="178"/>
      <c r="X115" s="178"/>
      <c r="Z115" s="178"/>
      <c r="AA115" s="166"/>
      <c r="AB115" s="180"/>
      <c r="AC115" s="152"/>
      <c r="AD115" s="93"/>
    </row>
    <row r="116" spans="1:30" ht="16.5">
      <c r="A116" s="296" t="s">
        <v>5</v>
      </c>
      <c r="B116" s="293">
        <v>3928.57</v>
      </c>
      <c r="C116" s="293">
        <v>-3928.57</v>
      </c>
      <c r="D116" s="293">
        <v>0</v>
      </c>
      <c r="E116" s="293">
        <v>-1311.46</v>
      </c>
      <c r="F116" s="294">
        <v>841.1</v>
      </c>
      <c r="G116" s="294">
        <v>0</v>
      </c>
      <c r="H116" s="295">
        <v>0</v>
      </c>
      <c r="I116" s="62"/>
      <c r="U116" s="179"/>
      <c r="V116" s="179"/>
      <c r="W116" s="179"/>
      <c r="X116" s="179"/>
      <c r="Z116" s="179"/>
      <c r="AA116" s="166"/>
      <c r="AB116" s="180"/>
      <c r="AC116" s="152"/>
      <c r="AD116" s="93"/>
    </row>
    <row r="117" spans="1:30" ht="16.5">
      <c r="A117" s="296" t="s">
        <v>132</v>
      </c>
      <c r="B117">
        <v>37953</v>
      </c>
      <c r="C117">
        <v>21274</v>
      </c>
      <c r="D117">
        <v>55365</v>
      </c>
      <c r="E117">
        <v>3960</v>
      </c>
      <c r="F117">
        <v>26641</v>
      </c>
      <c r="G117">
        <v>11698</v>
      </c>
      <c r="H117" s="318">
        <v>35168</v>
      </c>
      <c r="I117" s="62"/>
      <c r="U117" s="179"/>
      <c r="V117" s="179"/>
      <c r="W117" s="179"/>
      <c r="X117" s="179"/>
      <c r="Z117" s="179"/>
      <c r="AA117" s="166"/>
      <c r="AB117" s="180"/>
      <c r="AC117" s="152"/>
      <c r="AD117" s="93"/>
    </row>
    <row r="118" spans="1:30" ht="15">
      <c r="A118" s="296" t="s">
        <v>133</v>
      </c>
      <c r="B118" s="297">
        <f>B115/(B113+B114+B116-B117)</f>
        <v>0.11128690451567158</v>
      </c>
      <c r="C118" s="297">
        <f t="shared" ref="C118:H118" si="21">C115/(C113+C114+C116-C117)</f>
        <v>7.7612330703789228E-2</v>
      </c>
      <c r="D118" s="297">
        <f t="shared" si="21"/>
        <v>7.7804004516840525E-2</v>
      </c>
      <c r="E118" s="297">
        <f t="shared" si="21"/>
        <v>3.9997294312134321E-2</v>
      </c>
      <c r="F118" s="297">
        <f t="shared" si="21"/>
        <v>-1.848530065707087E-2</v>
      </c>
      <c r="G118" s="297">
        <f t="shared" si="21"/>
        <v>0.34030076294760153</v>
      </c>
      <c r="H118" s="300">
        <f t="shared" si="21"/>
        <v>0.34598759806203749</v>
      </c>
      <c r="U118" s="168"/>
      <c r="V118" s="168"/>
      <c r="W118" s="168"/>
      <c r="X118" s="168"/>
      <c r="Z118" s="168"/>
      <c r="AA118" s="151"/>
      <c r="AB118" s="177"/>
      <c r="AC118" s="181"/>
      <c r="AD118" s="5"/>
    </row>
    <row r="119" spans="1:30" ht="15">
      <c r="A119" s="296"/>
      <c r="B119" s="297"/>
      <c r="C119" s="297"/>
      <c r="D119" s="297"/>
      <c r="E119" s="297"/>
      <c r="F119" s="297"/>
      <c r="G119" s="297"/>
      <c r="H119" s="300"/>
    </row>
    <row r="120" spans="1:30">
      <c r="A120" s="6"/>
      <c r="B120" s="43"/>
      <c r="C120" s="301"/>
      <c r="D120" s="15" t="s">
        <v>134</v>
      </c>
      <c r="E120" s="63"/>
      <c r="F120" s="43" t="s">
        <v>135</v>
      </c>
      <c r="G120" s="301"/>
      <c r="H120" s="302"/>
    </row>
    <row r="121" spans="1:30" ht="15">
      <c r="A121" s="292" t="s">
        <v>136</v>
      </c>
      <c r="B121" s="303">
        <v>28</v>
      </c>
      <c r="C121" s="29"/>
      <c r="D121" s="26">
        <f>(AVERAGE((C113-C117),(G113-G117),(H113-H117)))/B121</f>
        <v>4558.3113095238095</v>
      </c>
      <c r="E121" s="63"/>
      <c r="F121" s="304">
        <f>D121*B121</f>
        <v>127632.71666666667</v>
      </c>
      <c r="G121" s="29"/>
      <c r="H121" s="12"/>
      <c r="S121" s="57"/>
      <c r="T121" s="372"/>
      <c r="U121" s="372"/>
      <c r="V121" s="372"/>
      <c r="W121" s="372"/>
      <c r="X121" s="372"/>
      <c r="Y121" s="372"/>
      <c r="Z121" s="372"/>
      <c r="AA121" s="372"/>
      <c r="AB121" s="372"/>
      <c r="AC121" s="372"/>
      <c r="AD121" s="372"/>
    </row>
    <row r="122" spans="1:30" ht="15">
      <c r="A122" s="292" t="s">
        <v>137</v>
      </c>
      <c r="B122" s="303">
        <v>2</v>
      </c>
      <c r="C122" s="78"/>
      <c r="D122" s="26">
        <f>AVERAGE(G114)/B122</f>
        <v>4709.9949999999999</v>
      </c>
      <c r="E122" s="63"/>
      <c r="F122" s="304">
        <f>D122*B122</f>
        <v>9419.99</v>
      </c>
      <c r="G122" s="305"/>
      <c r="H122" s="12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</row>
    <row r="123" spans="1:30">
      <c r="A123" s="76"/>
      <c r="B123" s="117"/>
      <c r="C123" s="284"/>
      <c r="D123" s="306"/>
      <c r="E123" s="63"/>
      <c r="F123" s="307"/>
      <c r="G123" s="319"/>
      <c r="H123" s="308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</row>
    <row r="124" spans="1:30">
      <c r="A124" s="309" t="s">
        <v>138</v>
      </c>
      <c r="B124" s="117">
        <v>15</v>
      </c>
      <c r="C124" s="284"/>
      <c r="D124" s="26">
        <f>D121</f>
        <v>4558.3113095238095</v>
      </c>
      <c r="E124" s="63"/>
      <c r="F124" s="304">
        <f>D124*B124</f>
        <v>68374.669642857145</v>
      </c>
      <c r="G124" s="91"/>
      <c r="H124" s="308"/>
      <c r="I124" s="63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</row>
    <row r="125" spans="1:30">
      <c r="A125" s="309" t="s">
        <v>139</v>
      </c>
      <c r="B125" s="117">
        <v>3</v>
      </c>
      <c r="C125" s="284"/>
      <c r="D125" s="26">
        <f>D122</f>
        <v>4709.9949999999999</v>
      </c>
      <c r="E125" s="63"/>
      <c r="F125" s="304">
        <f>D125*B125</f>
        <v>14129.985000000001</v>
      </c>
      <c r="G125" s="319"/>
      <c r="H125" s="310"/>
      <c r="I125" s="63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</row>
    <row r="126" spans="1:30">
      <c r="A126" s="6"/>
      <c r="B126" s="320"/>
      <c r="F126" s="311"/>
      <c r="H126" s="12"/>
      <c r="I126" s="63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</row>
    <row r="127" spans="1:30">
      <c r="A127" s="6" t="s">
        <v>140</v>
      </c>
      <c r="B127" s="43">
        <f>B121+B124</f>
        <v>43</v>
      </c>
      <c r="C127" s="29"/>
      <c r="D127" s="26">
        <f>D124</f>
        <v>4558.3113095238095</v>
      </c>
      <c r="F127" s="312">
        <f>D127*B127</f>
        <v>196007.3863095238</v>
      </c>
      <c r="H127" s="12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</row>
    <row r="128" spans="1:30">
      <c r="A128" s="6" t="s">
        <v>141</v>
      </c>
      <c r="B128" s="43">
        <f>B122+B125</f>
        <v>5</v>
      </c>
      <c r="C128" s="78"/>
      <c r="D128" s="26">
        <f>D125</f>
        <v>4709.9949999999999</v>
      </c>
      <c r="F128" s="312">
        <f>D128*B128</f>
        <v>23549.974999999999</v>
      </c>
      <c r="H128" s="12"/>
      <c r="S128" s="58"/>
      <c r="T128" s="58"/>
      <c r="U128" s="58"/>
      <c r="V128" s="58"/>
      <c r="W128" s="58"/>
      <c r="X128" s="58"/>
      <c r="Y128" s="58"/>
      <c r="Z128" s="58"/>
      <c r="AA128" s="58"/>
      <c r="AB128" s="59"/>
      <c r="AC128" s="58"/>
      <c r="AD128" s="58"/>
    </row>
    <row r="129" spans="1:8">
      <c r="A129" s="76" t="s">
        <v>132</v>
      </c>
      <c r="B129" s="43"/>
      <c r="C129" s="29"/>
      <c r="D129" s="77"/>
      <c r="F129" s="313">
        <v>0</v>
      </c>
      <c r="H129" s="12"/>
    </row>
    <row r="130" spans="1:8" ht="16.5" customHeight="1">
      <c r="A130" s="83" t="s">
        <v>28</v>
      </c>
      <c r="B130" s="321"/>
      <c r="C130" s="322"/>
      <c r="D130" s="323"/>
      <c r="E130" s="10"/>
      <c r="F130" s="324">
        <f>(F127+F128)*0.29</f>
        <v>63671.634779761902</v>
      </c>
      <c r="G130" s="10"/>
      <c r="H130" s="9"/>
    </row>
    <row r="131" spans="1:8">
      <c r="A131" s="283"/>
      <c r="B131" s="117"/>
      <c r="C131" s="284"/>
      <c r="D131" s="285"/>
      <c r="E131" s="63"/>
    </row>
    <row r="132" spans="1:8">
      <c r="A132" s="283"/>
      <c r="B132" s="117"/>
      <c r="C132" s="284"/>
      <c r="D132" s="285"/>
      <c r="E132" s="63"/>
    </row>
    <row r="133" spans="1:8">
      <c r="A133" s="283"/>
      <c r="B133" s="117"/>
      <c r="C133" s="284"/>
      <c r="D133" s="285"/>
      <c r="E133" s="63"/>
    </row>
    <row r="134" spans="1:8">
      <c r="A134" s="315" t="s">
        <v>116</v>
      </c>
      <c r="B134" s="69"/>
      <c r="C134" s="70"/>
      <c r="D134" s="70"/>
      <c r="E134" s="314"/>
      <c r="F134" s="4"/>
      <c r="G134" s="4"/>
      <c r="H134" s="316"/>
    </row>
    <row r="135" spans="1:8" ht="15">
      <c r="A135" s="6"/>
      <c r="B135" s="289"/>
      <c r="C135" s="289"/>
      <c r="D135" s="289"/>
      <c r="E135" s="289"/>
      <c r="F135" s="289"/>
      <c r="G135" s="289"/>
      <c r="H135" s="290"/>
    </row>
    <row r="136" spans="1:8">
      <c r="A136" s="6"/>
      <c r="B136" s="352"/>
      <c r="C136" s="352"/>
      <c r="D136" s="352"/>
      <c r="F136" s="352"/>
      <c r="G136" s="352"/>
      <c r="H136" s="353"/>
    </row>
    <row r="137" spans="1:8" ht="15">
      <c r="A137" s="6"/>
      <c r="B137" t="s">
        <v>125</v>
      </c>
      <c r="C137" t="s">
        <v>126</v>
      </c>
      <c r="D137" t="s">
        <v>127</v>
      </c>
      <c r="E137" t="s">
        <v>128</v>
      </c>
      <c r="F137" t="s">
        <v>129</v>
      </c>
      <c r="G137" s="317" t="s">
        <v>130</v>
      </c>
      <c r="H137" s="291" t="s">
        <v>131</v>
      </c>
    </row>
    <row r="138" spans="1:8" ht="15">
      <c r="A138" s="292" t="s">
        <v>31</v>
      </c>
      <c r="B138" s="294">
        <v>268968.01</v>
      </c>
      <c r="C138" s="294">
        <v>288390.24</v>
      </c>
      <c r="D138" s="293">
        <v>154345.41</v>
      </c>
      <c r="E138" s="293">
        <v>13412.75</v>
      </c>
      <c r="F138" s="325">
        <v>229529.76</v>
      </c>
      <c r="G138" s="294">
        <v>274156.28999999998</v>
      </c>
      <c r="H138" s="295">
        <v>267092.21000000002</v>
      </c>
    </row>
    <row r="139" spans="1:8" ht="15">
      <c r="A139" s="292" t="s">
        <v>30</v>
      </c>
      <c r="B139" s="294">
        <v>67812.91</v>
      </c>
      <c r="C139" s="294">
        <v>64354.51</v>
      </c>
      <c r="D139" s="293">
        <v>40616.39</v>
      </c>
      <c r="E139" s="293">
        <v>14950.76</v>
      </c>
      <c r="F139" s="325">
        <v>74301.16</v>
      </c>
      <c r="G139" s="294">
        <v>85619.44</v>
      </c>
      <c r="H139" s="295">
        <v>74393.95</v>
      </c>
    </row>
    <row r="140" spans="1:8" ht="15">
      <c r="A140" s="292" t="s">
        <v>28</v>
      </c>
      <c r="B140" s="294">
        <v>102162.56</v>
      </c>
      <c r="C140" s="294">
        <v>97023.8</v>
      </c>
      <c r="D140" s="293">
        <v>87771.29</v>
      </c>
      <c r="E140" s="293">
        <v>18740.91</v>
      </c>
      <c r="F140" s="325">
        <v>135347.70000000001</v>
      </c>
      <c r="G140" s="294">
        <v>89284.14</v>
      </c>
      <c r="H140" s="295">
        <v>88862.54</v>
      </c>
    </row>
    <row r="141" spans="1:8" ht="15">
      <c r="A141" s="292" t="s">
        <v>5</v>
      </c>
      <c r="B141" s="294">
        <v>6248.2</v>
      </c>
      <c r="C141" s="294">
        <v>7823.13</v>
      </c>
      <c r="D141" s="293">
        <v>4541.8500000000004</v>
      </c>
      <c r="E141" s="293">
        <v>10625.36</v>
      </c>
      <c r="F141" s="325">
        <v>11684.3</v>
      </c>
      <c r="G141" s="294">
        <v>7724.39</v>
      </c>
      <c r="H141" s="295">
        <v>6820.85</v>
      </c>
    </row>
    <row r="142" spans="1:8" ht="15">
      <c r="A142" s="296" t="s">
        <v>132</v>
      </c>
      <c r="B142" s="317">
        <v>35640</v>
      </c>
      <c r="C142" s="317">
        <v>61311</v>
      </c>
      <c r="D142">
        <v>50554</v>
      </c>
      <c r="E142"/>
      <c r="F142">
        <v>65416</v>
      </c>
      <c r="G142">
        <v>62538</v>
      </c>
      <c r="H142" s="318">
        <v>37211</v>
      </c>
    </row>
    <row r="143" spans="1:8" ht="15">
      <c r="A143" s="296" t="s">
        <v>133</v>
      </c>
      <c r="B143" s="298">
        <f>B140/(B138+B139-B142+B141)</f>
        <v>0.3323558101210608</v>
      </c>
      <c r="C143" s="298">
        <f t="shared" ref="C143:H143" si="22">C140/(C138+C139-C142+C141)</f>
        <v>0.3242157707451872</v>
      </c>
      <c r="D143" s="298">
        <f t="shared" si="22"/>
        <v>0.58926818559157401</v>
      </c>
      <c r="E143" s="298">
        <f t="shared" si="22"/>
        <v>0.48067333061973838</v>
      </c>
      <c r="F143" s="298">
        <f t="shared" si="22"/>
        <v>0.54117601806195159</v>
      </c>
      <c r="G143" s="298">
        <f t="shared" si="22"/>
        <v>0.29277124647480807</v>
      </c>
      <c r="H143" s="299">
        <f t="shared" si="22"/>
        <v>0.28564345778655276</v>
      </c>
    </row>
    <row r="145" spans="1:10">
      <c r="A145" s="6"/>
      <c r="B145" s="43"/>
      <c r="C145" s="301"/>
      <c r="D145" s="15" t="s">
        <v>134</v>
      </c>
      <c r="E145" s="63"/>
      <c r="F145" s="43" t="s">
        <v>135</v>
      </c>
      <c r="G145" s="301"/>
      <c r="H145" s="302"/>
      <c r="J145" s="283"/>
    </row>
    <row r="146" spans="1:10" ht="15">
      <c r="A146" s="292" t="s">
        <v>136</v>
      </c>
      <c r="B146" s="303">
        <v>46</v>
      </c>
      <c r="C146" s="29"/>
      <c r="D146" s="26">
        <f>(AVERAGE((B138-B142),(C138-C142),(G138-G142),(H138-H142)))/B146</f>
        <v>4901.667119565217</v>
      </c>
      <c r="E146" s="63"/>
      <c r="F146" s="304">
        <f>D146*B146</f>
        <v>225476.68749999997</v>
      </c>
      <c r="G146" s="29"/>
      <c r="H146" s="326"/>
      <c r="J146" s="283"/>
    </row>
    <row r="147" spans="1:10" ht="15">
      <c r="A147" s="292" t="s">
        <v>137</v>
      </c>
      <c r="B147" s="303">
        <v>16</v>
      </c>
      <c r="C147" s="78"/>
      <c r="D147" s="26">
        <f>AVERAGE($G$99:$H$99,B139:C139)/B147</f>
        <v>4130.2318750000004</v>
      </c>
      <c r="E147" s="63"/>
      <c r="F147" s="304">
        <f>D147*B147</f>
        <v>66083.710000000006</v>
      </c>
      <c r="G147" s="305"/>
      <c r="H147" s="12"/>
      <c r="J147" s="283"/>
    </row>
    <row r="148" spans="1:10">
      <c r="A148" s="76"/>
      <c r="B148" s="117"/>
      <c r="C148" s="284"/>
      <c r="D148" s="306"/>
      <c r="E148" s="63"/>
      <c r="F148" s="307"/>
      <c r="G148" s="319"/>
      <c r="H148" s="308"/>
      <c r="J148" s="283"/>
    </row>
    <row r="149" spans="1:10">
      <c r="A149" s="309" t="s">
        <v>138</v>
      </c>
      <c r="B149" s="117">
        <v>6</v>
      </c>
      <c r="C149" s="284"/>
      <c r="D149" s="26">
        <f>D146</f>
        <v>4901.667119565217</v>
      </c>
      <c r="E149" s="63"/>
      <c r="F149" s="304">
        <f>D149*B149</f>
        <v>29410.002717391304</v>
      </c>
      <c r="G149" s="91"/>
      <c r="H149" s="308"/>
      <c r="J149" s="283"/>
    </row>
    <row r="150" spans="1:10">
      <c r="A150" s="309" t="s">
        <v>139</v>
      </c>
      <c r="B150" s="117">
        <v>6</v>
      </c>
      <c r="C150" s="284"/>
      <c r="D150" s="26">
        <f>D147</f>
        <v>4130.2318750000004</v>
      </c>
      <c r="E150" s="63"/>
      <c r="F150" s="304">
        <f>D150*B150</f>
        <v>24781.391250000001</v>
      </c>
      <c r="G150" s="319"/>
      <c r="H150" s="310"/>
      <c r="J150" s="283"/>
    </row>
    <row r="151" spans="1:10">
      <c r="A151" s="6"/>
      <c r="B151" s="320"/>
      <c r="F151" s="311"/>
      <c r="H151" s="12"/>
      <c r="J151" s="283"/>
    </row>
    <row r="152" spans="1:10">
      <c r="A152" s="6" t="s">
        <v>140</v>
      </c>
      <c r="B152" s="43">
        <f>B146+B149</f>
        <v>52</v>
      </c>
      <c r="C152" s="29"/>
      <c r="D152" s="26">
        <f>D146</f>
        <v>4901.667119565217</v>
      </c>
      <c r="F152" s="312">
        <f>D152*B152</f>
        <v>254886.6902173913</v>
      </c>
      <c r="H152" s="12"/>
      <c r="J152" s="283"/>
    </row>
    <row r="153" spans="1:10">
      <c r="A153" s="6" t="s">
        <v>141</v>
      </c>
      <c r="B153" s="43">
        <f>B147+B150</f>
        <v>22</v>
      </c>
      <c r="C153" s="78"/>
      <c r="D153" s="26">
        <f>D146</f>
        <v>4901.667119565217</v>
      </c>
      <c r="F153" s="312">
        <f>D153*B153</f>
        <v>107836.67663043477</v>
      </c>
      <c r="H153" s="12"/>
      <c r="J153" s="283"/>
    </row>
    <row r="154" spans="1:10">
      <c r="A154" s="76" t="s">
        <v>5</v>
      </c>
      <c r="B154" s="43"/>
      <c r="C154" s="29"/>
      <c r="D154" s="77"/>
      <c r="F154" s="313">
        <v>7154</v>
      </c>
      <c r="H154" s="12"/>
      <c r="J154" s="283"/>
    </row>
    <row r="155" spans="1:10" ht="15">
      <c r="A155" s="83" t="s">
        <v>28</v>
      </c>
      <c r="B155" s="321"/>
      <c r="C155" s="322"/>
      <c r="D155" s="323"/>
      <c r="E155" s="10"/>
      <c r="F155" s="324">
        <f>(F152+F153+F154)*0.3</f>
        <v>110963.21005434782</v>
      </c>
      <c r="G155" s="10"/>
      <c r="H155" s="9"/>
      <c r="J155" s="283"/>
    </row>
    <row r="156" spans="1:10">
      <c r="A156" s="283"/>
      <c r="B156" s="117"/>
      <c r="C156" s="284"/>
      <c r="D156" s="285"/>
      <c r="E156" s="63"/>
      <c r="J156" s="283"/>
    </row>
    <row r="157" spans="1:10" ht="12.75" customHeight="1">
      <c r="J157" s="57"/>
    </row>
    <row r="158" spans="1:10" ht="15">
      <c r="A158" s="55" t="s">
        <v>26</v>
      </c>
      <c r="B158" s="183"/>
      <c r="C158" s="183"/>
      <c r="D158" s="132">
        <v>4.5</v>
      </c>
      <c r="E158" s="183"/>
      <c r="F158" s="183"/>
      <c r="G158" s="245"/>
      <c r="H158" s="183"/>
      <c r="I158" s="4"/>
      <c r="J158" s="131"/>
    </row>
    <row r="159" spans="1:10" ht="15">
      <c r="A159" s="6"/>
      <c r="B159" s="374" t="s">
        <v>25</v>
      </c>
      <c r="C159" s="375"/>
      <c r="D159" s="132">
        <v>4.5</v>
      </c>
      <c r="E159" s="374" t="s">
        <v>24</v>
      </c>
      <c r="F159" s="375"/>
      <c r="G159" s="132">
        <f>762256/10182780</f>
        <v>7.4857357224647883E-2</v>
      </c>
      <c r="H159" s="376" t="s">
        <v>86</v>
      </c>
      <c r="I159" s="377"/>
      <c r="J159" s="244">
        <f>30000*365</f>
        <v>10950000</v>
      </c>
    </row>
    <row r="160" spans="1:10">
      <c r="A160" s="6"/>
      <c r="B160" s="5"/>
      <c r="C160" s="5"/>
      <c r="D160" s="5"/>
      <c r="E160" s="5"/>
      <c r="F160" s="5"/>
      <c r="G160" s="5"/>
      <c r="H160" s="378" t="s">
        <v>87</v>
      </c>
      <c r="I160" s="379"/>
      <c r="J160" s="135">
        <f>ROUND(J159/B49/1000,3)</f>
        <v>2.2349999999999999</v>
      </c>
    </row>
    <row r="161" spans="1:10" ht="15" customHeight="1">
      <c r="A161" s="6"/>
      <c r="B161" s="380" t="s">
        <v>95</v>
      </c>
      <c r="C161" s="381"/>
      <c r="D161" s="382"/>
      <c r="E161" s="380" t="s">
        <v>96</v>
      </c>
      <c r="F161" s="381"/>
      <c r="G161" s="382"/>
      <c r="H161" s="380" t="s">
        <v>97</v>
      </c>
      <c r="I161" s="381"/>
      <c r="J161" s="382"/>
    </row>
    <row r="162" spans="1:10" ht="25.5">
      <c r="A162" s="6"/>
      <c r="B162" s="133" t="s">
        <v>79</v>
      </c>
      <c r="C162" s="61" t="s">
        <v>80</v>
      </c>
      <c r="D162" s="22" t="s">
        <v>81</v>
      </c>
      <c r="E162" s="133" t="s">
        <v>79</v>
      </c>
      <c r="F162" s="61" t="s">
        <v>80</v>
      </c>
      <c r="G162" s="22" t="s">
        <v>81</v>
      </c>
      <c r="H162" s="133" t="s">
        <v>79</v>
      </c>
      <c r="I162" s="61" t="s">
        <v>80</v>
      </c>
      <c r="J162" s="22" t="s">
        <v>81</v>
      </c>
    </row>
    <row r="163" spans="1:10" ht="15">
      <c r="A163" s="6" t="s">
        <v>23</v>
      </c>
      <c r="B163" s="275">
        <v>0.11509999999999999</v>
      </c>
      <c r="C163" s="282">
        <v>8.7999999999999995E-2</v>
      </c>
      <c r="D163" s="90">
        <f>B163*C163</f>
        <v>1.0128799999999999E-2</v>
      </c>
      <c r="E163" s="243">
        <v>0.26500000000000001</v>
      </c>
      <c r="F163" s="60">
        <f>G159</f>
        <v>7.4857357224647883E-2</v>
      </c>
      <c r="G163" s="90">
        <f>E163*F163</f>
        <v>1.983719966453169E-2</v>
      </c>
      <c r="H163" s="243">
        <v>0.26500000000000001</v>
      </c>
      <c r="I163" s="60">
        <f>$G$159</f>
        <v>7.4857357224647883E-2</v>
      </c>
      <c r="J163" s="90">
        <f>H163*I163</f>
        <v>1.983719966453169E-2</v>
      </c>
    </row>
    <row r="164" spans="1:10" ht="16.5">
      <c r="A164" s="6" t="s">
        <v>22</v>
      </c>
      <c r="B164" s="275">
        <v>6.4999999999999997E-3</v>
      </c>
      <c r="C164" s="276">
        <v>4</v>
      </c>
      <c r="D164" s="51">
        <f>B164*C164</f>
        <v>2.5999999999999999E-2</v>
      </c>
      <c r="E164" s="243">
        <v>3.8E-3</v>
      </c>
      <c r="F164" s="29">
        <f>$D$159</f>
        <v>4.5</v>
      </c>
      <c r="G164" s="51">
        <f>E164*F164</f>
        <v>1.7100000000000001E-2</v>
      </c>
      <c r="H164" s="243">
        <v>3.8E-3</v>
      </c>
      <c r="I164" s="29">
        <f>$D$159</f>
        <v>4.5</v>
      </c>
      <c r="J164" s="51">
        <f>H164*I164</f>
        <v>1.7100000000000001E-2</v>
      </c>
    </row>
    <row r="165" spans="1:10" ht="15">
      <c r="A165" s="6" t="s">
        <v>21</v>
      </c>
      <c r="B165" s="6"/>
      <c r="C165" s="5"/>
      <c r="D165" s="227">
        <f>SUM(D163:D164)</f>
        <v>3.6128799999999996E-2</v>
      </c>
      <c r="E165" s="6"/>
      <c r="F165" s="5"/>
      <c r="G165" s="227">
        <f>SUM(G163:G164)</f>
        <v>3.6937199664531691E-2</v>
      </c>
      <c r="H165" s="6"/>
      <c r="I165" s="5"/>
      <c r="J165" s="227">
        <f>SUM(J163:J164)</f>
        <v>3.6937199664531691E-2</v>
      </c>
    </row>
    <row r="166" spans="1:10">
      <c r="A166" s="16"/>
      <c r="B166" s="16"/>
      <c r="D166" s="12"/>
      <c r="E166" s="16"/>
      <c r="G166" s="12"/>
      <c r="H166" s="16"/>
      <c r="J166" s="12"/>
    </row>
    <row r="167" spans="1:10" ht="15" customHeight="1">
      <c r="A167" s="6"/>
      <c r="B167" s="383" t="s">
        <v>92</v>
      </c>
      <c r="C167" s="384"/>
      <c r="D167" s="385"/>
      <c r="E167" s="383" t="s">
        <v>90</v>
      </c>
      <c r="F167" s="384"/>
      <c r="G167" s="385"/>
      <c r="H167" s="383" t="s">
        <v>92</v>
      </c>
      <c r="I167" s="384"/>
      <c r="J167" s="385"/>
    </row>
    <row r="168" spans="1:10" ht="25.5">
      <c r="A168" s="6"/>
      <c r="B168" s="133" t="s">
        <v>79</v>
      </c>
      <c r="C168" s="61" t="s">
        <v>80</v>
      </c>
      <c r="D168" s="22" t="s">
        <v>81</v>
      </c>
      <c r="E168" s="133" t="s">
        <v>79</v>
      </c>
      <c r="F168" s="61" t="s">
        <v>80</v>
      </c>
      <c r="G168" s="22" t="s">
        <v>81</v>
      </c>
      <c r="H168" s="133" t="s">
        <v>79</v>
      </c>
      <c r="I168" s="61" t="s">
        <v>80</v>
      </c>
      <c r="J168" s="22" t="s">
        <v>81</v>
      </c>
    </row>
    <row r="169" spans="1:10" ht="15">
      <c r="A169" s="6" t="s">
        <v>23</v>
      </c>
      <c r="B169" s="275"/>
      <c r="C169" s="282"/>
      <c r="D169" s="90">
        <f>B169*C169</f>
        <v>0</v>
      </c>
      <c r="E169" s="275">
        <v>0.5867</v>
      </c>
      <c r="F169" s="60">
        <f>G159</f>
        <v>7.4857357224647883E-2</v>
      </c>
      <c r="G169" s="90">
        <f>E169*F169</f>
        <v>4.3918811483700915E-2</v>
      </c>
      <c r="H169" s="243">
        <v>0</v>
      </c>
      <c r="I169" s="60">
        <f>$G$159</f>
        <v>7.4857357224647883E-2</v>
      </c>
      <c r="J169" s="90">
        <f>H169*I169</f>
        <v>0</v>
      </c>
    </row>
    <row r="170" spans="1:10" ht="16.5">
      <c r="A170" s="6" t="s">
        <v>22</v>
      </c>
      <c r="B170" s="275"/>
      <c r="C170" s="276"/>
      <c r="D170" s="51">
        <f>B170*C170</f>
        <v>0</v>
      </c>
      <c r="E170" s="275">
        <v>6.4999999999999997E-3</v>
      </c>
      <c r="F170" s="276">
        <v>4</v>
      </c>
      <c r="G170" s="51">
        <f>E170*F170</f>
        <v>2.5999999999999999E-2</v>
      </c>
      <c r="H170" s="243">
        <v>0</v>
      </c>
      <c r="I170" s="29">
        <f>$D$159</f>
        <v>4.5</v>
      </c>
      <c r="J170" s="51">
        <f>H170*I170</f>
        <v>0</v>
      </c>
    </row>
    <row r="171" spans="1:10" ht="15">
      <c r="A171" s="25" t="s">
        <v>21</v>
      </c>
      <c r="B171" s="25"/>
      <c r="C171" s="53"/>
      <c r="D171" s="134">
        <f>SUM(D169:D170)</f>
        <v>0</v>
      </c>
      <c r="E171" s="25"/>
      <c r="F171" s="53"/>
      <c r="G171" s="134">
        <f>SUM(G169:G170)</f>
        <v>6.991881148370091E-2</v>
      </c>
      <c r="H171" s="25"/>
      <c r="I171" s="53"/>
      <c r="J171" s="134">
        <f>SUM(J169:J170)</f>
        <v>0</v>
      </c>
    </row>
    <row r="172" spans="1:10">
      <c r="J172" s="58"/>
    </row>
    <row r="173" spans="1:10">
      <c r="J173" s="58"/>
    </row>
    <row r="174" spans="1:10">
      <c r="A174" s="356" t="s">
        <v>19</v>
      </c>
      <c r="B174" s="357"/>
      <c r="C174" s="357"/>
      <c r="D174" s="357"/>
      <c r="E174" s="357"/>
      <c r="F174" s="357"/>
      <c r="G174" s="357"/>
      <c r="H174" s="358"/>
      <c r="J174" s="58"/>
    </row>
    <row r="175" spans="1:10" ht="25.5">
      <c r="A175" s="6" t="s">
        <v>18</v>
      </c>
      <c r="B175" s="98">
        <v>256000000</v>
      </c>
      <c r="C175" s="5"/>
      <c r="D175" s="5"/>
      <c r="E175" s="5"/>
      <c r="F175" s="5"/>
      <c r="G175" s="23" t="s">
        <v>17</v>
      </c>
      <c r="H175" s="22" t="s">
        <v>57</v>
      </c>
      <c r="J175" s="58"/>
    </row>
    <row r="176" spans="1:10">
      <c r="A176" s="6" t="s">
        <v>16</v>
      </c>
      <c r="B176" s="21">
        <f>G177/B175</f>
        <v>5.7421874999999997E-4</v>
      </c>
      <c r="C176" s="5"/>
      <c r="D176" s="5"/>
      <c r="E176" s="5"/>
      <c r="F176" s="5"/>
      <c r="G176" s="5" t="s">
        <v>142</v>
      </c>
      <c r="H176" s="5" t="s">
        <v>142</v>
      </c>
      <c r="I176" s="1" t="s">
        <v>95</v>
      </c>
      <c r="J176" s="1" t="s">
        <v>95</v>
      </c>
    </row>
    <row r="177" spans="1:10" ht="16.5">
      <c r="A177" s="6" t="s">
        <v>15</v>
      </c>
      <c r="B177" s="5"/>
      <c r="C177" s="5"/>
      <c r="D177" s="5"/>
      <c r="E177" s="5"/>
      <c r="F177" s="5"/>
      <c r="G177" s="277">
        <v>147000</v>
      </c>
      <c r="H177" s="20">
        <f>G177/(E$47*1000)</f>
        <v>0.03</v>
      </c>
      <c r="I177" s="277">
        <v>353000</v>
      </c>
      <c r="J177" s="20" t="e">
        <f>I177/B24/1000</f>
        <v>#DIV/0!</v>
      </c>
    </row>
    <row r="178" spans="1:10">
      <c r="A178" s="16"/>
      <c r="H178" s="12"/>
      <c r="J178" s="12"/>
    </row>
    <row r="179" spans="1:10">
      <c r="A179" s="16"/>
      <c r="F179" s="2"/>
      <c r="G179" s="63"/>
      <c r="H179" s="12"/>
      <c r="I179" s="63"/>
      <c r="J179" s="12"/>
    </row>
    <row r="180" spans="1:10">
      <c r="A180" s="373" t="s">
        <v>51</v>
      </c>
      <c r="B180" s="365"/>
      <c r="C180" s="5"/>
      <c r="D180" s="5"/>
      <c r="E180" s="5"/>
      <c r="F180" s="5"/>
      <c r="G180" s="5" t="s">
        <v>142</v>
      </c>
      <c r="H180" s="5" t="s">
        <v>142</v>
      </c>
      <c r="I180" s="5"/>
      <c r="J180" s="5"/>
    </row>
    <row r="181" spans="1:10" ht="16.5">
      <c r="A181" s="6" t="s">
        <v>14</v>
      </c>
      <c r="B181" s="5"/>
      <c r="C181" s="5"/>
      <c r="D181" s="5"/>
      <c r="E181" s="5"/>
      <c r="F181" s="5"/>
      <c r="G181" s="102">
        <v>27000</v>
      </c>
      <c r="H181" s="20">
        <f>G181/(E$47*1000)</f>
        <v>5.5102040816326532E-3</v>
      </c>
      <c r="I181" s="102">
        <v>75000</v>
      </c>
      <c r="J181" s="20" t="e">
        <f>I181/B24/1000</f>
        <v>#DIV/0!</v>
      </c>
    </row>
    <row r="182" spans="1:10">
      <c r="A182" s="6"/>
      <c r="B182" s="5"/>
      <c r="C182" s="5"/>
      <c r="D182" s="5"/>
      <c r="E182" s="5"/>
      <c r="F182" s="5"/>
      <c r="G182" s="5"/>
      <c r="H182" s="8"/>
      <c r="I182" s="5"/>
      <c r="J182" s="8"/>
    </row>
    <row r="183" spans="1:10">
      <c r="A183" s="373" t="s">
        <v>13</v>
      </c>
      <c r="B183" s="365"/>
      <c r="C183" s="5"/>
      <c r="D183" s="5"/>
      <c r="E183" s="5"/>
      <c r="F183" s="5"/>
      <c r="G183" s="5" t="s">
        <v>142</v>
      </c>
      <c r="H183" s="5" t="s">
        <v>142</v>
      </c>
      <c r="I183" s="5"/>
      <c r="J183" s="5"/>
    </row>
    <row r="184" spans="1:10" ht="16.5">
      <c r="A184" s="6" t="s">
        <v>12</v>
      </c>
      <c r="B184" s="5"/>
      <c r="C184" s="5"/>
      <c r="D184" s="5"/>
      <c r="E184" s="5"/>
      <c r="F184" s="5"/>
      <c r="G184" s="277">
        <v>55000</v>
      </c>
      <c r="H184" s="20">
        <f>G184/(E$47*1000)</f>
        <v>1.1224489795918367E-2</v>
      </c>
      <c r="I184" s="277">
        <v>57000</v>
      </c>
      <c r="J184" s="20" t="e">
        <f>I184/B24/1000</f>
        <v>#DIV/0!</v>
      </c>
    </row>
    <row r="185" spans="1:10">
      <c r="A185" s="11"/>
      <c r="B185" s="10"/>
      <c r="C185" s="19"/>
      <c r="D185" s="10"/>
      <c r="E185" s="10"/>
      <c r="F185" s="10"/>
      <c r="G185" s="10"/>
      <c r="H185" s="9"/>
      <c r="J185" s="58"/>
    </row>
    <row r="186" spans="1:10">
      <c r="C186" s="18"/>
      <c r="J186" s="58"/>
    </row>
    <row r="187" spans="1:10">
      <c r="J187" s="58"/>
    </row>
    <row r="188" spans="1:10">
      <c r="A188" s="55" t="s">
        <v>11</v>
      </c>
      <c r="B188" s="386" t="s">
        <v>10</v>
      </c>
      <c r="C188" s="386"/>
      <c r="D188" s="386"/>
      <c r="E188" s="386"/>
      <c r="F188" s="386"/>
      <c r="G188" s="386"/>
      <c r="H188" s="387"/>
      <c r="J188" s="58"/>
    </row>
    <row r="189" spans="1:10">
      <c r="A189" s="16"/>
      <c r="H189" s="12"/>
      <c r="J189" s="58"/>
    </row>
    <row r="190" spans="1:10">
      <c r="A190" s="16"/>
      <c r="B190" s="365" t="s">
        <v>9</v>
      </c>
      <c r="C190" s="365"/>
      <c r="D190" s="15">
        <f>B49</f>
        <v>4900</v>
      </c>
      <c r="E190" s="5"/>
      <c r="F190" s="365" t="s">
        <v>8</v>
      </c>
      <c r="G190" s="365"/>
      <c r="H190" s="17">
        <f>D190/D191</f>
        <v>4.8999999999999998E-3</v>
      </c>
      <c r="J190" s="58"/>
    </row>
    <row r="191" spans="1:10">
      <c r="A191" s="16"/>
      <c r="B191" s="365" t="s">
        <v>7</v>
      </c>
      <c r="C191" s="365"/>
      <c r="D191" s="15">
        <v>1000000</v>
      </c>
      <c r="E191" s="5"/>
      <c r="F191" s="5"/>
      <c r="G191" s="5"/>
      <c r="H191" s="14"/>
      <c r="J191" s="58"/>
    </row>
    <row r="193" spans="1:12" ht="33" customHeight="1">
      <c r="A193" s="6"/>
      <c r="B193" s="61" t="s">
        <v>82</v>
      </c>
      <c r="C193" s="61" t="s">
        <v>6</v>
      </c>
      <c r="D193" s="61" t="s">
        <v>75</v>
      </c>
      <c r="E193" s="193" t="s">
        <v>76</v>
      </c>
      <c r="F193" s="61" t="s">
        <v>63</v>
      </c>
      <c r="G193" s="61" t="s">
        <v>77</v>
      </c>
      <c r="H193" s="97" t="s">
        <v>78</v>
      </c>
      <c r="J193" s="58"/>
      <c r="K193" s="58"/>
      <c r="L193" s="58"/>
    </row>
    <row r="194" spans="1:12" ht="15">
      <c r="A194" s="6" t="s">
        <v>5</v>
      </c>
      <c r="B194" s="3">
        <f>C194/12</f>
        <v>0</v>
      </c>
      <c r="C194" s="250">
        <v>0</v>
      </c>
      <c r="D194" s="98">
        <f>ROUND($C$202/($C$202+$C$203)*12,0)*$B194</f>
        <v>0</v>
      </c>
      <c r="E194" s="194">
        <f>ROUND($C$203/($C$202+$C$203)*12,0)*$B194</f>
        <v>0</v>
      </c>
      <c r="F194" s="89">
        <f>$D194/$D$190/1000</f>
        <v>0</v>
      </c>
      <c r="G194" s="89">
        <f>$E194/$D$190/1000</f>
        <v>0</v>
      </c>
      <c r="H194" s="99">
        <f>SUM(F194:G194)</f>
        <v>0</v>
      </c>
      <c r="J194" s="58"/>
      <c r="K194" s="58"/>
      <c r="L194" s="58"/>
    </row>
    <row r="195" spans="1:12" ht="15">
      <c r="A195" s="6" t="s">
        <v>4</v>
      </c>
      <c r="B195" s="98">
        <f>C195/12</f>
        <v>95700</v>
      </c>
      <c r="C195" s="236">
        <f>+(95700*12)</f>
        <v>1148400</v>
      </c>
      <c r="D195" s="98">
        <f>ROUND($C$202/($C$202+$C$203)*12,0)*$B195</f>
        <v>1148400</v>
      </c>
      <c r="E195" s="194">
        <f>ROUND($C$203/($C$202+$C$203)*12,0)*$B195</f>
        <v>0</v>
      </c>
      <c r="F195" s="100">
        <f>$D195/D$190/1000</f>
        <v>0.23436734693877551</v>
      </c>
      <c r="G195" s="100">
        <f>$E195/$D$190/1000</f>
        <v>0</v>
      </c>
      <c r="H195" s="94">
        <f t="shared" ref="H195:H196" si="23">SUM(F195:G195)</f>
        <v>0.23436734693877551</v>
      </c>
      <c r="J195" s="58"/>
      <c r="K195" s="58"/>
      <c r="L195" s="58"/>
    </row>
    <row r="196" spans="1:12" ht="16.5">
      <c r="A196" s="6" t="s">
        <v>3</v>
      </c>
      <c r="B196" s="98">
        <f>C196/12</f>
        <v>22812.25</v>
      </c>
      <c r="C196" s="236">
        <f>(273747/12*12)</f>
        <v>273747</v>
      </c>
      <c r="D196" s="98">
        <f>ROUND($C$202/($C$202+$C$203)*12,0)*$B196</f>
        <v>273747</v>
      </c>
      <c r="E196" s="194">
        <f>ROUND($C$203/($C$202+$C$203)*12,0)*$B196</f>
        <v>0</v>
      </c>
      <c r="F196" s="88">
        <f>$D196/D$190/1000</f>
        <v>5.5866734693877554E-2</v>
      </c>
      <c r="G196" s="88">
        <f>$E196/$D$190/1000</f>
        <v>0</v>
      </c>
      <c r="H196" s="95">
        <f t="shared" si="23"/>
        <v>5.5866734693877554E-2</v>
      </c>
      <c r="J196" s="58"/>
      <c r="K196" s="58"/>
      <c r="L196" s="58"/>
    </row>
    <row r="197" spans="1:12">
      <c r="A197" s="6" t="s">
        <v>2</v>
      </c>
      <c r="F197" s="89">
        <f>SUM(F194:F196)</f>
        <v>0.29023408163265307</v>
      </c>
      <c r="G197" s="89">
        <f>SUM(G194:G196)</f>
        <v>0</v>
      </c>
      <c r="H197" s="99">
        <f>SUM(H194:H196)</f>
        <v>0.29023408163265307</v>
      </c>
      <c r="J197" s="58"/>
      <c r="K197" s="58"/>
      <c r="L197" s="58"/>
    </row>
    <row r="198" spans="1:12">
      <c r="A198" s="11"/>
      <c r="B198" s="10"/>
      <c r="C198" s="10"/>
      <c r="D198" s="10"/>
      <c r="E198" s="10"/>
      <c r="F198" s="10"/>
      <c r="G198" s="10"/>
      <c r="H198" s="9"/>
      <c r="J198" s="58"/>
      <c r="K198" s="58"/>
      <c r="L198" s="58"/>
    </row>
    <row r="199" spans="1:12">
      <c r="J199" s="58"/>
      <c r="K199" s="58"/>
      <c r="L199" s="58"/>
    </row>
    <row r="200" spans="1:12">
      <c r="J200" s="58"/>
      <c r="K200" s="58"/>
      <c r="L200" s="58"/>
    </row>
    <row r="201" spans="1:12">
      <c r="A201" s="356" t="s">
        <v>117</v>
      </c>
      <c r="B201" s="357"/>
      <c r="C201" s="357"/>
      <c r="D201" s="357"/>
      <c r="E201" s="357"/>
      <c r="F201" s="357"/>
      <c r="G201" s="357"/>
      <c r="H201" s="358"/>
      <c r="J201" s="58"/>
      <c r="K201" s="58"/>
      <c r="L201" s="58"/>
    </row>
    <row r="202" spans="1:12" ht="15">
      <c r="A202" s="6"/>
      <c r="B202" s="5" t="s">
        <v>73</v>
      </c>
      <c r="C202" s="104">
        <v>52</v>
      </c>
      <c r="D202" s="43" t="s">
        <v>110</v>
      </c>
      <c r="E202" s="237">
        <v>0.04</v>
      </c>
      <c r="F202" s="5" t="s">
        <v>83</v>
      </c>
      <c r="G202" s="5"/>
      <c r="H202" s="8"/>
      <c r="J202" s="58"/>
      <c r="K202" s="58"/>
      <c r="L202" s="58"/>
    </row>
    <row r="203" spans="1:12" ht="15">
      <c r="A203" s="6"/>
      <c r="B203" s="5" t="s">
        <v>72</v>
      </c>
      <c r="C203" s="104">
        <v>0</v>
      </c>
      <c r="E203" s="5"/>
      <c r="F203" s="5" t="s">
        <v>84</v>
      </c>
      <c r="G203" s="5"/>
      <c r="H203" s="8"/>
      <c r="J203" s="58"/>
      <c r="K203" s="58"/>
      <c r="L203" s="58"/>
    </row>
    <row r="204" spans="1:12" ht="15">
      <c r="A204" s="6"/>
      <c r="B204" s="5" t="s">
        <v>74</v>
      </c>
      <c r="C204" s="104">
        <v>40</v>
      </c>
      <c r="E204" s="5"/>
      <c r="F204" s="5" t="s">
        <v>0</v>
      </c>
      <c r="G204" s="5"/>
      <c r="H204" s="8"/>
      <c r="J204" s="58"/>
      <c r="K204" s="58"/>
      <c r="L204" s="58"/>
    </row>
    <row r="205" spans="1:12" ht="15">
      <c r="A205" s="6"/>
      <c r="B205" s="5" t="s">
        <v>1</v>
      </c>
      <c r="C205" s="105">
        <v>1.5</v>
      </c>
      <c r="E205" s="5"/>
      <c r="G205" s="5"/>
      <c r="H205" s="7"/>
      <c r="J205" s="58"/>
      <c r="K205" s="58"/>
      <c r="L205" s="58"/>
    </row>
    <row r="206" spans="1:12" ht="15">
      <c r="A206" s="25"/>
      <c r="B206" s="79" t="s">
        <v>52</v>
      </c>
      <c r="C206" s="237">
        <v>0.3</v>
      </c>
      <c r="D206" s="10"/>
      <c r="E206" s="53"/>
      <c r="F206" s="53"/>
      <c r="G206" s="53"/>
      <c r="H206" s="65"/>
      <c r="J206" s="58"/>
      <c r="K206" s="58"/>
      <c r="L206" s="58"/>
    </row>
    <row r="207" spans="1:12">
      <c r="B207" s="388"/>
      <c r="C207" s="388"/>
      <c r="D207" s="388"/>
      <c r="J207" s="58"/>
      <c r="K207" s="58" t="s">
        <v>121</v>
      </c>
      <c r="L207" s="58"/>
    </row>
    <row r="208" spans="1:12">
      <c r="A208" s="356" t="s">
        <v>118</v>
      </c>
      <c r="B208" s="357"/>
      <c r="C208" s="357"/>
      <c r="D208" s="357"/>
      <c r="E208" s="357"/>
      <c r="F208" s="357"/>
      <c r="G208" s="357"/>
      <c r="H208" s="358"/>
      <c r="J208" s="58"/>
      <c r="K208" s="58" t="s">
        <v>122</v>
      </c>
      <c r="L208" s="58">
        <f>52-C209</f>
        <v>43</v>
      </c>
    </row>
    <row r="209" spans="1:12" ht="15">
      <c r="A209" s="6"/>
      <c r="B209" s="5" t="s">
        <v>73</v>
      </c>
      <c r="C209" s="104">
        <v>9</v>
      </c>
      <c r="D209" s="43" t="s">
        <v>110</v>
      </c>
      <c r="E209" s="237">
        <v>0.04</v>
      </c>
      <c r="F209" s="5" t="s">
        <v>83</v>
      </c>
      <c r="G209" s="5"/>
      <c r="H209" s="8"/>
      <c r="J209" s="58"/>
      <c r="K209" s="58" t="s">
        <v>75</v>
      </c>
      <c r="L209" s="58">
        <f>E47*1000/52*L208</f>
        <v>4051923.076923077</v>
      </c>
    </row>
    <row r="210" spans="1:12" ht="15">
      <c r="A210" s="6"/>
      <c r="B210" s="5" t="s">
        <v>72</v>
      </c>
      <c r="C210" s="104">
        <v>0</v>
      </c>
      <c r="E210" s="5"/>
      <c r="F210" s="5" t="s">
        <v>84</v>
      </c>
      <c r="G210" s="5"/>
      <c r="H210" s="8"/>
      <c r="J210" s="58"/>
      <c r="K210" s="58" t="s">
        <v>123</v>
      </c>
      <c r="L210" s="288">
        <f>0.0315*L209</f>
        <v>127635.57692307692</v>
      </c>
    </row>
    <row r="211" spans="1:12" ht="15">
      <c r="A211" s="6"/>
      <c r="B211" s="5" t="s">
        <v>74</v>
      </c>
      <c r="C211" s="104">
        <v>40</v>
      </c>
      <c r="E211" s="5"/>
      <c r="F211" s="5" t="s">
        <v>0</v>
      </c>
      <c r="G211" s="5"/>
      <c r="H211" s="8"/>
      <c r="J211" s="58"/>
      <c r="K211" s="58"/>
      <c r="L211" s="58"/>
    </row>
    <row r="212" spans="1:12" ht="15">
      <c r="A212" s="6"/>
      <c r="B212" s="5" t="s">
        <v>1</v>
      </c>
      <c r="C212" s="105">
        <v>1.5</v>
      </c>
      <c r="E212" s="5"/>
      <c r="G212" s="5"/>
      <c r="H212" s="7"/>
      <c r="J212" s="58"/>
      <c r="K212" s="58"/>
      <c r="L212" s="58"/>
    </row>
    <row r="213" spans="1:12" ht="15">
      <c r="A213" s="25"/>
      <c r="B213" s="79" t="s">
        <v>52</v>
      </c>
      <c r="C213" s="237">
        <v>0.3</v>
      </c>
      <c r="D213" s="10"/>
      <c r="E213" s="53"/>
      <c r="F213" s="53"/>
      <c r="G213" s="53"/>
      <c r="H213" s="65"/>
      <c r="J213" s="58"/>
      <c r="K213" s="58"/>
      <c r="L213" s="58"/>
    </row>
  </sheetData>
  <mergeCells count="47">
    <mergeCell ref="A208:H208"/>
    <mergeCell ref="B188:H188"/>
    <mergeCell ref="B190:C190"/>
    <mergeCell ref="F190:G190"/>
    <mergeCell ref="B191:C191"/>
    <mergeCell ref="A201:H201"/>
    <mergeCell ref="B207:D207"/>
    <mergeCell ref="T121:AD121"/>
    <mergeCell ref="A183:B183"/>
    <mergeCell ref="B159:C159"/>
    <mergeCell ref="E159:F159"/>
    <mergeCell ref="H159:I159"/>
    <mergeCell ref="H160:I160"/>
    <mergeCell ref="B161:D161"/>
    <mergeCell ref="E161:G161"/>
    <mergeCell ref="H161:J161"/>
    <mergeCell ref="B167:D167"/>
    <mergeCell ref="E167:G167"/>
    <mergeCell ref="H167:J167"/>
    <mergeCell ref="A174:H174"/>
    <mergeCell ref="A180:B180"/>
    <mergeCell ref="B136:D136"/>
    <mergeCell ref="F136:H136"/>
    <mergeCell ref="B111:D111"/>
    <mergeCell ref="F111:H111"/>
    <mergeCell ref="J84:L84"/>
    <mergeCell ref="A98:H98"/>
    <mergeCell ref="B26:D26"/>
    <mergeCell ref="E26:G26"/>
    <mergeCell ref="H26:J26"/>
    <mergeCell ref="B51:K51"/>
    <mergeCell ref="C62:F62"/>
    <mergeCell ref="G62:K62"/>
    <mergeCell ref="B74:D74"/>
    <mergeCell ref="F74:H74"/>
    <mergeCell ref="B84:D84"/>
    <mergeCell ref="F84:H84"/>
    <mergeCell ref="F99:H100"/>
    <mergeCell ref="A100:E100"/>
    <mergeCell ref="A1:J1"/>
    <mergeCell ref="S1:AA1"/>
    <mergeCell ref="AL1:AQ1"/>
    <mergeCell ref="B3:D3"/>
    <mergeCell ref="E3:G3"/>
    <mergeCell ref="H3:J3"/>
    <mergeCell ref="N3:O3"/>
    <mergeCell ref="P3:Q3"/>
  </mergeCells>
  <pageMargins left="0.7" right="0.7" top="0.75" bottom="0.75" header="0.3" footer="0.3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5D3B2-48F7-4D14-A08B-BF6317EFB7D0}">
  <dimension ref="A1:AX213"/>
  <sheetViews>
    <sheetView topLeftCell="A27" workbookViewId="0">
      <selection activeCell="E43" sqref="E43"/>
    </sheetView>
  </sheetViews>
  <sheetFormatPr defaultColWidth="10.7109375" defaultRowHeight="12.75" outlineLevelCol="1"/>
  <cols>
    <col min="1" max="1" width="37.28515625" style="1" bestFit="1" customWidth="1"/>
    <col min="2" max="2" width="16.7109375" style="1" customWidth="1"/>
    <col min="3" max="3" width="13.28515625" style="1" customWidth="1"/>
    <col min="4" max="4" width="13.5703125" style="1" customWidth="1"/>
    <col min="5" max="5" width="12.7109375" style="1" customWidth="1"/>
    <col min="6" max="6" width="12.42578125" style="1" customWidth="1"/>
    <col min="7" max="7" width="14.28515625" style="1" customWidth="1"/>
    <col min="8" max="8" width="12.7109375" style="1" customWidth="1"/>
    <col min="9" max="9" width="10.7109375" style="1"/>
    <col min="10" max="10" width="13" style="1" customWidth="1"/>
    <col min="11" max="11" width="12.28515625" style="1" customWidth="1"/>
    <col min="12" max="12" width="11.28515625" style="1" customWidth="1"/>
    <col min="13" max="13" width="21.7109375" style="1" customWidth="1"/>
    <col min="14" max="14" width="13.42578125" style="1" customWidth="1"/>
    <col min="15" max="15" width="10.7109375" style="1"/>
    <col min="16" max="16" width="12.28515625" style="1" customWidth="1"/>
    <col min="17" max="17" width="9.7109375" style="1" customWidth="1"/>
    <col min="18" max="18" width="2.7109375" style="1" customWidth="1"/>
    <col min="19" max="19" width="12.140625" style="1" bestFit="1" customWidth="1" outlineLevel="1"/>
    <col min="20" max="20" width="11.42578125" style="1" customWidth="1" outlineLevel="1"/>
    <col min="21" max="21" width="17.7109375" style="1" customWidth="1" outlineLevel="1"/>
    <col min="22" max="24" width="15.28515625" style="1" customWidth="1" outlineLevel="1"/>
    <col min="25" max="25" width="14.7109375" style="1" customWidth="1" outlineLevel="1"/>
    <col min="26" max="26" width="12.42578125" style="1" customWidth="1" outlineLevel="1"/>
    <col min="27" max="27" width="15.28515625" style="1" customWidth="1" outlineLevel="1"/>
    <col min="28" max="28" width="12.42578125" style="1" customWidth="1" outlineLevel="1"/>
    <col min="29" max="29" width="9.42578125" style="1" customWidth="1" outlineLevel="1"/>
    <col min="30" max="30" width="13.28515625" style="1" bestFit="1" customWidth="1" outlineLevel="1"/>
    <col min="31" max="31" width="13.28515625" style="1" customWidth="1" outlineLevel="1"/>
    <col min="32" max="32" width="9.5703125" style="1" bestFit="1" customWidth="1" outlineLevel="1"/>
    <col min="33" max="33" width="9.28515625" style="1" customWidth="1" outlineLevel="1"/>
    <col min="34" max="34" width="9.5703125" style="1" bestFit="1" customWidth="1" outlineLevel="1"/>
    <col min="35" max="35" width="12" style="1" customWidth="1" outlineLevel="1"/>
    <col min="36" max="36" width="11.7109375" style="1" customWidth="1" outlineLevel="1"/>
    <col min="37" max="37" width="12.28515625" style="1" customWidth="1" outlineLevel="1"/>
    <col min="38" max="38" width="11.42578125" style="1" customWidth="1" outlineLevel="1"/>
    <col min="39" max="39" width="12.42578125" style="1" customWidth="1" outlineLevel="1"/>
    <col min="40" max="40" width="12.28515625" style="1" customWidth="1" outlineLevel="1"/>
    <col min="41" max="41" width="12.5703125" style="1" customWidth="1" outlineLevel="1"/>
    <col min="42" max="42" width="12.42578125" style="1" customWidth="1" outlineLevel="1"/>
    <col min="43" max="43" width="14.28515625" style="1" customWidth="1" outlineLevel="1"/>
    <col min="44" max="44" width="10.28515625" style="1" customWidth="1" outlineLevel="1"/>
    <col min="45" max="45" width="11.5703125" style="1" customWidth="1" outlineLevel="1"/>
    <col min="46" max="46" width="11.42578125" style="1" customWidth="1" outlineLevel="1"/>
    <col min="47" max="48" width="12.7109375" style="1" customWidth="1" outlineLevel="1"/>
    <col min="49" max="49" width="11" style="1" customWidth="1" outlineLevel="1"/>
    <col min="50" max="50" width="12.7109375" style="1" customWidth="1" outlineLevel="1"/>
    <col min="51" max="250" width="8.7109375" style="1" customWidth="1"/>
    <col min="251" max="16384" width="10.7109375" style="1"/>
  </cols>
  <sheetData>
    <row r="1" spans="1:43" ht="18.75" customHeight="1">
      <c r="A1" s="344" t="s">
        <v>124</v>
      </c>
      <c r="B1" s="344"/>
      <c r="C1" s="344"/>
      <c r="D1" s="344"/>
      <c r="E1" s="344"/>
      <c r="F1" s="344"/>
      <c r="G1" s="344"/>
      <c r="H1" s="344"/>
      <c r="I1" s="344"/>
      <c r="J1" s="344"/>
      <c r="K1" s="91"/>
      <c r="L1" s="91"/>
      <c r="S1" s="345"/>
      <c r="T1" s="345"/>
      <c r="U1" s="345"/>
      <c r="V1" s="345"/>
      <c r="W1" s="345"/>
      <c r="X1" s="345"/>
      <c r="Y1" s="345"/>
      <c r="Z1" s="345"/>
      <c r="AA1" s="345"/>
      <c r="AB1" s="149"/>
      <c r="AC1" s="150"/>
      <c r="AD1" s="150"/>
      <c r="AE1" s="151"/>
      <c r="AF1" s="151"/>
      <c r="AG1" s="151"/>
      <c r="AH1" s="151"/>
      <c r="AI1" s="152"/>
      <c r="AJ1" s="151"/>
      <c r="AK1" s="152"/>
      <c r="AL1" s="346"/>
      <c r="AM1" s="346"/>
      <c r="AN1" s="346"/>
      <c r="AO1" s="346"/>
      <c r="AP1" s="346"/>
      <c r="AQ1" s="346"/>
    </row>
    <row r="2" spans="1:43" ht="36.6" customHeight="1">
      <c r="A2" s="56" t="s">
        <v>59</v>
      </c>
      <c r="B2" s="186"/>
      <c r="C2" s="56"/>
      <c r="D2" s="56"/>
      <c r="E2" s="56"/>
      <c r="F2" s="56"/>
      <c r="G2" s="56"/>
      <c r="H2" s="84"/>
      <c r="I2" s="92"/>
      <c r="J2" s="92"/>
      <c r="K2" s="92"/>
      <c r="L2" s="92"/>
      <c r="S2" s="155"/>
      <c r="T2" s="155"/>
      <c r="U2" s="155"/>
      <c r="V2" s="155"/>
      <c r="W2" s="155"/>
      <c r="X2" s="155"/>
      <c r="Y2" s="155"/>
      <c r="Z2" s="155"/>
      <c r="AA2" s="156"/>
      <c r="AB2" s="182"/>
      <c r="AC2" s="151"/>
      <c r="AD2" s="150"/>
      <c r="AE2" s="157"/>
      <c r="AF2" s="157"/>
      <c r="AG2" s="157"/>
      <c r="AH2" s="157"/>
      <c r="AI2" s="155"/>
      <c r="AJ2" s="157"/>
      <c r="AK2" s="158"/>
      <c r="AL2" s="159"/>
      <c r="AM2" s="234"/>
      <c r="AN2" s="234"/>
      <c r="AO2" s="155"/>
      <c r="AP2" s="155"/>
      <c r="AQ2" s="155"/>
    </row>
    <row r="3" spans="1:43" ht="18" customHeight="1">
      <c r="A3" s="64" t="s">
        <v>20</v>
      </c>
      <c r="B3" s="347" t="s">
        <v>91</v>
      </c>
      <c r="C3" s="348"/>
      <c r="D3" s="348"/>
      <c r="E3" s="347" t="s">
        <v>93</v>
      </c>
      <c r="F3" s="348"/>
      <c r="G3" s="348"/>
      <c r="H3" s="347" t="s">
        <v>94</v>
      </c>
      <c r="I3" s="348"/>
      <c r="J3" s="349"/>
      <c r="M3" s="252"/>
      <c r="N3" s="350"/>
      <c r="O3" s="350"/>
      <c r="P3" s="350"/>
      <c r="Q3" s="351"/>
      <c r="S3" s="160"/>
      <c r="T3" s="161"/>
      <c r="U3" s="160"/>
      <c r="V3" s="160"/>
      <c r="W3" s="160"/>
      <c r="X3" s="160"/>
      <c r="Y3" s="160"/>
      <c r="Z3" s="160"/>
      <c r="AA3" s="161"/>
      <c r="AB3" s="151"/>
      <c r="AC3" s="161"/>
      <c r="AD3" s="161"/>
      <c r="AE3" s="160"/>
      <c r="AF3" s="160"/>
      <c r="AG3" s="160"/>
      <c r="AH3" s="160"/>
      <c r="AI3" s="161"/>
      <c r="AJ3" s="160"/>
      <c r="AK3" s="161"/>
      <c r="AL3" s="161"/>
      <c r="AM3" s="161"/>
      <c r="AN3" s="161"/>
      <c r="AO3" s="161"/>
      <c r="AP3" s="161"/>
      <c r="AQ3" s="161"/>
    </row>
    <row r="4" spans="1:43" s="46" customFormat="1" ht="15">
      <c r="A4" s="66"/>
      <c r="B4" s="218" t="s">
        <v>143</v>
      </c>
      <c r="C4" s="219" t="s">
        <v>114</v>
      </c>
      <c r="D4" s="219" t="s">
        <v>88</v>
      </c>
      <c r="E4" s="218" t="str">
        <f>$B$4</f>
        <v>25 Standard</v>
      </c>
      <c r="F4" s="219" t="str">
        <f>+C4</f>
        <v>23 Actual</v>
      </c>
      <c r="G4" s="219" t="str">
        <f>+D4</f>
        <v>20 Standard</v>
      </c>
      <c r="H4" s="218" t="str">
        <f>+B4</f>
        <v>25 Standard</v>
      </c>
      <c r="I4" s="219" t="str">
        <f>+C4</f>
        <v>23 Actual</v>
      </c>
      <c r="J4" s="220" t="str">
        <f>+D4</f>
        <v>20 Standard</v>
      </c>
      <c r="M4" s="253"/>
      <c r="N4" s="254"/>
      <c r="O4" s="254"/>
      <c r="P4" s="254"/>
      <c r="Q4" s="255"/>
      <c r="S4" s="162"/>
      <c r="T4" s="163"/>
      <c r="U4" s="163"/>
      <c r="V4" s="163"/>
      <c r="W4" s="163"/>
      <c r="X4" s="163"/>
      <c r="Y4" s="163"/>
      <c r="Z4" s="163"/>
      <c r="AA4" s="164"/>
      <c r="AB4" s="165"/>
      <c r="AC4" s="166"/>
      <c r="AD4" s="164"/>
      <c r="AE4" s="164"/>
      <c r="AF4" s="164"/>
      <c r="AG4" s="164"/>
      <c r="AH4" s="164"/>
      <c r="AI4" s="163"/>
      <c r="AJ4" s="164"/>
      <c r="AK4" s="163"/>
      <c r="AL4" s="164"/>
      <c r="AM4" s="164"/>
      <c r="AN4" s="164"/>
      <c r="AO4" s="164"/>
      <c r="AP4" s="164"/>
      <c r="AQ4" s="164"/>
    </row>
    <row r="5" spans="1:43" s="46" customFormat="1">
      <c r="A5" s="66"/>
      <c r="B5" s="221"/>
      <c r="C5" s="202" t="s">
        <v>89</v>
      </c>
      <c r="D5" s="202"/>
      <c r="E5" s="221"/>
      <c r="F5" s="202" t="s">
        <v>89</v>
      </c>
      <c r="G5" s="202"/>
      <c r="H5" s="221"/>
      <c r="I5" s="202" t="s">
        <v>89</v>
      </c>
      <c r="J5" s="222"/>
      <c r="M5" s="253"/>
      <c r="N5" s="256"/>
      <c r="O5" s="256"/>
      <c r="P5" s="257"/>
      <c r="Q5" s="258"/>
      <c r="S5" s="162"/>
      <c r="T5" s="163"/>
      <c r="U5" s="163"/>
      <c r="V5" s="163"/>
      <c r="W5" s="163"/>
      <c r="X5" s="163"/>
      <c r="Y5" s="163"/>
      <c r="Z5" s="163"/>
      <c r="AA5" s="164"/>
      <c r="AB5" s="165"/>
      <c r="AC5" s="166"/>
      <c r="AD5" s="164"/>
      <c r="AE5" s="164"/>
      <c r="AF5" s="164"/>
      <c r="AG5" s="154"/>
      <c r="AH5" s="164"/>
      <c r="AI5" s="163"/>
      <c r="AJ5" s="164"/>
      <c r="AK5" s="163"/>
      <c r="AL5" s="164"/>
      <c r="AM5" s="164"/>
      <c r="AN5" s="164"/>
      <c r="AO5" s="164"/>
      <c r="AP5" s="164"/>
      <c r="AQ5" s="164"/>
    </row>
    <row r="6" spans="1:43">
      <c r="A6" s="30" t="s">
        <v>50</v>
      </c>
      <c r="B6" s="192">
        <f>IF(B24&lt;&gt;0,$D$82,0)</f>
        <v>0</v>
      </c>
      <c r="C6" s="192">
        <v>5.8500000000000003E-2</v>
      </c>
      <c r="D6" s="192">
        <v>4.1565810184720102E-2</v>
      </c>
      <c r="E6" s="204">
        <f>+H82</f>
        <v>0</v>
      </c>
      <c r="F6" s="192">
        <v>0</v>
      </c>
      <c r="G6" s="192">
        <v>0</v>
      </c>
      <c r="H6" s="204">
        <f>+D96</f>
        <v>0</v>
      </c>
      <c r="I6" s="192">
        <v>0</v>
      </c>
      <c r="J6" s="205">
        <v>0</v>
      </c>
      <c r="M6" s="259"/>
      <c r="N6" s="260"/>
      <c r="O6" s="261"/>
      <c r="P6" s="260"/>
      <c r="Q6" s="262"/>
      <c r="S6" s="167"/>
      <c r="T6" s="163"/>
      <c r="U6" s="163"/>
      <c r="V6" s="163"/>
      <c r="W6" s="163"/>
      <c r="X6" s="163"/>
      <c r="Y6" s="163"/>
      <c r="Z6" s="163"/>
      <c r="AA6" s="164"/>
      <c r="AB6" s="165"/>
      <c r="AC6" s="166"/>
      <c r="AD6" s="164"/>
      <c r="AE6" s="164"/>
      <c r="AF6" s="164"/>
      <c r="AG6" s="164"/>
      <c r="AH6" s="164"/>
      <c r="AI6" s="163"/>
      <c r="AJ6" s="164"/>
      <c r="AK6" s="163"/>
      <c r="AL6" s="164"/>
      <c r="AM6" s="164"/>
      <c r="AN6" s="164"/>
      <c r="AO6" s="164"/>
      <c r="AP6" s="164"/>
      <c r="AQ6" s="164"/>
    </row>
    <row r="7" spans="1:43" ht="15">
      <c r="A7" s="30" t="s">
        <v>27</v>
      </c>
      <c r="B7" s="192">
        <f>IF(B24&lt;&gt;0,$D$163,0)</f>
        <v>0</v>
      </c>
      <c r="C7" s="192">
        <v>1.0500000000000001E-2</v>
      </c>
      <c r="D7" s="192">
        <v>2.0277328909623641E-2</v>
      </c>
      <c r="E7" s="204">
        <f>G163</f>
        <v>1.983719966453169E-2</v>
      </c>
      <c r="F7" s="192">
        <v>0</v>
      </c>
      <c r="G7" s="192">
        <v>0</v>
      </c>
      <c r="H7" s="204">
        <f>J163</f>
        <v>1.983719966453169E-2</v>
      </c>
      <c r="I7" s="192">
        <v>0</v>
      </c>
      <c r="J7" s="205">
        <v>0</v>
      </c>
      <c r="M7" s="263"/>
      <c r="N7" s="264"/>
      <c r="O7" s="207"/>
      <c r="P7" s="264"/>
      <c r="Q7" s="208"/>
      <c r="S7" s="168"/>
      <c r="T7" s="168"/>
      <c r="U7" s="168"/>
      <c r="V7" s="168"/>
      <c r="W7" s="168"/>
      <c r="X7" s="168"/>
      <c r="Y7" s="168"/>
      <c r="Z7" s="168"/>
      <c r="AA7" s="168"/>
      <c r="AB7" s="165"/>
      <c r="AC7" s="166"/>
      <c r="AD7" s="169"/>
      <c r="AE7" s="170"/>
      <c r="AF7" s="171"/>
      <c r="AG7" s="171"/>
      <c r="AH7" s="171"/>
      <c r="AI7" s="168"/>
      <c r="AJ7" s="170"/>
      <c r="AK7" s="168"/>
      <c r="AL7" s="169"/>
      <c r="AM7" s="169"/>
      <c r="AN7" s="169"/>
      <c r="AO7" s="169"/>
      <c r="AP7" s="169"/>
      <c r="AQ7" s="169"/>
    </row>
    <row r="8" spans="1:43" ht="15">
      <c r="A8" s="6" t="s">
        <v>49</v>
      </c>
      <c r="B8" s="192">
        <f>IF(B24&lt;&gt;0,$D$164,0)</f>
        <v>0</v>
      </c>
      <c r="C8" s="192">
        <v>1.5599999999999999E-2</v>
      </c>
      <c r="D8" s="192">
        <v>1.4965000000000001E-2</v>
      </c>
      <c r="E8" s="204">
        <f>G164</f>
        <v>1.7100000000000001E-2</v>
      </c>
      <c r="F8" s="192">
        <v>0</v>
      </c>
      <c r="G8" s="192">
        <v>0</v>
      </c>
      <c r="H8" s="204">
        <f>J164</f>
        <v>1.7100000000000001E-2</v>
      </c>
      <c r="I8" s="192">
        <v>0</v>
      </c>
      <c r="J8" s="205">
        <v>0</v>
      </c>
      <c r="M8" s="263"/>
      <c r="N8" s="265"/>
      <c r="O8" s="266"/>
      <c r="P8" s="265"/>
      <c r="Q8" s="267"/>
      <c r="S8" s="168"/>
      <c r="T8" s="168"/>
      <c r="U8" s="168"/>
      <c r="V8" s="168"/>
      <c r="W8" s="168"/>
      <c r="X8" s="168"/>
      <c r="Y8" s="168"/>
      <c r="Z8" s="168"/>
      <c r="AA8" s="168"/>
      <c r="AB8" s="165"/>
      <c r="AC8" s="166"/>
      <c r="AD8" s="169"/>
      <c r="AE8" s="170"/>
      <c r="AF8" s="171"/>
      <c r="AG8" s="171"/>
      <c r="AH8" s="171"/>
      <c r="AI8" s="168"/>
      <c r="AJ8" s="170"/>
      <c r="AK8" s="168"/>
      <c r="AL8" s="169"/>
      <c r="AM8" s="169"/>
      <c r="AN8" s="169"/>
      <c r="AO8" s="169"/>
      <c r="AP8" s="169"/>
      <c r="AQ8" s="169"/>
    </row>
    <row r="9" spans="1:43">
      <c r="A9" s="30" t="s">
        <v>48</v>
      </c>
      <c r="B9" s="192">
        <f>IF(B24&lt;&gt;0,$J$177,0)</f>
        <v>0</v>
      </c>
      <c r="C9" s="192">
        <v>1.9199999999999998E-2</v>
      </c>
      <c r="D9" s="192">
        <v>1.591578947368421E-2</v>
      </c>
      <c r="E9" s="204">
        <f>$H$177</f>
        <v>0.03</v>
      </c>
      <c r="F9" s="192">
        <v>0</v>
      </c>
      <c r="G9" s="192">
        <v>0</v>
      </c>
      <c r="H9" s="204">
        <f>$H$177</f>
        <v>0.03</v>
      </c>
      <c r="I9" s="192">
        <v>0</v>
      </c>
      <c r="J9" s="205">
        <v>0</v>
      </c>
      <c r="M9" s="259"/>
      <c r="N9" s="260"/>
      <c r="O9" s="261"/>
      <c r="P9" s="268"/>
      <c r="Q9" s="262"/>
      <c r="S9" s="168"/>
      <c r="T9" s="168"/>
      <c r="U9" s="168"/>
      <c r="V9" s="168"/>
      <c r="W9" s="168"/>
      <c r="X9" s="168"/>
      <c r="Y9" s="168"/>
      <c r="Z9" s="168"/>
      <c r="AA9" s="168"/>
      <c r="AB9" s="165"/>
      <c r="AC9" s="166"/>
      <c r="AD9" s="169"/>
      <c r="AE9" s="170"/>
      <c r="AF9" s="171"/>
      <c r="AG9" s="171"/>
      <c r="AH9" s="171"/>
      <c r="AI9" s="168"/>
      <c r="AJ9" s="170"/>
      <c r="AK9" s="168"/>
      <c r="AL9" s="169"/>
      <c r="AM9" s="169"/>
      <c r="AN9" s="169"/>
      <c r="AO9" s="169"/>
      <c r="AP9" s="169"/>
      <c r="AQ9" s="169"/>
    </row>
    <row r="10" spans="1:43">
      <c r="A10" s="30" t="s">
        <v>47</v>
      </c>
      <c r="B10" s="192">
        <f>IF(B24&lt;&gt;0,$J$181,0)</f>
        <v>0</v>
      </c>
      <c r="C10" s="192">
        <v>8.0000000000000004E-4</v>
      </c>
      <c r="D10" s="192">
        <v>2.6315789473684214E-3</v>
      </c>
      <c r="E10" s="204">
        <f>$H$181</f>
        <v>5.5102040816326532E-3</v>
      </c>
      <c r="F10" s="192">
        <v>0</v>
      </c>
      <c r="G10" s="192">
        <v>0</v>
      </c>
      <c r="H10" s="204">
        <f>$H$181</f>
        <v>5.5102040816326532E-3</v>
      </c>
      <c r="I10" s="192">
        <v>0</v>
      </c>
      <c r="J10" s="205">
        <v>0</v>
      </c>
      <c r="M10" s="263"/>
      <c r="N10" s="260"/>
      <c r="O10" s="261"/>
      <c r="P10" s="260"/>
      <c r="Q10" s="262"/>
      <c r="S10" s="168"/>
      <c r="T10" s="168"/>
      <c r="U10" s="168"/>
      <c r="V10" s="168"/>
      <c r="W10" s="168"/>
      <c r="X10" s="168"/>
      <c r="Y10" s="168"/>
      <c r="Z10" s="168"/>
      <c r="AA10" s="168"/>
      <c r="AB10" s="165"/>
      <c r="AC10" s="166"/>
      <c r="AD10" s="169"/>
      <c r="AE10" s="170"/>
      <c r="AF10" s="171"/>
      <c r="AG10" s="171"/>
      <c r="AH10" s="171"/>
      <c r="AI10" s="168"/>
      <c r="AJ10" s="170"/>
      <c r="AK10" s="168"/>
      <c r="AL10" s="169"/>
      <c r="AM10" s="169"/>
      <c r="AN10" s="169"/>
      <c r="AO10" s="169"/>
      <c r="AP10" s="169"/>
      <c r="AQ10" s="169"/>
    </row>
    <row r="11" spans="1:43" ht="15">
      <c r="A11" s="30" t="s">
        <v>46</v>
      </c>
      <c r="B11" s="207">
        <f>IF(B24&lt;&gt;0,$J$184,0)</f>
        <v>0</v>
      </c>
      <c r="C11" s="207">
        <v>5.7999999999999996E-3</v>
      </c>
      <c r="D11" s="207">
        <v>9.4736842105263147E-3</v>
      </c>
      <c r="E11" s="206">
        <f>$H$184</f>
        <v>1.1224489795918367E-2</v>
      </c>
      <c r="F11" s="207">
        <v>0</v>
      </c>
      <c r="G11" s="207">
        <v>0</v>
      </c>
      <c r="H11" s="206">
        <f>$H$184</f>
        <v>1.1224489795918367E-2</v>
      </c>
      <c r="I11" s="207">
        <v>0</v>
      </c>
      <c r="J11" s="208">
        <v>0</v>
      </c>
      <c r="M11" s="263"/>
      <c r="N11" s="269"/>
      <c r="O11" s="192"/>
      <c r="P11" s="269"/>
      <c r="Q11" s="205"/>
      <c r="S11" s="174"/>
      <c r="T11" s="174"/>
      <c r="U11" s="174"/>
      <c r="V11" s="174"/>
      <c r="W11" s="174"/>
      <c r="X11" s="174"/>
      <c r="Y11" s="174"/>
      <c r="Z11" s="174"/>
      <c r="AA11" s="174"/>
      <c r="AB11" s="165"/>
      <c r="AC11" s="166"/>
      <c r="AD11" s="169"/>
      <c r="AE11" s="170"/>
      <c r="AF11" s="175"/>
      <c r="AG11" s="175"/>
      <c r="AH11" s="175"/>
      <c r="AI11" s="174"/>
      <c r="AJ11" s="170"/>
      <c r="AK11" s="174"/>
      <c r="AL11" s="169"/>
      <c r="AM11" s="169"/>
      <c r="AN11" s="169"/>
      <c r="AO11" s="169"/>
      <c r="AP11" s="169"/>
      <c r="AQ11" s="169"/>
    </row>
    <row r="12" spans="1:43" ht="15">
      <c r="A12" s="30" t="s">
        <v>45</v>
      </c>
      <c r="B12" s="192">
        <f t="shared" ref="B12:D12" si="0">SUM(B6:B11)</f>
        <v>0</v>
      </c>
      <c r="C12" s="192">
        <f t="shared" si="0"/>
        <v>0.1104</v>
      </c>
      <c r="D12" s="192">
        <f t="shared" si="0"/>
        <v>0.1048291917259227</v>
      </c>
      <c r="E12" s="204">
        <f>SUM(E6:E11)</f>
        <v>8.3671893542082695E-2</v>
      </c>
      <c r="F12" s="192">
        <f t="shared" ref="F12:G12" si="1">SUM(F6:F11)</f>
        <v>0</v>
      </c>
      <c r="G12" s="192">
        <f t="shared" si="1"/>
        <v>0</v>
      </c>
      <c r="H12" s="204">
        <f>SUM(H6:H11)</f>
        <v>8.3671893542082695E-2</v>
      </c>
      <c r="I12" s="192">
        <f t="shared" ref="I12:J12" si="2">SUM(I6:I11)</f>
        <v>0</v>
      </c>
      <c r="J12" s="205">
        <f t="shared" si="2"/>
        <v>0</v>
      </c>
      <c r="M12" s="263"/>
      <c r="N12" s="264"/>
      <c r="O12" s="207"/>
      <c r="P12" s="264"/>
      <c r="Q12" s="208"/>
      <c r="S12" s="168"/>
      <c r="T12" s="168"/>
      <c r="U12" s="168"/>
      <c r="V12" s="168"/>
      <c r="W12" s="168"/>
      <c r="X12" s="168"/>
      <c r="Y12" s="168"/>
      <c r="Z12" s="168"/>
      <c r="AA12" s="168"/>
      <c r="AB12" s="165"/>
      <c r="AC12" s="166"/>
      <c r="AD12" s="164"/>
      <c r="AE12" s="164"/>
      <c r="AF12" s="171"/>
      <c r="AG12" s="171"/>
      <c r="AH12" s="171"/>
      <c r="AI12" s="168"/>
      <c r="AJ12" s="164"/>
      <c r="AK12" s="168"/>
      <c r="AL12" s="164"/>
      <c r="AM12" s="164"/>
      <c r="AN12" s="164"/>
      <c r="AO12" s="164"/>
      <c r="AP12" s="164"/>
      <c r="AQ12" s="164"/>
    </row>
    <row r="13" spans="1:43" ht="15">
      <c r="A13" s="30"/>
      <c r="B13" s="204"/>
      <c r="C13" s="192"/>
      <c r="D13" s="192"/>
      <c r="E13" s="204"/>
      <c r="F13" s="192"/>
      <c r="G13" s="192"/>
      <c r="H13" s="204"/>
      <c r="I13" s="192"/>
      <c r="J13" s="205"/>
      <c r="M13" s="263"/>
      <c r="N13" s="265"/>
      <c r="O13" s="266"/>
      <c r="P13" s="265"/>
      <c r="Q13" s="267"/>
      <c r="S13" s="163"/>
      <c r="T13" s="163"/>
      <c r="U13" s="163"/>
      <c r="V13" s="163"/>
      <c r="W13" s="163"/>
      <c r="X13" s="163"/>
      <c r="Y13" s="163"/>
      <c r="Z13" s="163"/>
      <c r="AA13" s="164"/>
      <c r="AB13" s="165"/>
      <c r="AC13" s="166"/>
      <c r="AD13" s="164"/>
      <c r="AE13" s="164"/>
      <c r="AF13" s="167"/>
      <c r="AG13" s="167"/>
      <c r="AH13" s="167"/>
      <c r="AI13" s="163"/>
      <c r="AJ13" s="164"/>
      <c r="AK13" s="163"/>
      <c r="AL13" s="164"/>
      <c r="AM13" s="164"/>
      <c r="AN13" s="164"/>
      <c r="AO13" s="164"/>
      <c r="AP13" s="164"/>
      <c r="AQ13" s="164"/>
    </row>
    <row r="14" spans="1:43">
      <c r="A14" s="30" t="s">
        <v>31</v>
      </c>
      <c r="B14" s="192">
        <f>IF($B$24&lt;&gt;0,$F$152/B24/1000,0)</f>
        <v>0</v>
      </c>
      <c r="C14" s="192">
        <v>2.46E-2</v>
      </c>
      <c r="D14" s="192">
        <v>7.3599375000000002E-3</v>
      </c>
      <c r="E14" s="204">
        <f>$D$124*$E$108/$B$49/1000</f>
        <v>9.3026761418853253E-4</v>
      </c>
      <c r="F14" s="192">
        <v>0</v>
      </c>
      <c r="G14" s="192">
        <v>0</v>
      </c>
      <c r="H14" s="204">
        <f>$D$124*$E$108/$B$49/1000</f>
        <v>9.3026761418853253E-4</v>
      </c>
      <c r="I14" s="192">
        <v>0</v>
      </c>
      <c r="J14" s="205">
        <v>0</v>
      </c>
      <c r="M14" s="259"/>
      <c r="N14" s="269"/>
      <c r="O14" s="270"/>
      <c r="P14" s="269"/>
      <c r="Q14" s="271"/>
      <c r="S14" s="168"/>
      <c r="T14" s="168"/>
      <c r="U14" s="168"/>
      <c r="V14" s="168"/>
      <c r="W14" s="168"/>
      <c r="X14" s="168"/>
      <c r="Y14" s="168"/>
      <c r="Z14" s="168"/>
      <c r="AA14" s="168"/>
      <c r="AB14" s="165"/>
      <c r="AC14" s="166"/>
      <c r="AD14" s="169"/>
      <c r="AE14" s="170"/>
      <c r="AF14" s="171"/>
      <c r="AG14" s="171"/>
      <c r="AH14" s="171"/>
      <c r="AI14" s="168"/>
      <c r="AJ14" s="170"/>
      <c r="AK14" s="168"/>
      <c r="AL14" s="169"/>
      <c r="AM14" s="169"/>
      <c r="AN14" s="169"/>
      <c r="AO14" s="169"/>
      <c r="AP14" s="169"/>
      <c r="AQ14" s="169"/>
    </row>
    <row r="15" spans="1:43">
      <c r="A15" s="30" t="s">
        <v>44</v>
      </c>
      <c r="B15" s="192">
        <f>IF($B$24&lt;&gt;0,$F$153/$B$24/1000,0)</f>
        <v>0</v>
      </c>
      <c r="C15" s="192">
        <v>8.9999999999999993E-3</v>
      </c>
      <c r="D15" s="192">
        <v>4.2419375E-3</v>
      </c>
      <c r="E15" s="204">
        <f>$H$124*$E$108/$B$49/1000</f>
        <v>0</v>
      </c>
      <c r="F15" s="192">
        <v>0</v>
      </c>
      <c r="G15" s="192">
        <v>0</v>
      </c>
      <c r="H15" s="204">
        <f>$H$124*$E$108/$B$49/1000</f>
        <v>0</v>
      </c>
      <c r="I15" s="192">
        <v>0</v>
      </c>
      <c r="J15" s="205">
        <v>0</v>
      </c>
      <c r="M15" s="263"/>
      <c r="N15" s="269"/>
      <c r="O15" s="268"/>
      <c r="P15" s="269"/>
      <c r="Q15" s="258"/>
      <c r="S15" s="176"/>
      <c r="T15" s="168"/>
      <c r="U15" s="168"/>
      <c r="V15" s="168"/>
      <c r="W15" s="168"/>
      <c r="X15" s="176"/>
      <c r="Y15" s="176"/>
      <c r="Z15" s="176"/>
      <c r="AA15" s="176"/>
      <c r="AB15" s="165"/>
      <c r="AC15" s="166"/>
      <c r="AD15" s="169"/>
      <c r="AE15" s="170"/>
      <c r="AF15" s="167"/>
      <c r="AG15" s="167"/>
      <c r="AH15" s="167"/>
      <c r="AI15" s="176"/>
      <c r="AJ15" s="170"/>
      <c r="AK15" s="176"/>
      <c r="AL15" s="169"/>
      <c r="AM15" s="169"/>
      <c r="AN15" s="169"/>
      <c r="AO15" s="169"/>
      <c r="AP15" s="169"/>
      <c r="AQ15" s="169"/>
    </row>
    <row r="16" spans="1:43">
      <c r="A16" s="30" t="s">
        <v>43</v>
      </c>
      <c r="B16" s="192">
        <f>IF($B$24&lt;&gt;0,$F$155/$B$24/1000,0)</f>
        <v>0</v>
      </c>
      <c r="C16" s="192">
        <v>7.9000000000000008E-3</v>
      </c>
      <c r="D16" s="192">
        <v>5.3897125000000002E-3</v>
      </c>
      <c r="E16" s="204">
        <f>$D$131*$E$108/$B$49/1000</f>
        <v>0</v>
      </c>
      <c r="F16" s="192">
        <v>0</v>
      </c>
      <c r="G16" s="192">
        <v>0</v>
      </c>
      <c r="H16" s="204">
        <f>$D$131*$E$108/$B$49/1000</f>
        <v>0</v>
      </c>
      <c r="I16" s="192">
        <v>0</v>
      </c>
      <c r="J16" s="205">
        <v>0</v>
      </c>
      <c r="M16" s="263"/>
      <c r="N16" s="269"/>
      <c r="O16" s="268"/>
      <c r="P16" s="269"/>
      <c r="Q16" s="258"/>
      <c r="S16" s="168"/>
      <c r="T16" s="168"/>
      <c r="U16" s="168"/>
      <c r="V16" s="168"/>
      <c r="W16" s="168"/>
      <c r="X16" s="168"/>
      <c r="Y16" s="168"/>
      <c r="Z16" s="168"/>
      <c r="AA16" s="176"/>
      <c r="AB16" s="165"/>
      <c r="AC16" s="166"/>
      <c r="AD16" s="169"/>
      <c r="AE16" s="170"/>
      <c r="AF16" s="171"/>
      <c r="AG16" s="171"/>
      <c r="AH16" s="171"/>
      <c r="AI16" s="168"/>
      <c r="AJ16" s="170"/>
      <c r="AK16" s="168"/>
      <c r="AL16" s="169"/>
      <c r="AM16" s="169"/>
      <c r="AN16" s="169"/>
      <c r="AO16" s="169"/>
      <c r="AP16" s="169"/>
      <c r="AQ16" s="169"/>
    </row>
    <row r="17" spans="1:10">
      <c r="A17" s="6" t="s">
        <v>5</v>
      </c>
      <c r="B17" s="192">
        <f>IF($B$24&lt;&gt;0,$F$154/$B$24/1000,0)</f>
        <v>0</v>
      </c>
      <c r="C17" s="192">
        <v>0</v>
      </c>
      <c r="D17" s="192">
        <v>2.6778947368421052E-3</v>
      </c>
      <c r="E17" s="204">
        <f>$F$194</f>
        <v>0</v>
      </c>
      <c r="F17" s="192">
        <v>0</v>
      </c>
      <c r="G17" s="192">
        <v>0</v>
      </c>
      <c r="H17" s="204">
        <f>$F$194</f>
        <v>0</v>
      </c>
      <c r="I17" s="192">
        <v>0</v>
      </c>
      <c r="J17" s="205">
        <v>0</v>
      </c>
    </row>
    <row r="18" spans="1:10">
      <c r="A18" s="6" t="s">
        <v>3</v>
      </c>
      <c r="B18" s="192">
        <f>IF($B$24&lt;&gt;0,$B$196/$B$49/1000,0)</f>
        <v>0</v>
      </c>
      <c r="C18" s="192">
        <v>2.7000000000000001E-3</v>
      </c>
      <c r="D18" s="192">
        <v>0.16719999999999999</v>
      </c>
      <c r="E18" s="204">
        <f>$F$196</f>
        <v>5.5866734693877554E-2</v>
      </c>
      <c r="F18" s="192">
        <v>0</v>
      </c>
      <c r="G18" s="192">
        <v>0</v>
      </c>
      <c r="H18" s="204">
        <f>$F$196</f>
        <v>5.5866734693877554E-2</v>
      </c>
      <c r="I18" s="192">
        <v>0</v>
      </c>
      <c r="J18" s="205">
        <v>0</v>
      </c>
    </row>
    <row r="19" spans="1:10" ht="15">
      <c r="A19" s="6" t="s">
        <v>4</v>
      </c>
      <c r="B19" s="207">
        <f>IF($B$24&lt;&gt;0,$B$195/$B$49/1000,0)</f>
        <v>0</v>
      </c>
      <c r="C19" s="207">
        <v>1.2E-2</v>
      </c>
      <c r="D19" s="207">
        <v>1.2884210526315788E-2</v>
      </c>
      <c r="E19" s="206">
        <f>$F$195</f>
        <v>0.23436734693877551</v>
      </c>
      <c r="F19" s="207">
        <v>0</v>
      </c>
      <c r="G19" s="207">
        <v>0</v>
      </c>
      <c r="H19" s="206">
        <f>$F$195</f>
        <v>0.23436734693877551</v>
      </c>
      <c r="I19" s="207">
        <v>0</v>
      </c>
      <c r="J19" s="208">
        <v>0</v>
      </c>
    </row>
    <row r="20" spans="1:10">
      <c r="A20" s="30" t="s">
        <v>42</v>
      </c>
      <c r="B20" s="192">
        <f t="shared" ref="B20:J20" si="3">SUM(B14:B19)</f>
        <v>0</v>
      </c>
      <c r="C20" s="192">
        <f t="shared" si="3"/>
        <v>5.62E-2</v>
      </c>
      <c r="D20" s="192">
        <f t="shared" si="3"/>
        <v>0.19975369276315788</v>
      </c>
      <c r="E20" s="204">
        <f t="shared" si="3"/>
        <v>0.29116434924684159</v>
      </c>
      <c r="F20" s="192">
        <f t="shared" ref="F20:G20" si="4">SUM(F14:F19)</f>
        <v>0</v>
      </c>
      <c r="G20" s="192">
        <f t="shared" si="4"/>
        <v>0</v>
      </c>
      <c r="H20" s="204">
        <f t="shared" si="3"/>
        <v>0.29116434924684159</v>
      </c>
      <c r="I20" s="192">
        <f t="shared" si="3"/>
        <v>0</v>
      </c>
      <c r="J20" s="205">
        <f t="shared" si="3"/>
        <v>0</v>
      </c>
    </row>
    <row r="21" spans="1:10">
      <c r="A21" s="6"/>
      <c r="B21" s="204"/>
      <c r="C21" s="192"/>
      <c r="D21" s="192"/>
      <c r="E21" s="204"/>
      <c r="F21" s="192"/>
      <c r="G21" s="192"/>
      <c r="H21" s="223"/>
      <c r="I21" s="192"/>
      <c r="J21" s="224"/>
    </row>
    <row r="22" spans="1:10">
      <c r="A22" s="30" t="s">
        <v>41</v>
      </c>
      <c r="B22" s="209">
        <f t="shared" ref="B22:J22" si="5">B12+B20</f>
        <v>0</v>
      </c>
      <c r="C22" s="210">
        <f t="shared" si="5"/>
        <v>0.1666</v>
      </c>
      <c r="D22" s="210">
        <f t="shared" si="5"/>
        <v>0.30458288448908055</v>
      </c>
      <c r="E22" s="209">
        <f t="shared" si="5"/>
        <v>0.3748362427889243</v>
      </c>
      <c r="F22" s="210">
        <f t="shared" si="5"/>
        <v>0</v>
      </c>
      <c r="G22" s="210">
        <f t="shared" si="5"/>
        <v>0</v>
      </c>
      <c r="H22" s="209">
        <f t="shared" si="5"/>
        <v>0.3748362427889243</v>
      </c>
      <c r="I22" s="210">
        <f t="shared" si="5"/>
        <v>0</v>
      </c>
      <c r="J22" s="211">
        <f t="shared" si="5"/>
        <v>0</v>
      </c>
    </row>
    <row r="23" spans="1:10">
      <c r="A23" s="6"/>
      <c r="B23" s="212"/>
      <c r="C23" s="213"/>
      <c r="D23" s="213"/>
      <c r="E23" s="212"/>
      <c r="F23" s="213"/>
      <c r="G23" s="213"/>
      <c r="H23" s="212"/>
      <c r="I23" s="213"/>
      <c r="J23" s="225"/>
    </row>
    <row r="24" spans="1:10">
      <c r="A24" s="25" t="s">
        <v>40</v>
      </c>
      <c r="B24" s="215">
        <f>+B54</f>
        <v>0</v>
      </c>
      <c r="C24" s="226">
        <v>0</v>
      </c>
      <c r="D24" s="226">
        <v>80000</v>
      </c>
      <c r="E24" s="215">
        <f>+B55</f>
        <v>0</v>
      </c>
      <c r="F24" s="226">
        <v>0</v>
      </c>
      <c r="G24" s="216">
        <v>0</v>
      </c>
      <c r="H24" s="215">
        <f>+B56</f>
        <v>0</v>
      </c>
      <c r="I24" s="226">
        <v>0</v>
      </c>
      <c r="J24" s="217">
        <v>0</v>
      </c>
    </row>
    <row r="25" spans="1:10">
      <c r="B25" s="49"/>
      <c r="C25" s="47"/>
      <c r="D25" s="47"/>
      <c r="E25" s="47"/>
      <c r="F25" s="48"/>
      <c r="G25" s="47"/>
      <c r="H25" s="47"/>
      <c r="J25" s="46"/>
    </row>
    <row r="26" spans="1:10" ht="18" customHeight="1">
      <c r="A26" s="64"/>
      <c r="B26" s="359" t="s">
        <v>92</v>
      </c>
      <c r="C26" s="360"/>
      <c r="D26" s="361"/>
      <c r="E26" s="347" t="s">
        <v>90</v>
      </c>
      <c r="F26" s="348"/>
      <c r="G26" s="348"/>
      <c r="H26" s="362" t="s">
        <v>20</v>
      </c>
      <c r="I26" s="363"/>
      <c r="J26" s="364"/>
    </row>
    <row r="27" spans="1:10" s="46" customFormat="1" ht="15">
      <c r="A27" s="66"/>
      <c r="B27" s="198" t="str">
        <f>$B$4</f>
        <v>25 Standard</v>
      </c>
      <c r="C27" s="199" t="str">
        <f>+C4</f>
        <v>23 Actual</v>
      </c>
      <c r="D27" s="200" t="str">
        <f>+D4</f>
        <v>20 Standard</v>
      </c>
      <c r="E27" s="218" t="s">
        <v>113</v>
      </c>
      <c r="F27" s="327" t="s">
        <v>114</v>
      </c>
      <c r="G27" s="219" t="s">
        <v>111</v>
      </c>
      <c r="H27" s="143" t="str">
        <f>+B27</f>
        <v>25 Standard</v>
      </c>
      <c r="I27" s="144" t="str">
        <f>+C27</f>
        <v>23 Actual</v>
      </c>
      <c r="J27" s="145" t="str">
        <f>+D27</f>
        <v>20 Standard</v>
      </c>
    </row>
    <row r="28" spans="1:10" s="46" customFormat="1">
      <c r="A28" s="66"/>
      <c r="B28" s="201"/>
      <c r="C28" s="202" t="s">
        <v>89</v>
      </c>
      <c r="D28" s="203"/>
      <c r="E28" s="201"/>
      <c r="F28" s="202" t="s">
        <v>102</v>
      </c>
      <c r="G28" s="203"/>
      <c r="H28" s="146"/>
      <c r="I28" s="137"/>
      <c r="J28" s="115"/>
    </row>
    <row r="29" spans="1:10">
      <c r="A29" s="30" t="s">
        <v>50</v>
      </c>
      <c r="B29" s="204">
        <f>D82</f>
        <v>6.5965817666666662E-2</v>
      </c>
      <c r="C29" s="192">
        <v>0</v>
      </c>
      <c r="D29" s="205">
        <v>0</v>
      </c>
      <c r="E29" s="192">
        <f>IF(E47&lt;&gt;0,$L$96,0)</f>
        <v>7.0852831853116985E-2</v>
      </c>
      <c r="F29" s="192">
        <v>7.8E-2</v>
      </c>
      <c r="G29" s="205">
        <v>6.0259679999999996E-2</v>
      </c>
      <c r="H29" s="138">
        <v>0</v>
      </c>
      <c r="I29" s="24">
        <v>0</v>
      </c>
      <c r="J29" s="94">
        <v>0</v>
      </c>
    </row>
    <row r="30" spans="1:10">
      <c r="A30" s="30" t="s">
        <v>27</v>
      </c>
      <c r="B30" s="204">
        <f>D169</f>
        <v>0</v>
      </c>
      <c r="C30" s="192">
        <v>0</v>
      </c>
      <c r="D30" s="205">
        <v>0</v>
      </c>
      <c r="E30" s="192">
        <f>IF(E47&lt;&gt;0,$G$169,0)</f>
        <v>4.3918811483700915E-2</v>
      </c>
      <c r="F30" s="192">
        <v>4.3200000000000002E-2</v>
      </c>
      <c r="G30" s="205">
        <v>2.6879417927194393E-2</v>
      </c>
      <c r="H30" s="138">
        <v>0</v>
      </c>
      <c r="I30" s="24">
        <v>0</v>
      </c>
      <c r="J30" s="94">
        <v>0</v>
      </c>
    </row>
    <row r="31" spans="1:10">
      <c r="A31" s="6" t="s">
        <v>49</v>
      </c>
      <c r="B31" s="204">
        <f>D170</f>
        <v>0</v>
      </c>
      <c r="C31" s="192">
        <v>0</v>
      </c>
      <c r="D31" s="205">
        <v>0</v>
      </c>
      <c r="E31" s="192">
        <f>IF(E47&lt;&gt;0,$G$170,0)</f>
        <v>2.5999999999999999E-2</v>
      </c>
      <c r="F31" s="192">
        <v>1.9E-2</v>
      </c>
      <c r="G31" s="205">
        <v>2.8566999999999999E-2</v>
      </c>
      <c r="H31" s="138">
        <f>J170</f>
        <v>0</v>
      </c>
      <c r="I31" s="24">
        <v>0</v>
      </c>
      <c r="J31" s="94">
        <v>0</v>
      </c>
    </row>
    <row r="32" spans="1:10">
      <c r="A32" s="30" t="s">
        <v>48</v>
      </c>
      <c r="B32" s="204">
        <f>IF($B$47&lt;&gt;0,$H$177,0)</f>
        <v>0</v>
      </c>
      <c r="C32" s="192">
        <v>0</v>
      </c>
      <c r="D32" s="205">
        <v>0</v>
      </c>
      <c r="E32" s="192">
        <f>IF(E47&lt;&gt;0,$H$177,0)</f>
        <v>0.03</v>
      </c>
      <c r="F32" s="192">
        <v>2.98E-2</v>
      </c>
      <c r="G32" s="205">
        <v>2.7777777777777776E-2</v>
      </c>
      <c r="H32" s="138">
        <v>0</v>
      </c>
      <c r="I32" s="24">
        <v>0</v>
      </c>
      <c r="J32" s="94">
        <v>0</v>
      </c>
    </row>
    <row r="33" spans="1:13">
      <c r="A33" s="30" t="s">
        <v>47</v>
      </c>
      <c r="B33" s="204">
        <f>IF($B$47&lt;&gt;0,$H$181,0)</f>
        <v>0</v>
      </c>
      <c r="C33" s="192">
        <v>0</v>
      </c>
      <c r="D33" s="205">
        <v>0</v>
      </c>
      <c r="E33" s="192">
        <f>IF(E47&lt;&gt;0,$H$181,0)</f>
        <v>5.5102040816326532E-3</v>
      </c>
      <c r="F33" s="192">
        <v>1.1999999999999999E-3</v>
      </c>
      <c r="G33" s="205">
        <v>6.9444444444444441E-3</v>
      </c>
      <c r="H33" s="138">
        <v>0</v>
      </c>
      <c r="I33" s="24">
        <v>0</v>
      </c>
      <c r="J33" s="94">
        <v>0</v>
      </c>
      <c r="K33" s="24"/>
      <c r="L33" s="24"/>
    </row>
    <row r="34" spans="1:13" ht="15">
      <c r="A34" s="30" t="s">
        <v>46</v>
      </c>
      <c r="B34" s="206">
        <f>IF($B$47&lt;&gt;0,$H$184,0)</f>
        <v>0</v>
      </c>
      <c r="C34" s="207">
        <v>0</v>
      </c>
      <c r="D34" s="208">
        <v>0</v>
      </c>
      <c r="E34" s="207">
        <f>IF(E47&lt;&gt;0,$H$184,0)</f>
        <v>1.1224489795918367E-2</v>
      </c>
      <c r="F34" s="207">
        <v>1.3899999999999999E-2</v>
      </c>
      <c r="G34" s="208">
        <v>1.2500000000000001E-2</v>
      </c>
      <c r="H34" s="139">
        <v>0</v>
      </c>
      <c r="I34" s="67">
        <v>0</v>
      </c>
      <c r="J34" s="95">
        <v>0</v>
      </c>
      <c r="K34" s="67"/>
      <c r="L34" s="67"/>
    </row>
    <row r="35" spans="1:13">
      <c r="A35" s="30" t="s">
        <v>45</v>
      </c>
      <c r="B35" s="204">
        <f>SUM(B29:B34)</f>
        <v>6.5965817666666662E-2</v>
      </c>
      <c r="C35" s="192">
        <f t="shared" ref="C35:D35" si="6">SUM(C29:C34)</f>
        <v>0</v>
      </c>
      <c r="D35" s="192">
        <f t="shared" si="6"/>
        <v>0</v>
      </c>
      <c r="E35" s="192">
        <f t="shared" ref="E35" si="7">SUM(E29:E34)</f>
        <v>0.18750633721436893</v>
      </c>
      <c r="F35" s="192">
        <f>SUM(F29:F34)</f>
        <v>0.18509999999999999</v>
      </c>
      <c r="G35" s="192">
        <f>SUM(G29:G34)</f>
        <v>0.16292832014941663</v>
      </c>
      <c r="H35" s="138">
        <f>SUM(H29:H34)</f>
        <v>0</v>
      </c>
      <c r="I35" s="24">
        <f t="shared" ref="I35" si="8">SUM(I29:I34)</f>
        <v>0</v>
      </c>
      <c r="J35" s="94">
        <f>SUM(J29:J34)</f>
        <v>0</v>
      </c>
      <c r="K35" s="24"/>
      <c r="L35" s="24"/>
    </row>
    <row r="36" spans="1:13">
      <c r="A36" s="30"/>
      <c r="B36" s="204"/>
      <c r="C36" s="192"/>
      <c r="D36" s="205"/>
      <c r="E36" s="204"/>
      <c r="F36" s="192"/>
      <c r="G36" s="205"/>
      <c r="H36" s="138"/>
      <c r="I36" s="24"/>
      <c r="J36" s="94"/>
      <c r="K36" s="24"/>
      <c r="L36" s="24"/>
    </row>
    <row r="37" spans="1:13">
      <c r="A37" s="30" t="s">
        <v>31</v>
      </c>
      <c r="B37" s="204">
        <f>$D$124*$E$108/$B$49/1000</f>
        <v>9.3026761418853253E-4</v>
      </c>
      <c r="C37" s="192">
        <v>0</v>
      </c>
      <c r="D37" s="205">
        <v>0</v>
      </c>
      <c r="E37" s="192">
        <f>IF($E$47&lt;&gt;0,$F$127/$E$47/1000,0)</f>
        <v>4.0001507410106898E-2</v>
      </c>
      <c r="F37" s="192">
        <v>3.5299999999999998E-2</v>
      </c>
      <c r="G37" s="205">
        <v>2.1569210091743118E-2</v>
      </c>
      <c r="H37" s="138">
        <v>0</v>
      </c>
      <c r="I37" s="24">
        <v>0</v>
      </c>
      <c r="J37" s="94">
        <v>0</v>
      </c>
      <c r="K37" s="24"/>
      <c r="L37" s="24"/>
    </row>
    <row r="38" spans="1:13">
      <c r="A38" s="30" t="s">
        <v>44</v>
      </c>
      <c r="B38" s="204">
        <f>$H$124*$E$108/$B$49/1000</f>
        <v>0</v>
      </c>
      <c r="C38" s="192">
        <v>0</v>
      </c>
      <c r="D38" s="205">
        <v>0</v>
      </c>
      <c r="E38" s="192">
        <f>IF($E$47&lt;&gt;0,$F$128/$E$47/1000,0)</f>
        <v>4.806117346938775E-3</v>
      </c>
      <c r="F38" s="192">
        <v>6.7000000000000002E-3</v>
      </c>
      <c r="G38" s="205">
        <v>5.1700857142857144E-3</v>
      </c>
      <c r="H38" s="138">
        <v>0</v>
      </c>
      <c r="I38" s="24">
        <v>0</v>
      </c>
      <c r="J38" s="94">
        <v>0</v>
      </c>
      <c r="K38" s="24"/>
      <c r="L38" s="24"/>
    </row>
    <row r="39" spans="1:13">
      <c r="A39" s="30" t="s">
        <v>43</v>
      </c>
      <c r="B39" s="204">
        <f>$D$131*$E$108/$B$49/1000</f>
        <v>0</v>
      </c>
      <c r="C39" s="192">
        <v>0</v>
      </c>
      <c r="D39" s="205">
        <v>0</v>
      </c>
      <c r="E39" s="192">
        <f>IF($E$47&lt;&gt;0,$F$130/$E$47/1000,0)</f>
        <v>1.2994211179543245E-2</v>
      </c>
      <c r="F39" s="192">
        <v>1.12E-2</v>
      </c>
      <c r="G39" s="205">
        <v>8.0162316187989569E-3</v>
      </c>
      <c r="H39" s="138">
        <v>0</v>
      </c>
      <c r="I39" s="24">
        <v>0</v>
      </c>
      <c r="J39" s="94">
        <v>0</v>
      </c>
      <c r="K39" s="24"/>
      <c r="L39" s="24"/>
    </row>
    <row r="40" spans="1:13">
      <c r="A40" s="6" t="s">
        <v>5</v>
      </c>
      <c r="B40" s="204">
        <f>IF($B$49&lt;&gt;0,$F$194,0)</f>
        <v>0</v>
      </c>
      <c r="C40" s="192">
        <v>0</v>
      </c>
      <c r="D40" s="205">
        <v>0</v>
      </c>
      <c r="E40" s="192">
        <f>IF($E$47&lt;&gt;0,$F$129/$E$47/1000,0)</f>
        <v>0</v>
      </c>
      <c r="F40" s="192">
        <v>0</v>
      </c>
      <c r="G40" s="205">
        <v>4.7638888888888888E-4</v>
      </c>
      <c r="H40" s="138">
        <v>0</v>
      </c>
      <c r="I40" s="24">
        <v>0</v>
      </c>
      <c r="J40" s="94">
        <v>0</v>
      </c>
      <c r="K40" s="24"/>
      <c r="L40" s="24"/>
    </row>
    <row r="41" spans="1:13" ht="15">
      <c r="A41" s="6" t="s">
        <v>3</v>
      </c>
      <c r="B41" s="204">
        <f>IF($B$49&lt;&gt;0,$F$196,0)</f>
        <v>5.5866734693877554E-2</v>
      </c>
      <c r="C41" s="192">
        <v>0</v>
      </c>
      <c r="D41" s="205">
        <v>0</v>
      </c>
      <c r="E41" s="192">
        <f>IF($E$47&lt;&gt;0,$B$196/$B$49/1000/4,0)</f>
        <v>1.1638903061224491E-3</v>
      </c>
      <c r="F41" s="192">
        <v>8.5000000000000006E-3</v>
      </c>
      <c r="G41" s="205">
        <v>5.6777777777777781E-3</v>
      </c>
      <c r="H41" s="138">
        <v>0</v>
      </c>
      <c r="I41" s="24">
        <v>0</v>
      </c>
      <c r="J41" s="94">
        <v>0</v>
      </c>
      <c r="K41" s="67"/>
      <c r="L41" s="67"/>
    </row>
    <row r="42" spans="1:13" ht="15">
      <c r="A42" s="6" t="s">
        <v>4</v>
      </c>
      <c r="B42" s="206">
        <f>IF($B$49&lt;&gt;0,$F$195,0)</f>
        <v>0.23436734693877551</v>
      </c>
      <c r="C42" s="207">
        <v>0</v>
      </c>
      <c r="D42" s="208">
        <v>0</v>
      </c>
      <c r="E42" s="207">
        <f>IF($E$47&lt;&gt;0,$B$195/$B$49/1000/4,0)</f>
        <v>4.8826530612244897E-3</v>
      </c>
      <c r="F42" s="207">
        <v>3.6200000000000003E-2</v>
      </c>
      <c r="G42" s="208">
        <v>2.5861111111111109E-2</v>
      </c>
      <c r="H42" s="139">
        <v>0</v>
      </c>
      <c r="I42" s="67">
        <v>0</v>
      </c>
      <c r="J42" s="95">
        <v>0</v>
      </c>
      <c r="K42" s="24"/>
      <c r="L42" s="24"/>
    </row>
    <row r="43" spans="1:13">
      <c r="A43" s="30" t="s">
        <v>42</v>
      </c>
      <c r="B43" s="204">
        <f t="shared" ref="B43:J43" si="9">SUM(B37:B42)</f>
        <v>0.29116434924684159</v>
      </c>
      <c r="C43" s="192">
        <f t="shared" si="9"/>
        <v>0</v>
      </c>
      <c r="D43" s="192">
        <f t="shared" si="9"/>
        <v>0</v>
      </c>
      <c r="E43" s="192">
        <f t="shared" ref="E43" si="10">SUM(E37:E42)</f>
        <v>6.3848379303935859E-2</v>
      </c>
      <c r="F43" s="192">
        <f>SUM(F37:F42)</f>
        <v>9.7900000000000001E-2</v>
      </c>
      <c r="G43" s="192">
        <f t="shared" si="9"/>
        <v>6.6770805202605574E-2</v>
      </c>
      <c r="H43" s="138">
        <f t="shared" si="9"/>
        <v>0</v>
      </c>
      <c r="I43" s="24">
        <f t="shared" si="9"/>
        <v>0</v>
      </c>
      <c r="J43" s="94">
        <f t="shared" si="9"/>
        <v>0</v>
      </c>
      <c r="K43" s="24"/>
      <c r="L43" s="24"/>
    </row>
    <row r="44" spans="1:13">
      <c r="A44" s="76" t="s">
        <v>112</v>
      </c>
      <c r="B44" s="204"/>
      <c r="C44" s="192"/>
      <c r="D44" s="205"/>
      <c r="E44" s="328"/>
      <c r="F44" s="328">
        <v>-4.5499999999999999E-2</v>
      </c>
      <c r="G44" s="205"/>
      <c r="H44" s="138"/>
      <c r="I44" s="24"/>
      <c r="J44" s="94"/>
      <c r="K44" s="24"/>
      <c r="L44" s="24"/>
    </row>
    <row r="45" spans="1:13">
      <c r="A45" s="30" t="s">
        <v>41</v>
      </c>
      <c r="B45" s="209">
        <f>B35+B43</f>
        <v>0.35713016691350824</v>
      </c>
      <c r="C45" s="210">
        <f t="shared" ref="C45:J45" si="11">C35+C43</f>
        <v>0</v>
      </c>
      <c r="D45" s="211">
        <v>0.19962945623832437</v>
      </c>
      <c r="E45" s="210">
        <f>E35+E43+E44</f>
        <v>0.25135471651830477</v>
      </c>
      <c r="F45" s="210">
        <f>F35+F43+F44</f>
        <v>0.23749999999999999</v>
      </c>
      <c r="G45" s="211">
        <f>+G35+G43</f>
        <v>0.22969912535202219</v>
      </c>
      <c r="H45" s="140">
        <f t="shared" si="11"/>
        <v>0</v>
      </c>
      <c r="I45" s="124">
        <f t="shared" si="11"/>
        <v>0</v>
      </c>
      <c r="J45" s="125">
        <f t="shared" si="11"/>
        <v>0</v>
      </c>
      <c r="K45" s="116"/>
      <c r="L45" s="116">
        <f>E45-0.245</f>
        <v>6.3547165183047705E-3</v>
      </c>
      <c r="M45" s="1">
        <f>E47*1000*L45</f>
        <v>31138.110939693375</v>
      </c>
    </row>
    <row r="46" spans="1:13">
      <c r="A46" s="6"/>
      <c r="B46" s="212"/>
      <c r="C46" s="213"/>
      <c r="D46" s="214"/>
      <c r="E46" s="212"/>
      <c r="F46" s="213"/>
      <c r="G46" s="214"/>
      <c r="H46" s="141"/>
      <c r="I46" s="24"/>
      <c r="J46" s="94"/>
      <c r="K46" s="47"/>
      <c r="L46" s="47"/>
      <c r="M46" s="1">
        <f>M45/12</f>
        <v>2594.8425783077814</v>
      </c>
    </row>
    <row r="47" spans="1:13">
      <c r="A47" s="25" t="s">
        <v>40</v>
      </c>
      <c r="B47" s="215">
        <f>+B57</f>
        <v>0</v>
      </c>
      <c r="C47" s="216">
        <v>0</v>
      </c>
      <c r="D47" s="217">
        <v>0</v>
      </c>
      <c r="E47" s="215">
        <f>+B58</f>
        <v>4900</v>
      </c>
      <c r="F47" s="216">
        <v>15776</v>
      </c>
      <c r="G47" s="217">
        <v>36000</v>
      </c>
      <c r="H47" s="142">
        <f>+B59</f>
        <v>0</v>
      </c>
      <c r="I47" s="112">
        <v>0</v>
      </c>
      <c r="J47" s="147">
        <v>0</v>
      </c>
      <c r="K47" s="117"/>
      <c r="L47" s="117"/>
      <c r="M47" s="251"/>
    </row>
    <row r="49" spans="1:12">
      <c r="A49" s="68" t="s">
        <v>39</v>
      </c>
      <c r="B49" s="114">
        <f>B24+E24+H24+B47+E47+H47</f>
        <v>4900</v>
      </c>
      <c r="C49" s="126">
        <f>C24+F24+I24+C47+F47+I47</f>
        <v>15776</v>
      </c>
      <c r="D49" s="127">
        <f>D24+G24+J24+D47+G47+J47</f>
        <v>116000</v>
      </c>
      <c r="E49" s="113"/>
    </row>
    <row r="50" spans="1:12"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>
      <c r="A51" s="54" t="s">
        <v>38</v>
      </c>
      <c r="B51" s="365" t="s">
        <v>37</v>
      </c>
      <c r="C51" s="365"/>
      <c r="D51" s="365"/>
      <c r="E51" s="365"/>
      <c r="F51" s="365"/>
      <c r="G51" s="365"/>
      <c r="H51" s="365"/>
      <c r="I51" s="365"/>
      <c r="J51" s="365"/>
      <c r="K51" s="365"/>
      <c r="L51" s="12"/>
    </row>
    <row r="52" spans="1:12">
      <c r="A52" s="30"/>
      <c r="L52" s="12"/>
    </row>
    <row r="53" spans="1:12" ht="15">
      <c r="A53" s="82" t="s">
        <v>61</v>
      </c>
      <c r="B53" s="45" t="s">
        <v>62</v>
      </c>
      <c r="C53" s="45" t="s">
        <v>64</v>
      </c>
      <c r="D53" s="185"/>
      <c r="E53" s="5"/>
      <c r="F53" s="45"/>
      <c r="G53" s="5"/>
      <c r="H53" s="5"/>
      <c r="L53" s="12"/>
    </row>
    <row r="54" spans="1:12" ht="15">
      <c r="A54" s="30" t="s">
        <v>95</v>
      </c>
      <c r="B54" s="120">
        <f>'2025 Summary'!$D$18</f>
        <v>0</v>
      </c>
      <c r="C54" s="129">
        <f>B54/$B$60</f>
        <v>0</v>
      </c>
      <c r="D54" s="32"/>
      <c r="E54" s="5">
        <f>9*400000*7</f>
        <v>25200000</v>
      </c>
      <c r="F54" s="44"/>
      <c r="G54" s="5" t="s">
        <v>20</v>
      </c>
      <c r="H54" s="121"/>
      <c r="L54" s="12"/>
    </row>
    <row r="55" spans="1:12" ht="15">
      <c r="A55" s="30" t="s">
        <v>96</v>
      </c>
      <c r="B55" s="120">
        <v>0</v>
      </c>
      <c r="C55" s="129">
        <f t="shared" ref="C55:C60" si="12">B55/$B$60</f>
        <v>0</v>
      </c>
      <c r="D55" s="32"/>
      <c r="E55" s="5"/>
      <c r="F55" s="44"/>
      <c r="G55" s="5" t="s">
        <v>20</v>
      </c>
      <c r="H55" s="121"/>
      <c r="L55" s="12"/>
    </row>
    <row r="56" spans="1:12" ht="15">
      <c r="A56" s="30" t="s">
        <v>97</v>
      </c>
      <c r="B56" s="120">
        <v>0</v>
      </c>
      <c r="C56" s="129">
        <f t="shared" si="12"/>
        <v>0</v>
      </c>
      <c r="D56" s="32"/>
      <c r="E56" s="5"/>
      <c r="F56" s="5"/>
      <c r="G56" s="5"/>
      <c r="H56" s="5"/>
      <c r="L56" s="12"/>
    </row>
    <row r="57" spans="1:12" ht="15">
      <c r="A57" s="30" t="s">
        <v>92</v>
      </c>
      <c r="B57" s="120">
        <v>0</v>
      </c>
      <c r="C57" s="129">
        <f t="shared" si="12"/>
        <v>0</v>
      </c>
      <c r="D57" s="32"/>
      <c r="E57" s="5"/>
      <c r="F57" s="5"/>
      <c r="G57" s="5"/>
      <c r="H57" s="5"/>
      <c r="L57" s="12"/>
    </row>
    <row r="58" spans="1:12" ht="15">
      <c r="A58" s="30" t="s">
        <v>90</v>
      </c>
      <c r="B58" s="103">
        <f>'2025 Summary'!$E$18</f>
        <v>4900</v>
      </c>
      <c r="C58" s="129">
        <f t="shared" si="12"/>
        <v>1</v>
      </c>
      <c r="D58" s="32"/>
      <c r="E58" s="5"/>
      <c r="F58" s="5"/>
      <c r="G58" s="5"/>
      <c r="H58" s="5"/>
      <c r="L58" s="12"/>
    </row>
    <row r="59" spans="1:12" ht="15">
      <c r="A59" s="30" t="s">
        <v>20</v>
      </c>
      <c r="B59" s="120">
        <v>0</v>
      </c>
      <c r="C59" s="130">
        <f t="shared" si="12"/>
        <v>0</v>
      </c>
      <c r="D59" s="32"/>
      <c r="E59" s="5"/>
      <c r="F59" s="5"/>
      <c r="G59" s="5"/>
      <c r="H59" s="5"/>
      <c r="L59" s="12"/>
    </row>
    <row r="60" spans="1:12">
      <c r="A60" s="83" t="s">
        <v>65</v>
      </c>
      <c r="B60" s="112">
        <f>SUM(B54:B59)</f>
        <v>4900</v>
      </c>
      <c r="C60" s="188">
        <f t="shared" si="12"/>
        <v>1</v>
      </c>
      <c r="D60" s="75"/>
      <c r="E60" s="53"/>
      <c r="F60" s="53"/>
      <c r="G60" s="53"/>
      <c r="H60" s="53"/>
      <c r="I60" s="10"/>
      <c r="J60" s="10"/>
      <c r="K60" s="10"/>
      <c r="L60" s="9"/>
    </row>
    <row r="61" spans="1:12">
      <c r="A61" s="16"/>
      <c r="B61" s="5"/>
      <c r="C61" s="5"/>
      <c r="D61" s="5"/>
      <c r="E61" s="5"/>
      <c r="F61" s="5"/>
      <c r="G61" s="5"/>
      <c r="H61" s="122"/>
      <c r="L61" s="12"/>
    </row>
    <row r="62" spans="1:12" ht="15" customHeight="1">
      <c r="A62" s="16"/>
      <c r="B62" s="5"/>
      <c r="C62" s="366" t="s">
        <v>35</v>
      </c>
      <c r="D62" s="366"/>
      <c r="E62" s="366"/>
      <c r="F62" s="366"/>
      <c r="G62" s="367" t="s">
        <v>60</v>
      </c>
      <c r="H62" s="367"/>
      <c r="I62" s="367"/>
      <c r="J62" s="367"/>
      <c r="K62" s="367"/>
      <c r="L62" s="233"/>
    </row>
    <row r="63" spans="1:12" s="36" customFormat="1" ht="15">
      <c r="A63" s="229" t="s">
        <v>66</v>
      </c>
      <c r="B63" s="101" t="s">
        <v>36</v>
      </c>
      <c r="C63" s="184" t="s">
        <v>95</v>
      </c>
      <c r="D63" s="197" t="s">
        <v>96</v>
      </c>
      <c r="E63" s="197" t="s">
        <v>97</v>
      </c>
      <c r="F63" s="197" t="s">
        <v>92</v>
      </c>
      <c r="G63" s="197" t="s">
        <v>98</v>
      </c>
      <c r="H63" s="184" t="s">
        <v>95</v>
      </c>
      <c r="I63" s="197" t="s">
        <v>96</v>
      </c>
      <c r="J63" s="197" t="s">
        <v>97</v>
      </c>
      <c r="K63" s="185" t="s">
        <v>92</v>
      </c>
      <c r="L63" s="197" t="s">
        <v>98</v>
      </c>
    </row>
    <row r="64" spans="1:12" s="36" customFormat="1" ht="15">
      <c r="A64" s="136" t="s">
        <v>71</v>
      </c>
      <c r="B64" s="235">
        <f>11.89*2</f>
        <v>23.78</v>
      </c>
      <c r="C64" s="248">
        <f>$C$76*H64</f>
        <v>0</v>
      </c>
      <c r="D64" s="248">
        <f>$C$86*I64</f>
        <v>0</v>
      </c>
      <c r="E64" s="248">
        <f>$G$86*J64</f>
        <v>0</v>
      </c>
      <c r="F64" s="248">
        <f>$K$86*K64</f>
        <v>0</v>
      </c>
      <c r="G64" s="109">
        <f>$K$86*L64</f>
        <v>0</v>
      </c>
      <c r="H64" s="246">
        <v>0</v>
      </c>
      <c r="I64" s="246">
        <v>0</v>
      </c>
      <c r="J64" s="246">
        <v>0</v>
      </c>
      <c r="K64" s="247">
        <v>0</v>
      </c>
      <c r="L64" s="187">
        <v>0</v>
      </c>
    </row>
    <row r="65" spans="1:12" s="36" customFormat="1" ht="15">
      <c r="A65" s="136"/>
      <c r="B65" s="120">
        <v>0</v>
      </c>
      <c r="C65" s="249">
        <f>$C$76*H65</f>
        <v>0</v>
      </c>
      <c r="D65" s="249">
        <f>$C$86*I65</f>
        <v>0</v>
      </c>
      <c r="E65" s="249">
        <f>$G$86*J65</f>
        <v>0</v>
      </c>
      <c r="F65" s="249">
        <f>$K$86*K65</f>
        <v>0</v>
      </c>
      <c r="G65" s="111">
        <f>$K$86*L65</f>
        <v>0</v>
      </c>
      <c r="H65" s="246">
        <v>0</v>
      </c>
      <c r="I65" s="246">
        <v>0</v>
      </c>
      <c r="J65" s="246">
        <v>0</v>
      </c>
      <c r="K65" s="247">
        <v>0</v>
      </c>
      <c r="L65" s="187">
        <v>0</v>
      </c>
    </row>
    <row r="66" spans="1:12" s="36" customFormat="1">
      <c r="A66" s="136"/>
      <c r="B66" s="42"/>
      <c r="C66" s="109">
        <f>SUM(C64:C65)</f>
        <v>0</v>
      </c>
      <c r="D66" s="109">
        <f>SUM(D64:D65)</f>
        <v>0</v>
      </c>
      <c r="E66" s="109">
        <f>SUM(E64:E65)</f>
        <v>0</v>
      </c>
      <c r="F66" s="109">
        <f>SUM(F64:F65)</f>
        <v>0</v>
      </c>
      <c r="G66" s="109">
        <f>SUM(G64:G65)</f>
        <v>0</v>
      </c>
      <c r="H66" s="80"/>
      <c r="I66" s="80"/>
      <c r="J66" s="80"/>
      <c r="K66" s="110"/>
      <c r="L66" s="110"/>
    </row>
    <row r="67" spans="1:12" s="36" customFormat="1">
      <c r="A67" s="230" t="s">
        <v>70</v>
      </c>
      <c r="B67" s="42"/>
      <c r="C67" s="109"/>
      <c r="D67" s="109"/>
      <c r="E67" s="109"/>
      <c r="F67" s="109"/>
      <c r="G67" s="109"/>
      <c r="H67" s="80"/>
      <c r="I67" s="80"/>
      <c r="J67" s="80"/>
      <c r="K67" s="110"/>
      <c r="L67" s="110"/>
    </row>
    <row r="68" spans="1:12" s="36" customFormat="1" ht="15">
      <c r="A68" s="136" t="s">
        <v>99</v>
      </c>
      <c r="B68" s="235">
        <v>0</v>
      </c>
      <c r="C68" s="248">
        <f>$C$77*H68</f>
        <v>0</v>
      </c>
      <c r="D68" s="248">
        <f>$C$87*I68</f>
        <v>0</v>
      </c>
      <c r="E68" s="248">
        <f>$G$87*J68</f>
        <v>0</v>
      </c>
      <c r="F68" s="248">
        <f t="shared" ref="F68:G71" si="13">$K$87*K68</f>
        <v>0</v>
      </c>
      <c r="G68" s="109">
        <f t="shared" si="13"/>
        <v>0</v>
      </c>
      <c r="H68" s="246">
        <v>0</v>
      </c>
      <c r="I68" s="246">
        <v>0</v>
      </c>
      <c r="J68" s="246">
        <v>0</v>
      </c>
      <c r="K68" s="247">
        <v>0</v>
      </c>
      <c r="L68" s="187">
        <v>0</v>
      </c>
    </row>
    <row r="69" spans="1:12" s="36" customFormat="1" ht="15">
      <c r="A69" s="136" t="s">
        <v>100</v>
      </c>
      <c r="B69" s="235">
        <f>116.72*2</f>
        <v>233.44</v>
      </c>
      <c r="C69" s="248">
        <f>$C$77*H69</f>
        <v>0</v>
      </c>
      <c r="D69" s="248">
        <f>$C$87*I69</f>
        <v>0</v>
      </c>
      <c r="E69" s="248">
        <f>$G$87*J69</f>
        <v>0</v>
      </c>
      <c r="F69" s="248">
        <f t="shared" si="13"/>
        <v>0</v>
      </c>
      <c r="G69" s="109">
        <f t="shared" si="13"/>
        <v>0</v>
      </c>
      <c r="H69" s="246">
        <v>0</v>
      </c>
      <c r="I69" s="246">
        <v>0</v>
      </c>
      <c r="J69" s="246">
        <v>0</v>
      </c>
      <c r="K69" s="247">
        <v>0</v>
      </c>
      <c r="L69" s="187">
        <v>0</v>
      </c>
    </row>
    <row r="70" spans="1:12" s="36" customFormat="1" ht="15">
      <c r="A70" s="136" t="s">
        <v>20</v>
      </c>
      <c r="B70" s="120">
        <v>0</v>
      </c>
      <c r="C70" s="248">
        <v>0</v>
      </c>
      <c r="D70" s="248">
        <f>$C$87*I70</f>
        <v>0</v>
      </c>
      <c r="E70" s="248">
        <f>$G$87*J70</f>
        <v>0</v>
      </c>
      <c r="F70" s="248">
        <f t="shared" si="13"/>
        <v>0</v>
      </c>
      <c r="G70" s="109">
        <f t="shared" si="13"/>
        <v>0</v>
      </c>
      <c r="H70" s="246">
        <v>0</v>
      </c>
      <c r="I70" s="246">
        <v>0</v>
      </c>
      <c r="J70" s="246">
        <v>0</v>
      </c>
      <c r="K70" s="247">
        <v>0</v>
      </c>
      <c r="L70" s="187">
        <v>0</v>
      </c>
    </row>
    <row r="71" spans="1:12" s="36" customFormat="1" ht="15">
      <c r="A71" s="136"/>
      <c r="B71" s="120">
        <v>0</v>
      </c>
      <c r="C71" s="249">
        <v>0</v>
      </c>
      <c r="D71" s="249">
        <f>$C$87*I71</f>
        <v>0</v>
      </c>
      <c r="E71" s="249">
        <f>$G$87*J71</f>
        <v>0</v>
      </c>
      <c r="F71" s="249">
        <f t="shared" si="13"/>
        <v>0</v>
      </c>
      <c r="G71" s="111">
        <f t="shared" si="13"/>
        <v>0</v>
      </c>
      <c r="H71" s="246">
        <v>0</v>
      </c>
      <c r="I71" s="246">
        <v>0</v>
      </c>
      <c r="J71" s="246">
        <v>0</v>
      </c>
      <c r="K71" s="247">
        <v>0</v>
      </c>
      <c r="L71" s="187">
        <v>0</v>
      </c>
    </row>
    <row r="72" spans="1:12" s="36" customFormat="1">
      <c r="A72" s="148"/>
      <c r="B72" s="42"/>
      <c r="C72" s="109">
        <f>SUM(C68:C71)</f>
        <v>0</v>
      </c>
      <c r="D72" s="109">
        <f>SUM(D68:D71)</f>
        <v>0</v>
      </c>
      <c r="E72" s="109">
        <f>SUM(E68:E71)</f>
        <v>0</v>
      </c>
      <c r="F72" s="109">
        <f>SUM(F68:F71)</f>
        <v>0</v>
      </c>
      <c r="G72" s="109">
        <f>SUM(G68:G71)</f>
        <v>0</v>
      </c>
      <c r="H72" s="80"/>
      <c r="I72" s="80"/>
      <c r="L72" s="119"/>
    </row>
    <row r="73" spans="1:12" s="36" customFormat="1">
      <c r="A73" s="148"/>
      <c r="B73" s="42"/>
      <c r="C73" s="109"/>
      <c r="D73" s="109"/>
      <c r="E73" s="109"/>
      <c r="F73" s="80"/>
      <c r="G73" s="80"/>
      <c r="H73" s="80"/>
      <c r="I73" s="80"/>
      <c r="L73" s="119"/>
    </row>
    <row r="74" spans="1:12" s="36" customFormat="1" ht="15">
      <c r="A74" s="6"/>
      <c r="B74" s="354" t="s">
        <v>95</v>
      </c>
      <c r="C74" s="354"/>
      <c r="D74" s="354"/>
      <c r="E74" s="37"/>
      <c r="F74" s="354" t="s">
        <v>96</v>
      </c>
      <c r="G74" s="354"/>
      <c r="H74" s="354"/>
      <c r="I74" s="185"/>
      <c r="L74" s="119"/>
    </row>
    <row r="75" spans="1:12" s="36" customFormat="1" ht="15" customHeight="1">
      <c r="A75" s="229"/>
      <c r="B75" s="278" t="s">
        <v>34</v>
      </c>
      <c r="C75" s="279" t="s">
        <v>35</v>
      </c>
      <c r="D75" s="35" t="s">
        <v>63</v>
      </c>
      <c r="E75" s="37"/>
      <c r="F75" s="35" t="s">
        <v>34</v>
      </c>
      <c r="G75" s="41" t="s">
        <v>35</v>
      </c>
      <c r="H75" s="35" t="s">
        <v>63</v>
      </c>
      <c r="I75" s="35"/>
      <c r="L75" s="119"/>
    </row>
    <row r="76" spans="1:12" s="36" customFormat="1" ht="15">
      <c r="A76" s="30" t="s">
        <v>66</v>
      </c>
      <c r="B76" s="280">
        <f>0.011</f>
        <v>1.0999999999999999E-2</v>
      </c>
      <c r="C76" s="242">
        <f>AVERAGE(3.6826,3.5997, 2.6808)</f>
        <v>3.3210333333333328</v>
      </c>
      <c r="D76" s="33">
        <f>B76*C76</f>
        <v>3.6531366666666662E-2</v>
      </c>
      <c r="F76" s="73">
        <v>0</v>
      </c>
      <c r="G76" s="118">
        <v>0</v>
      </c>
      <c r="H76" s="33">
        <f>F76*G76</f>
        <v>0</v>
      </c>
      <c r="I76" s="33"/>
      <c r="L76" s="119"/>
    </row>
    <row r="77" spans="1:12" s="36" customFormat="1" ht="15">
      <c r="A77" s="231" t="s">
        <v>69</v>
      </c>
      <c r="B77" s="272">
        <f>($B$68*$H$68+$B$69*$H$69+$B$70*$H$70+$B$71*$H$71)/2000</f>
        <v>0</v>
      </c>
      <c r="C77" s="242">
        <v>0</v>
      </c>
      <c r="D77" s="52">
        <f>B77*C77</f>
        <v>0</v>
      </c>
      <c r="F77" s="24">
        <f>($B$68*$L$68+$B$69*$L$69+$B$70*$L$70+$B$71*$L$71)/2000</f>
        <v>0</v>
      </c>
      <c r="G77" s="118">
        <v>0</v>
      </c>
      <c r="H77" s="52">
        <f>F77*G77</f>
        <v>0</v>
      </c>
      <c r="I77" s="52"/>
      <c r="L77" s="228"/>
    </row>
    <row r="78" spans="1:12" s="36" customFormat="1" ht="15">
      <c r="A78" s="30" t="s">
        <v>104</v>
      </c>
      <c r="B78" s="281">
        <v>1.8380000000000001</v>
      </c>
      <c r="C78" s="242">
        <v>8.0999999999999996E-3</v>
      </c>
      <c r="D78" s="52">
        <f>B78*C78</f>
        <v>1.48878E-2</v>
      </c>
      <c r="F78" s="24">
        <f>+B78</f>
        <v>1.8380000000000001</v>
      </c>
      <c r="G78" s="118">
        <v>0</v>
      </c>
      <c r="H78" s="52">
        <f>F78*G78</f>
        <v>0</v>
      </c>
      <c r="I78" s="52"/>
      <c r="L78" s="119"/>
    </row>
    <row r="79" spans="1:12" s="36" customFormat="1" ht="15">
      <c r="A79" s="30" t="s">
        <v>105</v>
      </c>
      <c r="B79" s="272">
        <f>750/1000</f>
        <v>0.75</v>
      </c>
      <c r="C79" s="242">
        <v>1.61E-2</v>
      </c>
      <c r="D79" s="52">
        <f t="shared" ref="D79:D80" si="14">B79*C79</f>
        <v>1.2074999999999999E-2</v>
      </c>
      <c r="F79" s="24">
        <f>+B79</f>
        <v>0.75</v>
      </c>
      <c r="G79" s="118">
        <v>0</v>
      </c>
      <c r="H79" s="52"/>
      <c r="I79" s="52"/>
      <c r="L79" s="119"/>
    </row>
    <row r="80" spans="1:12" s="36" customFormat="1" ht="16.5">
      <c r="A80" s="30" t="s">
        <v>103</v>
      </c>
      <c r="B80" s="272">
        <f>157.43/1000</f>
        <v>0.15743000000000001</v>
      </c>
      <c r="C80" s="242">
        <v>1.5699999999999999E-2</v>
      </c>
      <c r="D80" s="52">
        <f t="shared" si="14"/>
        <v>2.4716510000000001E-3</v>
      </c>
      <c r="F80" s="24">
        <f>+B80</f>
        <v>0.15743000000000001</v>
      </c>
      <c r="G80" s="118">
        <v>0</v>
      </c>
      <c r="H80" s="40">
        <v>0</v>
      </c>
      <c r="I80" s="40"/>
      <c r="L80" s="119"/>
    </row>
    <row r="82" spans="1:12" s="36" customFormat="1">
      <c r="A82" s="76" t="s">
        <v>67</v>
      </c>
      <c r="B82" s="74"/>
      <c r="C82" s="39"/>
      <c r="D82" s="38">
        <f>SUM(D76:D80)</f>
        <v>6.5965817666666662E-2</v>
      </c>
      <c r="F82" s="74"/>
      <c r="G82" s="39"/>
      <c r="H82" s="38">
        <f>SUM(H76:H80)</f>
        <v>0</v>
      </c>
      <c r="I82" s="38"/>
      <c r="L82" s="119"/>
    </row>
    <row r="83" spans="1:12" s="36" customFormat="1">
      <c r="A83" s="30"/>
      <c r="E83" s="37"/>
      <c r="F83" s="43"/>
      <c r="G83" s="42"/>
      <c r="H83" s="42"/>
      <c r="I83" s="42"/>
      <c r="L83" s="119"/>
    </row>
    <row r="84" spans="1:12" ht="15">
      <c r="A84" s="6"/>
      <c r="B84" s="354" t="s">
        <v>97</v>
      </c>
      <c r="C84" s="354"/>
      <c r="D84" s="354"/>
      <c r="E84" s="5"/>
      <c r="F84" s="354" t="s">
        <v>92</v>
      </c>
      <c r="G84" s="354"/>
      <c r="H84" s="354"/>
      <c r="I84" s="185"/>
      <c r="J84" s="354" t="s">
        <v>98</v>
      </c>
      <c r="K84" s="354"/>
      <c r="L84" s="355"/>
    </row>
    <row r="85" spans="1:12" ht="28.9" customHeight="1">
      <c r="A85" s="6"/>
      <c r="B85" s="35" t="s">
        <v>34</v>
      </c>
      <c r="C85" s="196" t="s">
        <v>101</v>
      </c>
      <c r="D85" s="35" t="s">
        <v>63</v>
      </c>
      <c r="F85" s="35" t="s">
        <v>34</v>
      </c>
      <c r="G85" s="41" t="s">
        <v>35</v>
      </c>
      <c r="H85" s="35" t="s">
        <v>63</v>
      </c>
      <c r="I85" s="35"/>
      <c r="J85" s="35" t="s">
        <v>34</v>
      </c>
      <c r="K85" s="41" t="s">
        <v>35</v>
      </c>
      <c r="L85" s="34" t="s">
        <v>63</v>
      </c>
    </row>
    <row r="86" spans="1:12" ht="15">
      <c r="A86" s="232" t="s">
        <v>68</v>
      </c>
      <c r="B86" s="73">
        <f>($B$64*$I$64+$B$65*$I$65)/2000</f>
        <v>0</v>
      </c>
      <c r="C86" s="118">
        <v>0</v>
      </c>
      <c r="D86" s="33">
        <f>B86*C86</f>
        <v>0</v>
      </c>
      <c r="F86" s="73">
        <f>($B$64*$J$64+$B$65*$J$65)/2000</f>
        <v>0</v>
      </c>
      <c r="G86" s="118">
        <v>0</v>
      </c>
      <c r="H86" s="89">
        <f>F86*G86</f>
        <v>0</v>
      </c>
      <c r="I86" s="89"/>
      <c r="J86" s="73">
        <f>($B$64*$K$64+$B$65*$K$65)/2000</f>
        <v>0</v>
      </c>
      <c r="K86" s="118">
        <v>0</v>
      </c>
      <c r="L86" s="50">
        <f>J86*K86</f>
        <v>0</v>
      </c>
    </row>
    <row r="87" spans="1:12" ht="15">
      <c r="A87" s="6" t="s">
        <v>69</v>
      </c>
      <c r="B87" s="24">
        <f>($B$68*$I$68+$B$69*$I$69+$B$70*$I$70+$B$71*$I$71)/2000</f>
        <v>0</v>
      </c>
      <c r="C87" s="118">
        <v>0</v>
      </c>
      <c r="D87" s="13">
        <f t="shared" ref="D87:D92" si="15">B87*C87</f>
        <v>0</v>
      </c>
      <c r="F87" s="24">
        <f>($B$68*$J$68+$B$69*$J$69+$B$70*$J$70+$B$71*$J$71)/2000</f>
        <v>0</v>
      </c>
      <c r="G87" s="118">
        <v>0</v>
      </c>
      <c r="H87" s="100">
        <f t="shared" ref="H87:H92" si="16">F87*G87</f>
        <v>0</v>
      </c>
      <c r="I87" s="13"/>
      <c r="J87" s="24">
        <f>($B$68*$K$68+$B$69*$K$69+$B$70*$K$70+$B$71*$K$71)/2000</f>
        <v>0</v>
      </c>
      <c r="K87" s="118">
        <v>0</v>
      </c>
      <c r="L87" s="31">
        <f t="shared" ref="L87:L94" si="17">J87*K87</f>
        <v>0</v>
      </c>
    </row>
    <row r="88" spans="1:12" ht="16.5">
      <c r="A88" s="30" t="s">
        <v>104</v>
      </c>
      <c r="B88" s="47">
        <v>2.54</v>
      </c>
      <c r="C88" s="118">
        <v>0</v>
      </c>
      <c r="D88" s="13">
        <f t="shared" si="15"/>
        <v>0</v>
      </c>
      <c r="F88" s="24">
        <f>+B88</f>
        <v>2.54</v>
      </c>
      <c r="G88" s="118">
        <v>0</v>
      </c>
      <c r="H88" s="100">
        <f t="shared" si="16"/>
        <v>0</v>
      </c>
      <c r="I88" s="88"/>
      <c r="J88" s="272">
        <v>1.964</v>
      </c>
      <c r="K88" s="118">
        <v>2.0848163962425278E-2</v>
      </c>
      <c r="L88" s="190">
        <f t="shared" si="17"/>
        <v>4.0945794022203247E-2</v>
      </c>
    </row>
    <row r="89" spans="1:12" ht="16.5">
      <c r="A89" s="30" t="s">
        <v>105</v>
      </c>
      <c r="B89" s="24">
        <f>750/1000</f>
        <v>0.75</v>
      </c>
      <c r="C89" s="118">
        <v>0</v>
      </c>
      <c r="D89" s="13">
        <f t="shared" si="15"/>
        <v>0</v>
      </c>
      <c r="F89" s="24">
        <f>+B89</f>
        <v>0.75</v>
      </c>
      <c r="G89" s="118">
        <v>0</v>
      </c>
      <c r="H89" s="100">
        <f t="shared" si="16"/>
        <v>0</v>
      </c>
      <c r="I89" s="88"/>
      <c r="J89" s="272">
        <v>0.59099999999999997</v>
      </c>
      <c r="K89" s="118">
        <v>3.101451750640478E-3</v>
      </c>
      <c r="L89" s="190">
        <f t="shared" si="17"/>
        <v>1.8329579846285225E-3</v>
      </c>
    </row>
    <row r="90" spans="1:12" ht="16.5">
      <c r="A90" s="30" t="s">
        <v>103</v>
      </c>
      <c r="B90" s="24">
        <f>157.43/1000</f>
        <v>0.15743000000000001</v>
      </c>
      <c r="C90" s="118">
        <v>0</v>
      </c>
      <c r="D90" s="13">
        <f t="shared" si="15"/>
        <v>0</v>
      </c>
      <c r="F90" s="24">
        <f>+B90</f>
        <v>0.15743000000000001</v>
      </c>
      <c r="G90" s="118">
        <v>0</v>
      </c>
      <c r="H90" s="100">
        <f t="shared" si="16"/>
        <v>0</v>
      </c>
      <c r="I90" s="88"/>
      <c r="J90" s="272">
        <v>0.105</v>
      </c>
      <c r="K90" s="118">
        <v>0.1</v>
      </c>
      <c r="L90" s="190">
        <f t="shared" si="17"/>
        <v>1.0500000000000001E-2</v>
      </c>
    </row>
    <row r="91" spans="1:12" ht="16.5">
      <c r="A91" s="30" t="s">
        <v>106</v>
      </c>
      <c r="B91" s="24"/>
      <c r="C91" s="118">
        <v>0</v>
      </c>
      <c r="D91" s="13">
        <f t="shared" si="15"/>
        <v>0</v>
      </c>
      <c r="F91" s="24">
        <f>+B91</f>
        <v>0</v>
      </c>
      <c r="G91" s="118">
        <v>0</v>
      </c>
      <c r="H91" s="100">
        <f t="shared" si="16"/>
        <v>0</v>
      </c>
      <c r="I91" s="88"/>
      <c r="J91" s="272">
        <v>1.0269999999999999</v>
      </c>
      <c r="K91" s="118">
        <v>2.1752348420153713E-3</v>
      </c>
      <c r="L91" s="190">
        <f t="shared" si="17"/>
        <v>2.2339661827497862E-3</v>
      </c>
    </row>
    <row r="92" spans="1:12" ht="16.5">
      <c r="A92" s="30" t="s">
        <v>107</v>
      </c>
      <c r="B92" s="24"/>
      <c r="C92" s="118">
        <v>0</v>
      </c>
      <c r="D92" s="13">
        <f t="shared" si="15"/>
        <v>0</v>
      </c>
      <c r="F92" s="24">
        <f>+B92</f>
        <v>0</v>
      </c>
      <c r="G92" s="118">
        <v>0</v>
      </c>
      <c r="H92" s="100">
        <f t="shared" si="16"/>
        <v>0</v>
      </c>
      <c r="I92" s="88"/>
      <c r="J92" s="272">
        <v>1.389</v>
      </c>
      <c r="K92" s="118">
        <v>2.3312553373185311E-3</v>
      </c>
      <c r="L92" s="190">
        <f t="shared" si="17"/>
        <v>3.2381136635354396E-3</v>
      </c>
    </row>
    <row r="93" spans="1:12" ht="16.5">
      <c r="A93" s="30" t="s">
        <v>108</v>
      </c>
      <c r="B93" s="239"/>
      <c r="C93" s="118"/>
      <c r="D93" s="13"/>
      <c r="F93" s="24"/>
      <c r="G93" s="118"/>
      <c r="H93" s="100"/>
      <c r="I93" s="88"/>
      <c r="J93" s="273">
        <v>18.84</v>
      </c>
      <c r="K93" s="118">
        <v>5.9999999999999995E-4</v>
      </c>
      <c r="L93" s="190">
        <f t="shared" si="17"/>
        <v>1.1303999999999998E-2</v>
      </c>
    </row>
    <row r="94" spans="1:12" ht="16.5">
      <c r="A94" s="30" t="s">
        <v>109</v>
      </c>
      <c r="B94" s="238"/>
      <c r="C94" s="118"/>
      <c r="D94" s="13"/>
      <c r="F94" s="24"/>
      <c r="G94" s="118"/>
      <c r="H94" s="100"/>
      <c r="I94" s="88"/>
      <c r="J94" s="274">
        <v>1.33</v>
      </c>
      <c r="K94" s="118">
        <v>5.9999999999999995E-4</v>
      </c>
      <c r="L94" s="190">
        <f t="shared" si="17"/>
        <v>7.9799999999999999E-4</v>
      </c>
    </row>
    <row r="95" spans="1:12" ht="16.5">
      <c r="A95" s="30"/>
      <c r="B95" s="191"/>
      <c r="C95" s="191"/>
      <c r="D95" s="40">
        <v>0</v>
      </c>
      <c r="F95" s="191"/>
      <c r="G95" s="191"/>
      <c r="H95" s="40">
        <v>0</v>
      </c>
      <c r="I95" s="88"/>
      <c r="J95" s="191"/>
      <c r="K95" s="191"/>
      <c r="L95" s="240">
        <v>0</v>
      </c>
    </row>
    <row r="96" spans="1:12">
      <c r="A96" s="83" t="s">
        <v>67</v>
      </c>
      <c r="B96" s="53"/>
      <c r="C96" s="75"/>
      <c r="D96" s="189">
        <f>SUM(D86:D95)</f>
        <v>0</v>
      </c>
      <c r="E96" s="53"/>
      <c r="F96" s="53"/>
      <c r="G96" s="75"/>
      <c r="H96" s="189">
        <f>SUM(H86:H95)</f>
        <v>0</v>
      </c>
      <c r="I96" s="123"/>
      <c r="J96" s="53"/>
      <c r="K96" s="75"/>
      <c r="L96" s="241">
        <f>SUM(L86:L95)</f>
        <v>7.0852831853116985E-2</v>
      </c>
    </row>
    <row r="98" spans="1:9">
      <c r="A98" s="356" t="s">
        <v>33</v>
      </c>
      <c r="B98" s="357"/>
      <c r="C98" s="357"/>
      <c r="D98" s="357"/>
      <c r="E98" s="357"/>
      <c r="F98" s="357"/>
      <c r="G98" s="357"/>
      <c r="H98" s="358"/>
    </row>
    <row r="99" spans="1:9" ht="14.65" customHeight="1">
      <c r="A99" s="71"/>
      <c r="B99" s="72"/>
      <c r="C99" s="72"/>
      <c r="D99" s="72"/>
      <c r="E99" s="72"/>
      <c r="F99" s="368" t="s">
        <v>53</v>
      </c>
      <c r="G99" s="368"/>
      <c r="H99" s="369"/>
    </row>
    <row r="100" spans="1:9" ht="15">
      <c r="A100" s="370" t="s">
        <v>55</v>
      </c>
      <c r="B100" s="371"/>
      <c r="C100" s="371"/>
      <c r="D100" s="371"/>
      <c r="E100" s="371"/>
      <c r="F100" s="368"/>
      <c r="G100" s="368"/>
      <c r="H100" s="369"/>
    </row>
    <row r="101" spans="1:9" ht="16.5">
      <c r="A101" s="16"/>
      <c r="B101" s="185" t="s">
        <v>56</v>
      </c>
      <c r="C101" s="185" t="s">
        <v>85</v>
      </c>
      <c r="D101" s="185" t="s">
        <v>32</v>
      </c>
      <c r="E101" s="185" t="s">
        <v>54</v>
      </c>
      <c r="F101" s="103">
        <v>1</v>
      </c>
      <c r="G101" s="128" t="s">
        <v>58</v>
      </c>
      <c r="H101" s="85">
        <f>(F101*C202*C204)+((F101*C202*C204*D113))</f>
        <v>345498296</v>
      </c>
    </row>
    <row r="102" spans="1:9" ht="15">
      <c r="A102" s="30" t="s">
        <v>95</v>
      </c>
      <c r="B102" s="28">
        <f>B54</f>
        <v>0</v>
      </c>
      <c r="C102" s="286">
        <v>550</v>
      </c>
      <c r="D102" s="28">
        <f>B102/C102</f>
        <v>0</v>
      </c>
      <c r="E102" s="21">
        <f t="shared" ref="E102:E108" si="18">D102/D$108</f>
        <v>0</v>
      </c>
      <c r="F102" s="86">
        <f>(F101*C202*C204*C116)+((F101*C202*C204*D113)*C118)</f>
        <v>18643340.973099794</v>
      </c>
      <c r="G102" s="5" t="s">
        <v>29</v>
      </c>
      <c r="H102" s="87">
        <f>F102/$H$101</f>
        <v>5.3960732046851527E-2</v>
      </c>
      <c r="I102" s="287" t="s">
        <v>120</v>
      </c>
    </row>
    <row r="103" spans="1:9" ht="15">
      <c r="A103" s="30" t="s">
        <v>96</v>
      </c>
      <c r="B103" s="43">
        <f t="shared" ref="B103:B107" si="19">B55</f>
        <v>0</v>
      </c>
      <c r="C103" s="108">
        <v>0</v>
      </c>
      <c r="D103" s="28">
        <v>0</v>
      </c>
      <c r="E103" s="21">
        <f t="shared" si="18"/>
        <v>0</v>
      </c>
      <c r="F103" s="195">
        <f>F102*C206</f>
        <v>5593002.2919299379</v>
      </c>
      <c r="G103" s="5" t="s">
        <v>28</v>
      </c>
      <c r="H103" s="87">
        <f>F103/$H$101</f>
        <v>1.6188219614055456E-2</v>
      </c>
    </row>
    <row r="104" spans="1:9" ht="15">
      <c r="A104" s="30" t="s">
        <v>97</v>
      </c>
      <c r="B104" s="43">
        <f t="shared" si="19"/>
        <v>0</v>
      </c>
      <c r="C104" s="108">
        <v>0</v>
      </c>
      <c r="D104" s="28">
        <v>0</v>
      </c>
      <c r="E104" s="21">
        <f t="shared" si="18"/>
        <v>0</v>
      </c>
      <c r="F104" s="86"/>
      <c r="G104" s="5"/>
      <c r="H104" s="87"/>
    </row>
    <row r="105" spans="1:9" ht="15">
      <c r="A105" s="30" t="s">
        <v>92</v>
      </c>
      <c r="B105" s="43">
        <f t="shared" si="19"/>
        <v>0</v>
      </c>
      <c r="C105" s="108">
        <v>0</v>
      </c>
      <c r="D105" s="28">
        <v>0</v>
      </c>
      <c r="E105" s="21">
        <f t="shared" si="18"/>
        <v>0</v>
      </c>
      <c r="F105" s="86"/>
      <c r="G105" s="5"/>
      <c r="H105" s="87"/>
    </row>
    <row r="106" spans="1:9" ht="15">
      <c r="A106" s="30" t="s">
        <v>90</v>
      </c>
      <c r="B106" s="43">
        <f t="shared" si="19"/>
        <v>4900</v>
      </c>
      <c r="C106" s="286">
        <v>110</v>
      </c>
      <c r="D106" s="28">
        <f t="shared" ref="D106" si="20">B106/C106</f>
        <v>44.545454545454547</v>
      </c>
      <c r="E106" s="21">
        <f>D106/D$108</f>
        <v>1</v>
      </c>
      <c r="F106" s="86"/>
      <c r="G106" s="5"/>
      <c r="H106" s="87"/>
      <c r="I106" s="287" t="s">
        <v>119</v>
      </c>
    </row>
    <row r="107" spans="1:9" ht="15">
      <c r="A107" s="83" t="s">
        <v>20</v>
      </c>
      <c r="B107" s="112">
        <f t="shared" si="19"/>
        <v>0</v>
      </c>
      <c r="C107" s="108">
        <v>0</v>
      </c>
      <c r="D107" s="106">
        <v>0</v>
      </c>
      <c r="E107" s="107">
        <f t="shared" si="18"/>
        <v>0</v>
      </c>
      <c r="H107" s="12"/>
    </row>
    <row r="108" spans="1:9">
      <c r="A108" s="96"/>
      <c r="B108" s="69">
        <f>SUM(B102:B107)</f>
        <v>4900</v>
      </c>
      <c r="C108" s="70">
        <f>B108/D108</f>
        <v>110</v>
      </c>
      <c r="D108" s="70">
        <f>SUM(D102:D107)</f>
        <v>44.545454545454547</v>
      </c>
      <c r="E108" s="314">
        <f t="shared" si="18"/>
        <v>1</v>
      </c>
      <c r="H108" s="27"/>
    </row>
    <row r="109" spans="1:9">
      <c r="A109" s="315" t="s">
        <v>115</v>
      </c>
      <c r="B109" s="69"/>
      <c r="C109" s="70"/>
      <c r="D109" s="70"/>
      <c r="E109" s="314"/>
      <c r="F109" s="4"/>
      <c r="G109" s="4"/>
      <c r="H109" s="316"/>
    </row>
    <row r="110" spans="1:9" ht="15">
      <c r="A110" s="6"/>
      <c r="B110" s="289"/>
      <c r="C110" s="289"/>
      <c r="D110" s="289"/>
      <c r="E110" s="289"/>
      <c r="F110" s="289"/>
      <c r="G110" s="289"/>
      <c r="H110" s="290"/>
    </row>
    <row r="111" spans="1:9">
      <c r="A111" s="6"/>
      <c r="B111" s="352"/>
      <c r="C111" s="352"/>
      <c r="D111" s="352"/>
      <c r="F111" s="352"/>
      <c r="G111" s="352"/>
      <c r="H111" s="353"/>
    </row>
    <row r="112" spans="1:9" ht="15">
      <c r="A112" s="6"/>
      <c r="B112" t="s">
        <v>125</v>
      </c>
      <c r="C112" t="s">
        <v>126</v>
      </c>
      <c r="D112" t="s">
        <v>127</v>
      </c>
      <c r="E112" t="s">
        <v>128</v>
      </c>
      <c r="F112" s="317" t="s">
        <v>129</v>
      </c>
      <c r="G112" s="317" t="s">
        <v>130</v>
      </c>
      <c r="H112" s="291" t="s">
        <v>131</v>
      </c>
    </row>
    <row r="113" spans="1:30" ht="15">
      <c r="A113" s="292" t="s">
        <v>31</v>
      </c>
      <c r="B113" s="293">
        <v>119702.77</v>
      </c>
      <c r="C113" s="293">
        <v>140371.43</v>
      </c>
      <c r="D113" s="293">
        <v>166103.95000000001</v>
      </c>
      <c r="E113" s="293">
        <v>166766.85999999999</v>
      </c>
      <c r="F113" s="294">
        <v>105842.43</v>
      </c>
      <c r="G113" s="294">
        <v>147383.65</v>
      </c>
      <c r="H113" s="295">
        <v>163283.07</v>
      </c>
      <c r="U113" s="178"/>
      <c r="V113" s="178"/>
      <c r="W113" s="178"/>
      <c r="X113" s="178"/>
      <c r="Z113" s="178"/>
      <c r="AA113" s="166"/>
      <c r="AB113" s="180"/>
      <c r="AC113" s="152"/>
      <c r="AD113" s="93"/>
    </row>
    <row r="114" spans="1:30" ht="15">
      <c r="A114" s="292" t="s">
        <v>30</v>
      </c>
      <c r="B114" s="293">
        <v>15222.93</v>
      </c>
      <c r="C114" s="293">
        <v>23913.55</v>
      </c>
      <c r="D114" s="293">
        <v>19670.79</v>
      </c>
      <c r="E114" s="293">
        <v>41336.57</v>
      </c>
      <c r="F114" s="294">
        <v>23672.31</v>
      </c>
      <c r="G114" s="294">
        <v>9419.99</v>
      </c>
      <c r="H114" s="295">
        <v>18308.82</v>
      </c>
      <c r="U114" s="178"/>
      <c r="V114" s="178"/>
      <c r="W114" s="178"/>
      <c r="X114" s="178"/>
      <c r="Z114" s="178"/>
      <c r="AA114" s="166"/>
      <c r="AB114" s="180"/>
      <c r="AC114" s="152"/>
      <c r="AD114" s="93"/>
    </row>
    <row r="115" spans="1:30" ht="15">
      <c r="A115" s="292" t="s">
        <v>28</v>
      </c>
      <c r="B115" s="293">
        <v>11228.99</v>
      </c>
      <c r="C115" s="293">
        <v>10794.51</v>
      </c>
      <c r="D115" s="293">
        <v>10146.4</v>
      </c>
      <c r="E115" s="293">
        <v>8112.73</v>
      </c>
      <c r="F115" s="294">
        <v>-1917.2</v>
      </c>
      <c r="G115" s="294">
        <v>49379.56</v>
      </c>
      <c r="H115" s="295">
        <v>50660.85</v>
      </c>
      <c r="U115" s="178"/>
      <c r="V115" s="178"/>
      <c r="W115" s="178"/>
      <c r="X115" s="178"/>
      <c r="Z115" s="178"/>
      <c r="AA115" s="166"/>
      <c r="AB115" s="180"/>
      <c r="AC115" s="152"/>
      <c r="AD115" s="93"/>
    </row>
    <row r="116" spans="1:30" ht="16.5">
      <c r="A116" s="296" t="s">
        <v>5</v>
      </c>
      <c r="B116" s="293">
        <v>3928.57</v>
      </c>
      <c r="C116" s="293">
        <v>-3928.57</v>
      </c>
      <c r="D116" s="293">
        <v>0</v>
      </c>
      <c r="E116" s="293">
        <v>-1311.46</v>
      </c>
      <c r="F116" s="294">
        <v>841.1</v>
      </c>
      <c r="G116" s="294">
        <v>0</v>
      </c>
      <c r="H116" s="295">
        <v>0</v>
      </c>
      <c r="I116" s="62"/>
      <c r="U116" s="179"/>
      <c r="V116" s="179"/>
      <c r="W116" s="179"/>
      <c r="X116" s="179"/>
      <c r="Z116" s="179"/>
      <c r="AA116" s="166"/>
      <c r="AB116" s="180"/>
      <c r="AC116" s="152"/>
      <c r="AD116" s="93"/>
    </row>
    <row r="117" spans="1:30" ht="16.5">
      <c r="A117" s="296" t="s">
        <v>132</v>
      </c>
      <c r="B117">
        <v>37953</v>
      </c>
      <c r="C117">
        <v>21274</v>
      </c>
      <c r="D117">
        <v>55365</v>
      </c>
      <c r="E117">
        <v>3960</v>
      </c>
      <c r="F117">
        <v>26641</v>
      </c>
      <c r="G117">
        <v>11698</v>
      </c>
      <c r="H117" s="318">
        <v>35168</v>
      </c>
      <c r="I117" s="62"/>
      <c r="U117" s="179"/>
      <c r="V117" s="179"/>
      <c r="W117" s="179"/>
      <c r="X117" s="179"/>
      <c r="Z117" s="179"/>
      <c r="AA117" s="166"/>
      <c r="AB117" s="180"/>
      <c r="AC117" s="152"/>
      <c r="AD117" s="93"/>
    </row>
    <row r="118" spans="1:30" ht="15">
      <c r="A118" s="296" t="s">
        <v>133</v>
      </c>
      <c r="B118" s="297">
        <f>B115/(B113+B114+B116-B117)</f>
        <v>0.11128690451567158</v>
      </c>
      <c r="C118" s="297">
        <f t="shared" ref="C118:H118" si="21">C115/(C113+C114+C116-C117)</f>
        <v>7.7612330703789228E-2</v>
      </c>
      <c r="D118" s="297">
        <f t="shared" si="21"/>
        <v>7.7804004516840525E-2</v>
      </c>
      <c r="E118" s="297">
        <f t="shared" si="21"/>
        <v>3.9997294312134321E-2</v>
      </c>
      <c r="F118" s="297">
        <f t="shared" si="21"/>
        <v>-1.848530065707087E-2</v>
      </c>
      <c r="G118" s="297">
        <f t="shared" si="21"/>
        <v>0.34030076294760153</v>
      </c>
      <c r="H118" s="300">
        <f t="shared" si="21"/>
        <v>0.34598759806203749</v>
      </c>
      <c r="U118" s="168"/>
      <c r="V118" s="168"/>
      <c r="W118" s="168"/>
      <c r="X118" s="168"/>
      <c r="Z118" s="168"/>
      <c r="AA118" s="151"/>
      <c r="AB118" s="177"/>
      <c r="AC118" s="181"/>
      <c r="AD118" s="5"/>
    </row>
    <row r="119" spans="1:30" ht="15">
      <c r="A119" s="296"/>
      <c r="B119" s="297"/>
      <c r="C119" s="297"/>
      <c r="D119" s="297"/>
      <c r="E119" s="297"/>
      <c r="F119" s="297"/>
      <c r="G119" s="297"/>
      <c r="H119" s="300"/>
    </row>
    <row r="120" spans="1:30">
      <c r="A120" s="6"/>
      <c r="B120" s="43"/>
      <c r="C120" s="301"/>
      <c r="D120" s="15" t="s">
        <v>134</v>
      </c>
      <c r="E120" s="63"/>
      <c r="F120" s="43" t="s">
        <v>135</v>
      </c>
      <c r="G120" s="301"/>
      <c r="H120" s="302"/>
    </row>
    <row r="121" spans="1:30" ht="15">
      <c r="A121" s="292" t="s">
        <v>136</v>
      </c>
      <c r="B121" s="303">
        <v>28</v>
      </c>
      <c r="C121" s="29"/>
      <c r="D121" s="26">
        <f>(AVERAGE((C113-C117),(G113-G117),(H113-H117)))/B121</f>
        <v>4558.3113095238095</v>
      </c>
      <c r="E121" s="63"/>
      <c r="F121" s="304">
        <f>D121*B121</f>
        <v>127632.71666666667</v>
      </c>
      <c r="G121" s="29"/>
      <c r="H121" s="12"/>
      <c r="S121" s="57"/>
      <c r="T121" s="372"/>
      <c r="U121" s="372"/>
      <c r="V121" s="372"/>
      <c r="W121" s="372"/>
      <c r="X121" s="372"/>
      <c r="Y121" s="372"/>
      <c r="Z121" s="372"/>
      <c r="AA121" s="372"/>
      <c r="AB121" s="372"/>
      <c r="AC121" s="372"/>
      <c r="AD121" s="372"/>
    </row>
    <row r="122" spans="1:30" ht="15">
      <c r="A122" s="292" t="s">
        <v>137</v>
      </c>
      <c r="B122" s="303">
        <v>2</v>
      </c>
      <c r="C122" s="78"/>
      <c r="D122" s="26">
        <f>AVERAGE(G114)/B122</f>
        <v>4709.9949999999999</v>
      </c>
      <c r="E122" s="63"/>
      <c r="F122" s="304">
        <f>D122*B122</f>
        <v>9419.99</v>
      </c>
      <c r="G122" s="305"/>
      <c r="H122" s="12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</row>
    <row r="123" spans="1:30">
      <c r="A123" s="76"/>
      <c r="B123" s="117"/>
      <c r="C123" s="284"/>
      <c r="D123" s="306"/>
      <c r="E123" s="63"/>
      <c r="F123" s="307"/>
      <c r="G123" s="319"/>
      <c r="H123" s="308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</row>
    <row r="124" spans="1:30">
      <c r="A124" s="309" t="s">
        <v>138</v>
      </c>
      <c r="B124" s="117">
        <v>15</v>
      </c>
      <c r="C124" s="284"/>
      <c r="D124" s="26">
        <f>D121</f>
        <v>4558.3113095238095</v>
      </c>
      <c r="E124" s="63"/>
      <c r="F124" s="304">
        <f>D124*B124</f>
        <v>68374.669642857145</v>
      </c>
      <c r="G124" s="91"/>
      <c r="H124" s="308"/>
      <c r="I124" s="63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</row>
    <row r="125" spans="1:30">
      <c r="A125" s="309" t="s">
        <v>139</v>
      </c>
      <c r="B125" s="117">
        <v>3</v>
      </c>
      <c r="C125" s="284"/>
      <c r="D125" s="26">
        <f>D122</f>
        <v>4709.9949999999999</v>
      </c>
      <c r="E125" s="63"/>
      <c r="F125" s="304">
        <f>D125*B125</f>
        <v>14129.985000000001</v>
      </c>
      <c r="G125" s="319"/>
      <c r="H125" s="310"/>
      <c r="I125" s="63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</row>
    <row r="126" spans="1:30">
      <c r="A126" s="6"/>
      <c r="B126" s="320"/>
      <c r="F126" s="311"/>
      <c r="H126" s="12"/>
      <c r="I126" s="63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</row>
    <row r="127" spans="1:30">
      <c r="A127" s="6" t="s">
        <v>140</v>
      </c>
      <c r="B127" s="43">
        <f>B121+B124</f>
        <v>43</v>
      </c>
      <c r="C127" s="29"/>
      <c r="D127" s="26">
        <f>D124</f>
        <v>4558.3113095238095</v>
      </c>
      <c r="F127" s="312">
        <f>D127*B127</f>
        <v>196007.3863095238</v>
      </c>
      <c r="H127" s="12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</row>
    <row r="128" spans="1:30">
      <c r="A128" s="6" t="s">
        <v>141</v>
      </c>
      <c r="B128" s="43">
        <f>B122+B125</f>
        <v>5</v>
      </c>
      <c r="C128" s="78"/>
      <c r="D128" s="26">
        <f>D125</f>
        <v>4709.9949999999999</v>
      </c>
      <c r="F128" s="312">
        <f>D128*B128</f>
        <v>23549.974999999999</v>
      </c>
      <c r="H128" s="12"/>
      <c r="S128" s="58"/>
      <c r="T128" s="58"/>
      <c r="U128" s="58"/>
      <c r="V128" s="58"/>
      <c r="W128" s="58"/>
      <c r="X128" s="58"/>
      <c r="Y128" s="58"/>
      <c r="Z128" s="58"/>
      <c r="AA128" s="58"/>
      <c r="AB128" s="59"/>
      <c r="AC128" s="58"/>
      <c r="AD128" s="58"/>
    </row>
    <row r="129" spans="1:8">
      <c r="A129" s="76" t="s">
        <v>132</v>
      </c>
      <c r="B129" s="43"/>
      <c r="C129" s="29"/>
      <c r="D129" s="77"/>
      <c r="F129" s="313">
        <v>0</v>
      </c>
      <c r="H129" s="12"/>
    </row>
    <row r="130" spans="1:8" ht="16.5" customHeight="1">
      <c r="A130" s="83" t="s">
        <v>28</v>
      </c>
      <c r="B130" s="321"/>
      <c r="C130" s="322"/>
      <c r="D130" s="323"/>
      <c r="E130" s="10"/>
      <c r="F130" s="324">
        <f>(F127+F128)*0.29</f>
        <v>63671.634779761902</v>
      </c>
      <c r="G130" s="10"/>
      <c r="H130" s="9"/>
    </row>
    <row r="131" spans="1:8">
      <c r="A131" s="283"/>
      <c r="B131" s="117"/>
      <c r="C131" s="284"/>
      <c r="D131" s="285"/>
      <c r="E131" s="63"/>
    </row>
    <row r="132" spans="1:8">
      <c r="A132" s="283"/>
      <c r="B132" s="117"/>
      <c r="C132" s="284"/>
      <c r="D132" s="285"/>
      <c r="E132" s="63"/>
    </row>
    <row r="133" spans="1:8">
      <c r="A133" s="283"/>
      <c r="B133" s="117"/>
      <c r="C133" s="284"/>
      <c r="D133" s="285"/>
      <c r="E133" s="63"/>
    </row>
    <row r="134" spans="1:8">
      <c r="A134" s="315" t="s">
        <v>116</v>
      </c>
      <c r="B134" s="69"/>
      <c r="C134" s="70"/>
      <c r="D134" s="70"/>
      <c r="E134" s="314"/>
      <c r="F134" s="4"/>
      <c r="G134" s="4"/>
      <c r="H134" s="316"/>
    </row>
    <row r="135" spans="1:8" ht="15">
      <c r="A135" s="6"/>
      <c r="B135" s="289"/>
      <c r="C135" s="289"/>
      <c r="D135" s="289"/>
      <c r="E135" s="289"/>
      <c r="F135" s="289"/>
      <c r="G135" s="289"/>
      <c r="H135" s="290"/>
    </row>
    <row r="136" spans="1:8">
      <c r="A136" s="6"/>
      <c r="B136" s="352"/>
      <c r="C136" s="352"/>
      <c r="D136" s="352"/>
      <c r="F136" s="352"/>
      <c r="G136" s="352"/>
      <c r="H136" s="353"/>
    </row>
    <row r="137" spans="1:8" ht="15">
      <c r="A137" s="6"/>
      <c r="B137" t="s">
        <v>125</v>
      </c>
      <c r="C137" t="s">
        <v>126</v>
      </c>
      <c r="D137" t="s">
        <v>127</v>
      </c>
      <c r="E137" t="s">
        <v>128</v>
      </c>
      <c r="F137" t="s">
        <v>129</v>
      </c>
      <c r="G137" s="317" t="s">
        <v>130</v>
      </c>
      <c r="H137" s="291" t="s">
        <v>131</v>
      </c>
    </row>
    <row r="138" spans="1:8" ht="15">
      <c r="A138" s="292" t="s">
        <v>31</v>
      </c>
      <c r="B138" s="294">
        <v>268968.01</v>
      </c>
      <c r="C138" s="294">
        <v>288390.24</v>
      </c>
      <c r="D138" s="293">
        <v>154345.41</v>
      </c>
      <c r="E138" s="293">
        <v>13412.75</v>
      </c>
      <c r="F138" s="325">
        <v>229529.76</v>
      </c>
      <c r="G138" s="294">
        <v>274156.28999999998</v>
      </c>
      <c r="H138" s="295">
        <v>267092.21000000002</v>
      </c>
    </row>
    <row r="139" spans="1:8" ht="15">
      <c r="A139" s="292" t="s">
        <v>30</v>
      </c>
      <c r="B139" s="294">
        <v>67812.91</v>
      </c>
      <c r="C139" s="294">
        <v>64354.51</v>
      </c>
      <c r="D139" s="293">
        <v>40616.39</v>
      </c>
      <c r="E139" s="293">
        <v>14950.76</v>
      </c>
      <c r="F139" s="325">
        <v>74301.16</v>
      </c>
      <c r="G139" s="294">
        <v>85619.44</v>
      </c>
      <c r="H139" s="295">
        <v>74393.95</v>
      </c>
    </row>
    <row r="140" spans="1:8" ht="15">
      <c r="A140" s="292" t="s">
        <v>28</v>
      </c>
      <c r="B140" s="294">
        <v>102162.56</v>
      </c>
      <c r="C140" s="294">
        <v>97023.8</v>
      </c>
      <c r="D140" s="293">
        <v>87771.29</v>
      </c>
      <c r="E140" s="293">
        <v>18740.91</v>
      </c>
      <c r="F140" s="325">
        <v>135347.70000000001</v>
      </c>
      <c r="G140" s="294">
        <v>89284.14</v>
      </c>
      <c r="H140" s="295">
        <v>88862.54</v>
      </c>
    </row>
    <row r="141" spans="1:8" ht="15">
      <c r="A141" s="292" t="s">
        <v>5</v>
      </c>
      <c r="B141" s="294">
        <v>6248.2</v>
      </c>
      <c r="C141" s="294">
        <v>7823.13</v>
      </c>
      <c r="D141" s="293">
        <v>4541.8500000000004</v>
      </c>
      <c r="E141" s="293">
        <v>10625.36</v>
      </c>
      <c r="F141" s="325">
        <v>11684.3</v>
      </c>
      <c r="G141" s="294">
        <v>7724.39</v>
      </c>
      <c r="H141" s="295">
        <v>6820.85</v>
      </c>
    </row>
    <row r="142" spans="1:8" ht="15">
      <c r="A142" s="296" t="s">
        <v>132</v>
      </c>
      <c r="B142" s="317">
        <v>35640</v>
      </c>
      <c r="C142" s="317">
        <v>61311</v>
      </c>
      <c r="D142">
        <v>50554</v>
      </c>
      <c r="E142"/>
      <c r="F142">
        <v>65416</v>
      </c>
      <c r="G142">
        <v>62538</v>
      </c>
      <c r="H142" s="318">
        <v>37211</v>
      </c>
    </row>
    <row r="143" spans="1:8" ht="15">
      <c r="A143" s="296" t="s">
        <v>133</v>
      </c>
      <c r="B143" s="298">
        <f>B140/(B138+B139-B142+B141)</f>
        <v>0.3323558101210608</v>
      </c>
      <c r="C143" s="298">
        <f t="shared" ref="C143:H143" si="22">C140/(C138+C139-C142+C141)</f>
        <v>0.3242157707451872</v>
      </c>
      <c r="D143" s="298">
        <f t="shared" si="22"/>
        <v>0.58926818559157401</v>
      </c>
      <c r="E143" s="298">
        <f t="shared" si="22"/>
        <v>0.48067333061973838</v>
      </c>
      <c r="F143" s="298">
        <f t="shared" si="22"/>
        <v>0.54117601806195159</v>
      </c>
      <c r="G143" s="298">
        <f t="shared" si="22"/>
        <v>0.29277124647480807</v>
      </c>
      <c r="H143" s="299">
        <f t="shared" si="22"/>
        <v>0.28564345778655276</v>
      </c>
    </row>
    <row r="145" spans="1:10">
      <c r="A145" s="6"/>
      <c r="B145" s="43"/>
      <c r="C145" s="301"/>
      <c r="D145" s="15" t="s">
        <v>134</v>
      </c>
      <c r="E145" s="63"/>
      <c r="F145" s="43" t="s">
        <v>135</v>
      </c>
      <c r="G145" s="301"/>
      <c r="H145" s="302"/>
      <c r="J145" s="283"/>
    </row>
    <row r="146" spans="1:10" ht="15">
      <c r="A146" s="292" t="s">
        <v>136</v>
      </c>
      <c r="B146" s="303">
        <v>46</v>
      </c>
      <c r="C146" s="29"/>
      <c r="D146" s="26">
        <f>(AVERAGE((B138-B142),(C138-C142),(G138-G142),(H138-H142)))/B146</f>
        <v>4901.667119565217</v>
      </c>
      <c r="E146" s="63"/>
      <c r="F146" s="304">
        <f>D146*B146</f>
        <v>225476.68749999997</v>
      </c>
      <c r="G146" s="29"/>
      <c r="H146" s="326"/>
      <c r="J146" s="283"/>
    </row>
    <row r="147" spans="1:10" ht="15">
      <c r="A147" s="292" t="s">
        <v>137</v>
      </c>
      <c r="B147" s="303">
        <v>16</v>
      </c>
      <c r="C147" s="78"/>
      <c r="D147" s="26">
        <f>AVERAGE($G$99:$H$99,B139:C139)/B147</f>
        <v>4130.2318750000004</v>
      </c>
      <c r="E147" s="63"/>
      <c r="F147" s="304">
        <f>D147*B147</f>
        <v>66083.710000000006</v>
      </c>
      <c r="G147" s="305"/>
      <c r="H147" s="12"/>
      <c r="J147" s="283"/>
    </row>
    <row r="148" spans="1:10">
      <c r="A148" s="76"/>
      <c r="B148" s="117"/>
      <c r="C148" s="284"/>
      <c r="D148" s="306"/>
      <c r="E148" s="63"/>
      <c r="F148" s="307"/>
      <c r="G148" s="319"/>
      <c r="H148" s="308"/>
      <c r="J148" s="283"/>
    </row>
    <row r="149" spans="1:10">
      <c r="A149" s="309" t="s">
        <v>138</v>
      </c>
      <c r="B149" s="117">
        <v>6</v>
      </c>
      <c r="C149" s="284"/>
      <c r="D149" s="26">
        <f>D146</f>
        <v>4901.667119565217</v>
      </c>
      <c r="E149" s="63"/>
      <c r="F149" s="304">
        <f>D149*B149</f>
        <v>29410.002717391304</v>
      </c>
      <c r="G149" s="91"/>
      <c r="H149" s="308"/>
      <c r="J149" s="283"/>
    </row>
    <row r="150" spans="1:10">
      <c r="A150" s="309" t="s">
        <v>139</v>
      </c>
      <c r="B150" s="117">
        <v>6</v>
      </c>
      <c r="C150" s="284"/>
      <c r="D150" s="26">
        <f>D147</f>
        <v>4130.2318750000004</v>
      </c>
      <c r="E150" s="63"/>
      <c r="F150" s="304">
        <f>D150*B150</f>
        <v>24781.391250000001</v>
      </c>
      <c r="G150" s="319"/>
      <c r="H150" s="310"/>
      <c r="J150" s="283"/>
    </row>
    <row r="151" spans="1:10">
      <c r="A151" s="6"/>
      <c r="B151" s="320"/>
      <c r="F151" s="311"/>
      <c r="H151" s="12"/>
      <c r="J151" s="283"/>
    </row>
    <row r="152" spans="1:10">
      <c r="A152" s="6" t="s">
        <v>140</v>
      </c>
      <c r="B152" s="43">
        <f>B146+B149</f>
        <v>52</v>
      </c>
      <c r="C152" s="29"/>
      <c r="D152" s="26">
        <f>D146</f>
        <v>4901.667119565217</v>
      </c>
      <c r="F152" s="312">
        <f>D152*B152</f>
        <v>254886.6902173913</v>
      </c>
      <c r="H152" s="12"/>
      <c r="J152" s="283"/>
    </row>
    <row r="153" spans="1:10">
      <c r="A153" s="6" t="s">
        <v>141</v>
      </c>
      <c r="B153" s="43">
        <f>B147+B150</f>
        <v>22</v>
      </c>
      <c r="C153" s="78"/>
      <c r="D153" s="26">
        <f>D146</f>
        <v>4901.667119565217</v>
      </c>
      <c r="F153" s="312">
        <f>D153*B153</f>
        <v>107836.67663043477</v>
      </c>
      <c r="H153" s="12"/>
      <c r="J153" s="283"/>
    </row>
    <row r="154" spans="1:10">
      <c r="A154" s="76" t="s">
        <v>5</v>
      </c>
      <c r="B154" s="43"/>
      <c r="C154" s="29"/>
      <c r="D154" s="77"/>
      <c r="F154" s="313">
        <v>7154</v>
      </c>
      <c r="H154" s="12"/>
      <c r="J154" s="283"/>
    </row>
    <row r="155" spans="1:10" ht="15">
      <c r="A155" s="83" t="s">
        <v>28</v>
      </c>
      <c r="B155" s="321"/>
      <c r="C155" s="322"/>
      <c r="D155" s="323"/>
      <c r="E155" s="10"/>
      <c r="F155" s="324">
        <f>(F152+F153+F154)*0.3</f>
        <v>110963.21005434782</v>
      </c>
      <c r="G155" s="10"/>
      <c r="H155" s="9"/>
      <c r="J155" s="283"/>
    </row>
    <row r="156" spans="1:10">
      <c r="A156" s="283"/>
      <c r="B156" s="117"/>
      <c r="C156" s="284"/>
      <c r="D156" s="285"/>
      <c r="E156" s="63"/>
      <c r="J156" s="283"/>
    </row>
    <row r="157" spans="1:10" ht="12.75" customHeight="1">
      <c r="J157" s="57"/>
    </row>
    <row r="158" spans="1:10" ht="15">
      <c r="A158" s="55" t="s">
        <v>26</v>
      </c>
      <c r="B158" s="183"/>
      <c r="C158" s="183"/>
      <c r="D158" s="132">
        <v>4.5</v>
      </c>
      <c r="E158" s="183"/>
      <c r="F158" s="183"/>
      <c r="G158" s="245"/>
      <c r="H158" s="183"/>
      <c r="I158" s="4"/>
      <c r="J158" s="131"/>
    </row>
    <row r="159" spans="1:10" ht="15">
      <c r="A159" s="6"/>
      <c r="B159" s="374" t="s">
        <v>25</v>
      </c>
      <c r="C159" s="375"/>
      <c r="D159" s="132">
        <v>4.5</v>
      </c>
      <c r="E159" s="374" t="s">
        <v>24</v>
      </c>
      <c r="F159" s="375"/>
      <c r="G159" s="132">
        <f>762256/10182780</f>
        <v>7.4857357224647883E-2</v>
      </c>
      <c r="H159" s="376" t="s">
        <v>86</v>
      </c>
      <c r="I159" s="377"/>
      <c r="J159" s="244">
        <f>30000*365</f>
        <v>10950000</v>
      </c>
    </row>
    <row r="160" spans="1:10">
      <c r="A160" s="6"/>
      <c r="B160" s="5"/>
      <c r="C160" s="5"/>
      <c r="D160" s="5"/>
      <c r="E160" s="5"/>
      <c r="F160" s="5"/>
      <c r="G160" s="5"/>
      <c r="H160" s="378" t="s">
        <v>87</v>
      </c>
      <c r="I160" s="379"/>
      <c r="J160" s="135">
        <f>ROUND(J159/B49/1000,3)</f>
        <v>2.2349999999999999</v>
      </c>
    </row>
    <row r="161" spans="1:10" ht="15" customHeight="1">
      <c r="A161" s="6"/>
      <c r="B161" s="380" t="s">
        <v>95</v>
      </c>
      <c r="C161" s="381"/>
      <c r="D161" s="382"/>
      <c r="E161" s="380" t="s">
        <v>96</v>
      </c>
      <c r="F161" s="381"/>
      <c r="G161" s="382"/>
      <c r="H161" s="380" t="s">
        <v>97</v>
      </c>
      <c r="I161" s="381"/>
      <c r="J161" s="382"/>
    </row>
    <row r="162" spans="1:10" ht="25.5">
      <c r="A162" s="6"/>
      <c r="B162" s="133" t="s">
        <v>79</v>
      </c>
      <c r="C162" s="61" t="s">
        <v>80</v>
      </c>
      <c r="D162" s="22" t="s">
        <v>81</v>
      </c>
      <c r="E162" s="133" t="s">
        <v>79</v>
      </c>
      <c r="F162" s="61" t="s">
        <v>80</v>
      </c>
      <c r="G162" s="22" t="s">
        <v>81</v>
      </c>
      <c r="H162" s="133" t="s">
        <v>79</v>
      </c>
      <c r="I162" s="61" t="s">
        <v>80</v>
      </c>
      <c r="J162" s="22" t="s">
        <v>81</v>
      </c>
    </row>
    <row r="163" spans="1:10" ht="15">
      <c r="A163" s="6" t="s">
        <v>23</v>
      </c>
      <c r="B163" s="275">
        <v>0.11509999999999999</v>
      </c>
      <c r="C163" s="282">
        <v>8.7999999999999995E-2</v>
      </c>
      <c r="D163" s="90">
        <f>B163*C163</f>
        <v>1.0128799999999999E-2</v>
      </c>
      <c r="E163" s="243">
        <v>0.26500000000000001</v>
      </c>
      <c r="F163" s="60">
        <f>G159</f>
        <v>7.4857357224647883E-2</v>
      </c>
      <c r="G163" s="90">
        <f>E163*F163</f>
        <v>1.983719966453169E-2</v>
      </c>
      <c r="H163" s="243">
        <v>0.26500000000000001</v>
      </c>
      <c r="I163" s="60">
        <f>$G$159</f>
        <v>7.4857357224647883E-2</v>
      </c>
      <c r="J163" s="90">
        <f>H163*I163</f>
        <v>1.983719966453169E-2</v>
      </c>
    </row>
    <row r="164" spans="1:10" ht="16.5">
      <c r="A164" s="6" t="s">
        <v>22</v>
      </c>
      <c r="B164" s="342">
        <v>3.7000000000000002E-3</v>
      </c>
      <c r="C164" s="276">
        <v>4</v>
      </c>
      <c r="D164" s="51">
        <f>B164*C164</f>
        <v>1.4800000000000001E-2</v>
      </c>
      <c r="E164" s="243">
        <v>3.8E-3</v>
      </c>
      <c r="F164" s="29">
        <f>$D$159</f>
        <v>4.5</v>
      </c>
      <c r="G164" s="51">
        <f>E164*F164</f>
        <v>1.7100000000000001E-2</v>
      </c>
      <c r="H164" s="243">
        <v>3.8E-3</v>
      </c>
      <c r="I164" s="29">
        <f>$D$159</f>
        <v>4.5</v>
      </c>
      <c r="J164" s="51">
        <f>H164*I164</f>
        <v>1.7100000000000001E-2</v>
      </c>
    </row>
    <row r="165" spans="1:10" ht="15">
      <c r="A165" s="6" t="s">
        <v>21</v>
      </c>
      <c r="B165" s="6"/>
      <c r="C165" s="5"/>
      <c r="D165" s="227">
        <f>SUM(D163:D164)</f>
        <v>2.4928800000000001E-2</v>
      </c>
      <c r="E165" s="6"/>
      <c r="F165" s="5"/>
      <c r="G165" s="227">
        <f>SUM(G163:G164)</f>
        <v>3.6937199664531691E-2</v>
      </c>
      <c r="H165" s="6"/>
      <c r="I165" s="5"/>
      <c r="J165" s="227">
        <f>SUM(J163:J164)</f>
        <v>3.6937199664531691E-2</v>
      </c>
    </row>
    <row r="166" spans="1:10">
      <c r="A166" s="16"/>
      <c r="B166" s="16"/>
      <c r="D166" s="12"/>
      <c r="E166" s="16"/>
      <c r="G166" s="12"/>
      <c r="H166" s="16"/>
      <c r="J166" s="12"/>
    </row>
    <row r="167" spans="1:10" ht="15" customHeight="1">
      <c r="A167" s="6"/>
      <c r="B167" s="383" t="s">
        <v>92</v>
      </c>
      <c r="C167" s="384"/>
      <c r="D167" s="385"/>
      <c r="E167" s="383" t="s">
        <v>90</v>
      </c>
      <c r="F167" s="384"/>
      <c r="G167" s="385"/>
      <c r="H167" s="383" t="s">
        <v>92</v>
      </c>
      <c r="I167" s="384"/>
      <c r="J167" s="385"/>
    </row>
    <row r="168" spans="1:10" ht="25.5">
      <c r="A168" s="6"/>
      <c r="B168" s="133" t="s">
        <v>79</v>
      </c>
      <c r="C168" s="61" t="s">
        <v>80</v>
      </c>
      <c r="D168" s="22" t="s">
        <v>81</v>
      </c>
      <c r="E168" s="133" t="s">
        <v>79</v>
      </c>
      <c r="F168" s="61" t="s">
        <v>80</v>
      </c>
      <c r="G168" s="22" t="s">
        <v>81</v>
      </c>
      <c r="H168" s="133" t="s">
        <v>79</v>
      </c>
      <c r="I168" s="61" t="s">
        <v>80</v>
      </c>
      <c r="J168" s="22" t="s">
        <v>81</v>
      </c>
    </row>
    <row r="169" spans="1:10" ht="15">
      <c r="A169" s="6" t="s">
        <v>23</v>
      </c>
      <c r="B169" s="275"/>
      <c r="C169" s="282"/>
      <c r="D169" s="90">
        <f>B169*C169</f>
        <v>0</v>
      </c>
      <c r="E169" s="275">
        <v>0.5867</v>
      </c>
      <c r="F169" s="60">
        <f>G159</f>
        <v>7.4857357224647883E-2</v>
      </c>
      <c r="G169" s="90">
        <f>E169*F169</f>
        <v>4.3918811483700915E-2</v>
      </c>
      <c r="H169" s="243">
        <v>0</v>
      </c>
      <c r="I169" s="60">
        <f>$G$159</f>
        <v>7.4857357224647883E-2</v>
      </c>
      <c r="J169" s="90">
        <f>H169*I169</f>
        <v>0</v>
      </c>
    </row>
    <row r="170" spans="1:10" ht="16.5">
      <c r="A170" s="6" t="s">
        <v>22</v>
      </c>
      <c r="B170" s="275"/>
      <c r="C170" s="276"/>
      <c r="D170" s="51">
        <f>B170*C170</f>
        <v>0</v>
      </c>
      <c r="E170" s="275">
        <v>6.4999999999999997E-3</v>
      </c>
      <c r="F170" s="276">
        <v>4</v>
      </c>
      <c r="G170" s="51">
        <f>E170*F170</f>
        <v>2.5999999999999999E-2</v>
      </c>
      <c r="H170" s="243">
        <v>0</v>
      </c>
      <c r="I170" s="29">
        <f>$D$159</f>
        <v>4.5</v>
      </c>
      <c r="J170" s="51">
        <f>H170*I170</f>
        <v>0</v>
      </c>
    </row>
    <row r="171" spans="1:10" ht="15">
      <c r="A171" s="25" t="s">
        <v>21</v>
      </c>
      <c r="B171" s="25"/>
      <c r="C171" s="53"/>
      <c r="D171" s="134">
        <f>SUM(D169:D170)</f>
        <v>0</v>
      </c>
      <c r="E171" s="25"/>
      <c r="F171" s="53"/>
      <c r="G171" s="134">
        <f>SUM(G169:G170)</f>
        <v>6.991881148370091E-2</v>
      </c>
      <c r="H171" s="25"/>
      <c r="I171" s="53"/>
      <c r="J171" s="134">
        <f>SUM(J169:J170)</f>
        <v>0</v>
      </c>
    </row>
    <row r="172" spans="1:10">
      <c r="J172" s="58"/>
    </row>
    <row r="173" spans="1:10">
      <c r="J173" s="58"/>
    </row>
    <row r="174" spans="1:10">
      <c r="A174" s="356" t="s">
        <v>19</v>
      </c>
      <c r="B174" s="357"/>
      <c r="C174" s="357"/>
      <c r="D174" s="357"/>
      <c r="E174" s="357"/>
      <c r="F174" s="357"/>
      <c r="G174" s="357"/>
      <c r="H174" s="358"/>
      <c r="J174" s="58"/>
    </row>
    <row r="175" spans="1:10" ht="25.5">
      <c r="A175" s="6" t="s">
        <v>18</v>
      </c>
      <c r="B175" s="98">
        <v>256000000</v>
      </c>
      <c r="C175" s="5"/>
      <c r="D175" s="5"/>
      <c r="E175" s="5"/>
      <c r="F175" s="5"/>
      <c r="G175" s="23" t="s">
        <v>17</v>
      </c>
      <c r="H175" s="22" t="s">
        <v>57</v>
      </c>
      <c r="J175" s="58"/>
    </row>
    <row r="176" spans="1:10">
      <c r="A176" s="6" t="s">
        <v>16</v>
      </c>
      <c r="B176" s="21">
        <f>G177/B175</f>
        <v>5.7421874999999997E-4</v>
      </c>
      <c r="C176" s="5"/>
      <c r="D176" s="5"/>
      <c r="E176" s="5"/>
      <c r="F176" s="5"/>
      <c r="G176" s="5" t="s">
        <v>142</v>
      </c>
      <c r="H176" s="5" t="s">
        <v>142</v>
      </c>
      <c r="I176" s="1" t="s">
        <v>95</v>
      </c>
      <c r="J176" s="1" t="s">
        <v>95</v>
      </c>
    </row>
    <row r="177" spans="1:10" ht="16.5">
      <c r="A177" s="6" t="s">
        <v>15</v>
      </c>
      <c r="B177" s="5"/>
      <c r="C177" s="5"/>
      <c r="D177" s="5"/>
      <c r="E177" s="5"/>
      <c r="F177" s="5"/>
      <c r="G177" s="277">
        <v>147000</v>
      </c>
      <c r="H177" s="20">
        <f>G177/(E$47*1000)</f>
        <v>0.03</v>
      </c>
      <c r="I177" s="277">
        <v>353000</v>
      </c>
      <c r="J177" s="20" t="e">
        <f>I177/B24/1000</f>
        <v>#DIV/0!</v>
      </c>
    </row>
    <row r="178" spans="1:10">
      <c r="A178" s="16"/>
      <c r="H178" s="12"/>
      <c r="J178" s="12"/>
    </row>
    <row r="179" spans="1:10">
      <c r="A179" s="16"/>
      <c r="F179" s="2"/>
      <c r="G179" s="63"/>
      <c r="H179" s="12"/>
      <c r="I179" s="63"/>
      <c r="J179" s="12"/>
    </row>
    <row r="180" spans="1:10">
      <c r="A180" s="373" t="s">
        <v>51</v>
      </c>
      <c r="B180" s="365"/>
      <c r="C180" s="5"/>
      <c r="D180" s="5"/>
      <c r="E180" s="5"/>
      <c r="F180" s="5"/>
      <c r="G180" s="5" t="s">
        <v>142</v>
      </c>
      <c r="H180" s="5" t="s">
        <v>142</v>
      </c>
      <c r="I180" s="5"/>
      <c r="J180" s="5"/>
    </row>
    <row r="181" spans="1:10" ht="16.5">
      <c r="A181" s="6" t="s">
        <v>14</v>
      </c>
      <c r="B181" s="5"/>
      <c r="C181" s="5"/>
      <c r="D181" s="5"/>
      <c r="E181" s="5"/>
      <c r="F181" s="5"/>
      <c r="G181" s="102">
        <v>27000</v>
      </c>
      <c r="H181" s="20">
        <f>G181/(E$47*1000)</f>
        <v>5.5102040816326532E-3</v>
      </c>
      <c r="I181" s="102">
        <v>75000</v>
      </c>
      <c r="J181" s="20" t="e">
        <f>I181/B24/1000</f>
        <v>#DIV/0!</v>
      </c>
    </row>
    <row r="182" spans="1:10">
      <c r="A182" s="6"/>
      <c r="B182" s="5"/>
      <c r="C182" s="5"/>
      <c r="D182" s="5"/>
      <c r="E182" s="5"/>
      <c r="F182" s="5"/>
      <c r="G182" s="5"/>
      <c r="H182" s="8"/>
      <c r="I182" s="5"/>
      <c r="J182" s="8"/>
    </row>
    <row r="183" spans="1:10">
      <c r="A183" s="373" t="s">
        <v>13</v>
      </c>
      <c r="B183" s="365"/>
      <c r="C183" s="5"/>
      <c r="D183" s="5"/>
      <c r="E183" s="5"/>
      <c r="F183" s="5"/>
      <c r="G183" s="5" t="s">
        <v>142</v>
      </c>
      <c r="H183" s="5" t="s">
        <v>142</v>
      </c>
      <c r="I183" s="5"/>
      <c r="J183" s="5"/>
    </row>
    <row r="184" spans="1:10" ht="16.5">
      <c r="A184" s="6" t="s">
        <v>12</v>
      </c>
      <c r="B184" s="5"/>
      <c r="C184" s="5"/>
      <c r="D184" s="5"/>
      <c r="E184" s="5"/>
      <c r="F184" s="5"/>
      <c r="G184" s="277">
        <v>55000</v>
      </c>
      <c r="H184" s="20">
        <f>G184/(E$47*1000)</f>
        <v>1.1224489795918367E-2</v>
      </c>
      <c r="I184" s="277">
        <v>57000</v>
      </c>
      <c r="J184" s="20" t="e">
        <f>I184/B24/1000</f>
        <v>#DIV/0!</v>
      </c>
    </row>
    <row r="185" spans="1:10">
      <c r="A185" s="11"/>
      <c r="B185" s="10"/>
      <c r="C185" s="19"/>
      <c r="D185" s="10"/>
      <c r="E185" s="10"/>
      <c r="F185" s="10"/>
      <c r="G185" s="10"/>
      <c r="H185" s="9"/>
      <c r="J185" s="58"/>
    </row>
    <row r="186" spans="1:10">
      <c r="C186" s="18"/>
      <c r="J186" s="58"/>
    </row>
    <row r="187" spans="1:10">
      <c r="J187" s="58"/>
    </row>
    <row r="188" spans="1:10">
      <c r="A188" s="55" t="s">
        <v>11</v>
      </c>
      <c r="B188" s="386" t="s">
        <v>10</v>
      </c>
      <c r="C188" s="386"/>
      <c r="D188" s="386"/>
      <c r="E188" s="386"/>
      <c r="F188" s="386"/>
      <c r="G188" s="386"/>
      <c r="H188" s="387"/>
      <c r="J188" s="58"/>
    </row>
    <row r="189" spans="1:10">
      <c r="A189" s="16"/>
      <c r="H189" s="12"/>
      <c r="J189" s="58"/>
    </row>
    <row r="190" spans="1:10">
      <c r="A190" s="16"/>
      <c r="B190" s="365" t="s">
        <v>9</v>
      </c>
      <c r="C190" s="365"/>
      <c r="D190" s="15">
        <f>B49</f>
        <v>4900</v>
      </c>
      <c r="E190" s="5"/>
      <c r="F190" s="365" t="s">
        <v>8</v>
      </c>
      <c r="G190" s="365"/>
      <c r="H190" s="17">
        <f>D190/D191</f>
        <v>4.8999999999999998E-3</v>
      </c>
      <c r="J190" s="58"/>
    </row>
    <row r="191" spans="1:10">
      <c r="A191" s="16"/>
      <c r="B191" s="365" t="s">
        <v>7</v>
      </c>
      <c r="C191" s="365"/>
      <c r="D191" s="15">
        <v>1000000</v>
      </c>
      <c r="E191" s="5"/>
      <c r="F191" s="5"/>
      <c r="G191" s="5"/>
      <c r="H191" s="14"/>
      <c r="J191" s="58"/>
    </row>
    <row r="193" spans="1:12" ht="33" customHeight="1">
      <c r="A193" s="6"/>
      <c r="B193" s="61" t="s">
        <v>82</v>
      </c>
      <c r="C193" s="61" t="s">
        <v>6</v>
      </c>
      <c r="D193" s="61" t="s">
        <v>75</v>
      </c>
      <c r="E193" s="193" t="s">
        <v>76</v>
      </c>
      <c r="F193" s="61" t="s">
        <v>63</v>
      </c>
      <c r="G193" s="61" t="s">
        <v>77</v>
      </c>
      <c r="H193" s="97" t="s">
        <v>78</v>
      </c>
      <c r="J193" s="58"/>
      <c r="K193" s="58"/>
      <c r="L193" s="58"/>
    </row>
    <row r="194" spans="1:12" ht="15">
      <c r="A194" s="6" t="s">
        <v>5</v>
      </c>
      <c r="B194" s="3">
        <f>C194/12</f>
        <v>0</v>
      </c>
      <c r="C194" s="250">
        <v>0</v>
      </c>
      <c r="D194" s="98">
        <f>ROUND($C$202/($C$202+$C$203)*12,0)*$B194</f>
        <v>0</v>
      </c>
      <c r="E194" s="194">
        <f>ROUND($C$203/($C$202+$C$203)*12,0)*$B194</f>
        <v>0</v>
      </c>
      <c r="F194" s="89">
        <f>$D194/$D$190/1000</f>
        <v>0</v>
      </c>
      <c r="G194" s="89">
        <f>$E194/$D$190/1000</f>
        <v>0</v>
      </c>
      <c r="H194" s="99">
        <f>SUM(F194:G194)</f>
        <v>0</v>
      </c>
      <c r="J194" s="58"/>
      <c r="K194" s="58"/>
      <c r="L194" s="58"/>
    </row>
    <row r="195" spans="1:12" ht="15">
      <c r="A195" s="6" t="s">
        <v>4</v>
      </c>
      <c r="B195" s="98">
        <f>C195/12</f>
        <v>95700</v>
      </c>
      <c r="C195" s="236">
        <f>+(95700*12)</f>
        <v>1148400</v>
      </c>
      <c r="D195" s="98">
        <f>ROUND($C$202/($C$202+$C$203)*12,0)*$B195</f>
        <v>1148400</v>
      </c>
      <c r="E195" s="194">
        <f>ROUND($C$203/($C$202+$C$203)*12,0)*$B195</f>
        <v>0</v>
      </c>
      <c r="F195" s="100">
        <f>$D195/D$190/1000</f>
        <v>0.23436734693877551</v>
      </c>
      <c r="G195" s="100">
        <f>$E195/$D$190/1000</f>
        <v>0</v>
      </c>
      <c r="H195" s="94">
        <f t="shared" ref="H195:H196" si="23">SUM(F195:G195)</f>
        <v>0.23436734693877551</v>
      </c>
      <c r="J195" s="58"/>
      <c r="K195" s="58"/>
      <c r="L195" s="58"/>
    </row>
    <row r="196" spans="1:12" ht="16.5">
      <c r="A196" s="6" t="s">
        <v>3</v>
      </c>
      <c r="B196" s="98">
        <f>C196/12</f>
        <v>22812.25</v>
      </c>
      <c r="C196" s="236">
        <f>(273747/12*12)</f>
        <v>273747</v>
      </c>
      <c r="D196" s="98">
        <f>ROUND($C$202/($C$202+$C$203)*12,0)*$B196</f>
        <v>273747</v>
      </c>
      <c r="E196" s="194">
        <f>ROUND($C$203/($C$202+$C$203)*12,0)*$B196</f>
        <v>0</v>
      </c>
      <c r="F196" s="88">
        <f>$D196/D$190/1000</f>
        <v>5.5866734693877554E-2</v>
      </c>
      <c r="G196" s="88">
        <f>$E196/$D$190/1000</f>
        <v>0</v>
      </c>
      <c r="H196" s="95">
        <f t="shared" si="23"/>
        <v>5.5866734693877554E-2</v>
      </c>
      <c r="J196" s="58"/>
      <c r="K196" s="58"/>
      <c r="L196" s="58"/>
    </row>
    <row r="197" spans="1:12">
      <c r="A197" s="6" t="s">
        <v>2</v>
      </c>
      <c r="F197" s="89">
        <f>SUM(F194:F196)</f>
        <v>0.29023408163265307</v>
      </c>
      <c r="G197" s="89">
        <f>SUM(G194:G196)</f>
        <v>0</v>
      </c>
      <c r="H197" s="99">
        <f>SUM(H194:H196)</f>
        <v>0.29023408163265307</v>
      </c>
      <c r="J197" s="58"/>
      <c r="K197" s="58"/>
      <c r="L197" s="58"/>
    </row>
    <row r="198" spans="1:12">
      <c r="A198" s="11"/>
      <c r="B198" s="10"/>
      <c r="C198" s="10"/>
      <c r="D198" s="10"/>
      <c r="E198" s="10"/>
      <c r="F198" s="10"/>
      <c r="G198" s="10"/>
      <c r="H198" s="9"/>
      <c r="J198" s="58"/>
      <c r="K198" s="58"/>
      <c r="L198" s="58"/>
    </row>
    <row r="199" spans="1:12">
      <c r="J199" s="58"/>
      <c r="K199" s="58"/>
      <c r="L199" s="58"/>
    </row>
    <row r="200" spans="1:12">
      <c r="J200" s="58"/>
      <c r="K200" s="58"/>
      <c r="L200" s="58"/>
    </row>
    <row r="201" spans="1:12">
      <c r="A201" s="356" t="s">
        <v>117</v>
      </c>
      <c r="B201" s="357"/>
      <c r="C201" s="357"/>
      <c r="D201" s="357"/>
      <c r="E201" s="357"/>
      <c r="F201" s="357"/>
      <c r="G201" s="357"/>
      <c r="H201" s="358"/>
      <c r="J201" s="58"/>
      <c r="K201" s="58"/>
      <c r="L201" s="58"/>
    </row>
    <row r="202" spans="1:12" ht="15">
      <c r="A202" s="6"/>
      <c r="B202" s="5" t="s">
        <v>73</v>
      </c>
      <c r="C202" s="104">
        <v>52</v>
      </c>
      <c r="D202" s="43" t="s">
        <v>110</v>
      </c>
      <c r="E202" s="237">
        <v>0.04</v>
      </c>
      <c r="F202" s="5" t="s">
        <v>83</v>
      </c>
      <c r="G202" s="5"/>
      <c r="H202" s="8"/>
      <c r="J202" s="58"/>
      <c r="K202" s="58"/>
      <c r="L202" s="58"/>
    </row>
    <row r="203" spans="1:12" ht="15">
      <c r="A203" s="6"/>
      <c r="B203" s="5" t="s">
        <v>72</v>
      </c>
      <c r="C203" s="104">
        <v>0</v>
      </c>
      <c r="E203" s="5"/>
      <c r="F203" s="5" t="s">
        <v>84</v>
      </c>
      <c r="G203" s="5"/>
      <c r="H203" s="8"/>
      <c r="J203" s="58"/>
      <c r="K203" s="58"/>
      <c r="L203" s="58"/>
    </row>
    <row r="204" spans="1:12" ht="15">
      <c r="A204" s="6"/>
      <c r="B204" s="5" t="s">
        <v>74</v>
      </c>
      <c r="C204" s="104">
        <v>40</v>
      </c>
      <c r="E204" s="5"/>
      <c r="F204" s="5" t="s">
        <v>0</v>
      </c>
      <c r="G204" s="5"/>
      <c r="H204" s="8"/>
      <c r="J204" s="58"/>
      <c r="K204" s="58"/>
      <c r="L204" s="58"/>
    </row>
    <row r="205" spans="1:12" ht="15">
      <c r="A205" s="6"/>
      <c r="B205" s="5" t="s">
        <v>1</v>
      </c>
      <c r="C205" s="105">
        <v>1.5</v>
      </c>
      <c r="E205" s="5"/>
      <c r="G205" s="5"/>
      <c r="H205" s="7"/>
      <c r="J205" s="58"/>
      <c r="K205" s="58"/>
      <c r="L205" s="58"/>
    </row>
    <row r="206" spans="1:12" ht="15">
      <c r="A206" s="25"/>
      <c r="B206" s="79" t="s">
        <v>52</v>
      </c>
      <c r="C206" s="237">
        <v>0.3</v>
      </c>
      <c r="D206" s="10"/>
      <c r="E206" s="53"/>
      <c r="F206" s="53"/>
      <c r="G206" s="53"/>
      <c r="H206" s="65"/>
      <c r="J206" s="58"/>
      <c r="K206" s="58"/>
      <c r="L206" s="58"/>
    </row>
    <row r="207" spans="1:12">
      <c r="B207" s="388"/>
      <c r="C207" s="388"/>
      <c r="D207" s="388"/>
      <c r="J207" s="58"/>
      <c r="K207" s="58" t="s">
        <v>121</v>
      </c>
      <c r="L207" s="58"/>
    </row>
    <row r="208" spans="1:12">
      <c r="A208" s="356" t="s">
        <v>118</v>
      </c>
      <c r="B208" s="357"/>
      <c r="C208" s="357"/>
      <c r="D208" s="357"/>
      <c r="E208" s="357"/>
      <c r="F208" s="357"/>
      <c r="G208" s="357"/>
      <c r="H208" s="358"/>
      <c r="J208" s="58"/>
      <c r="K208" s="58" t="s">
        <v>122</v>
      </c>
      <c r="L208" s="58">
        <f>52-C209</f>
        <v>43</v>
      </c>
    </row>
    <row r="209" spans="1:12" ht="15">
      <c r="A209" s="6"/>
      <c r="B209" s="5" t="s">
        <v>73</v>
      </c>
      <c r="C209" s="104">
        <v>9</v>
      </c>
      <c r="D209" s="43" t="s">
        <v>110</v>
      </c>
      <c r="E209" s="237">
        <v>0.04</v>
      </c>
      <c r="F209" s="5" t="s">
        <v>83</v>
      </c>
      <c r="G209" s="5"/>
      <c r="H209" s="8"/>
      <c r="J209" s="58"/>
      <c r="K209" s="58" t="s">
        <v>75</v>
      </c>
      <c r="L209" s="58">
        <f>E47*1000/52*L208</f>
        <v>4051923.076923077</v>
      </c>
    </row>
    <row r="210" spans="1:12" ht="15">
      <c r="A210" s="6"/>
      <c r="B210" s="5" t="s">
        <v>72</v>
      </c>
      <c r="C210" s="104">
        <v>0</v>
      </c>
      <c r="E210" s="5"/>
      <c r="F210" s="5" t="s">
        <v>84</v>
      </c>
      <c r="G210" s="5"/>
      <c r="H210" s="8"/>
      <c r="J210" s="58"/>
      <c r="K210" s="58" t="s">
        <v>123</v>
      </c>
      <c r="L210" s="288">
        <f>0.0315*L209</f>
        <v>127635.57692307692</v>
      </c>
    </row>
    <row r="211" spans="1:12" ht="15">
      <c r="A211" s="6"/>
      <c r="B211" s="5" t="s">
        <v>74</v>
      </c>
      <c r="C211" s="104">
        <v>40</v>
      </c>
      <c r="E211" s="5"/>
      <c r="F211" s="5" t="s">
        <v>0</v>
      </c>
      <c r="G211" s="5"/>
      <c r="H211" s="8"/>
      <c r="J211" s="58"/>
      <c r="K211" s="58"/>
      <c r="L211" s="58"/>
    </row>
    <row r="212" spans="1:12" ht="15">
      <c r="A212" s="6"/>
      <c r="B212" s="5" t="s">
        <v>1</v>
      </c>
      <c r="C212" s="105">
        <v>1.5</v>
      </c>
      <c r="E212" s="5"/>
      <c r="G212" s="5"/>
      <c r="H212" s="7"/>
      <c r="J212" s="58"/>
      <c r="K212" s="58"/>
      <c r="L212" s="58"/>
    </row>
    <row r="213" spans="1:12" ht="15">
      <c r="A213" s="25"/>
      <c r="B213" s="79" t="s">
        <v>52</v>
      </c>
      <c r="C213" s="237">
        <v>0.3</v>
      </c>
      <c r="D213" s="10"/>
      <c r="E213" s="53"/>
      <c r="F213" s="53"/>
      <c r="G213" s="53"/>
      <c r="H213" s="65"/>
      <c r="J213" s="58"/>
      <c r="K213" s="58"/>
      <c r="L213" s="58"/>
    </row>
  </sheetData>
  <mergeCells count="47">
    <mergeCell ref="A208:H208"/>
    <mergeCell ref="B188:H188"/>
    <mergeCell ref="B190:C190"/>
    <mergeCell ref="F190:G190"/>
    <mergeCell ref="B191:C191"/>
    <mergeCell ref="A201:H201"/>
    <mergeCell ref="B207:D207"/>
    <mergeCell ref="T121:AD121"/>
    <mergeCell ref="A183:B183"/>
    <mergeCell ref="B159:C159"/>
    <mergeCell ref="E159:F159"/>
    <mergeCell ref="H159:I159"/>
    <mergeCell ref="H160:I160"/>
    <mergeCell ref="B161:D161"/>
    <mergeCell ref="E161:G161"/>
    <mergeCell ref="H161:J161"/>
    <mergeCell ref="B167:D167"/>
    <mergeCell ref="E167:G167"/>
    <mergeCell ref="H167:J167"/>
    <mergeCell ref="A174:H174"/>
    <mergeCell ref="A180:B180"/>
    <mergeCell ref="B136:D136"/>
    <mergeCell ref="F136:H136"/>
    <mergeCell ref="B111:D111"/>
    <mergeCell ref="F111:H111"/>
    <mergeCell ref="J84:L84"/>
    <mergeCell ref="A98:H98"/>
    <mergeCell ref="B26:D26"/>
    <mergeCell ref="E26:G26"/>
    <mergeCell ref="H26:J26"/>
    <mergeCell ref="B51:K51"/>
    <mergeCell ref="C62:F62"/>
    <mergeCell ref="G62:K62"/>
    <mergeCell ref="B74:D74"/>
    <mergeCell ref="F74:H74"/>
    <mergeCell ref="B84:D84"/>
    <mergeCell ref="F84:H84"/>
    <mergeCell ref="F99:H100"/>
    <mergeCell ref="A100:E100"/>
    <mergeCell ref="A1:J1"/>
    <mergeCell ref="S1:AA1"/>
    <mergeCell ref="AL1:AQ1"/>
    <mergeCell ref="B3:D3"/>
    <mergeCell ref="E3:G3"/>
    <mergeCell ref="H3:J3"/>
    <mergeCell ref="N3:O3"/>
    <mergeCell ref="P3:Q3"/>
  </mergeCells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875b0e4-51e4-4b75-ad78-4294f7c634e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37B5E53C24CC4D956332241316A0F8" ma:contentTypeVersion="15" ma:contentTypeDescription="Create a new document." ma:contentTypeScope="" ma:versionID="6de5b2a9203cf5aa50c7a1d55e025220">
  <xsd:schema xmlns:xsd="http://www.w3.org/2001/XMLSchema" xmlns:xs="http://www.w3.org/2001/XMLSchema" xmlns:p="http://schemas.microsoft.com/office/2006/metadata/properties" xmlns:ns3="e875b0e4-51e4-4b75-ad78-4294f7c634e3" xmlns:ns4="39d859fd-d89b-4bcd-8986-ad358537829d" targetNamespace="http://schemas.microsoft.com/office/2006/metadata/properties" ma:root="true" ma:fieldsID="c62cfc93de7de5d3030e562ffa7cfa1d" ns3:_="" ns4:_="">
    <xsd:import namespace="e875b0e4-51e4-4b75-ad78-4294f7c634e3"/>
    <xsd:import namespace="39d859fd-d89b-4bcd-8986-ad358537829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75b0e4-51e4-4b75-ad78-4294f7c634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d859fd-d89b-4bcd-8986-ad358537829d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B38DEA-7AD2-4B8D-9A31-CA92E638107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4D08D41-12C2-4BFB-A6D2-4472574E1534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39d859fd-d89b-4bcd-8986-ad358537829d"/>
    <ds:schemaRef ds:uri="e875b0e4-51e4-4b75-ad78-4294f7c634e3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8B91AFC3-C777-4E49-ABE7-F427C46A24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75b0e4-51e4-4b75-ad78-4294f7c634e3"/>
    <ds:schemaRef ds:uri="39d859fd-d89b-4bcd-8986-ad35853782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</vt:i4>
      </vt:variant>
    </vt:vector>
  </HeadingPairs>
  <TitlesOfParts>
    <vt:vector size="15" baseType="lpstr">
      <vt:lpstr>2025 Summary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Jan!Print_Area</vt:lpstr>
      <vt:lpstr>Jan!Print_Titles</vt:lpstr>
    </vt:vector>
  </TitlesOfParts>
  <Company>CARBO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rlabutka</dc:creator>
  <cp:lastModifiedBy>Luu,  John</cp:lastModifiedBy>
  <cp:lastPrinted>2022-09-16T16:11:58Z</cp:lastPrinted>
  <dcterms:created xsi:type="dcterms:W3CDTF">2013-09-17T19:47:47Z</dcterms:created>
  <dcterms:modified xsi:type="dcterms:W3CDTF">2025-11-13T20:56:28Z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 Version">
    <vt:lpwstr>14.7</vt:lpwstr>
  </property>
  <property fmtid="{D5CDD505-2E9C-101B-9397-08002B2CF9AE}" pid="3" name="ContentTypeId">
    <vt:lpwstr>0x010100CC37B5E53C24CC4D956332241316A0F8</vt:lpwstr>
  </property>
</Properties>
</file>
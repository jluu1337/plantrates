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plant-rates\plantrates\src\2025 Rates\"/>
    </mc:Choice>
  </mc:AlternateContent>
  <xr:revisionPtr revIDLastSave="0" documentId="13_ncr:1_{B8048F00-4ED7-4FAF-88D1-52AC685D050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NI RC 2025 Std" sheetId="13" r:id="rId1"/>
    <sheet name="NI RC 2024 Std" sheetId="12" r:id="rId2"/>
    <sheet name="NI RC 2022 Std (BOD)" sheetId="11" r:id="rId3"/>
    <sheet name="NI RC 2022 Std " sheetId="10" r:id="rId4"/>
    <sheet name="NI RC 2021 Std" sheetId="9" r:id="rId5"/>
    <sheet name="NI RC 2020 Std" sheetId="8" r:id="rId6"/>
    <sheet name="NI RC 2019 Std" sheetId="7" r:id="rId7"/>
    <sheet name="NI RC 2018 Std" sheetId="1" r:id="rId8"/>
    <sheet name="NI RC 2017 Std" sheetId="3" r:id="rId9"/>
    <sheet name="2017 NI RC COSTING BOM" sheetId="2" r:id="rId10"/>
  </sheets>
  <definedNames>
    <definedName name="_xlnm.Print_Area" localSheetId="8">'NI RC 2017 Std'!$A$1:$H$103</definedName>
    <definedName name="_xlnm.Print_Area" localSheetId="7">'NI RC 2018 Std'!$A$1:$H$106</definedName>
    <definedName name="_xlnm.Print_Area" localSheetId="6">'NI RC 2019 Std'!$A$1:$K$253</definedName>
    <definedName name="_xlnm.Print_Area" localSheetId="5">'NI RC 2020 Std'!$A$1:$S$245</definedName>
    <definedName name="_xlnm.Print_Area" localSheetId="4">'NI RC 2021 Std'!$V$1:$AL$222</definedName>
    <definedName name="_xlnm.Print_Area" localSheetId="3">'NI RC 2022 Std '!$V$1:$AL$222</definedName>
    <definedName name="_xlnm.Print_Area" localSheetId="2">'NI RC 2022 Std (BOD)'!$AB$96:$AP$153</definedName>
    <definedName name="_xlnm.Print_Area" localSheetId="1">'NI RC 2024 Std'!$AB$95:$AP$156</definedName>
    <definedName name="_xlnm.Print_Titles" localSheetId="6">'NI RC 2019 Std'!$1:$2</definedName>
    <definedName name="_xlnm.Print_Titles" localSheetId="5">'NI RC 2020 Std'!$1:$2</definedName>
    <definedName name="_xlnm.Print_Titles" localSheetId="4">'NI RC 2021 Std'!$1:$2</definedName>
    <definedName name="_xlnm.Print_Titles" localSheetId="3">'NI RC 2022 Std '!$1:$2</definedName>
    <definedName name="_xlnm.Print_Titles" localSheetId="2">'NI RC 2022 Std (BOD)'!$1:$2</definedName>
    <definedName name="_xlnm.Print_Titles" localSheetId="1">'NI RC 2024 Std'!$1:$2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5" i="13" l="1"/>
  <c r="C244" i="13"/>
  <c r="B243" i="13"/>
  <c r="E232" i="13"/>
  <c r="F214" i="13"/>
  <c r="F212" i="13"/>
  <c r="H209" i="13"/>
  <c r="B204" i="13"/>
  <c r="C195" i="13"/>
  <c r="F211" i="13" s="1"/>
  <c r="B195" i="13"/>
  <c r="C211" i="13" s="1"/>
  <c r="C186" i="13"/>
  <c r="C183" i="13"/>
  <c r="C180" i="13"/>
  <c r="M173" i="13"/>
  <c r="O172" i="13"/>
  <c r="M172" i="13"/>
  <c r="J172" i="13"/>
  <c r="K172" i="13" s="1"/>
  <c r="H172" i="13"/>
  <c r="I172" i="13" s="1"/>
  <c r="F172" i="13"/>
  <c r="G172" i="13" s="1"/>
  <c r="D172" i="13"/>
  <c r="E172" i="13" s="1"/>
  <c r="O171" i="13"/>
  <c r="O173" i="13" s="1"/>
  <c r="M171" i="13"/>
  <c r="H171" i="13"/>
  <c r="I171" i="13" s="1"/>
  <c r="F171" i="13"/>
  <c r="G171" i="13" s="1"/>
  <c r="D171" i="13"/>
  <c r="E171" i="13" s="1"/>
  <c r="E173" i="13" s="1"/>
  <c r="N165" i="13"/>
  <c r="O165" i="13" s="1"/>
  <c r="L165" i="13"/>
  <c r="M165" i="13" s="1"/>
  <c r="J165" i="13"/>
  <c r="K165" i="13" s="1"/>
  <c r="H165" i="13"/>
  <c r="I165" i="13" s="1"/>
  <c r="I166" i="13" s="1"/>
  <c r="F165" i="13"/>
  <c r="G165" i="13" s="1"/>
  <c r="E165" i="13"/>
  <c r="D165" i="13"/>
  <c r="N164" i="13"/>
  <c r="O164" i="13" s="1"/>
  <c r="M164" i="13"/>
  <c r="M166" i="13" s="1"/>
  <c r="L164" i="13"/>
  <c r="J164" i="13"/>
  <c r="K164" i="13" s="1"/>
  <c r="K166" i="13" s="1"/>
  <c r="I164" i="13"/>
  <c r="H164" i="13"/>
  <c r="F164" i="13"/>
  <c r="G164" i="13" s="1"/>
  <c r="E164" i="13"/>
  <c r="E166" i="13" s="1"/>
  <c r="D164" i="13"/>
  <c r="J171" i="13" s="1"/>
  <c r="K171" i="13" s="1"/>
  <c r="K173" i="13" s="1"/>
  <c r="M153" i="13"/>
  <c r="E153" i="13"/>
  <c r="M149" i="13"/>
  <c r="I149" i="13"/>
  <c r="G149" i="13"/>
  <c r="E149" i="13"/>
  <c r="M148" i="13"/>
  <c r="I148" i="13"/>
  <c r="G148" i="13"/>
  <c r="E148" i="13"/>
  <c r="M147" i="13"/>
  <c r="I147" i="13"/>
  <c r="G147" i="13"/>
  <c r="E147" i="13"/>
  <c r="O146" i="13"/>
  <c r="M146" i="13"/>
  <c r="K146" i="13"/>
  <c r="H146" i="13"/>
  <c r="I146" i="13" s="1"/>
  <c r="G146" i="13"/>
  <c r="E146" i="13"/>
  <c r="O145" i="13"/>
  <c r="M145" i="13"/>
  <c r="K145" i="13"/>
  <c r="I145" i="13"/>
  <c r="G145" i="13"/>
  <c r="E145" i="13"/>
  <c r="O144" i="13"/>
  <c r="M144" i="13"/>
  <c r="K144" i="13"/>
  <c r="I144" i="13"/>
  <c r="G144" i="13"/>
  <c r="F144" i="13"/>
  <c r="E144" i="13"/>
  <c r="O143" i="13"/>
  <c r="M143" i="13"/>
  <c r="K143" i="13"/>
  <c r="I143" i="13"/>
  <c r="F143" i="13"/>
  <c r="G143" i="13" s="1"/>
  <c r="E143" i="13"/>
  <c r="O142" i="13"/>
  <c r="M142" i="13"/>
  <c r="K142" i="13"/>
  <c r="I142" i="13"/>
  <c r="F142" i="13"/>
  <c r="G142" i="13" s="1"/>
  <c r="E142" i="13"/>
  <c r="O141" i="13"/>
  <c r="M141" i="13"/>
  <c r="K141" i="13"/>
  <c r="I141" i="13"/>
  <c r="F141" i="13"/>
  <c r="G141" i="13" s="1"/>
  <c r="D141" i="13"/>
  <c r="E141" i="13" s="1"/>
  <c r="O140" i="13"/>
  <c r="M140" i="13"/>
  <c r="K140" i="13"/>
  <c r="I140" i="13"/>
  <c r="I154" i="13" s="1"/>
  <c r="H39" i="13" s="1"/>
  <c r="G140" i="13"/>
  <c r="F140" i="13"/>
  <c r="D140" i="13"/>
  <c r="E140" i="13" s="1"/>
  <c r="O139" i="13"/>
  <c r="O154" i="13" s="1"/>
  <c r="M139" i="13"/>
  <c r="K139" i="13"/>
  <c r="K154" i="13" s="1"/>
  <c r="I139" i="13"/>
  <c r="G139" i="13"/>
  <c r="G154" i="13" s="1"/>
  <c r="D139" i="13"/>
  <c r="E139" i="13" s="1"/>
  <c r="O138" i="13"/>
  <c r="O153" i="13" s="1"/>
  <c r="M138" i="13"/>
  <c r="K138" i="13"/>
  <c r="K153" i="13" s="1"/>
  <c r="I138" i="13"/>
  <c r="I153" i="13" s="1"/>
  <c r="G138" i="13"/>
  <c r="G153" i="13" s="1"/>
  <c r="F138" i="13"/>
  <c r="D138" i="13"/>
  <c r="E138" i="13" s="1"/>
  <c r="O137" i="13"/>
  <c r="G137" i="13"/>
  <c r="D137" i="13"/>
  <c r="B137" i="13"/>
  <c r="M137" i="13" s="1"/>
  <c r="O136" i="13"/>
  <c r="I136" i="13"/>
  <c r="G136" i="13"/>
  <c r="B136" i="13"/>
  <c r="M136" i="13" s="1"/>
  <c r="O135" i="13"/>
  <c r="M135" i="13"/>
  <c r="K135" i="13"/>
  <c r="I135" i="13"/>
  <c r="G135" i="13"/>
  <c r="E135" i="13"/>
  <c r="O134" i="13"/>
  <c r="M134" i="13"/>
  <c r="K134" i="13"/>
  <c r="I134" i="13"/>
  <c r="F134" i="13"/>
  <c r="G134" i="13" s="1"/>
  <c r="E134" i="13"/>
  <c r="O133" i="13"/>
  <c r="M133" i="13"/>
  <c r="K133" i="13"/>
  <c r="I133" i="13"/>
  <c r="G133" i="13"/>
  <c r="E133" i="13"/>
  <c r="B132" i="13"/>
  <c r="I131" i="13"/>
  <c r="H131" i="13"/>
  <c r="B131" i="13"/>
  <c r="O130" i="13"/>
  <c r="M130" i="13"/>
  <c r="AN130" i="13" s="1"/>
  <c r="G130" i="13"/>
  <c r="E130" i="13"/>
  <c r="B130" i="13"/>
  <c r="K130" i="13" s="1"/>
  <c r="M129" i="13"/>
  <c r="K129" i="13"/>
  <c r="H129" i="13"/>
  <c r="G129" i="13"/>
  <c r="E129" i="13"/>
  <c r="B129" i="13"/>
  <c r="I129" i="13" s="1"/>
  <c r="B128" i="13"/>
  <c r="I127" i="13"/>
  <c r="B127" i="13"/>
  <c r="O127" i="13" s="1"/>
  <c r="AO116" i="13"/>
  <c r="N116" i="13"/>
  <c r="O116" i="13" s="1"/>
  <c r="AP116" i="13" s="1"/>
  <c r="M116" i="13"/>
  <c r="AN116" i="13" s="1"/>
  <c r="J116" i="13"/>
  <c r="K116" i="13" s="1"/>
  <c r="I116" i="13"/>
  <c r="G116" i="13"/>
  <c r="E116" i="13"/>
  <c r="AN115" i="13"/>
  <c r="AL115" i="13"/>
  <c r="O115" i="13"/>
  <c r="AP115" i="13" s="1"/>
  <c r="M115" i="13"/>
  <c r="K115" i="13"/>
  <c r="I115" i="13"/>
  <c r="G115" i="13"/>
  <c r="E115" i="13"/>
  <c r="O114" i="13"/>
  <c r="M114" i="13"/>
  <c r="K114" i="13"/>
  <c r="I114" i="13"/>
  <c r="G114" i="13"/>
  <c r="E114" i="13"/>
  <c r="D114" i="13"/>
  <c r="O113" i="13"/>
  <c r="AP113" i="13" s="1"/>
  <c r="L113" i="13"/>
  <c r="M113" i="13" s="1"/>
  <c r="AN113" i="13" s="1"/>
  <c r="K113" i="13"/>
  <c r="I113" i="13"/>
  <c r="H113" i="13"/>
  <c r="G113" i="13"/>
  <c r="D113" i="13"/>
  <c r="E113" i="13" s="1"/>
  <c r="O112" i="13"/>
  <c r="AP112" i="13" s="1"/>
  <c r="M112" i="13"/>
  <c r="AN112" i="13" s="1"/>
  <c r="L112" i="13"/>
  <c r="K112" i="13"/>
  <c r="H112" i="13"/>
  <c r="I112" i="13" s="1"/>
  <c r="G112" i="13"/>
  <c r="D112" i="13"/>
  <c r="E112" i="13" s="1"/>
  <c r="AP111" i="13"/>
  <c r="AO111" i="13"/>
  <c r="AM111" i="13"/>
  <c r="O111" i="13"/>
  <c r="N111" i="13"/>
  <c r="L111" i="13"/>
  <c r="M111" i="13" s="1"/>
  <c r="AN111" i="13" s="1"/>
  <c r="K111" i="13"/>
  <c r="I111" i="13"/>
  <c r="F111" i="13"/>
  <c r="G111" i="13" s="1"/>
  <c r="E111" i="13"/>
  <c r="AO110" i="13"/>
  <c r="AM110" i="13"/>
  <c r="N110" i="13"/>
  <c r="O110" i="13" s="1"/>
  <c r="AP110" i="13" s="1"/>
  <c r="M110" i="13"/>
  <c r="AN110" i="13" s="1"/>
  <c r="L110" i="13"/>
  <c r="K110" i="13"/>
  <c r="H110" i="13"/>
  <c r="I110" i="13" s="1"/>
  <c r="G110" i="13"/>
  <c r="F110" i="13"/>
  <c r="D110" i="13"/>
  <c r="E110" i="13" s="1"/>
  <c r="AO109" i="13"/>
  <c r="AM109" i="13"/>
  <c r="O109" i="13"/>
  <c r="N109" i="13"/>
  <c r="L109" i="13"/>
  <c r="M109" i="13" s="1"/>
  <c r="K109" i="13"/>
  <c r="K121" i="13" s="1"/>
  <c r="I109" i="13"/>
  <c r="I121" i="13" s="1"/>
  <c r="H8" i="13" s="1"/>
  <c r="F109" i="13"/>
  <c r="G109" i="13" s="1"/>
  <c r="E109" i="13"/>
  <c r="AO108" i="13"/>
  <c r="AM108" i="13"/>
  <c r="O108" i="13"/>
  <c r="O120" i="13" s="1"/>
  <c r="N108" i="13"/>
  <c r="M108" i="13"/>
  <c r="M120" i="13" s="1"/>
  <c r="L108" i="13"/>
  <c r="K108" i="13"/>
  <c r="K120" i="13" s="1"/>
  <c r="H108" i="13"/>
  <c r="I108" i="13" s="1"/>
  <c r="I120" i="13" s="1"/>
  <c r="F108" i="13"/>
  <c r="G108" i="13" s="1"/>
  <c r="G120" i="13" s="1"/>
  <c r="D108" i="13"/>
  <c r="E108" i="13" s="1"/>
  <c r="E120" i="13" s="1"/>
  <c r="O107" i="13"/>
  <c r="M107" i="13"/>
  <c r="I107" i="13"/>
  <c r="G107" i="13"/>
  <c r="E107" i="13"/>
  <c r="B107" i="13"/>
  <c r="K107" i="13" s="1"/>
  <c r="K106" i="13"/>
  <c r="B106" i="13"/>
  <c r="O105" i="13"/>
  <c r="M105" i="13"/>
  <c r="K105" i="13"/>
  <c r="I105" i="13"/>
  <c r="G105" i="13"/>
  <c r="E105" i="13"/>
  <c r="O104" i="13"/>
  <c r="M104" i="13"/>
  <c r="K104" i="13"/>
  <c r="I104" i="13"/>
  <c r="G104" i="13"/>
  <c r="E104" i="13"/>
  <c r="O103" i="13"/>
  <c r="M103" i="13"/>
  <c r="K103" i="13"/>
  <c r="I103" i="13"/>
  <c r="G103" i="13"/>
  <c r="E103" i="13"/>
  <c r="M102" i="13"/>
  <c r="L102" i="13"/>
  <c r="G102" i="13"/>
  <c r="B102" i="13"/>
  <c r="E102" i="13" s="1"/>
  <c r="O101" i="13"/>
  <c r="M101" i="13"/>
  <c r="I101" i="13"/>
  <c r="G101" i="13"/>
  <c r="E101" i="13"/>
  <c r="B101" i="13"/>
  <c r="K101" i="13" s="1"/>
  <c r="O100" i="13"/>
  <c r="G100" i="13"/>
  <c r="B100" i="13"/>
  <c r="M100" i="13" s="1"/>
  <c r="AN100" i="13" s="1"/>
  <c r="M99" i="13"/>
  <c r="H99" i="13"/>
  <c r="G99" i="13"/>
  <c r="B99" i="13"/>
  <c r="K99" i="13" s="1"/>
  <c r="N98" i="13"/>
  <c r="B98" i="13"/>
  <c r="K98" i="13" s="1"/>
  <c r="K97" i="13"/>
  <c r="F97" i="13"/>
  <c r="E97" i="13"/>
  <c r="D97" i="13"/>
  <c r="B97" i="13"/>
  <c r="I97" i="13" s="1"/>
  <c r="B91" i="13"/>
  <c r="C239" i="13" s="1"/>
  <c r="G239" i="13" s="1"/>
  <c r="D180" i="13" s="1"/>
  <c r="D90" i="13"/>
  <c r="C90" i="13"/>
  <c r="C89" i="13"/>
  <c r="D89" i="13" s="1"/>
  <c r="D88" i="13"/>
  <c r="C88" i="13"/>
  <c r="C87" i="13"/>
  <c r="D87" i="13" s="1"/>
  <c r="D86" i="13"/>
  <c r="D85" i="13"/>
  <c r="D84" i="13"/>
  <c r="C84" i="13"/>
  <c r="C83" i="13"/>
  <c r="D83" i="13" s="1"/>
  <c r="D82" i="13"/>
  <c r="D81" i="13"/>
  <c r="D80" i="13"/>
  <c r="C80" i="13"/>
  <c r="D79" i="13"/>
  <c r="D72" i="13"/>
  <c r="B72" i="13"/>
  <c r="B70" i="13"/>
  <c r="D69" i="13"/>
  <c r="C69" i="13"/>
  <c r="C71" i="13" s="1"/>
  <c r="C73" i="13" s="1"/>
  <c r="D68" i="13"/>
  <c r="C68" i="13"/>
  <c r="D64" i="13"/>
  <c r="C64" i="13"/>
  <c r="N60" i="13"/>
  <c r="K60" i="13"/>
  <c r="H60" i="13"/>
  <c r="E60" i="13"/>
  <c r="B60" i="13"/>
  <c r="Q57" i="13"/>
  <c r="M57" i="13"/>
  <c r="K57" i="13"/>
  <c r="Q56" i="13"/>
  <c r="N56" i="13"/>
  <c r="K56" i="13"/>
  <c r="H56" i="13"/>
  <c r="C56" i="13"/>
  <c r="Q55" i="13"/>
  <c r="Q58" i="13" s="1"/>
  <c r="M55" i="13"/>
  <c r="K55" i="13"/>
  <c r="K58" i="13" s="1"/>
  <c r="I55" i="13"/>
  <c r="I58" i="13" s="1"/>
  <c r="S53" i="13"/>
  <c r="R53" i="13"/>
  <c r="P53" i="13"/>
  <c r="P57" i="13" s="1"/>
  <c r="O53" i="13"/>
  <c r="L53" i="13"/>
  <c r="L57" i="13" s="1"/>
  <c r="J53" i="13"/>
  <c r="I53" i="13"/>
  <c r="G53" i="13"/>
  <c r="F53" i="13"/>
  <c r="D53" i="13"/>
  <c r="C53" i="13"/>
  <c r="S45" i="13"/>
  <c r="R45" i="13"/>
  <c r="R55" i="13" s="1"/>
  <c r="R58" i="13" s="1"/>
  <c r="P45" i="13"/>
  <c r="P55" i="13" s="1"/>
  <c r="P58" i="13" s="1"/>
  <c r="O45" i="13"/>
  <c r="O55" i="13" s="1"/>
  <c r="O58" i="13" s="1"/>
  <c r="L45" i="13"/>
  <c r="L55" i="13" s="1"/>
  <c r="J45" i="13"/>
  <c r="J55" i="13" s="1"/>
  <c r="J58" i="13" s="1"/>
  <c r="I45" i="13"/>
  <c r="G45" i="13"/>
  <c r="G55" i="13" s="1"/>
  <c r="G58" i="13" s="1"/>
  <c r="F45" i="13"/>
  <c r="F55" i="13" s="1"/>
  <c r="F58" i="13" s="1"/>
  <c r="D45" i="13"/>
  <c r="D55" i="13" s="1"/>
  <c r="D58" i="13" s="1"/>
  <c r="C45" i="13"/>
  <c r="C55" i="13" s="1"/>
  <c r="C58" i="13" s="1"/>
  <c r="N41" i="13"/>
  <c r="H41" i="13"/>
  <c r="E41" i="13"/>
  <c r="B41" i="13"/>
  <c r="N40" i="13"/>
  <c r="E40" i="13"/>
  <c r="B40" i="13"/>
  <c r="E39" i="13"/>
  <c r="C39" i="13"/>
  <c r="H38" i="13"/>
  <c r="E38" i="13"/>
  <c r="E56" i="13" s="1"/>
  <c r="B38" i="13"/>
  <c r="B56" i="13" s="1"/>
  <c r="S35" i="13"/>
  <c r="Q35" i="13"/>
  <c r="N35" i="13"/>
  <c r="M35" i="13"/>
  <c r="K35" i="13"/>
  <c r="J35" i="13"/>
  <c r="Q29" i="13"/>
  <c r="N29" i="13"/>
  <c r="K29" i="13"/>
  <c r="H29" i="13"/>
  <c r="E29" i="13"/>
  <c r="B29" i="13"/>
  <c r="S27" i="13"/>
  <c r="M27" i="13"/>
  <c r="G27" i="13"/>
  <c r="R26" i="13"/>
  <c r="Q25" i="13"/>
  <c r="S24" i="13"/>
  <c r="M24" i="13"/>
  <c r="R22" i="13"/>
  <c r="P22" i="13"/>
  <c r="O22" i="13"/>
  <c r="L22" i="13"/>
  <c r="J22" i="13"/>
  <c r="I22" i="13"/>
  <c r="G22" i="13"/>
  <c r="F22" i="13"/>
  <c r="F24" i="13" s="1"/>
  <c r="F27" i="13" s="1"/>
  <c r="D22" i="13"/>
  <c r="C22" i="13"/>
  <c r="R14" i="13"/>
  <c r="R24" i="13" s="1"/>
  <c r="R27" i="13" s="1"/>
  <c r="P14" i="13"/>
  <c r="P24" i="13" s="1"/>
  <c r="P27" i="13" s="1"/>
  <c r="J14" i="13"/>
  <c r="J24" i="13" s="1"/>
  <c r="J27" i="13" s="1"/>
  <c r="G14" i="13"/>
  <c r="G24" i="13" s="1"/>
  <c r="F14" i="13"/>
  <c r="D14" i="13"/>
  <c r="D24" i="13" s="1"/>
  <c r="D27" i="13" s="1"/>
  <c r="C14" i="13"/>
  <c r="C24" i="13" s="1"/>
  <c r="C27" i="13" s="1"/>
  <c r="Q10" i="13"/>
  <c r="N10" i="13"/>
  <c r="K10" i="13"/>
  <c r="H10" i="13"/>
  <c r="E10" i="13"/>
  <c r="B10" i="13"/>
  <c r="Q9" i="13"/>
  <c r="N9" i="13"/>
  <c r="K9" i="13"/>
  <c r="H9" i="13"/>
  <c r="E9" i="13"/>
  <c r="B9" i="13"/>
  <c r="O8" i="13"/>
  <c r="O14" i="13" s="1"/>
  <c r="O24" i="13" s="1"/>
  <c r="O27" i="13" s="1"/>
  <c r="L8" i="13"/>
  <c r="L14" i="13" s="1"/>
  <c r="L24" i="13" s="1"/>
  <c r="L27" i="13" s="1"/>
  <c r="K8" i="13"/>
  <c r="I8" i="13"/>
  <c r="I14" i="13" s="1"/>
  <c r="I24" i="13" s="1"/>
  <c r="I27" i="13" s="1"/>
  <c r="K7" i="13"/>
  <c r="K25" i="13" s="1"/>
  <c r="H7" i="13"/>
  <c r="H25" i="13" s="1"/>
  <c r="E7" i="13"/>
  <c r="E25" i="13" s="1"/>
  <c r="B7" i="13"/>
  <c r="B25" i="13" s="1"/>
  <c r="N6" i="13"/>
  <c r="S4" i="13"/>
  <c r="D91" i="13" l="1"/>
  <c r="E85" i="13" s="1"/>
  <c r="E82" i="13"/>
  <c r="E89" i="13"/>
  <c r="E91" i="13"/>
  <c r="E90" i="13"/>
  <c r="E86" i="13"/>
  <c r="E87" i="13"/>
  <c r="E81" i="13"/>
  <c r="O121" i="13"/>
  <c r="Q8" i="13" s="1"/>
  <c r="AP109" i="13"/>
  <c r="L58" i="13"/>
  <c r="AP108" i="13"/>
  <c r="B39" i="13"/>
  <c r="S57" i="13"/>
  <c r="S55" i="13"/>
  <c r="M58" i="13"/>
  <c r="O152" i="13"/>
  <c r="O155" i="13" s="1"/>
  <c r="I173" i="13"/>
  <c r="H40" i="13"/>
  <c r="O98" i="13"/>
  <c r="I98" i="13"/>
  <c r="I119" i="13" s="1"/>
  <c r="G98" i="13"/>
  <c r="M98" i="13"/>
  <c r="E98" i="13"/>
  <c r="E119" i="13" s="1"/>
  <c r="B64" i="13"/>
  <c r="D71" i="13"/>
  <c r="D73" i="13" s="1"/>
  <c r="B68" i="13"/>
  <c r="AL97" i="13"/>
  <c r="AL120" i="13" s="1"/>
  <c r="AO98" i="13"/>
  <c r="I106" i="13"/>
  <c r="O106" i="13"/>
  <c r="G106" i="13"/>
  <c r="M106" i="13"/>
  <c r="E106" i="13"/>
  <c r="G121" i="13"/>
  <c r="E8" i="13" s="1"/>
  <c r="B69" i="13"/>
  <c r="M97" i="13"/>
  <c r="M119" i="13" s="1"/>
  <c r="O99" i="13"/>
  <c r="I100" i="13"/>
  <c r="AM100" i="13"/>
  <c r="I102" i="13"/>
  <c r="O102" i="13"/>
  <c r="E121" i="13"/>
  <c r="B8" i="13" s="1"/>
  <c r="E154" i="13"/>
  <c r="M154" i="13"/>
  <c r="N39" i="13" s="1"/>
  <c r="O166" i="13"/>
  <c r="G97" i="13"/>
  <c r="G119" i="13" s="1"/>
  <c r="O97" i="13"/>
  <c r="I99" i="13"/>
  <c r="K100" i="13"/>
  <c r="K102" i="13"/>
  <c r="K119" i="13" s="1"/>
  <c r="AN108" i="13"/>
  <c r="AN120" i="13" s="1"/>
  <c r="AN109" i="13"/>
  <c r="M121" i="13"/>
  <c r="N8" i="13" s="1"/>
  <c r="I128" i="13"/>
  <c r="I152" i="13" s="1"/>
  <c r="O128" i="13"/>
  <c r="G128" i="13"/>
  <c r="M128" i="13"/>
  <c r="E128" i="13"/>
  <c r="I132" i="13"/>
  <c r="O132" i="13"/>
  <c r="G132" i="13"/>
  <c r="AM130" i="13"/>
  <c r="M132" i="13"/>
  <c r="E132" i="13"/>
  <c r="B244" i="13"/>
  <c r="C91" i="13"/>
  <c r="E99" i="13"/>
  <c r="E100" i="13"/>
  <c r="K128" i="13"/>
  <c r="O131" i="13"/>
  <c r="M131" i="13"/>
  <c r="G131" i="13"/>
  <c r="K131" i="13"/>
  <c r="E131" i="13"/>
  <c r="K132" i="13"/>
  <c r="G166" i="13"/>
  <c r="G173" i="13"/>
  <c r="B245" i="13"/>
  <c r="K127" i="13"/>
  <c r="I137" i="13"/>
  <c r="C212" i="13"/>
  <c r="E127" i="13"/>
  <c r="M127" i="13"/>
  <c r="O129" i="13"/>
  <c r="I130" i="13"/>
  <c r="K136" i="13"/>
  <c r="K137" i="13"/>
  <c r="G127" i="13"/>
  <c r="E136" i="13"/>
  <c r="E137" i="13"/>
  <c r="B107" i="12"/>
  <c r="B102" i="12"/>
  <c r="B97" i="12"/>
  <c r="C195" i="12"/>
  <c r="B195" i="12"/>
  <c r="I147" i="12"/>
  <c r="I148" i="12"/>
  <c r="E88" i="13" l="1"/>
  <c r="E80" i="13"/>
  <c r="E83" i="13"/>
  <c r="F194" i="13"/>
  <c r="E212" i="13" s="1"/>
  <c r="G212" i="13" s="1"/>
  <c r="E84" i="13"/>
  <c r="E79" i="13"/>
  <c r="I122" i="13"/>
  <c r="H6" i="13"/>
  <c r="E122" i="13"/>
  <c r="B6" i="13"/>
  <c r="I155" i="13"/>
  <c r="H37" i="13"/>
  <c r="K122" i="13"/>
  <c r="K6" i="13"/>
  <c r="K152" i="13"/>
  <c r="K155" i="13" s="1"/>
  <c r="G122" i="13"/>
  <c r="E6" i="13"/>
  <c r="G152" i="13"/>
  <c r="M122" i="13"/>
  <c r="B71" i="13"/>
  <c r="B73" i="13" s="1"/>
  <c r="S58" i="13"/>
  <c r="E152" i="13"/>
  <c r="H183" i="13"/>
  <c r="D245" i="13"/>
  <c r="E245" i="13" s="1"/>
  <c r="D244" i="13"/>
  <c r="E244" i="13" s="1"/>
  <c r="D243" i="13"/>
  <c r="E243" i="13" s="1"/>
  <c r="H186" i="13"/>
  <c r="C202" i="13"/>
  <c r="H180" i="13"/>
  <c r="AP98" i="13"/>
  <c r="AP120" i="13" s="1"/>
  <c r="Q6" i="13"/>
  <c r="M152" i="13"/>
  <c r="O119" i="13"/>
  <c r="O122" i="13" s="1"/>
  <c r="N7" i="13"/>
  <c r="B137" i="12"/>
  <c r="B136" i="12"/>
  <c r="B132" i="12"/>
  <c r="B131" i="12"/>
  <c r="B130" i="12"/>
  <c r="B129" i="12"/>
  <c r="B128" i="12"/>
  <c r="B127" i="12"/>
  <c r="B212" i="13" l="1"/>
  <c r="D212" i="13" s="1"/>
  <c r="C204" i="13"/>
  <c r="C205" i="13" s="1"/>
  <c r="B216" i="13" s="1"/>
  <c r="E211" i="13"/>
  <c r="G211" i="13" s="1"/>
  <c r="G213" i="13" s="1"/>
  <c r="G215" i="13" s="1"/>
  <c r="B206" i="13"/>
  <c r="D214" i="13" s="1"/>
  <c r="B211" i="13"/>
  <c r="D211" i="13" s="1"/>
  <c r="D213" i="13" s="1"/>
  <c r="B205" i="13"/>
  <c r="H214" i="13" s="1"/>
  <c r="I214" i="13" s="1"/>
  <c r="B42" i="13"/>
  <c r="N42" i="13"/>
  <c r="H42" i="13"/>
  <c r="K11" i="13"/>
  <c r="B11" i="13"/>
  <c r="H11" i="13"/>
  <c r="Q11" i="13"/>
  <c r="E11" i="13"/>
  <c r="E42" i="13"/>
  <c r="N11" i="13"/>
  <c r="G155" i="13"/>
  <c r="E37" i="13"/>
  <c r="N37" i="13"/>
  <c r="M155" i="13"/>
  <c r="E52" i="13"/>
  <c r="Q21" i="13"/>
  <c r="E21" i="13"/>
  <c r="B52" i="13"/>
  <c r="N52" i="13"/>
  <c r="K21" i="13"/>
  <c r="H52" i="13"/>
  <c r="H21" i="13"/>
  <c r="B21" i="13"/>
  <c r="N21" i="13"/>
  <c r="E51" i="13"/>
  <c r="K20" i="13"/>
  <c r="B51" i="13"/>
  <c r="N51" i="13"/>
  <c r="Q20" i="13"/>
  <c r="E20" i="13"/>
  <c r="B20" i="13"/>
  <c r="H51" i="13"/>
  <c r="H20" i="13"/>
  <c r="N20" i="13"/>
  <c r="N25" i="13"/>
  <c r="B44" i="13"/>
  <c r="N44" i="13"/>
  <c r="H44" i="13"/>
  <c r="K13" i="13"/>
  <c r="E44" i="13"/>
  <c r="H13" i="13"/>
  <c r="N13" i="13"/>
  <c r="Q13" i="13"/>
  <c r="E13" i="13"/>
  <c r="B13" i="13"/>
  <c r="B43" i="13"/>
  <c r="N43" i="13"/>
  <c r="H43" i="13"/>
  <c r="Q12" i="13"/>
  <c r="E12" i="13"/>
  <c r="N12" i="13"/>
  <c r="B12" i="13"/>
  <c r="H12" i="13"/>
  <c r="E43" i="13"/>
  <c r="K12" i="13"/>
  <c r="E246" i="13"/>
  <c r="E50" i="13"/>
  <c r="Q19" i="13"/>
  <c r="E19" i="13"/>
  <c r="B50" i="13"/>
  <c r="N50" i="13"/>
  <c r="K19" i="13"/>
  <c r="B19" i="13"/>
  <c r="N19" i="13"/>
  <c r="H50" i="13"/>
  <c r="H19" i="13"/>
  <c r="E155" i="13"/>
  <c r="B37" i="13"/>
  <c r="M147" i="12"/>
  <c r="M148" i="12"/>
  <c r="M149" i="12"/>
  <c r="E147" i="12"/>
  <c r="G147" i="12"/>
  <c r="E148" i="12"/>
  <c r="G148" i="12"/>
  <c r="G149" i="12"/>
  <c r="B98" i="12"/>
  <c r="B100" i="12"/>
  <c r="B99" i="12"/>
  <c r="E213" i="13" l="1"/>
  <c r="F213" i="13" s="1"/>
  <c r="B207" i="13"/>
  <c r="J214" i="13" s="1"/>
  <c r="B213" i="13"/>
  <c r="H213" i="13" s="1"/>
  <c r="H215" i="13" s="1"/>
  <c r="B214" i="13"/>
  <c r="C214" i="13" s="1"/>
  <c r="N14" i="13"/>
  <c r="H14" i="13"/>
  <c r="E14" i="13"/>
  <c r="K14" i="13"/>
  <c r="H45" i="13"/>
  <c r="B14" i="13"/>
  <c r="Q14" i="13"/>
  <c r="B45" i="13"/>
  <c r="E45" i="13"/>
  <c r="B232" i="13"/>
  <c r="H216" i="13"/>
  <c r="N45" i="13"/>
  <c r="J213" i="13"/>
  <c r="D215" i="13"/>
  <c r="E149" i="12"/>
  <c r="I149" i="12"/>
  <c r="O8" i="12"/>
  <c r="I8" i="12"/>
  <c r="L8" i="12"/>
  <c r="E215" i="13" l="1"/>
  <c r="C213" i="13"/>
  <c r="B215" i="13"/>
  <c r="B217" i="13" s="1"/>
  <c r="B228" i="13" s="1"/>
  <c r="H217" i="13"/>
  <c r="H224" i="13" s="1"/>
  <c r="E217" i="13"/>
  <c r="F215" i="13"/>
  <c r="G216" i="13" s="1"/>
  <c r="G232" i="13" s="1"/>
  <c r="B226" i="13"/>
  <c r="B229" i="13"/>
  <c r="J215" i="13"/>
  <c r="I215" i="13" s="1"/>
  <c r="C207" i="13" s="1"/>
  <c r="I213" i="13"/>
  <c r="H232" i="13"/>
  <c r="C39" i="12"/>
  <c r="B231" i="13" l="1"/>
  <c r="B225" i="13"/>
  <c r="C215" i="13"/>
  <c r="C206" i="13" s="1"/>
  <c r="B227" i="13"/>
  <c r="B230" i="13"/>
  <c r="B223" i="13"/>
  <c r="B222" i="13"/>
  <c r="H223" i="13"/>
  <c r="B224" i="13"/>
  <c r="H220" i="13"/>
  <c r="B221" i="13"/>
  <c r="B220" i="13"/>
  <c r="H226" i="13"/>
  <c r="H231" i="13"/>
  <c r="H228" i="13"/>
  <c r="H227" i="13"/>
  <c r="H221" i="13"/>
  <c r="H222" i="13"/>
  <c r="H230" i="13"/>
  <c r="H225" i="13"/>
  <c r="H229" i="13"/>
  <c r="D216" i="13"/>
  <c r="D232" i="13" s="1"/>
  <c r="D217" i="13"/>
  <c r="J216" i="13"/>
  <c r="J232" i="13" s="1"/>
  <c r="J217" i="13"/>
  <c r="G217" i="13"/>
  <c r="E231" i="13"/>
  <c r="E229" i="13"/>
  <c r="E227" i="13"/>
  <c r="E225" i="13"/>
  <c r="E223" i="13"/>
  <c r="E221" i="13"/>
  <c r="E230" i="13"/>
  <c r="E222" i="13"/>
  <c r="E224" i="13"/>
  <c r="E226" i="13"/>
  <c r="E220" i="13"/>
  <c r="E228" i="13"/>
  <c r="J165" i="12"/>
  <c r="J164" i="12"/>
  <c r="H165" i="12"/>
  <c r="H164" i="12"/>
  <c r="L165" i="12"/>
  <c r="L164" i="12"/>
  <c r="L110" i="12"/>
  <c r="L108" i="12"/>
  <c r="L113" i="12"/>
  <c r="L112" i="12"/>
  <c r="L102" i="12"/>
  <c r="B233" i="13" l="1"/>
  <c r="H233" i="13"/>
  <c r="E233" i="13"/>
  <c r="D230" i="13"/>
  <c r="D228" i="13"/>
  <c r="D226" i="13"/>
  <c r="D224" i="13"/>
  <c r="D222" i="13"/>
  <c r="D220" i="13"/>
  <c r="D231" i="13"/>
  <c r="D229" i="13"/>
  <c r="D227" i="13"/>
  <c r="D225" i="13"/>
  <c r="D223" i="13"/>
  <c r="D221" i="13"/>
  <c r="E47" i="13"/>
  <c r="B47" i="13"/>
  <c r="N47" i="13"/>
  <c r="Q16" i="13"/>
  <c r="E16" i="13"/>
  <c r="H16" i="13"/>
  <c r="H47" i="13"/>
  <c r="B16" i="13"/>
  <c r="K16" i="13"/>
  <c r="N16" i="13"/>
  <c r="G231" i="13"/>
  <c r="G229" i="13"/>
  <c r="G227" i="13"/>
  <c r="G225" i="13"/>
  <c r="G223" i="13"/>
  <c r="G221" i="13"/>
  <c r="G230" i="13"/>
  <c r="G228" i="13"/>
  <c r="G226" i="13"/>
  <c r="G224" i="13"/>
  <c r="G222" i="13"/>
  <c r="G220" i="13"/>
  <c r="E48" i="13"/>
  <c r="Q17" i="13"/>
  <c r="E17" i="13"/>
  <c r="B48" i="13"/>
  <c r="N48" i="13"/>
  <c r="K17" i="13"/>
  <c r="H48" i="13"/>
  <c r="H17" i="13"/>
  <c r="B17" i="13"/>
  <c r="N17" i="13"/>
  <c r="J230" i="13"/>
  <c r="J228" i="13"/>
  <c r="J226" i="13"/>
  <c r="J224" i="13"/>
  <c r="J222" i="13"/>
  <c r="J220" i="13"/>
  <c r="J231" i="13"/>
  <c r="J229" i="13"/>
  <c r="J227" i="13"/>
  <c r="J225" i="13"/>
  <c r="J223" i="13"/>
  <c r="J221" i="13"/>
  <c r="E49" i="13"/>
  <c r="K18" i="13"/>
  <c r="B49" i="13"/>
  <c r="N49" i="13"/>
  <c r="Q18" i="13"/>
  <c r="E18" i="13"/>
  <c r="N18" i="13"/>
  <c r="H18" i="13"/>
  <c r="B18" i="13"/>
  <c r="H49" i="13"/>
  <c r="D172" i="12"/>
  <c r="D171" i="12"/>
  <c r="D141" i="12"/>
  <c r="D140" i="12"/>
  <c r="D139" i="12"/>
  <c r="D138" i="12"/>
  <c r="D137" i="12"/>
  <c r="F172" i="12"/>
  <c r="F171" i="12"/>
  <c r="E144" i="12"/>
  <c r="M144" i="12"/>
  <c r="O144" i="12"/>
  <c r="M145" i="12"/>
  <c r="O145" i="12"/>
  <c r="K144" i="12"/>
  <c r="I144" i="12"/>
  <c r="F141" i="12"/>
  <c r="F140" i="12"/>
  <c r="F138" i="12"/>
  <c r="F144" i="12"/>
  <c r="G144" i="12" s="1"/>
  <c r="F143" i="12"/>
  <c r="F142" i="12"/>
  <c r="F134" i="12"/>
  <c r="E130" i="12"/>
  <c r="B101" i="12"/>
  <c r="O101" i="12" s="1"/>
  <c r="F111" i="12"/>
  <c r="F110" i="12"/>
  <c r="F109" i="12"/>
  <c r="F108" i="12"/>
  <c r="F97" i="12"/>
  <c r="F165" i="12"/>
  <c r="F164" i="12"/>
  <c r="D165" i="12"/>
  <c r="D164" i="12"/>
  <c r="D114" i="12"/>
  <c r="E114" i="12" s="1"/>
  <c r="D113" i="12"/>
  <c r="D112" i="12"/>
  <c r="D110" i="12"/>
  <c r="D108" i="12"/>
  <c r="D97" i="12"/>
  <c r="G114" i="12"/>
  <c r="O114" i="12"/>
  <c r="I114" i="12"/>
  <c r="K114" i="12"/>
  <c r="E131" i="12"/>
  <c r="H146" i="12"/>
  <c r="H131" i="12"/>
  <c r="H129" i="12"/>
  <c r="H110" i="12"/>
  <c r="H112" i="12"/>
  <c r="H113" i="12"/>
  <c r="H108" i="12"/>
  <c r="H99" i="12"/>
  <c r="J116" i="12"/>
  <c r="K140" i="12"/>
  <c r="K135" i="12"/>
  <c r="M135" i="12"/>
  <c r="O135" i="12"/>
  <c r="I135" i="12"/>
  <c r="G135" i="12"/>
  <c r="E135" i="12"/>
  <c r="E105" i="12"/>
  <c r="G105" i="12"/>
  <c r="I105" i="12"/>
  <c r="K105" i="12"/>
  <c r="M105" i="12"/>
  <c r="O105" i="12"/>
  <c r="N60" i="12"/>
  <c r="H53" i="13" l="1"/>
  <c r="H55" i="13" s="1"/>
  <c r="H58" i="13" s="1"/>
  <c r="J233" i="13"/>
  <c r="G233" i="13"/>
  <c r="N22" i="13"/>
  <c r="N24" i="13" s="1"/>
  <c r="N27" i="13" s="1"/>
  <c r="H22" i="13"/>
  <c r="H24" i="13" s="1"/>
  <c r="H27" i="13" s="1"/>
  <c r="B53" i="13"/>
  <c r="B55" i="13" s="1"/>
  <c r="B58" i="13" s="1"/>
  <c r="D233" i="13"/>
  <c r="K22" i="13"/>
  <c r="K24" i="13" s="1"/>
  <c r="K27" i="13" s="1"/>
  <c r="E22" i="13"/>
  <c r="E24" i="13" s="1"/>
  <c r="E27" i="13" s="1"/>
  <c r="E53" i="13"/>
  <c r="E55" i="13" s="1"/>
  <c r="E58" i="13" s="1"/>
  <c r="N53" i="13"/>
  <c r="N55" i="13" s="1"/>
  <c r="N58" i="13" s="1"/>
  <c r="B22" i="13"/>
  <c r="B24" i="13" s="1"/>
  <c r="B27" i="13" s="1"/>
  <c r="Q22" i="13"/>
  <c r="Q24" i="13" s="1"/>
  <c r="Q27" i="13" s="1"/>
  <c r="E101" i="12"/>
  <c r="G101" i="12"/>
  <c r="M101" i="12"/>
  <c r="G130" i="12"/>
  <c r="M130" i="12"/>
  <c r="AN130" i="12" s="1"/>
  <c r="O130" i="12"/>
  <c r="I130" i="12"/>
  <c r="I101" i="12"/>
  <c r="K130" i="12"/>
  <c r="M114" i="12"/>
  <c r="K101" i="12"/>
  <c r="I131" i="12"/>
  <c r="K131" i="12"/>
  <c r="M131" i="12"/>
  <c r="O131" i="12"/>
  <c r="G131" i="12"/>
  <c r="C245" i="12"/>
  <c r="E29" i="12" l="1"/>
  <c r="B29" i="12"/>
  <c r="G22" i="12" l="1"/>
  <c r="G14" i="12"/>
  <c r="B245" i="12"/>
  <c r="C244" i="12"/>
  <c r="B244" i="12" s="1"/>
  <c r="E232" i="12"/>
  <c r="F214" i="12"/>
  <c r="H209" i="12"/>
  <c r="B204" i="12"/>
  <c r="F211" i="12"/>
  <c r="C212" i="12"/>
  <c r="C186" i="12"/>
  <c r="C183" i="12"/>
  <c r="C180" i="12"/>
  <c r="H172" i="12"/>
  <c r="H171" i="12"/>
  <c r="N165" i="12"/>
  <c r="O165" i="12" s="1"/>
  <c r="Q10" i="12" s="1"/>
  <c r="M165" i="12"/>
  <c r="N10" i="12" s="1"/>
  <c r="G165" i="12"/>
  <c r="E10" i="12" s="1"/>
  <c r="E165" i="12"/>
  <c r="B10" i="12" s="1"/>
  <c r="N164" i="12"/>
  <c r="O164" i="12" s="1"/>
  <c r="Q9" i="12" s="1"/>
  <c r="G164" i="12"/>
  <c r="E9" i="12" s="1"/>
  <c r="O146" i="12"/>
  <c r="M146" i="12"/>
  <c r="K146" i="12"/>
  <c r="I146" i="12"/>
  <c r="G146" i="12"/>
  <c r="E146" i="12"/>
  <c r="K145" i="12"/>
  <c r="I145" i="12"/>
  <c r="G145" i="12"/>
  <c r="E145" i="12"/>
  <c r="I143" i="12"/>
  <c r="G143" i="12"/>
  <c r="E143" i="12"/>
  <c r="O143" i="12"/>
  <c r="M142" i="12"/>
  <c r="K142" i="12"/>
  <c r="I142" i="12"/>
  <c r="G142" i="12"/>
  <c r="E142" i="12"/>
  <c r="O142" i="12"/>
  <c r="M141" i="12"/>
  <c r="E141" i="12"/>
  <c r="O141" i="12"/>
  <c r="O140" i="12"/>
  <c r="M140" i="12"/>
  <c r="I140" i="12"/>
  <c r="G140" i="12"/>
  <c r="E140" i="12"/>
  <c r="O139" i="12"/>
  <c r="M139" i="12"/>
  <c r="K139" i="12"/>
  <c r="I139" i="12"/>
  <c r="G139" i="12"/>
  <c r="E139" i="12"/>
  <c r="E154" i="12" s="1"/>
  <c r="O138" i="12"/>
  <c r="E138" i="12"/>
  <c r="E153" i="12" s="1"/>
  <c r="B38" i="12"/>
  <c r="B56" i="12" s="1"/>
  <c r="M137" i="12"/>
  <c r="E136" i="12"/>
  <c r="E38" i="12"/>
  <c r="E56" i="12" s="1"/>
  <c r="O133" i="12"/>
  <c r="M133" i="12"/>
  <c r="K133" i="12"/>
  <c r="I133" i="12"/>
  <c r="G133" i="12"/>
  <c r="E133" i="12"/>
  <c r="H38" i="12"/>
  <c r="H56" i="12" s="1"/>
  <c r="G128" i="12"/>
  <c r="G127" i="12"/>
  <c r="AO116" i="12"/>
  <c r="N116" i="12"/>
  <c r="O116" i="12" s="1"/>
  <c r="AP116" i="12" s="1"/>
  <c r="M116" i="12"/>
  <c r="AN116" i="12" s="1"/>
  <c r="K116" i="12"/>
  <c r="I116" i="12"/>
  <c r="G116" i="12"/>
  <c r="E116" i="12"/>
  <c r="O115" i="12"/>
  <c r="AP115" i="12" s="1"/>
  <c r="M115" i="12"/>
  <c r="AN115" i="12" s="1"/>
  <c r="K115" i="12"/>
  <c r="AL115" i="12" s="1"/>
  <c r="I115" i="12"/>
  <c r="G115" i="12"/>
  <c r="E115" i="12"/>
  <c r="M113" i="12"/>
  <c r="AN113" i="12" s="1"/>
  <c r="K113" i="12"/>
  <c r="I113" i="12"/>
  <c r="E113" i="12"/>
  <c r="G113" i="12"/>
  <c r="O112" i="12"/>
  <c r="AP112" i="12" s="1"/>
  <c r="G112" i="12"/>
  <c r="E112" i="12"/>
  <c r="N111" i="12"/>
  <c r="L111" i="12"/>
  <c r="AO111" i="12"/>
  <c r="AO110" i="12"/>
  <c r="N110" i="12"/>
  <c r="O110" i="12" s="1"/>
  <c r="AP110" i="12" s="1"/>
  <c r="K110" i="12"/>
  <c r="M110" i="12"/>
  <c r="G110" i="12"/>
  <c r="E110" i="12"/>
  <c r="AO109" i="12"/>
  <c r="AM109" i="12"/>
  <c r="N109" i="12"/>
  <c r="O109" i="12" s="1"/>
  <c r="K109" i="12"/>
  <c r="I109" i="12"/>
  <c r="G109" i="12"/>
  <c r="E109" i="12"/>
  <c r="AO108" i="12"/>
  <c r="AM108" i="12"/>
  <c r="N108" i="12"/>
  <c r="O108" i="12" s="1"/>
  <c r="AP108" i="12" s="1"/>
  <c r="K108" i="12"/>
  <c r="K120" i="12" s="1"/>
  <c r="M108" i="12"/>
  <c r="AN108" i="12" s="1"/>
  <c r="G108" i="12"/>
  <c r="E108" i="12"/>
  <c r="E107" i="12"/>
  <c r="B106" i="12"/>
  <c r="K106" i="12" s="1"/>
  <c r="E104" i="12"/>
  <c r="O103" i="12"/>
  <c r="M103" i="12"/>
  <c r="K103" i="12"/>
  <c r="I103" i="12"/>
  <c r="G103" i="12"/>
  <c r="E103" i="12"/>
  <c r="K102" i="12"/>
  <c r="O100" i="12"/>
  <c r="N98" i="12"/>
  <c r="AO98" i="12"/>
  <c r="B91" i="12"/>
  <c r="C90" i="12"/>
  <c r="D90" i="12" s="1"/>
  <c r="C89" i="12"/>
  <c r="D89" i="12" s="1"/>
  <c r="C88" i="12"/>
  <c r="D88" i="12" s="1"/>
  <c r="C87" i="12"/>
  <c r="D87" i="12" s="1"/>
  <c r="D86" i="12"/>
  <c r="D85" i="12"/>
  <c r="C84" i="12"/>
  <c r="D84" i="12" s="1"/>
  <c r="C83" i="12"/>
  <c r="D83" i="12" s="1"/>
  <c r="C82" i="12"/>
  <c r="D82" i="12" s="1"/>
  <c r="C81" i="12"/>
  <c r="D81" i="12" s="1"/>
  <c r="C80" i="12"/>
  <c r="D80" i="12" s="1"/>
  <c r="D79" i="12"/>
  <c r="B70" i="12"/>
  <c r="D64" i="12"/>
  <c r="C64" i="12"/>
  <c r="K60" i="12"/>
  <c r="H60" i="12"/>
  <c r="E60" i="12"/>
  <c r="B60" i="12"/>
  <c r="Q57" i="12"/>
  <c r="M57" i="12"/>
  <c r="K57" i="12"/>
  <c r="Q56" i="12"/>
  <c r="N56" i="12"/>
  <c r="K56" i="12"/>
  <c r="C56" i="12"/>
  <c r="Q55" i="12"/>
  <c r="M55" i="12"/>
  <c r="K55" i="12"/>
  <c r="S53" i="12"/>
  <c r="S57" i="12" s="1"/>
  <c r="R53" i="12"/>
  <c r="P53" i="12"/>
  <c r="P57" i="12" s="1"/>
  <c r="O53" i="12"/>
  <c r="L53" i="12"/>
  <c r="L57" i="12" s="1"/>
  <c r="J53" i="12"/>
  <c r="I53" i="12"/>
  <c r="G53" i="12"/>
  <c r="F53" i="12"/>
  <c r="D53" i="12"/>
  <c r="C53" i="12"/>
  <c r="S45" i="12"/>
  <c r="R45" i="12"/>
  <c r="P45" i="12"/>
  <c r="O45" i="12"/>
  <c r="L45" i="12"/>
  <c r="J45" i="12"/>
  <c r="I45" i="12"/>
  <c r="G45" i="12"/>
  <c r="F45" i="12"/>
  <c r="D45" i="12"/>
  <c r="C45" i="12"/>
  <c r="S35" i="12"/>
  <c r="Q35" i="12"/>
  <c r="N35" i="12"/>
  <c r="M35" i="12"/>
  <c r="K35" i="12"/>
  <c r="J35" i="12"/>
  <c r="Q29" i="12"/>
  <c r="N29" i="12"/>
  <c r="K29" i="12"/>
  <c r="H29" i="12"/>
  <c r="Q25" i="12"/>
  <c r="S24" i="12"/>
  <c r="S27" i="12" s="1"/>
  <c r="M24" i="12"/>
  <c r="R22" i="12"/>
  <c r="R26" i="12" s="1"/>
  <c r="P22" i="12"/>
  <c r="O22" i="12"/>
  <c r="L22" i="12"/>
  <c r="J22" i="12"/>
  <c r="I22" i="12"/>
  <c r="F22" i="12"/>
  <c r="D22" i="12"/>
  <c r="C22" i="12"/>
  <c r="R14" i="12"/>
  <c r="P14" i="12"/>
  <c r="O14" i="12"/>
  <c r="L14" i="12"/>
  <c r="J14" i="12"/>
  <c r="I14" i="12"/>
  <c r="F14" i="12"/>
  <c r="D14" i="12"/>
  <c r="C14" i="12"/>
  <c r="K7" i="12"/>
  <c r="K25" i="12" s="1"/>
  <c r="E7" i="12"/>
  <c r="E25" i="12" s="1"/>
  <c r="B7" i="12"/>
  <c r="B25" i="12" s="1"/>
  <c r="S4" i="12"/>
  <c r="AI146" i="11"/>
  <c r="AG138" i="11"/>
  <c r="AG139" i="11"/>
  <c r="AE138" i="11"/>
  <c r="AE139" i="11"/>
  <c r="AO108" i="11"/>
  <c r="AO109" i="11"/>
  <c r="AO110" i="11"/>
  <c r="AO117" i="11"/>
  <c r="AM108" i="11"/>
  <c r="AM109" i="11"/>
  <c r="AI108" i="11"/>
  <c r="AI109" i="11"/>
  <c r="AI110" i="11"/>
  <c r="AG108" i="11"/>
  <c r="AG109" i="11"/>
  <c r="AG110" i="11"/>
  <c r="AN110" i="12" l="1"/>
  <c r="E120" i="12"/>
  <c r="G120" i="12"/>
  <c r="O154" i="12"/>
  <c r="G132" i="12"/>
  <c r="AM130" i="12"/>
  <c r="M164" i="12"/>
  <c r="O172" i="12"/>
  <c r="M172" i="12"/>
  <c r="N41" i="12" s="1"/>
  <c r="M171" i="12"/>
  <c r="N40" i="12" s="1"/>
  <c r="E171" i="12"/>
  <c r="B40" i="12" s="1"/>
  <c r="J171" i="12"/>
  <c r="K171" i="12" s="1"/>
  <c r="E164" i="12"/>
  <c r="B9" i="12" s="1"/>
  <c r="C55" i="12"/>
  <c r="C58" i="12" s="1"/>
  <c r="Q58" i="12"/>
  <c r="M97" i="12"/>
  <c r="P55" i="12"/>
  <c r="P58" i="12" s="1"/>
  <c r="I127" i="12"/>
  <c r="K127" i="12"/>
  <c r="O137" i="12"/>
  <c r="O104" i="12"/>
  <c r="C24" i="12"/>
  <c r="C27" i="12" s="1"/>
  <c r="R24" i="12"/>
  <c r="R27" i="12" s="1"/>
  <c r="I55" i="12"/>
  <c r="I58" i="12" s="1"/>
  <c r="D24" i="12"/>
  <c r="D27" i="12" s="1"/>
  <c r="E129" i="12"/>
  <c r="I165" i="12"/>
  <c r="F24" i="12"/>
  <c r="F27" i="12" s="1"/>
  <c r="M100" i="12"/>
  <c r="AN100" i="12" s="1"/>
  <c r="L109" i="12"/>
  <c r="M109" i="12" s="1"/>
  <c r="AN109" i="12" s="1"/>
  <c r="G129" i="12"/>
  <c r="K132" i="12"/>
  <c r="I24" i="12"/>
  <c r="I27" i="12" s="1"/>
  <c r="L55" i="12"/>
  <c r="L58" i="12" s="1"/>
  <c r="I97" i="12"/>
  <c r="C211" i="12"/>
  <c r="I132" i="12"/>
  <c r="O55" i="12"/>
  <c r="O58" i="12" s="1"/>
  <c r="K97" i="12"/>
  <c r="AL97" i="12" s="1"/>
  <c r="AL120" i="12" s="1"/>
  <c r="G104" i="12"/>
  <c r="K129" i="12"/>
  <c r="G24" i="12"/>
  <c r="G27" i="12" s="1"/>
  <c r="M129" i="12"/>
  <c r="K58" i="12"/>
  <c r="O97" i="12"/>
  <c r="N7" i="12" s="1"/>
  <c r="N25" i="12" s="1"/>
  <c r="G102" i="12"/>
  <c r="I108" i="12"/>
  <c r="E128" i="12"/>
  <c r="I129" i="12"/>
  <c r="E100" i="12"/>
  <c r="I110" i="12"/>
  <c r="I128" i="12"/>
  <c r="S55" i="12"/>
  <c r="S58" i="12" s="1"/>
  <c r="L24" i="12"/>
  <c r="L27" i="12" s="1"/>
  <c r="R55" i="12"/>
  <c r="R58" i="12" s="1"/>
  <c r="G100" i="12"/>
  <c r="I104" i="12"/>
  <c r="K128" i="12"/>
  <c r="O153" i="12"/>
  <c r="F55" i="12"/>
  <c r="F58" i="12" s="1"/>
  <c r="E97" i="12"/>
  <c r="I100" i="12"/>
  <c r="K104" i="12"/>
  <c r="M128" i="12"/>
  <c r="F212" i="12"/>
  <c r="G97" i="12"/>
  <c r="K100" i="12"/>
  <c r="M104" i="12"/>
  <c r="I164" i="12"/>
  <c r="G171" i="12"/>
  <c r="E40" i="12" s="1"/>
  <c r="O171" i="12"/>
  <c r="G166" i="12"/>
  <c r="I171" i="12"/>
  <c r="H40" i="12" s="1"/>
  <c r="M27" i="12"/>
  <c r="E172" i="12"/>
  <c r="B41" i="12" s="1"/>
  <c r="O166" i="12"/>
  <c r="I172" i="12"/>
  <c r="H41" i="12" s="1"/>
  <c r="B64" i="12"/>
  <c r="D91" i="12"/>
  <c r="D55" i="12"/>
  <c r="D58" i="12" s="1"/>
  <c r="P24" i="12"/>
  <c r="P27" i="12" s="1"/>
  <c r="J24" i="12"/>
  <c r="J27" i="12" s="1"/>
  <c r="I111" i="12"/>
  <c r="B243" i="12"/>
  <c r="O107" i="12"/>
  <c r="K107" i="12"/>
  <c r="I107" i="12"/>
  <c r="G107" i="12"/>
  <c r="M107" i="12"/>
  <c r="G55" i="12"/>
  <c r="G58" i="12" s="1"/>
  <c r="AP109" i="12"/>
  <c r="C239" i="12"/>
  <c r="G239" i="12" s="1"/>
  <c r="D180" i="12" s="1"/>
  <c r="O24" i="12"/>
  <c r="O27" i="12" s="1"/>
  <c r="J55" i="12"/>
  <c r="J58" i="12" s="1"/>
  <c r="K99" i="12"/>
  <c r="G99" i="12"/>
  <c r="E99" i="12"/>
  <c r="O99" i="12"/>
  <c r="M99" i="12"/>
  <c r="I99" i="12"/>
  <c r="O120" i="12"/>
  <c r="O111" i="12"/>
  <c r="AP111" i="12" s="1"/>
  <c r="E111" i="12"/>
  <c r="E121" i="12" s="1"/>
  <c r="M111" i="12"/>
  <c r="AN111" i="12" s="1"/>
  <c r="K111" i="12"/>
  <c r="G111" i="12"/>
  <c r="G121" i="12" s="1"/>
  <c r="AM110" i="12"/>
  <c r="O136" i="12"/>
  <c r="K136" i="12"/>
  <c r="I136" i="12"/>
  <c r="G136" i="12"/>
  <c r="M136" i="12"/>
  <c r="M58" i="12"/>
  <c r="O98" i="12"/>
  <c r="M98" i="12"/>
  <c r="K98" i="12"/>
  <c r="I98" i="12"/>
  <c r="E134" i="12"/>
  <c r="O134" i="12"/>
  <c r="M134" i="12"/>
  <c r="K134" i="12"/>
  <c r="E98" i="12"/>
  <c r="M138" i="12"/>
  <c r="M153" i="12" s="1"/>
  <c r="K138" i="12"/>
  <c r="K153" i="12" s="1"/>
  <c r="I138" i="12"/>
  <c r="G98" i="12"/>
  <c r="G134" i="12"/>
  <c r="B39" i="12"/>
  <c r="E102" i="12"/>
  <c r="O102" i="12"/>
  <c r="AM100" i="12"/>
  <c r="M102" i="12"/>
  <c r="M106" i="12"/>
  <c r="I106" i="12"/>
  <c r="G106" i="12"/>
  <c r="E106" i="12"/>
  <c r="I134" i="12"/>
  <c r="K137" i="12"/>
  <c r="G137" i="12"/>
  <c r="E137" i="12"/>
  <c r="I102" i="12"/>
  <c r="O106" i="12"/>
  <c r="M112" i="12"/>
  <c r="AN112" i="12" s="1"/>
  <c r="K112" i="12"/>
  <c r="AM111" i="12"/>
  <c r="I112" i="12"/>
  <c r="E127" i="12"/>
  <c r="O127" i="12"/>
  <c r="M127" i="12"/>
  <c r="E132" i="12"/>
  <c r="O132" i="12"/>
  <c r="M132" i="12"/>
  <c r="I137" i="12"/>
  <c r="G138" i="12"/>
  <c r="G153" i="12" s="1"/>
  <c r="G172" i="12"/>
  <c r="E41" i="12" s="1"/>
  <c r="J172" i="12"/>
  <c r="K172" i="12" s="1"/>
  <c r="O113" i="12"/>
  <c r="AP113" i="12" s="1"/>
  <c r="O128" i="12"/>
  <c r="O129" i="12"/>
  <c r="G141" i="12"/>
  <c r="K143" i="12"/>
  <c r="I141" i="12"/>
  <c r="M143" i="12"/>
  <c r="M154" i="12" s="1"/>
  <c r="K141" i="12"/>
  <c r="B162" i="11"/>
  <c r="H162" i="11"/>
  <c r="F162" i="11"/>
  <c r="D162" i="11"/>
  <c r="K154" i="12" l="1"/>
  <c r="E87" i="12"/>
  <c r="F194" i="12"/>
  <c r="K121" i="12"/>
  <c r="E152" i="12"/>
  <c r="G154" i="12"/>
  <c r="M152" i="12"/>
  <c r="K119" i="12"/>
  <c r="M121" i="12"/>
  <c r="I121" i="12"/>
  <c r="I120" i="12"/>
  <c r="I119" i="12"/>
  <c r="M119" i="12"/>
  <c r="G119" i="12"/>
  <c r="E119" i="12"/>
  <c r="B6" i="12" s="1"/>
  <c r="G152" i="12"/>
  <c r="I154" i="12"/>
  <c r="N39" i="12"/>
  <c r="I152" i="12"/>
  <c r="N9" i="12"/>
  <c r="M166" i="12"/>
  <c r="H7" i="12"/>
  <c r="H25" i="12" s="1"/>
  <c r="M173" i="12"/>
  <c r="O173" i="12"/>
  <c r="N6" i="12"/>
  <c r="I166" i="12"/>
  <c r="E166" i="12"/>
  <c r="B8" i="12"/>
  <c r="K164" i="12"/>
  <c r="K9" i="12" s="1"/>
  <c r="H9" i="12"/>
  <c r="K152" i="12"/>
  <c r="K6" i="12"/>
  <c r="O119" i="12"/>
  <c r="K8" i="12"/>
  <c r="K173" i="12"/>
  <c r="H186" i="12"/>
  <c r="E91" i="12"/>
  <c r="I173" i="12"/>
  <c r="E173" i="12"/>
  <c r="G173" i="12"/>
  <c r="C91" i="12"/>
  <c r="D243" i="12"/>
  <c r="E243" i="12" s="1"/>
  <c r="D244" i="12"/>
  <c r="E244" i="12" s="1"/>
  <c r="C202" i="12"/>
  <c r="H183" i="12"/>
  <c r="H180" i="12"/>
  <c r="D245" i="12"/>
  <c r="E245" i="12" s="1"/>
  <c r="E79" i="12"/>
  <c r="E81" i="12"/>
  <c r="E86" i="12"/>
  <c r="E80" i="12"/>
  <c r="E89" i="12"/>
  <c r="E84" i="12"/>
  <c r="E88" i="12"/>
  <c r="E82" i="12"/>
  <c r="E85" i="12"/>
  <c r="E83" i="12"/>
  <c r="E90" i="12"/>
  <c r="K165" i="12"/>
  <c r="H10" i="12"/>
  <c r="O152" i="12"/>
  <c r="O155" i="12" s="1"/>
  <c r="O121" i="12"/>
  <c r="Q8" i="12" s="1"/>
  <c r="E8" i="12"/>
  <c r="AN120" i="12"/>
  <c r="M120" i="12"/>
  <c r="AP98" i="12"/>
  <c r="AP120" i="12" s="1"/>
  <c r="Q6" i="12"/>
  <c r="I153" i="12"/>
  <c r="E162" i="11"/>
  <c r="E211" i="12" l="1"/>
  <c r="B211" i="12"/>
  <c r="E212" i="12"/>
  <c r="G212" i="12" s="1"/>
  <c r="B212" i="12"/>
  <c r="D212" i="12" s="1"/>
  <c r="B205" i="12"/>
  <c r="B206" i="12"/>
  <c r="C204" i="12"/>
  <c r="C205" i="12" s="1"/>
  <c r="B216" i="12" s="1"/>
  <c r="H216" i="12" s="1"/>
  <c r="Q12" i="12"/>
  <c r="N43" i="12"/>
  <c r="Q21" i="12"/>
  <c r="N52" i="12"/>
  <c r="E51" i="12"/>
  <c r="N51" i="12"/>
  <c r="E42" i="12"/>
  <c r="N42" i="12"/>
  <c r="Q13" i="12"/>
  <c r="N44" i="12"/>
  <c r="H50" i="12"/>
  <c r="N50" i="12"/>
  <c r="M155" i="12"/>
  <c r="N37" i="12"/>
  <c r="K155" i="12"/>
  <c r="H13" i="12"/>
  <c r="B13" i="12"/>
  <c r="E39" i="12"/>
  <c r="K122" i="12"/>
  <c r="H39" i="12"/>
  <c r="O122" i="12"/>
  <c r="M122" i="12"/>
  <c r="E122" i="12"/>
  <c r="E44" i="12"/>
  <c r="K13" i="12"/>
  <c r="B44" i="12"/>
  <c r="H44" i="12"/>
  <c r="E13" i="12"/>
  <c r="N13" i="12"/>
  <c r="K12" i="12"/>
  <c r="B43" i="12"/>
  <c r="N19" i="12"/>
  <c r="H11" i="12"/>
  <c r="K19" i="12"/>
  <c r="B19" i="12"/>
  <c r="H12" i="12"/>
  <c r="E19" i="12"/>
  <c r="B12" i="12"/>
  <c r="Q20" i="12"/>
  <c r="B20" i="12"/>
  <c r="E20" i="12"/>
  <c r="H19" i="12"/>
  <c r="E43" i="12"/>
  <c r="B21" i="12"/>
  <c r="E50" i="12"/>
  <c r="Q19" i="12"/>
  <c r="B50" i="12"/>
  <c r="E12" i="12"/>
  <c r="H43" i="12"/>
  <c r="N21" i="12"/>
  <c r="N12" i="12"/>
  <c r="H51" i="12"/>
  <c r="H20" i="12"/>
  <c r="K20" i="12"/>
  <c r="B51" i="12"/>
  <c r="E246" i="12"/>
  <c r="H21" i="12"/>
  <c r="E21" i="12"/>
  <c r="N20" i="12"/>
  <c r="K21" i="12"/>
  <c r="B52" i="12"/>
  <c r="E52" i="12"/>
  <c r="H52" i="12"/>
  <c r="H42" i="12"/>
  <c r="K11" i="12"/>
  <c r="N11" i="12"/>
  <c r="Q11" i="12"/>
  <c r="B11" i="12"/>
  <c r="E11" i="12"/>
  <c r="B42" i="12"/>
  <c r="I155" i="12"/>
  <c r="H37" i="12"/>
  <c r="K166" i="12"/>
  <c r="K10" i="12"/>
  <c r="G122" i="12"/>
  <c r="E6" i="12"/>
  <c r="G155" i="12"/>
  <c r="E37" i="12"/>
  <c r="E155" i="12"/>
  <c r="B37" i="12"/>
  <c r="I122" i="12"/>
  <c r="H6" i="12"/>
  <c r="N8" i="12"/>
  <c r="B232" i="12"/>
  <c r="H8" i="12"/>
  <c r="L162" i="11"/>
  <c r="N161" i="11"/>
  <c r="D169" i="11"/>
  <c r="AF175" i="11" s="1"/>
  <c r="D168" i="11"/>
  <c r="AF174" i="11" s="1"/>
  <c r="F169" i="11"/>
  <c r="F168" i="11"/>
  <c r="H169" i="11"/>
  <c r="H168" i="11"/>
  <c r="H161" i="11"/>
  <c r="L161" i="11" s="1"/>
  <c r="F161" i="11"/>
  <c r="N162" i="11"/>
  <c r="AF168" i="11"/>
  <c r="AJ192" i="11"/>
  <c r="AI191" i="11" s="1"/>
  <c r="B214" i="12" l="1"/>
  <c r="C214" i="12" s="1"/>
  <c r="H214" i="12"/>
  <c r="I214" i="12" s="1"/>
  <c r="G211" i="12"/>
  <c r="G213" i="12" s="1"/>
  <c r="G215" i="12" s="1"/>
  <c r="E213" i="12"/>
  <c r="Q14" i="12"/>
  <c r="B207" i="12"/>
  <c r="J214" i="12" s="1"/>
  <c r="D214" i="12"/>
  <c r="B213" i="12"/>
  <c r="D211" i="12"/>
  <c r="D213" i="12" s="1"/>
  <c r="N45" i="12"/>
  <c r="E45" i="12"/>
  <c r="B14" i="12"/>
  <c r="H14" i="12"/>
  <c r="H45" i="12"/>
  <c r="D72" i="12"/>
  <c r="B72" i="12" s="1"/>
  <c r="N14" i="12"/>
  <c r="E14" i="12"/>
  <c r="B45" i="12"/>
  <c r="H232" i="12"/>
  <c r="K14" i="12"/>
  <c r="AI190" i="11"/>
  <c r="C213" i="12" l="1"/>
  <c r="D215" i="12"/>
  <c r="J213" i="12"/>
  <c r="B215" i="12"/>
  <c r="B217" i="12" s="1"/>
  <c r="H213" i="12"/>
  <c r="H215" i="12" s="1"/>
  <c r="H217" i="12" s="1"/>
  <c r="E215" i="12"/>
  <c r="F213" i="12"/>
  <c r="H231" i="12"/>
  <c r="H227" i="12"/>
  <c r="H223" i="12"/>
  <c r="H229" i="12"/>
  <c r="H221" i="12"/>
  <c r="H226" i="12"/>
  <c r="H228" i="12"/>
  <c r="H220" i="12"/>
  <c r="H225" i="12"/>
  <c r="H230" i="12"/>
  <c r="H222" i="12"/>
  <c r="H224" i="12"/>
  <c r="C68" i="12"/>
  <c r="H35" i="10"/>
  <c r="E35" i="10"/>
  <c r="B35" i="10"/>
  <c r="B224" i="12" l="1"/>
  <c r="B230" i="12"/>
  <c r="B229" i="12"/>
  <c r="B226" i="12"/>
  <c r="B227" i="12"/>
  <c r="B220" i="12"/>
  <c r="B221" i="12"/>
  <c r="B222" i="12"/>
  <c r="B225" i="12"/>
  <c r="B223" i="12"/>
  <c r="B228" i="12"/>
  <c r="B231" i="12"/>
  <c r="I213" i="12"/>
  <c r="J215" i="12"/>
  <c r="I215" i="12" s="1"/>
  <c r="F215" i="12"/>
  <c r="G216" i="12" s="1"/>
  <c r="G232" i="12" s="1"/>
  <c r="E217" i="12"/>
  <c r="C215" i="12"/>
  <c r="C69" i="12"/>
  <c r="C71" i="12" s="1"/>
  <c r="C73" i="12" s="1"/>
  <c r="H233" i="12"/>
  <c r="B101" i="11"/>
  <c r="E222" i="12" l="1"/>
  <c r="E231" i="12"/>
  <c r="E225" i="12"/>
  <c r="G217" i="12"/>
  <c r="E224" i="12"/>
  <c r="E223" i="12"/>
  <c r="E227" i="12"/>
  <c r="E230" i="12"/>
  <c r="E229" i="12"/>
  <c r="E228" i="12"/>
  <c r="E226" i="12"/>
  <c r="E221" i="12"/>
  <c r="E220" i="12"/>
  <c r="C207" i="12"/>
  <c r="J217" i="12"/>
  <c r="J216" i="12"/>
  <c r="J232" i="12" s="1"/>
  <c r="B233" i="12"/>
  <c r="C206" i="12"/>
  <c r="D216" i="12"/>
  <c r="D232" i="12" s="1"/>
  <c r="D217" i="12"/>
  <c r="H111" i="11"/>
  <c r="L111" i="11" s="1"/>
  <c r="H110" i="11"/>
  <c r="L110" i="11" s="1"/>
  <c r="H109" i="11"/>
  <c r="L109" i="11" s="1"/>
  <c r="H108" i="11"/>
  <c r="L108" i="11" s="1"/>
  <c r="H100" i="11"/>
  <c r="L101" i="11" s="1"/>
  <c r="N111" i="11"/>
  <c r="N110" i="11"/>
  <c r="N109" i="11"/>
  <c r="N117" i="11"/>
  <c r="N108" i="11"/>
  <c r="N99" i="11"/>
  <c r="O101" i="11"/>
  <c r="H29" i="11"/>
  <c r="N29" i="11"/>
  <c r="Q29" i="11"/>
  <c r="H47" i="12" l="1"/>
  <c r="D225" i="12"/>
  <c r="B16" i="12"/>
  <c r="D228" i="12"/>
  <c r="D229" i="12"/>
  <c r="D226" i="12"/>
  <c r="D227" i="12"/>
  <c r="B47" i="12"/>
  <c r="E16" i="12"/>
  <c r="D220" i="12"/>
  <c r="D224" i="12"/>
  <c r="N47" i="12"/>
  <c r="N53" i="12" s="1"/>
  <c r="N55" i="12" s="1"/>
  <c r="N58" i="12" s="1"/>
  <c r="D230" i="12"/>
  <c r="D222" i="12"/>
  <c r="E47" i="12"/>
  <c r="D221" i="12"/>
  <c r="N16" i="12"/>
  <c r="D231" i="12"/>
  <c r="K16" i="12"/>
  <c r="D223" i="12"/>
  <c r="Q16" i="12"/>
  <c r="H16" i="12"/>
  <c r="N48" i="12"/>
  <c r="G225" i="12"/>
  <c r="G222" i="12"/>
  <c r="G228" i="12"/>
  <c r="E48" i="12"/>
  <c r="G224" i="12"/>
  <c r="G221" i="12"/>
  <c r="G231" i="12"/>
  <c r="G220" i="12"/>
  <c r="K17" i="12"/>
  <c r="H17" i="12"/>
  <c r="G230" i="12"/>
  <c r="G227" i="12"/>
  <c r="H48" i="12"/>
  <c r="B48" i="12"/>
  <c r="E17" i="12"/>
  <c r="G229" i="12"/>
  <c r="G226" i="12"/>
  <c r="G223" i="12"/>
  <c r="N17" i="12"/>
  <c r="B17" i="12"/>
  <c r="Q17" i="12"/>
  <c r="N49" i="12"/>
  <c r="J231" i="12"/>
  <c r="J224" i="12"/>
  <c r="B49" i="12"/>
  <c r="E49" i="12"/>
  <c r="H18" i="12"/>
  <c r="J230" i="12"/>
  <c r="J227" i="12"/>
  <c r="J220" i="12"/>
  <c r="N18" i="12"/>
  <c r="Q18" i="12"/>
  <c r="E18" i="12"/>
  <c r="J226" i="12"/>
  <c r="J223" i="12"/>
  <c r="H49" i="12"/>
  <c r="K18" i="12"/>
  <c r="B18" i="12"/>
  <c r="J222" i="12"/>
  <c r="J228" i="12"/>
  <c r="J225" i="12"/>
  <c r="J229" i="12"/>
  <c r="J221" i="12"/>
  <c r="E233" i="12"/>
  <c r="K101" i="11"/>
  <c r="E101" i="11"/>
  <c r="M101" i="11"/>
  <c r="I101" i="11"/>
  <c r="G101" i="11"/>
  <c r="AJ253" i="11"/>
  <c r="AI252" i="11" s="1"/>
  <c r="C242" i="11"/>
  <c r="B242" i="11" s="1"/>
  <c r="C241" i="11"/>
  <c r="B241" i="11" s="1"/>
  <c r="AJ240" i="11"/>
  <c r="AI239" i="11" s="1"/>
  <c r="C240" i="11"/>
  <c r="AC19" i="11" s="1"/>
  <c r="E229" i="11"/>
  <c r="AJ215" i="11"/>
  <c r="AI214" i="11" s="1"/>
  <c r="F211" i="11"/>
  <c r="E209" i="11"/>
  <c r="B209" i="11"/>
  <c r="E208" i="11"/>
  <c r="B208" i="11"/>
  <c r="H206" i="11"/>
  <c r="AJ202" i="11"/>
  <c r="AI201" i="11" s="1"/>
  <c r="B201" i="11"/>
  <c r="AJ198" i="11"/>
  <c r="AI197" i="11" s="1"/>
  <c r="C192" i="11"/>
  <c r="F209" i="11" s="1"/>
  <c r="B192" i="11"/>
  <c r="AJ187" i="11"/>
  <c r="AI182" i="11" s="1"/>
  <c r="C183" i="11"/>
  <c r="C180" i="11"/>
  <c r="C177" i="11"/>
  <c r="J169" i="11"/>
  <c r="J162" i="11"/>
  <c r="G162" i="11"/>
  <c r="E10" i="11" s="1"/>
  <c r="B169" i="11"/>
  <c r="D161" i="11"/>
  <c r="AF167" i="11" s="1"/>
  <c r="B161" i="11"/>
  <c r="B168" i="11" s="1"/>
  <c r="I168" i="11" s="1"/>
  <c r="O146" i="11"/>
  <c r="M146" i="11"/>
  <c r="K146" i="11"/>
  <c r="H146" i="11"/>
  <c r="I146" i="11" s="1"/>
  <c r="AJ146" i="11" s="1"/>
  <c r="G146" i="11"/>
  <c r="E146" i="11"/>
  <c r="B145" i="11"/>
  <c r="O144" i="11"/>
  <c r="M144" i="11"/>
  <c r="K144" i="11"/>
  <c r="I144" i="11"/>
  <c r="AJ144" i="11" s="1"/>
  <c r="G144" i="11"/>
  <c r="AH144" i="11" s="1"/>
  <c r="E144" i="11"/>
  <c r="AF144" i="11" s="1"/>
  <c r="B143" i="11"/>
  <c r="M143" i="11" s="1"/>
  <c r="B142" i="11"/>
  <c r="K142" i="11" s="1"/>
  <c r="B141" i="11"/>
  <c r="M141" i="11" s="1"/>
  <c r="F140" i="11"/>
  <c r="D140" i="11"/>
  <c r="B140" i="11"/>
  <c r="O139" i="11"/>
  <c r="M139" i="11"/>
  <c r="K139" i="11"/>
  <c r="I139" i="11"/>
  <c r="AJ139" i="11" s="1"/>
  <c r="F139" i="11"/>
  <c r="G139" i="11" s="1"/>
  <c r="AH139" i="11" s="1"/>
  <c r="D139" i="11"/>
  <c r="E139" i="11" s="1"/>
  <c r="AF139" i="11" s="1"/>
  <c r="O138" i="11"/>
  <c r="M138" i="11"/>
  <c r="K138" i="11"/>
  <c r="I138" i="11"/>
  <c r="AJ138" i="11" s="1"/>
  <c r="F138" i="11"/>
  <c r="G138" i="11" s="1"/>
  <c r="AH138" i="11" s="1"/>
  <c r="D138" i="11"/>
  <c r="E138" i="11" s="1"/>
  <c r="AF138" i="11" s="1"/>
  <c r="O137" i="11"/>
  <c r="M137" i="11"/>
  <c r="K137" i="11"/>
  <c r="I137" i="11"/>
  <c r="AJ137" i="11" s="1"/>
  <c r="G137" i="11"/>
  <c r="AH137" i="11" s="1"/>
  <c r="E137" i="11"/>
  <c r="AF137" i="11" s="1"/>
  <c r="F136" i="11"/>
  <c r="D136" i="11"/>
  <c r="B136" i="11"/>
  <c r="D135" i="11"/>
  <c r="B38" i="11" s="1"/>
  <c r="B56" i="11" s="1"/>
  <c r="B135" i="11"/>
  <c r="AE135" i="11" s="1"/>
  <c r="B134" i="11"/>
  <c r="K134" i="11" s="1"/>
  <c r="F133" i="11"/>
  <c r="E38" i="11" s="1"/>
  <c r="E56" i="11" s="1"/>
  <c r="B133" i="11"/>
  <c r="O132" i="11"/>
  <c r="M132" i="11"/>
  <c r="K132" i="11"/>
  <c r="I132" i="11"/>
  <c r="AJ132" i="11" s="1"/>
  <c r="G132" i="11"/>
  <c r="E132" i="11"/>
  <c r="B131" i="11"/>
  <c r="M131" i="11" s="1"/>
  <c r="H130" i="11"/>
  <c r="H38" i="11" s="1"/>
  <c r="H56" i="11" s="1"/>
  <c r="B130" i="11"/>
  <c r="AI130" i="11" s="1"/>
  <c r="B129" i="11"/>
  <c r="E129" i="11" s="1"/>
  <c r="B128" i="11"/>
  <c r="J118" i="11"/>
  <c r="O117" i="11"/>
  <c r="AP117" i="11" s="1"/>
  <c r="M117" i="11"/>
  <c r="AN117" i="11" s="1"/>
  <c r="K117" i="11"/>
  <c r="I117" i="11"/>
  <c r="G117" i="11"/>
  <c r="E117" i="11"/>
  <c r="B116" i="11"/>
  <c r="O115" i="11"/>
  <c r="AP115" i="11" s="1"/>
  <c r="M115" i="11"/>
  <c r="AN115" i="11" s="1"/>
  <c r="K115" i="11"/>
  <c r="AL115" i="11" s="1"/>
  <c r="I115" i="11"/>
  <c r="G115" i="11"/>
  <c r="E115" i="11"/>
  <c r="B114" i="11"/>
  <c r="E114" i="11" s="1"/>
  <c r="AF114" i="11" s="1"/>
  <c r="B113" i="11"/>
  <c r="K113" i="11" s="1"/>
  <c r="B112" i="11"/>
  <c r="B111" i="11"/>
  <c r="O110" i="11"/>
  <c r="AP110" i="11" s="1"/>
  <c r="M110" i="11"/>
  <c r="AN110" i="11" s="1"/>
  <c r="K110" i="11"/>
  <c r="I110" i="11"/>
  <c r="AJ110" i="11" s="1"/>
  <c r="G110" i="11"/>
  <c r="AH110" i="11" s="1"/>
  <c r="E110" i="11"/>
  <c r="AE109" i="11"/>
  <c r="O109" i="11"/>
  <c r="AP109" i="11" s="1"/>
  <c r="M109" i="11"/>
  <c r="AN109" i="11" s="1"/>
  <c r="K109" i="11"/>
  <c r="I109" i="11"/>
  <c r="AJ109" i="11" s="1"/>
  <c r="G109" i="11"/>
  <c r="AH109" i="11" s="1"/>
  <c r="E109" i="11"/>
  <c r="AF109" i="11" s="1"/>
  <c r="AE108" i="11"/>
  <c r="O108" i="11"/>
  <c r="AP108" i="11" s="1"/>
  <c r="M108" i="11"/>
  <c r="AN108" i="11" s="1"/>
  <c r="K108" i="11"/>
  <c r="I108" i="11"/>
  <c r="AJ108" i="11" s="1"/>
  <c r="G108" i="11"/>
  <c r="AH108" i="11" s="1"/>
  <c r="E108" i="11"/>
  <c r="AF108" i="11" s="1"/>
  <c r="B107" i="11"/>
  <c r="B106" i="11"/>
  <c r="E106" i="11" s="1"/>
  <c r="B105" i="11"/>
  <c r="B104" i="11"/>
  <c r="K104" i="11" s="1"/>
  <c r="O103" i="11"/>
  <c r="M103" i="11"/>
  <c r="K103" i="11"/>
  <c r="I103" i="11"/>
  <c r="G103" i="11"/>
  <c r="E103" i="11"/>
  <c r="B102" i="11"/>
  <c r="AM101" i="11" s="1"/>
  <c r="B100" i="11"/>
  <c r="B99" i="11"/>
  <c r="B98" i="11"/>
  <c r="B91" i="11"/>
  <c r="C236" i="11" s="1"/>
  <c r="G236" i="11" s="1"/>
  <c r="D177" i="11" s="1"/>
  <c r="C90" i="11"/>
  <c r="D90" i="11" s="1"/>
  <c r="C89" i="11"/>
  <c r="D89" i="11" s="1"/>
  <c r="C88" i="11"/>
  <c r="D88" i="11" s="1"/>
  <c r="C87" i="11"/>
  <c r="D87" i="11" s="1"/>
  <c r="C86" i="11"/>
  <c r="D86" i="11" s="1"/>
  <c r="C85" i="11"/>
  <c r="D85" i="11" s="1"/>
  <c r="C84" i="11"/>
  <c r="D84" i="11" s="1"/>
  <c r="C83" i="11"/>
  <c r="D83" i="11" s="1"/>
  <c r="C82" i="11"/>
  <c r="D82" i="11" s="1"/>
  <c r="C81" i="11"/>
  <c r="D81" i="11" s="1"/>
  <c r="C80" i="11"/>
  <c r="D80" i="11" s="1"/>
  <c r="D79" i="11"/>
  <c r="X75" i="11"/>
  <c r="W74" i="11"/>
  <c r="W76" i="11" s="1"/>
  <c r="V74" i="11"/>
  <c r="V76" i="11" s="1"/>
  <c r="AE72" i="11"/>
  <c r="B70" i="11"/>
  <c r="AE71" i="11"/>
  <c r="AE70" i="11"/>
  <c r="AE69" i="11"/>
  <c r="AE68" i="11"/>
  <c r="AE67" i="11"/>
  <c r="AE66" i="11"/>
  <c r="D64" i="11"/>
  <c r="C64" i="11"/>
  <c r="K60" i="11"/>
  <c r="E60" i="11"/>
  <c r="B60" i="11"/>
  <c r="Q57" i="11"/>
  <c r="N57" i="11"/>
  <c r="M57" i="11"/>
  <c r="K57" i="11"/>
  <c r="Q56" i="11"/>
  <c r="N56" i="11"/>
  <c r="K56" i="11"/>
  <c r="C56" i="11"/>
  <c r="Q55" i="11"/>
  <c r="N55" i="11"/>
  <c r="N58" i="11" s="1"/>
  <c r="M55" i="11"/>
  <c r="K55" i="11"/>
  <c r="S53" i="11"/>
  <c r="S57" i="11" s="1"/>
  <c r="R53" i="11"/>
  <c r="P53" i="11"/>
  <c r="P57" i="11" s="1"/>
  <c r="O53" i="11"/>
  <c r="L53" i="11"/>
  <c r="L57" i="11" s="1"/>
  <c r="J53" i="11"/>
  <c r="I53" i="11"/>
  <c r="I57" i="11" s="1"/>
  <c r="G53" i="11"/>
  <c r="G57" i="11" s="1"/>
  <c r="F53" i="11"/>
  <c r="F57" i="11" s="1"/>
  <c r="D53" i="11"/>
  <c r="D57" i="11" s="1"/>
  <c r="C53" i="11"/>
  <c r="S45" i="11"/>
  <c r="R45" i="11"/>
  <c r="P45" i="11"/>
  <c r="O45" i="11"/>
  <c r="L45" i="11"/>
  <c r="J45" i="11"/>
  <c r="I45" i="11"/>
  <c r="G45" i="11"/>
  <c r="F45" i="11"/>
  <c r="D45" i="11"/>
  <c r="C45" i="11"/>
  <c r="S35" i="11"/>
  <c r="Q35" i="11"/>
  <c r="P35" i="11"/>
  <c r="N35" i="11"/>
  <c r="M35" i="11"/>
  <c r="K35" i="11"/>
  <c r="J35" i="11"/>
  <c r="G35" i="11"/>
  <c r="D35" i="11"/>
  <c r="K29" i="11"/>
  <c r="S26" i="11"/>
  <c r="M26" i="11"/>
  <c r="G26" i="11"/>
  <c r="Q25" i="11"/>
  <c r="S24" i="11"/>
  <c r="M24" i="11"/>
  <c r="G24" i="11"/>
  <c r="R22" i="11"/>
  <c r="R26" i="11" s="1"/>
  <c r="P22" i="11"/>
  <c r="P26" i="11" s="1"/>
  <c r="O22" i="11"/>
  <c r="O26" i="11" s="1"/>
  <c r="L22" i="11"/>
  <c r="L26" i="11" s="1"/>
  <c r="J22" i="11"/>
  <c r="J26" i="11" s="1"/>
  <c r="I22" i="11"/>
  <c r="F22" i="11"/>
  <c r="F26" i="11" s="1"/>
  <c r="D22" i="11"/>
  <c r="C22" i="11"/>
  <c r="R14" i="11"/>
  <c r="P14" i="11"/>
  <c r="O14" i="11"/>
  <c r="L14" i="11"/>
  <c r="J14" i="11"/>
  <c r="I14" i="11"/>
  <c r="F14" i="11"/>
  <c r="D14" i="11"/>
  <c r="C14" i="11"/>
  <c r="AC13" i="11"/>
  <c r="AC12" i="11"/>
  <c r="AC11" i="11"/>
  <c r="K7" i="11"/>
  <c r="K25" i="11" s="1"/>
  <c r="E7" i="11"/>
  <c r="E25" i="11" s="1"/>
  <c r="B7" i="11"/>
  <c r="B25" i="11" s="1"/>
  <c r="I5" i="11"/>
  <c r="S4" i="11"/>
  <c r="P4" i="11"/>
  <c r="M4" i="11"/>
  <c r="J4" i="11"/>
  <c r="I4" i="11"/>
  <c r="G4" i="11"/>
  <c r="G233" i="12" l="1"/>
  <c r="K22" i="12"/>
  <c r="K24" i="12" s="1"/>
  <c r="K27" i="12" s="1"/>
  <c r="B22" i="12"/>
  <c r="B24" i="12" s="1"/>
  <c r="B27" i="12" s="1"/>
  <c r="H22" i="12"/>
  <c r="H24" i="12" s="1"/>
  <c r="H27" i="12" s="1"/>
  <c r="D233" i="12"/>
  <c r="B53" i="12"/>
  <c r="B55" i="12" s="1"/>
  <c r="B58" i="12" s="1"/>
  <c r="E53" i="12"/>
  <c r="E55" i="12" s="1"/>
  <c r="E58" i="12" s="1"/>
  <c r="J233" i="12"/>
  <c r="Q22" i="12"/>
  <c r="Q24" i="12" s="1"/>
  <c r="Q27" i="12" s="1"/>
  <c r="N22" i="12"/>
  <c r="N24" i="12" s="1"/>
  <c r="N27" i="12" s="1"/>
  <c r="E22" i="12"/>
  <c r="E24" i="12" s="1"/>
  <c r="E27" i="12" s="1"/>
  <c r="H53" i="12"/>
  <c r="H55" i="12" s="1"/>
  <c r="H58" i="12" s="1"/>
  <c r="E210" i="11"/>
  <c r="D68" i="12"/>
  <c r="K107" i="11"/>
  <c r="K121" i="11" s="1"/>
  <c r="AG107" i="11"/>
  <c r="AI107" i="11"/>
  <c r="G107" i="11"/>
  <c r="AH107" i="11" s="1"/>
  <c r="K145" i="11"/>
  <c r="AJ145" i="11"/>
  <c r="Q58" i="11"/>
  <c r="M140" i="11"/>
  <c r="AG140" i="11"/>
  <c r="AE140" i="11"/>
  <c r="K111" i="11"/>
  <c r="AM110" i="11"/>
  <c r="AI111" i="11"/>
  <c r="AO111" i="11"/>
  <c r="AG111" i="11"/>
  <c r="M112" i="11"/>
  <c r="AN112" i="11" s="1"/>
  <c r="AM111" i="11"/>
  <c r="K116" i="11"/>
  <c r="AN116" i="11"/>
  <c r="AP116" i="11"/>
  <c r="O136" i="11"/>
  <c r="O150" i="11" s="1"/>
  <c r="AG136" i="11"/>
  <c r="AE136" i="11"/>
  <c r="K99" i="11"/>
  <c r="AO99" i="11"/>
  <c r="K100" i="11"/>
  <c r="AI100" i="11"/>
  <c r="N6" i="11"/>
  <c r="AN101" i="11"/>
  <c r="I133" i="11"/>
  <c r="AJ133" i="11" s="1"/>
  <c r="AG133" i="11"/>
  <c r="K98" i="11"/>
  <c r="AG98" i="11"/>
  <c r="AE98" i="11"/>
  <c r="M58" i="11"/>
  <c r="M27" i="11"/>
  <c r="F24" i="11"/>
  <c r="F27" i="11" s="1"/>
  <c r="F55" i="11"/>
  <c r="F58" i="11" s="1"/>
  <c r="L55" i="11"/>
  <c r="S55" i="11"/>
  <c r="S58" i="11" s="1"/>
  <c r="G55" i="11"/>
  <c r="G58" i="11" s="1"/>
  <c r="O55" i="11"/>
  <c r="O58" i="11" s="1"/>
  <c r="G113" i="11"/>
  <c r="AH113" i="11" s="1"/>
  <c r="O104" i="11"/>
  <c r="AD20" i="11"/>
  <c r="AF20" i="11" s="1"/>
  <c r="J24" i="11"/>
  <c r="J27" i="11" s="1"/>
  <c r="D24" i="11"/>
  <c r="D27" i="11" s="1"/>
  <c r="L24" i="11"/>
  <c r="L27" i="11" s="1"/>
  <c r="D55" i="11"/>
  <c r="D58" i="11" s="1"/>
  <c r="J55" i="11"/>
  <c r="J58" i="11" s="1"/>
  <c r="R55" i="11"/>
  <c r="R58" i="11" s="1"/>
  <c r="K114" i="11"/>
  <c r="C24" i="11"/>
  <c r="C27" i="11" s="1"/>
  <c r="R24" i="11"/>
  <c r="R27" i="11" s="1"/>
  <c r="M111" i="11"/>
  <c r="AN111" i="11" s="1"/>
  <c r="AC21" i="11"/>
  <c r="AC191" i="11" s="1"/>
  <c r="E104" i="11"/>
  <c r="C55" i="11"/>
  <c r="C58" i="11" s="1"/>
  <c r="E98" i="11"/>
  <c r="AF98" i="11" s="1"/>
  <c r="G100" i="11"/>
  <c r="G121" i="11"/>
  <c r="I113" i="11"/>
  <c r="AJ113" i="11" s="1"/>
  <c r="K129" i="11"/>
  <c r="K136" i="11"/>
  <c r="K150" i="11" s="1"/>
  <c r="E142" i="11"/>
  <c r="AF142" i="11" s="1"/>
  <c r="AC20" i="11"/>
  <c r="AC252" i="11" s="1"/>
  <c r="M98" i="11"/>
  <c r="O113" i="11"/>
  <c r="AP113" i="11" s="1"/>
  <c r="I130" i="11"/>
  <c r="AJ130" i="11" s="1"/>
  <c r="I142" i="11"/>
  <c r="AJ142" i="11" s="1"/>
  <c r="K58" i="11"/>
  <c r="I104" i="11"/>
  <c r="K106" i="11"/>
  <c r="E111" i="11"/>
  <c r="E113" i="11"/>
  <c r="AF113" i="11" s="1"/>
  <c r="G130" i="11"/>
  <c r="O142" i="11"/>
  <c r="G161" i="11"/>
  <c r="E9" i="11" s="1"/>
  <c r="AE73" i="11"/>
  <c r="G98" i="11"/>
  <c r="AH98" i="11" s="1"/>
  <c r="E99" i="11"/>
  <c r="O99" i="11"/>
  <c r="AP99" i="11" s="1"/>
  <c r="I100" i="11"/>
  <c r="AJ100" i="11" s="1"/>
  <c r="G104" i="11"/>
  <c r="M106" i="11"/>
  <c r="M107" i="11"/>
  <c r="G111" i="11"/>
  <c r="AH111" i="11" s="1"/>
  <c r="K112" i="11"/>
  <c r="AE113" i="11"/>
  <c r="M114" i="11"/>
  <c r="AN114" i="11" s="1"/>
  <c r="M129" i="11"/>
  <c r="E133" i="11"/>
  <c r="G135" i="11"/>
  <c r="AH135" i="11" s="1"/>
  <c r="E136" i="11"/>
  <c r="M136" i="11"/>
  <c r="M150" i="11" s="1"/>
  <c r="E140" i="11"/>
  <c r="AF140" i="11" s="1"/>
  <c r="G142" i="11"/>
  <c r="AH142" i="11" s="1"/>
  <c r="J168" i="11"/>
  <c r="K168" i="11" s="1"/>
  <c r="B64" i="11"/>
  <c r="G99" i="11"/>
  <c r="M100" i="11"/>
  <c r="O107" i="11"/>
  <c r="K130" i="11"/>
  <c r="M135" i="11"/>
  <c r="L58" i="11"/>
  <c r="O98" i="11"/>
  <c r="N7" i="11" s="1"/>
  <c r="N25" i="11" s="1"/>
  <c r="I99" i="11"/>
  <c r="E100" i="11"/>
  <c r="O100" i="11"/>
  <c r="M104" i="11"/>
  <c r="E107" i="11"/>
  <c r="AF107" i="11" s="1"/>
  <c r="O111" i="11"/>
  <c r="AP111" i="11" s="1"/>
  <c r="M113" i="11"/>
  <c r="AN113" i="11" s="1"/>
  <c r="E130" i="11"/>
  <c r="M130" i="11"/>
  <c r="K133" i="11"/>
  <c r="I136" i="11"/>
  <c r="AJ136" i="11" s="1"/>
  <c r="I140" i="11"/>
  <c r="AJ140" i="11" s="1"/>
  <c r="M142" i="11"/>
  <c r="M99" i="11"/>
  <c r="M133" i="11"/>
  <c r="K140" i="11"/>
  <c r="K135" i="11"/>
  <c r="F208" i="11"/>
  <c r="G208" i="11" s="1"/>
  <c r="E135" i="11"/>
  <c r="AF135" i="11" s="1"/>
  <c r="O135" i="11"/>
  <c r="AI200" i="11"/>
  <c r="AI238" i="11"/>
  <c r="AI240" i="11" s="1"/>
  <c r="AD10" i="11"/>
  <c r="H10" i="11"/>
  <c r="AI246" i="11"/>
  <c r="AI250" i="11"/>
  <c r="AI249" i="11"/>
  <c r="AI247" i="11"/>
  <c r="AI251" i="11"/>
  <c r="AI248" i="11"/>
  <c r="AI211" i="11"/>
  <c r="AI209" i="11"/>
  <c r="AI212" i="11"/>
  <c r="AI210" i="11"/>
  <c r="AI213" i="11"/>
  <c r="AI196" i="11"/>
  <c r="AI184" i="11"/>
  <c r="AC184" i="11" s="1"/>
  <c r="AI180" i="11"/>
  <c r="AC180" i="11" s="1"/>
  <c r="AI181" i="11"/>
  <c r="AC181" i="11" s="1"/>
  <c r="AI185" i="11"/>
  <c r="AC185" i="11" s="1"/>
  <c r="AI183" i="11"/>
  <c r="AC183" i="11" s="1"/>
  <c r="AI186" i="11"/>
  <c r="AC186" i="11" s="1"/>
  <c r="D91" i="11"/>
  <c r="E89" i="11" s="1"/>
  <c r="O24" i="11"/>
  <c r="O27" i="11" s="1"/>
  <c r="I24" i="11"/>
  <c r="I27" i="11" s="1"/>
  <c r="P24" i="11"/>
  <c r="P27" i="11" s="1"/>
  <c r="G27" i="11"/>
  <c r="H40" i="11"/>
  <c r="O169" i="11"/>
  <c r="M169" i="11"/>
  <c r="V29" i="11"/>
  <c r="AC10" i="11"/>
  <c r="AC182" i="11"/>
  <c r="S27" i="11"/>
  <c r="I55" i="11"/>
  <c r="I58" i="11" s="1"/>
  <c r="P55" i="11"/>
  <c r="P58" i="11" s="1"/>
  <c r="O105" i="11"/>
  <c r="G105" i="11"/>
  <c r="M105" i="11"/>
  <c r="E105" i="11"/>
  <c r="K105" i="11"/>
  <c r="I105" i="11"/>
  <c r="O128" i="11"/>
  <c r="G128" i="11"/>
  <c r="M128" i="11"/>
  <c r="E128" i="11"/>
  <c r="K128" i="11"/>
  <c r="I128" i="11"/>
  <c r="O102" i="11"/>
  <c r="G102" i="11"/>
  <c r="M102" i="11"/>
  <c r="E102" i="11"/>
  <c r="I131" i="11"/>
  <c r="AJ131" i="11" s="1"/>
  <c r="O131" i="11"/>
  <c r="G131" i="11"/>
  <c r="K162" i="11"/>
  <c r="K10" i="11" s="1"/>
  <c r="O168" i="11"/>
  <c r="M168" i="11"/>
  <c r="G169" i="11"/>
  <c r="E41" i="11" s="1"/>
  <c r="B210" i="11"/>
  <c r="I102" i="11"/>
  <c r="AE112" i="11"/>
  <c r="I112" i="11"/>
  <c r="AJ112" i="11" s="1"/>
  <c r="O112" i="11"/>
  <c r="AP112" i="11" s="1"/>
  <c r="G112" i="11"/>
  <c r="AH112" i="11" s="1"/>
  <c r="E131" i="11"/>
  <c r="O134" i="11"/>
  <c r="G134" i="11"/>
  <c r="AH134" i="11" s="1"/>
  <c r="M134" i="11"/>
  <c r="E134" i="11"/>
  <c r="I141" i="11"/>
  <c r="AJ141" i="11" s="1"/>
  <c r="G141" i="11"/>
  <c r="AH141" i="11" s="1"/>
  <c r="O141" i="11"/>
  <c r="E141" i="11"/>
  <c r="AF141" i="11" s="1"/>
  <c r="I143" i="11"/>
  <c r="AJ143" i="11" s="1"/>
  <c r="G143" i="11"/>
  <c r="AH143" i="11" s="1"/>
  <c r="O143" i="11"/>
  <c r="E143" i="11"/>
  <c r="AF143" i="11" s="1"/>
  <c r="E168" i="11"/>
  <c r="I169" i="11"/>
  <c r="H41" i="11" s="1"/>
  <c r="B240" i="11"/>
  <c r="AL98" i="11"/>
  <c r="AL121" i="11" s="1"/>
  <c r="K102" i="11"/>
  <c r="I106" i="11"/>
  <c r="O106" i="11"/>
  <c r="G106" i="11"/>
  <c r="E112" i="11"/>
  <c r="AF112" i="11" s="1"/>
  <c r="AE114" i="11"/>
  <c r="I114" i="11"/>
  <c r="AJ114" i="11" s="1"/>
  <c r="O114" i="11"/>
  <c r="AP114" i="11" s="1"/>
  <c r="G114" i="11"/>
  <c r="AH114" i="11" s="1"/>
  <c r="I129" i="11"/>
  <c r="O129" i="11"/>
  <c r="G129" i="11"/>
  <c r="K131" i="11"/>
  <c r="I134" i="11"/>
  <c r="AJ134" i="11" s="1"/>
  <c r="K141" i="11"/>
  <c r="K143" i="11"/>
  <c r="I161" i="11"/>
  <c r="O162" i="11"/>
  <c r="Q10" i="11" s="1"/>
  <c r="G168" i="11"/>
  <c r="K169" i="11"/>
  <c r="I98" i="11"/>
  <c r="H7" i="11" s="1"/>
  <c r="H25" i="11" s="1"/>
  <c r="I107" i="11"/>
  <c r="AE107" i="11"/>
  <c r="I111" i="11"/>
  <c r="AJ111" i="11" s="1"/>
  <c r="O130" i="11"/>
  <c r="G133" i="11"/>
  <c r="AH133" i="11" s="1"/>
  <c r="O133" i="11"/>
  <c r="I135" i="11"/>
  <c r="AJ135" i="11" s="1"/>
  <c r="G136" i="11"/>
  <c r="AH136" i="11" s="1"/>
  <c r="O140" i="11"/>
  <c r="O161" i="11"/>
  <c r="Q9" i="11" s="1"/>
  <c r="J161" i="11"/>
  <c r="H9" i="11" s="1"/>
  <c r="E161" i="11"/>
  <c r="B10" i="11"/>
  <c r="E212" i="11"/>
  <c r="G209" i="11"/>
  <c r="G140" i="11"/>
  <c r="AH140" i="11" s="1"/>
  <c r="M161" i="11"/>
  <c r="N9" i="11" s="1"/>
  <c r="C209" i="11"/>
  <c r="D209" i="11" s="1"/>
  <c r="C208" i="11"/>
  <c r="I162" i="11"/>
  <c r="M162" i="11"/>
  <c r="N10" i="11" s="1"/>
  <c r="E169" i="11"/>
  <c r="B41" i="11" s="1"/>
  <c r="B202" i="11"/>
  <c r="B194" i="10"/>
  <c r="C194" i="10"/>
  <c r="D69" i="12" l="1"/>
  <c r="B69" i="12" s="1"/>
  <c r="B68" i="12"/>
  <c r="M151" i="11"/>
  <c r="O121" i="11"/>
  <c r="AP107" i="11"/>
  <c r="E150" i="11"/>
  <c r="AF136" i="11"/>
  <c r="M121" i="11"/>
  <c r="N8" i="11" s="1"/>
  <c r="AN107" i="11"/>
  <c r="AN121" i="11" s="1"/>
  <c r="I121" i="11"/>
  <c r="AJ107" i="11"/>
  <c r="K170" i="11"/>
  <c r="AC247" i="11"/>
  <c r="M122" i="11"/>
  <c r="AC249" i="11"/>
  <c r="G163" i="11"/>
  <c r="AC248" i="11"/>
  <c r="AC250" i="11"/>
  <c r="AC251" i="11"/>
  <c r="AC246" i="11"/>
  <c r="I150" i="11"/>
  <c r="O170" i="11"/>
  <c r="AC190" i="11"/>
  <c r="AC192" i="11" s="1"/>
  <c r="AC238" i="11"/>
  <c r="K122" i="11"/>
  <c r="K8" i="11" s="1"/>
  <c r="AH121" i="11"/>
  <c r="K120" i="11"/>
  <c r="K6" i="11" s="1"/>
  <c r="E120" i="11"/>
  <c r="K151" i="11"/>
  <c r="O151" i="11"/>
  <c r="AC239" i="11"/>
  <c r="E151" i="11"/>
  <c r="G122" i="11"/>
  <c r="E8" i="11" s="1"/>
  <c r="E80" i="11"/>
  <c r="E82" i="11"/>
  <c r="E83" i="11"/>
  <c r="E86" i="11"/>
  <c r="AF121" i="11"/>
  <c r="E121" i="11"/>
  <c r="E88" i="11"/>
  <c r="E81" i="11"/>
  <c r="E122" i="11"/>
  <c r="C91" i="11"/>
  <c r="E85" i="11"/>
  <c r="G210" i="11"/>
  <c r="G212" i="11" s="1"/>
  <c r="AC17" i="11" s="1"/>
  <c r="AC200" i="11" s="1"/>
  <c r="Q6" i="11"/>
  <c r="B203" i="11"/>
  <c r="B204" i="11" s="1"/>
  <c r="J211" i="11" s="1"/>
  <c r="D208" i="11"/>
  <c r="D210" i="11" s="1"/>
  <c r="C210" i="11" s="1"/>
  <c r="AJ153" i="11"/>
  <c r="M149" i="11"/>
  <c r="M170" i="11"/>
  <c r="I170" i="11"/>
  <c r="AI253" i="11"/>
  <c r="M163" i="11"/>
  <c r="G120" i="11"/>
  <c r="E6" i="11" s="1"/>
  <c r="AP121" i="11"/>
  <c r="M120" i="11"/>
  <c r="E84" i="11"/>
  <c r="E91" i="11"/>
  <c r="O120" i="11"/>
  <c r="I122" i="11"/>
  <c r="E79" i="11"/>
  <c r="E87" i="11"/>
  <c r="E90" i="11"/>
  <c r="V10" i="11"/>
  <c r="W10" i="11" s="1"/>
  <c r="X10" i="11" s="1"/>
  <c r="E40" i="11"/>
  <c r="G170" i="11"/>
  <c r="E170" i="11"/>
  <c r="B40" i="11"/>
  <c r="AF131" i="11"/>
  <c r="E149" i="11"/>
  <c r="D240" i="11"/>
  <c r="E240" i="11" s="1"/>
  <c r="H177" i="11"/>
  <c r="D242" i="11"/>
  <c r="E242" i="11" s="1"/>
  <c r="H180" i="11"/>
  <c r="AD12" i="11"/>
  <c r="H183" i="11"/>
  <c r="D241" i="11"/>
  <c r="E241" i="11" s="1"/>
  <c r="C199" i="11"/>
  <c r="C201" i="11" s="1"/>
  <c r="C202" i="11" s="1"/>
  <c r="AD19" i="11"/>
  <c r="AD13" i="11"/>
  <c r="AC29" i="11"/>
  <c r="AD21" i="11"/>
  <c r="AD11" i="11"/>
  <c r="AD9" i="11"/>
  <c r="AF9" i="11" s="1"/>
  <c r="H211" i="11"/>
  <c r="I211" i="11" s="1"/>
  <c r="B211" i="11"/>
  <c r="C211" i="11" s="1"/>
  <c r="E214" i="11"/>
  <c r="AD17" i="11"/>
  <c r="AF17" i="11" s="1"/>
  <c r="G150" i="11"/>
  <c r="AH153" i="11"/>
  <c r="I151" i="11"/>
  <c r="AE20" i="11"/>
  <c r="K161" i="11"/>
  <c r="AC9" i="11"/>
  <c r="I120" i="11"/>
  <c r="H6" i="11" s="1"/>
  <c r="I163" i="11"/>
  <c r="I149" i="11"/>
  <c r="G149" i="11"/>
  <c r="AC187" i="11"/>
  <c r="AF10" i="11"/>
  <c r="E163" i="11"/>
  <c r="B9" i="11"/>
  <c r="O122" i="11"/>
  <c r="H210" i="11"/>
  <c r="G151" i="11"/>
  <c r="O163" i="11"/>
  <c r="K149" i="11"/>
  <c r="O149" i="11"/>
  <c r="C243" i="10"/>
  <c r="B243" i="10" s="1"/>
  <c r="C244" i="10"/>
  <c r="C245" i="10"/>
  <c r="B245" i="10" s="1"/>
  <c r="B164" i="10"/>
  <c r="B171" i="10" s="1"/>
  <c r="B163" i="10"/>
  <c r="H171" i="10"/>
  <c r="H170" i="10"/>
  <c r="F171" i="10"/>
  <c r="F170" i="10"/>
  <c r="D171" i="10"/>
  <c r="D170" i="10"/>
  <c r="F164" i="10"/>
  <c r="F163" i="10"/>
  <c r="H147" i="10"/>
  <c r="H131" i="10"/>
  <c r="F141" i="10"/>
  <c r="F140" i="10"/>
  <c r="F139" i="10"/>
  <c r="F137" i="10"/>
  <c r="F134" i="10"/>
  <c r="D141" i="10"/>
  <c r="D140" i="10"/>
  <c r="D139" i="10"/>
  <c r="D137" i="10"/>
  <c r="D136" i="10"/>
  <c r="B135" i="10"/>
  <c r="B129" i="10"/>
  <c r="B146" i="10"/>
  <c r="B144" i="10"/>
  <c r="B143" i="10"/>
  <c r="B142" i="10"/>
  <c r="B141" i="10"/>
  <c r="B137" i="10"/>
  <c r="B136" i="10"/>
  <c r="B134" i="10"/>
  <c r="B132" i="10"/>
  <c r="B131" i="10"/>
  <c r="B130" i="10"/>
  <c r="B117" i="10"/>
  <c r="B115" i="10"/>
  <c r="B114" i="10"/>
  <c r="B113" i="10"/>
  <c r="B112" i="10"/>
  <c r="B108" i="10"/>
  <c r="B107" i="10"/>
  <c r="B105" i="10"/>
  <c r="M152" i="11" l="1"/>
  <c r="Q8" i="11"/>
  <c r="B71" i="12"/>
  <c r="B73" i="12" s="1"/>
  <c r="D71" i="12"/>
  <c r="D73" i="12" s="1"/>
  <c r="H8" i="11"/>
  <c r="AF153" i="11"/>
  <c r="B39" i="11"/>
  <c r="D211" i="11"/>
  <c r="D212" i="11" s="1"/>
  <c r="AC16" i="11" s="1"/>
  <c r="AC240" i="11"/>
  <c r="AC253" i="11"/>
  <c r="M123" i="11"/>
  <c r="E123" i="11"/>
  <c r="O152" i="11"/>
  <c r="B212" i="11"/>
  <c r="AD16" i="11" s="1"/>
  <c r="AF16" i="11" s="1"/>
  <c r="H39" i="11"/>
  <c r="AC201" i="11"/>
  <c r="AC202" i="11" s="1"/>
  <c r="B6" i="11"/>
  <c r="K123" i="11"/>
  <c r="F210" i="11"/>
  <c r="F212" i="11"/>
  <c r="G213" i="11" s="1"/>
  <c r="G229" i="11" s="1"/>
  <c r="H212" i="11"/>
  <c r="J210" i="11"/>
  <c r="J212" i="11" s="1"/>
  <c r="K152" i="11"/>
  <c r="B8" i="11"/>
  <c r="AE17" i="11"/>
  <c r="Q19" i="11"/>
  <c r="N19" i="11"/>
  <c r="H19" i="11"/>
  <c r="Q11" i="11"/>
  <c r="N11" i="11"/>
  <c r="H11" i="11"/>
  <c r="N12" i="11"/>
  <c r="Q12" i="11"/>
  <c r="H12" i="11"/>
  <c r="N13" i="11"/>
  <c r="Q13" i="11"/>
  <c r="H13" i="11"/>
  <c r="Q20" i="11"/>
  <c r="N20" i="11"/>
  <c r="H20" i="11"/>
  <c r="Q21" i="11"/>
  <c r="N21" i="11"/>
  <c r="H21" i="11"/>
  <c r="I123" i="11"/>
  <c r="V125" i="11"/>
  <c r="AG10" i="11"/>
  <c r="AI10" i="11" s="1"/>
  <c r="AF13" i="11"/>
  <c r="AE13" i="11"/>
  <c r="E11" i="11"/>
  <c r="H42" i="11"/>
  <c r="B11" i="11"/>
  <c r="E42" i="11"/>
  <c r="B42" i="11"/>
  <c r="K11" i="11"/>
  <c r="O123" i="11"/>
  <c r="I152" i="11"/>
  <c r="H37" i="11"/>
  <c r="AF11" i="11"/>
  <c r="AE11" i="11"/>
  <c r="AF12" i="11"/>
  <c r="AE12" i="11"/>
  <c r="E243" i="11"/>
  <c r="H50" i="11"/>
  <c r="E50" i="11"/>
  <c r="E19" i="11"/>
  <c r="B19" i="11"/>
  <c r="B50" i="11"/>
  <c r="K19" i="11"/>
  <c r="AD18" i="11"/>
  <c r="AF18" i="11" s="1"/>
  <c r="K163" i="11"/>
  <c r="K9" i="11"/>
  <c r="V9" i="11" s="1"/>
  <c r="AF21" i="11"/>
  <c r="AE21" i="11"/>
  <c r="B213" i="11"/>
  <c r="B43" i="11"/>
  <c r="H43" i="11"/>
  <c r="K12" i="11"/>
  <c r="B12" i="11"/>
  <c r="E12" i="11"/>
  <c r="E43" i="11"/>
  <c r="E152" i="11"/>
  <c r="B37" i="11"/>
  <c r="E37" i="11"/>
  <c r="G152" i="11"/>
  <c r="E227" i="11"/>
  <c r="E225" i="11"/>
  <c r="E223" i="11"/>
  <c r="E221" i="11"/>
  <c r="E218" i="11"/>
  <c r="E219" i="11"/>
  <c r="E228" i="11"/>
  <c r="E226" i="11"/>
  <c r="E224" i="11"/>
  <c r="E222" i="11"/>
  <c r="E220" i="11"/>
  <c r="E217" i="11"/>
  <c r="E44" i="11"/>
  <c r="E13" i="11"/>
  <c r="B44" i="11"/>
  <c r="B13" i="11"/>
  <c r="K13" i="11"/>
  <c r="H44" i="11"/>
  <c r="AC14" i="11"/>
  <c r="AE9" i="11"/>
  <c r="E39" i="11"/>
  <c r="AF19" i="11"/>
  <c r="AE19" i="11"/>
  <c r="AE10" i="11"/>
  <c r="AG19" i="11"/>
  <c r="AG18" i="11"/>
  <c r="AG17" i="11"/>
  <c r="H51" i="11"/>
  <c r="E51" i="11"/>
  <c r="B20" i="11"/>
  <c r="B51" i="11"/>
  <c r="E20" i="11"/>
  <c r="K20" i="11"/>
  <c r="B52" i="11"/>
  <c r="K21" i="11"/>
  <c r="H52" i="11"/>
  <c r="E21" i="11"/>
  <c r="B21" i="11"/>
  <c r="E52" i="11"/>
  <c r="G123" i="11"/>
  <c r="V124" i="11"/>
  <c r="B103" i="10"/>
  <c r="B102" i="10"/>
  <c r="V8" i="11" l="1"/>
  <c r="W8" i="11" s="1"/>
  <c r="X8" i="11" s="1"/>
  <c r="G214" i="11"/>
  <c r="G224" i="11" s="1"/>
  <c r="C212" i="11"/>
  <c r="C203" i="11" s="1"/>
  <c r="I210" i="11"/>
  <c r="H14" i="11"/>
  <c r="N14" i="11"/>
  <c r="Q14" i="11"/>
  <c r="AH18" i="11"/>
  <c r="AJ18" i="11" s="1"/>
  <c r="B14" i="11"/>
  <c r="AH10" i="11"/>
  <c r="AJ10" i="11" s="1"/>
  <c r="K14" i="11"/>
  <c r="AH17" i="11"/>
  <c r="AJ17" i="11" s="1"/>
  <c r="AI17" i="11"/>
  <c r="V21" i="11"/>
  <c r="V20" i="11"/>
  <c r="I212" i="11"/>
  <c r="C204" i="11" s="1"/>
  <c r="AC18" i="11"/>
  <c r="AC22" i="11" s="1"/>
  <c r="AC23" i="11" s="1"/>
  <c r="AC24" i="11" s="1"/>
  <c r="AC28" i="11" s="1"/>
  <c r="W9" i="11"/>
  <c r="AG9" i="11" s="1"/>
  <c r="AH19" i="11"/>
  <c r="AJ19" i="11" s="1"/>
  <c r="AI19" i="11"/>
  <c r="E230" i="11"/>
  <c r="B229" i="11"/>
  <c r="H213" i="11"/>
  <c r="V19" i="11"/>
  <c r="X19" i="11" s="1"/>
  <c r="AC196" i="11"/>
  <c r="AC197" i="11"/>
  <c r="AE16" i="11"/>
  <c r="E45" i="11"/>
  <c r="K17" i="11"/>
  <c r="B45" i="11"/>
  <c r="V12" i="11"/>
  <c r="V6" i="11"/>
  <c r="V13" i="11"/>
  <c r="E14" i="11"/>
  <c r="B214" i="11"/>
  <c r="H45" i="11"/>
  <c r="V11" i="11"/>
  <c r="B101" i="10"/>
  <c r="B100" i="10"/>
  <c r="G228" i="11" l="1"/>
  <c r="H17" i="11"/>
  <c r="B17" i="11"/>
  <c r="G217" i="11"/>
  <c r="Q17" i="11"/>
  <c r="G227" i="11"/>
  <c r="G218" i="11"/>
  <c r="G223" i="11"/>
  <c r="N17" i="11"/>
  <c r="E17" i="11"/>
  <c r="G220" i="11"/>
  <c r="G219" i="11"/>
  <c r="G225" i="11"/>
  <c r="G222" i="11"/>
  <c r="B48" i="11"/>
  <c r="G226" i="11"/>
  <c r="D213" i="11"/>
  <c r="D229" i="11" s="1"/>
  <c r="E48" i="11"/>
  <c r="H48" i="11"/>
  <c r="G221" i="11"/>
  <c r="W11" i="11"/>
  <c r="AG11" i="11" s="1"/>
  <c r="B228" i="11"/>
  <c r="B226" i="11"/>
  <c r="B224" i="11"/>
  <c r="B222" i="11"/>
  <c r="B220" i="11"/>
  <c r="B217" i="11"/>
  <c r="B227" i="11"/>
  <c r="B225" i="11"/>
  <c r="B223" i="11"/>
  <c r="B221" i="11"/>
  <c r="B218" i="11"/>
  <c r="D214" i="11"/>
  <c r="B219" i="11"/>
  <c r="W24" i="11"/>
  <c r="W6" i="11"/>
  <c r="V14" i="11"/>
  <c r="W12" i="11"/>
  <c r="AG12" i="11" s="1"/>
  <c r="W13" i="11"/>
  <c r="AG13" i="11" s="1"/>
  <c r="AC198" i="11"/>
  <c r="AH9" i="11"/>
  <c r="AJ9" i="11" s="1"/>
  <c r="AI9" i="11"/>
  <c r="D72" i="11"/>
  <c r="B72" i="11" s="1"/>
  <c r="X9" i="11"/>
  <c r="H229" i="11"/>
  <c r="J213" i="11"/>
  <c r="J229" i="11" s="1"/>
  <c r="H214" i="11"/>
  <c r="AC212" i="11"/>
  <c r="AC210" i="11"/>
  <c r="AC214" i="11"/>
  <c r="AC213" i="11"/>
  <c r="AC209" i="11"/>
  <c r="AC211" i="11"/>
  <c r="AE18" i="11"/>
  <c r="AI18" i="11"/>
  <c r="J53" i="10"/>
  <c r="J45" i="10"/>
  <c r="G53" i="10"/>
  <c r="G45" i="10"/>
  <c r="D53" i="10"/>
  <c r="D45" i="10"/>
  <c r="D22" i="10"/>
  <c r="D14" i="10"/>
  <c r="G230" i="11" l="1"/>
  <c r="AG14" i="11"/>
  <c r="V17" i="11"/>
  <c r="X17" i="11" s="1"/>
  <c r="N16" i="11"/>
  <c r="Q16" i="11"/>
  <c r="H16" i="11"/>
  <c r="H228" i="11"/>
  <c r="H226" i="11"/>
  <c r="H224" i="11"/>
  <c r="H222" i="11"/>
  <c r="H220" i="11"/>
  <c r="H217" i="11"/>
  <c r="H227" i="11"/>
  <c r="H225" i="11"/>
  <c r="H223" i="11"/>
  <c r="H221" i="11"/>
  <c r="H218" i="11"/>
  <c r="J214" i="11"/>
  <c r="H219" i="11"/>
  <c r="AH12" i="11"/>
  <c r="AJ12" i="11" s="1"/>
  <c r="AI12" i="11"/>
  <c r="D217" i="11"/>
  <c r="D227" i="11"/>
  <c r="D225" i="11"/>
  <c r="D223" i="11"/>
  <c r="D221" i="11"/>
  <c r="D218" i="11"/>
  <c r="D219" i="11"/>
  <c r="D224" i="11"/>
  <c r="D226" i="11"/>
  <c r="H47" i="11"/>
  <c r="D222" i="11"/>
  <c r="B47" i="11"/>
  <c r="E16" i="11"/>
  <c r="B16" i="11"/>
  <c r="D220" i="11"/>
  <c r="D228" i="11"/>
  <c r="K16" i="11"/>
  <c r="E47" i="11"/>
  <c r="AH11" i="11"/>
  <c r="AJ11" i="11" s="1"/>
  <c r="AI11" i="11"/>
  <c r="AH13" i="11"/>
  <c r="AJ13" i="11" s="1"/>
  <c r="AI13" i="11"/>
  <c r="X12" i="11"/>
  <c r="W14" i="11"/>
  <c r="C68" i="11" s="1"/>
  <c r="X11" i="11"/>
  <c r="AC215" i="11"/>
  <c r="X13" i="11"/>
  <c r="B230" i="11"/>
  <c r="AJ256" i="10"/>
  <c r="AI253" i="10" s="1"/>
  <c r="AI255" i="10"/>
  <c r="AI254" i="10"/>
  <c r="AI252" i="10"/>
  <c r="AI251" i="10"/>
  <c r="AI250" i="10"/>
  <c r="B244" i="10"/>
  <c r="AJ243" i="10"/>
  <c r="AI242" i="10" s="1"/>
  <c r="AC19" i="10"/>
  <c r="E231" i="10"/>
  <c r="AJ217" i="10"/>
  <c r="AI216" i="10" s="1"/>
  <c r="F213" i="10"/>
  <c r="E211" i="10"/>
  <c r="C211" i="10"/>
  <c r="B211" i="10"/>
  <c r="E210" i="10"/>
  <c r="C210" i="10"/>
  <c r="B210" i="10"/>
  <c r="H208" i="10"/>
  <c r="AJ204" i="10"/>
  <c r="AI203" i="10" s="1"/>
  <c r="B203" i="10"/>
  <c r="B204" i="10" s="1"/>
  <c r="AI202" i="10"/>
  <c r="AJ200" i="10"/>
  <c r="AI198" i="10" s="1"/>
  <c r="F210" i="10"/>
  <c r="AI192" i="10"/>
  <c r="AJ189" i="10"/>
  <c r="AI185" i="10" s="1"/>
  <c r="C185" i="10"/>
  <c r="C182" i="10"/>
  <c r="C179" i="10"/>
  <c r="O171" i="10"/>
  <c r="M171" i="10"/>
  <c r="D164" i="10"/>
  <c r="D163" i="10"/>
  <c r="L163" i="10" s="1"/>
  <c r="B170" i="10"/>
  <c r="O147" i="10"/>
  <c r="M147" i="10"/>
  <c r="K147" i="10"/>
  <c r="I147" i="10"/>
  <c r="AJ147" i="10" s="1"/>
  <c r="G147" i="10"/>
  <c r="E147" i="10"/>
  <c r="K146" i="10"/>
  <c r="O145" i="10"/>
  <c r="M145" i="10"/>
  <c r="K145" i="10"/>
  <c r="I145" i="10"/>
  <c r="AJ145" i="10" s="1"/>
  <c r="G145" i="10"/>
  <c r="AH145" i="10" s="1"/>
  <c r="E145" i="10"/>
  <c r="AE144" i="10"/>
  <c r="O144" i="10"/>
  <c r="M144" i="10"/>
  <c r="K144" i="10"/>
  <c r="I144" i="10"/>
  <c r="AJ144" i="10" s="1"/>
  <c r="G144" i="10"/>
  <c r="AH144" i="10" s="1"/>
  <c r="E144" i="10"/>
  <c r="AF144" i="10" s="1"/>
  <c r="O143" i="10"/>
  <c r="M143" i="10"/>
  <c r="K143" i="10"/>
  <c r="I143" i="10"/>
  <c r="AJ143" i="10" s="1"/>
  <c r="G143" i="10"/>
  <c r="AH143" i="10" s="1"/>
  <c r="E143" i="10"/>
  <c r="AE142" i="10"/>
  <c r="O142" i="10"/>
  <c r="M142" i="10"/>
  <c r="K142" i="10"/>
  <c r="I142" i="10"/>
  <c r="AJ142" i="10" s="1"/>
  <c r="G142" i="10"/>
  <c r="AH142" i="10" s="1"/>
  <c r="E142" i="10"/>
  <c r="AF142" i="10" s="1"/>
  <c r="O141" i="10"/>
  <c r="M141" i="10"/>
  <c r="K141" i="10"/>
  <c r="I141" i="10"/>
  <c r="AJ141" i="10" s="1"/>
  <c r="G141" i="10"/>
  <c r="AH141" i="10" s="1"/>
  <c r="E141" i="10"/>
  <c r="AF141" i="10" s="1"/>
  <c r="O140" i="10"/>
  <c r="M140" i="10"/>
  <c r="K140" i="10"/>
  <c r="I140" i="10"/>
  <c r="AJ140" i="10" s="1"/>
  <c r="G140" i="10"/>
  <c r="AH140" i="10" s="1"/>
  <c r="E140" i="10"/>
  <c r="AE139" i="10"/>
  <c r="O139" i="10"/>
  <c r="M139" i="10"/>
  <c r="K139" i="10"/>
  <c r="I139" i="10"/>
  <c r="G139" i="10"/>
  <c r="E139" i="10"/>
  <c r="AE138" i="10"/>
  <c r="O138" i="10"/>
  <c r="M138" i="10"/>
  <c r="K138" i="10"/>
  <c r="I138" i="10"/>
  <c r="AJ138" i="10" s="1"/>
  <c r="G138" i="10"/>
  <c r="AH138" i="10" s="1"/>
  <c r="E138" i="10"/>
  <c r="AF138" i="10" s="1"/>
  <c r="O137" i="10"/>
  <c r="M137" i="10"/>
  <c r="K137" i="10"/>
  <c r="I137" i="10"/>
  <c r="AJ137" i="10" s="1"/>
  <c r="G137" i="10"/>
  <c r="AH137" i="10" s="1"/>
  <c r="E137" i="10"/>
  <c r="M136" i="10"/>
  <c r="O134" i="10"/>
  <c r="O133" i="10"/>
  <c r="M133" i="10"/>
  <c r="K133" i="10"/>
  <c r="I133" i="10"/>
  <c r="G133" i="10"/>
  <c r="E133" i="10"/>
  <c r="O132" i="10"/>
  <c r="G132" i="10"/>
  <c r="M132" i="10"/>
  <c r="O131" i="10"/>
  <c r="G131" i="10"/>
  <c r="M131" i="10"/>
  <c r="O130" i="10"/>
  <c r="M130" i="10"/>
  <c r="I130" i="10"/>
  <c r="G130" i="10"/>
  <c r="E130" i="10"/>
  <c r="K130" i="10"/>
  <c r="J119" i="10"/>
  <c r="M118" i="10"/>
  <c r="I118" i="10"/>
  <c r="E118" i="10"/>
  <c r="O118" i="10"/>
  <c r="AL118" i="10" s="1"/>
  <c r="K117" i="10"/>
  <c r="O116" i="10"/>
  <c r="M116" i="10"/>
  <c r="I116" i="10"/>
  <c r="G116" i="10"/>
  <c r="E116" i="10"/>
  <c r="K116" i="10"/>
  <c r="AJ116" i="10" s="1"/>
  <c r="AE115" i="10"/>
  <c r="O115" i="10"/>
  <c r="AL115" i="10" s="1"/>
  <c r="M115" i="10"/>
  <c r="K115" i="10"/>
  <c r="I115" i="10"/>
  <c r="G115" i="10"/>
  <c r="E115" i="10"/>
  <c r="AF115" i="10" s="1"/>
  <c r="AF114" i="10"/>
  <c r="AE114" i="10"/>
  <c r="O114" i="10"/>
  <c r="AL114" i="10" s="1"/>
  <c r="M114" i="10"/>
  <c r="K114" i="10"/>
  <c r="I114" i="10"/>
  <c r="G114" i="10"/>
  <c r="E114" i="10"/>
  <c r="AE113" i="10"/>
  <c r="O113" i="10"/>
  <c r="AL113" i="10" s="1"/>
  <c r="M113" i="10"/>
  <c r="K113" i="10"/>
  <c r="I113" i="10"/>
  <c r="G113" i="10"/>
  <c r="E113" i="10"/>
  <c r="AF113" i="10" s="1"/>
  <c r="O112" i="10"/>
  <c r="AL112" i="10" s="1"/>
  <c r="M112" i="10"/>
  <c r="K112" i="10"/>
  <c r="I112" i="10"/>
  <c r="G112" i="10"/>
  <c r="AH112" i="10" s="1"/>
  <c r="E112" i="10"/>
  <c r="O111" i="10"/>
  <c r="AL111" i="10" s="1"/>
  <c r="M111" i="10"/>
  <c r="K111" i="10"/>
  <c r="I111" i="10"/>
  <c r="G111" i="10"/>
  <c r="AH111" i="10" s="1"/>
  <c r="E111" i="10"/>
  <c r="AE110" i="10"/>
  <c r="O110" i="10"/>
  <c r="M110" i="10"/>
  <c r="K110" i="10"/>
  <c r="I110" i="10"/>
  <c r="G110" i="10"/>
  <c r="E110" i="10"/>
  <c r="AF110" i="10" s="1"/>
  <c r="AE109" i="10"/>
  <c r="O109" i="10"/>
  <c r="M109" i="10"/>
  <c r="K109" i="10"/>
  <c r="I109" i="10"/>
  <c r="G109" i="10"/>
  <c r="AH109" i="10" s="1"/>
  <c r="E109" i="10"/>
  <c r="AF109" i="10" s="1"/>
  <c r="M107" i="10"/>
  <c r="I107" i="10"/>
  <c r="E107" i="10"/>
  <c r="O107" i="10"/>
  <c r="B106" i="10"/>
  <c r="O104" i="10"/>
  <c r="M104" i="10"/>
  <c r="K104" i="10"/>
  <c r="I104" i="10"/>
  <c r="G104" i="10"/>
  <c r="E104" i="10"/>
  <c r="O103" i="10"/>
  <c r="K103" i="10"/>
  <c r="G103" i="10"/>
  <c r="M102" i="10"/>
  <c r="I102" i="10"/>
  <c r="E102" i="10"/>
  <c r="O102" i="10"/>
  <c r="M101" i="10"/>
  <c r="I101" i="10"/>
  <c r="E101" i="10"/>
  <c r="O101" i="10"/>
  <c r="AL101" i="10" s="1"/>
  <c r="K100" i="10"/>
  <c r="AJ100" i="10" s="1"/>
  <c r="G100" i="10"/>
  <c r="O100" i="10"/>
  <c r="B93" i="10"/>
  <c r="C92" i="10"/>
  <c r="D92" i="10" s="1"/>
  <c r="C91" i="10"/>
  <c r="D91" i="10" s="1"/>
  <c r="C90" i="10"/>
  <c r="D90" i="10" s="1"/>
  <c r="C89" i="10"/>
  <c r="D89" i="10" s="1"/>
  <c r="C88" i="10"/>
  <c r="D88" i="10" s="1"/>
  <c r="C87" i="10"/>
  <c r="D87" i="10" s="1"/>
  <c r="C86" i="10"/>
  <c r="D86" i="10" s="1"/>
  <c r="C85" i="10"/>
  <c r="D85" i="10" s="1"/>
  <c r="C84" i="10"/>
  <c r="D84" i="10" s="1"/>
  <c r="C83" i="10"/>
  <c r="D83" i="10" s="1"/>
  <c r="C82" i="10"/>
  <c r="D82" i="10" s="1"/>
  <c r="D81" i="10"/>
  <c r="X74" i="10"/>
  <c r="W73" i="10"/>
  <c r="W75" i="10" s="1"/>
  <c r="V73" i="10"/>
  <c r="V75" i="10" s="1"/>
  <c r="AE71" i="10"/>
  <c r="B71" i="10"/>
  <c r="AE70" i="10"/>
  <c r="AE69" i="10"/>
  <c r="AE68" i="10"/>
  <c r="AE67" i="10"/>
  <c r="AE66" i="10"/>
  <c r="AE65" i="10"/>
  <c r="D64" i="10"/>
  <c r="C64" i="10"/>
  <c r="K60" i="10"/>
  <c r="H60" i="10"/>
  <c r="E60" i="10"/>
  <c r="B60" i="10"/>
  <c r="M58" i="10"/>
  <c r="Q57" i="10"/>
  <c r="N57" i="10"/>
  <c r="M57" i="10"/>
  <c r="K57" i="10"/>
  <c r="G57" i="10"/>
  <c r="D57" i="10"/>
  <c r="Q56" i="10"/>
  <c r="N56" i="10"/>
  <c r="K56" i="10"/>
  <c r="C56" i="10"/>
  <c r="Q55" i="10"/>
  <c r="Q58" i="10" s="1"/>
  <c r="N55" i="10"/>
  <c r="N58" i="10" s="1"/>
  <c r="M55" i="10"/>
  <c r="K55" i="10"/>
  <c r="J55" i="10"/>
  <c r="G55" i="10"/>
  <c r="D55" i="10"/>
  <c r="S53" i="10"/>
  <c r="S57" i="10" s="1"/>
  <c r="R53" i="10"/>
  <c r="P53" i="10"/>
  <c r="P57" i="10" s="1"/>
  <c r="O53" i="10"/>
  <c r="L53" i="10"/>
  <c r="L57" i="10" s="1"/>
  <c r="I53" i="10"/>
  <c r="I57" i="10" s="1"/>
  <c r="F53" i="10"/>
  <c r="F57" i="10" s="1"/>
  <c r="C53" i="10"/>
  <c r="S45" i="10"/>
  <c r="R45" i="10"/>
  <c r="P45" i="10"/>
  <c r="P55" i="10" s="1"/>
  <c r="P58" i="10" s="1"/>
  <c r="O45" i="10"/>
  <c r="O55" i="10" s="1"/>
  <c r="O58" i="10" s="1"/>
  <c r="L45" i="10"/>
  <c r="L55" i="10" s="1"/>
  <c r="L58" i="10" s="1"/>
  <c r="I45" i="10"/>
  <c r="F45" i="10"/>
  <c r="F55" i="10" s="1"/>
  <c r="C45" i="10"/>
  <c r="C55" i="10" s="1"/>
  <c r="H38" i="10"/>
  <c r="H56" i="10" s="1"/>
  <c r="E38" i="10"/>
  <c r="E56" i="10" s="1"/>
  <c r="B38" i="10"/>
  <c r="B56" i="10" s="1"/>
  <c r="S35" i="10"/>
  <c r="Q35" i="10"/>
  <c r="P35" i="10"/>
  <c r="N35" i="10"/>
  <c r="M35" i="10"/>
  <c r="K35" i="10"/>
  <c r="J35" i="10"/>
  <c r="G35" i="10"/>
  <c r="D35" i="10"/>
  <c r="N29" i="10"/>
  <c r="K29" i="10"/>
  <c r="S26" i="10"/>
  <c r="Q26" i="10"/>
  <c r="N26" i="10"/>
  <c r="M26" i="10"/>
  <c r="H26" i="10"/>
  <c r="G26" i="10"/>
  <c r="Q25" i="10"/>
  <c r="N25" i="10"/>
  <c r="H25" i="10"/>
  <c r="S24" i="10"/>
  <c r="Q24" i="10"/>
  <c r="Q27" i="10" s="1"/>
  <c r="N24" i="10"/>
  <c r="M24" i="10"/>
  <c r="H24" i="10"/>
  <c r="G24" i="10"/>
  <c r="D24" i="10"/>
  <c r="R22" i="10"/>
  <c r="R26" i="10" s="1"/>
  <c r="P22" i="10"/>
  <c r="P26" i="10" s="1"/>
  <c r="O22" i="10"/>
  <c r="O26" i="10" s="1"/>
  <c r="L22" i="10"/>
  <c r="L26" i="10" s="1"/>
  <c r="J22" i="10"/>
  <c r="J26" i="10" s="1"/>
  <c r="I22" i="10"/>
  <c r="F22" i="10"/>
  <c r="F26" i="10" s="1"/>
  <c r="C22" i="10"/>
  <c r="AC21" i="10"/>
  <c r="AC20" i="10"/>
  <c r="R14" i="10"/>
  <c r="P14" i="10"/>
  <c r="O14" i="10"/>
  <c r="L14" i="10"/>
  <c r="J14" i="10"/>
  <c r="I14" i="10"/>
  <c r="F14" i="10"/>
  <c r="C14" i="10"/>
  <c r="AC13" i="10"/>
  <c r="AC12" i="10"/>
  <c r="AC11" i="10"/>
  <c r="K7" i="10"/>
  <c r="K25" i="10" s="1"/>
  <c r="E7" i="10"/>
  <c r="E25" i="10" s="1"/>
  <c r="B7" i="10"/>
  <c r="B25" i="10" s="1"/>
  <c r="I5" i="10"/>
  <c r="S4" i="10"/>
  <c r="P4" i="10"/>
  <c r="M4" i="10"/>
  <c r="J4" i="10"/>
  <c r="I4" i="10"/>
  <c r="G4" i="10"/>
  <c r="J24" i="10" l="1"/>
  <c r="R24" i="10"/>
  <c r="C24" i="10"/>
  <c r="C27" i="10" s="1"/>
  <c r="L24" i="10"/>
  <c r="L27" i="10" s="1"/>
  <c r="AI182" i="10"/>
  <c r="AI241" i="10"/>
  <c r="AI243" i="10" s="1"/>
  <c r="R55" i="10"/>
  <c r="R58" i="10" s="1"/>
  <c r="M27" i="10"/>
  <c r="P24" i="10"/>
  <c r="C58" i="10"/>
  <c r="K151" i="10"/>
  <c r="AI186" i="10"/>
  <c r="AI213" i="10"/>
  <c r="AI249" i="10"/>
  <c r="AC249" i="10" s="1"/>
  <c r="F58" i="10"/>
  <c r="E163" i="10"/>
  <c r="B9" i="10" s="1"/>
  <c r="O24" i="10"/>
  <c r="O27" i="10" s="1"/>
  <c r="H163" i="10"/>
  <c r="I163" i="10" s="1"/>
  <c r="AI184" i="10"/>
  <c r="AC184" i="10" s="1"/>
  <c r="AI199" i="10"/>
  <c r="J27" i="10"/>
  <c r="R27" i="10"/>
  <c r="S27" i="10"/>
  <c r="AE72" i="10"/>
  <c r="AJ122" i="10"/>
  <c r="AI187" i="10"/>
  <c r="AC187" i="10" s="1"/>
  <c r="G27" i="10"/>
  <c r="G58" i="10"/>
  <c r="H27" i="10"/>
  <c r="AI188" i="10"/>
  <c r="AC188" i="10" s="1"/>
  <c r="AI211" i="10"/>
  <c r="Q18" i="11"/>
  <c r="Q22" i="11" s="1"/>
  <c r="Q24" i="11" s="1"/>
  <c r="Q27" i="11" s="1"/>
  <c r="N18" i="11"/>
  <c r="N22" i="11" s="1"/>
  <c r="N24" i="11" s="1"/>
  <c r="N27" i="11" s="1"/>
  <c r="H18" i="11"/>
  <c r="H22" i="11" s="1"/>
  <c r="H24" i="11" s="1"/>
  <c r="H27" i="11" s="1"/>
  <c r="AI14" i="11"/>
  <c r="W16" i="11"/>
  <c r="W21" i="11" s="1"/>
  <c r="X14" i="11"/>
  <c r="C69" i="11" s="1"/>
  <c r="C71" i="11" s="1"/>
  <c r="C73" i="11" s="1"/>
  <c r="D230" i="11"/>
  <c r="H230" i="11"/>
  <c r="V16" i="11"/>
  <c r="J217" i="11"/>
  <c r="J227" i="11"/>
  <c r="J225" i="11"/>
  <c r="J223" i="11"/>
  <c r="J221" i="11"/>
  <c r="J218" i="11"/>
  <c r="J219" i="11"/>
  <c r="J226" i="11"/>
  <c r="E49" i="11"/>
  <c r="E53" i="11" s="1"/>
  <c r="J228" i="11"/>
  <c r="J220" i="11"/>
  <c r="B49" i="11"/>
  <c r="B53" i="11" s="1"/>
  <c r="K18" i="11"/>
  <c r="K22" i="11" s="1"/>
  <c r="J224" i="11"/>
  <c r="E18" i="11"/>
  <c r="E22" i="11" s="1"/>
  <c r="H49" i="11"/>
  <c r="H53" i="11" s="1"/>
  <c r="J222" i="11"/>
  <c r="B18" i="11"/>
  <c r="G210" i="10"/>
  <c r="D210" i="10"/>
  <c r="E212" i="10"/>
  <c r="E214" i="10" s="1"/>
  <c r="G152" i="10"/>
  <c r="AH139" i="10"/>
  <c r="K152" i="10"/>
  <c r="O152" i="10"/>
  <c r="E151" i="10"/>
  <c r="M151" i="10"/>
  <c r="I151" i="10"/>
  <c r="I123" i="10"/>
  <c r="O123" i="10"/>
  <c r="J58" i="10"/>
  <c r="D58" i="10"/>
  <c r="D27" i="10"/>
  <c r="AD20" i="10"/>
  <c r="AF20" i="10" s="1"/>
  <c r="AC192" i="10"/>
  <c r="AC242" i="10"/>
  <c r="N27" i="10"/>
  <c r="AE108" i="10"/>
  <c r="I108" i="10"/>
  <c r="I122" i="10" s="1"/>
  <c r="O108" i="10"/>
  <c r="G108" i="10"/>
  <c r="G122" i="10" s="1"/>
  <c r="M108" i="10"/>
  <c r="M122" i="10" s="1"/>
  <c r="E108" i="10"/>
  <c r="K108" i="10"/>
  <c r="K122" i="10" s="1"/>
  <c r="AC186" i="10"/>
  <c r="I24" i="10"/>
  <c r="I27" i="10" s="1"/>
  <c r="AH100" i="10"/>
  <c r="AC185" i="10"/>
  <c r="AC182" i="10"/>
  <c r="M106" i="10"/>
  <c r="E106" i="10"/>
  <c r="I106" i="10"/>
  <c r="O106" i="10"/>
  <c r="K106" i="10"/>
  <c r="G106" i="10"/>
  <c r="H213" i="10"/>
  <c r="I213" i="10" s="1"/>
  <c r="B213" i="10"/>
  <c r="C213" i="10" s="1"/>
  <c r="P27" i="10"/>
  <c r="F24" i="10"/>
  <c r="F27" i="10" s="1"/>
  <c r="V29" i="10"/>
  <c r="B64" i="10"/>
  <c r="I55" i="10"/>
  <c r="I58" i="10" s="1"/>
  <c r="D93" i="10"/>
  <c r="C93" i="10" s="1"/>
  <c r="M105" i="10"/>
  <c r="E105" i="10"/>
  <c r="I105" i="10"/>
  <c r="O105" i="10"/>
  <c r="K105" i="10"/>
  <c r="G105" i="10"/>
  <c r="AH110" i="10"/>
  <c r="I135" i="10"/>
  <c r="AJ135" i="10" s="1"/>
  <c r="O135" i="10"/>
  <c r="G135" i="10"/>
  <c r="AH135" i="10" s="1"/>
  <c r="M135" i="10"/>
  <c r="E135" i="10"/>
  <c r="AF170" i="10"/>
  <c r="N164" i="10"/>
  <c r="O164" i="10" s="1"/>
  <c r="J164" i="10"/>
  <c r="K164" i="10" s="1"/>
  <c r="K10" i="10" s="1"/>
  <c r="H164" i="10"/>
  <c r="I164" i="10" s="1"/>
  <c r="I171" i="10"/>
  <c r="H41" i="10" s="1"/>
  <c r="L164" i="10"/>
  <c r="M164" i="10" s="1"/>
  <c r="G171" i="10"/>
  <c r="E41" i="10" s="1"/>
  <c r="E164" i="10"/>
  <c r="B10" i="10" s="1"/>
  <c r="J171" i="10"/>
  <c r="K171" i="10" s="1"/>
  <c r="C239" i="10"/>
  <c r="G239" i="10" s="1"/>
  <c r="D179" i="10" s="1"/>
  <c r="S55" i="10"/>
  <c r="S58" i="10" s="1"/>
  <c r="K58" i="10"/>
  <c r="I103" i="10"/>
  <c r="M103" i="10"/>
  <c r="E103" i="10"/>
  <c r="I129" i="10"/>
  <c r="O129" i="10"/>
  <c r="G129" i="10"/>
  <c r="M129" i="10"/>
  <c r="E129" i="10"/>
  <c r="M134" i="10"/>
  <c r="E134" i="10"/>
  <c r="K134" i="10"/>
  <c r="I134" i="10"/>
  <c r="AJ134" i="10" s="1"/>
  <c r="K135" i="10"/>
  <c r="G151" i="10"/>
  <c r="O151" i="10"/>
  <c r="I170" i="10"/>
  <c r="AC255" i="10"/>
  <c r="AC253" i="10"/>
  <c r="AC251" i="10"/>
  <c r="AC254" i="10"/>
  <c r="AC250" i="10"/>
  <c r="AC252" i="10"/>
  <c r="M100" i="10"/>
  <c r="E100" i="10"/>
  <c r="AE100" i="10"/>
  <c r="I100" i="10"/>
  <c r="E123" i="10"/>
  <c r="M123" i="10"/>
  <c r="K129" i="10"/>
  <c r="G134" i="10"/>
  <c r="AH134" i="10" s="1"/>
  <c r="O136" i="10"/>
  <c r="G136" i="10"/>
  <c r="AH136" i="10" s="1"/>
  <c r="K136" i="10"/>
  <c r="I136" i="10"/>
  <c r="AJ136" i="10" s="1"/>
  <c r="AE136" i="10"/>
  <c r="E136" i="10"/>
  <c r="AF136" i="10" s="1"/>
  <c r="E152" i="10"/>
  <c r="AF139" i="10"/>
  <c r="M152" i="10"/>
  <c r="O170" i="10"/>
  <c r="O172" i="10" s="1"/>
  <c r="M170" i="10"/>
  <c r="M172" i="10" s="1"/>
  <c r="B205" i="10"/>
  <c r="D211" i="10"/>
  <c r="D212" i="10" s="1"/>
  <c r="B212" i="10"/>
  <c r="K101" i="10"/>
  <c r="K102" i="10"/>
  <c r="K107" i="10"/>
  <c r="K118" i="10"/>
  <c r="K123" i="10" s="1"/>
  <c r="I131" i="10"/>
  <c r="AJ131" i="10" s="1"/>
  <c r="I132" i="10"/>
  <c r="AJ132" i="10" s="1"/>
  <c r="K131" i="10"/>
  <c r="K132" i="10"/>
  <c r="I152" i="10"/>
  <c r="H39" i="10" s="1"/>
  <c r="AJ139" i="10"/>
  <c r="M163" i="10"/>
  <c r="AI214" i="10"/>
  <c r="AI212" i="10"/>
  <c r="AI256" i="10"/>
  <c r="G101" i="10"/>
  <c r="G102" i="10"/>
  <c r="G107" i="10"/>
  <c r="G118" i="10"/>
  <c r="G123" i="10" s="1"/>
  <c r="E131" i="10"/>
  <c r="E132" i="10"/>
  <c r="J170" i="10"/>
  <c r="K170" i="10" s="1"/>
  <c r="G170" i="10"/>
  <c r="AF169" i="10"/>
  <c r="N163" i="10"/>
  <c r="O163" i="10" s="1"/>
  <c r="J163" i="10"/>
  <c r="K163" i="10" s="1"/>
  <c r="AI183" i="10"/>
  <c r="AC183" i="10" s="1"/>
  <c r="F211" i="10"/>
  <c r="G211" i="10" s="1"/>
  <c r="G212" i="10" s="1"/>
  <c r="AI215" i="10"/>
  <c r="AE142" i="9"/>
  <c r="B194" i="9"/>
  <c r="AC241" i="10" l="1"/>
  <c r="I165" i="10"/>
  <c r="O150" i="10"/>
  <c r="O153" i="10" s="1"/>
  <c r="E39" i="10"/>
  <c r="I121" i="10"/>
  <c r="I124" i="10" s="1"/>
  <c r="AG16" i="11"/>
  <c r="AH16" i="11" s="1"/>
  <c r="AJ16" i="11" s="1"/>
  <c r="V18" i="11"/>
  <c r="X18" i="11" s="1"/>
  <c r="K24" i="11"/>
  <c r="K26" i="11"/>
  <c r="E55" i="11"/>
  <c r="H55" i="11"/>
  <c r="B22" i="11"/>
  <c r="J230" i="11"/>
  <c r="AG21" i="11"/>
  <c r="X21" i="11"/>
  <c r="B55" i="11"/>
  <c r="E24" i="11"/>
  <c r="X16" i="11"/>
  <c r="W20" i="11"/>
  <c r="K172" i="10"/>
  <c r="M165" i="10"/>
  <c r="B39" i="10"/>
  <c r="AH154" i="10"/>
  <c r="G121" i="10"/>
  <c r="E6" i="10" s="1"/>
  <c r="K121" i="10"/>
  <c r="K124" i="10" s="1"/>
  <c r="O121" i="10"/>
  <c r="AE20" i="10"/>
  <c r="C212" i="10"/>
  <c r="J212" i="10"/>
  <c r="G214" i="10"/>
  <c r="AC17" i="10" s="1"/>
  <c r="F212" i="10"/>
  <c r="G163" i="10"/>
  <c r="AD9" i="10"/>
  <c r="AF9" i="10" s="1"/>
  <c r="AC9" i="10"/>
  <c r="AF108" i="10"/>
  <c r="E122" i="10"/>
  <c r="K165" i="10"/>
  <c r="K9" i="10"/>
  <c r="AJ154" i="10"/>
  <c r="E150" i="10"/>
  <c r="AF132" i="10"/>
  <c r="AF154" i="10" s="1"/>
  <c r="AF177" i="10"/>
  <c r="E171" i="10"/>
  <c r="B41" i="10" s="1"/>
  <c r="H40" i="10"/>
  <c r="I172" i="10"/>
  <c r="I150" i="10"/>
  <c r="O165" i="10"/>
  <c r="H212" i="10"/>
  <c r="H214" i="10" s="1"/>
  <c r="B214" i="10"/>
  <c r="E121" i="10"/>
  <c r="AF100" i="10"/>
  <c r="AF122" i="10" s="1"/>
  <c r="M150" i="10"/>
  <c r="M153" i="10" s="1"/>
  <c r="G164" i="10"/>
  <c r="E10" i="10" s="1"/>
  <c r="AC10" i="10"/>
  <c r="AD10" i="10"/>
  <c r="AF10" i="10" s="1"/>
  <c r="E165" i="10"/>
  <c r="E90" i="10"/>
  <c r="E86" i="10"/>
  <c r="E82" i="10"/>
  <c r="E93" i="10"/>
  <c r="E92" i="10"/>
  <c r="E88" i="10"/>
  <c r="E85" i="10"/>
  <c r="E91" i="10"/>
  <c r="E83" i="10"/>
  <c r="E89" i="10"/>
  <c r="E84" i="10"/>
  <c r="E81" i="10"/>
  <c r="E87" i="10"/>
  <c r="AH122" i="10"/>
  <c r="E8" i="10"/>
  <c r="G172" i="10"/>
  <c r="E40" i="10"/>
  <c r="D213" i="10"/>
  <c r="D214" i="10" s="1"/>
  <c r="B206" i="10"/>
  <c r="J213" i="10" s="1"/>
  <c r="D243" i="10"/>
  <c r="E243" i="10" s="1"/>
  <c r="C201" i="10"/>
  <c r="C203" i="10" s="1"/>
  <c r="C204" i="10" s="1"/>
  <c r="D245" i="10"/>
  <c r="E245" i="10" s="1"/>
  <c r="H185" i="10"/>
  <c r="H179" i="10"/>
  <c r="AD21" i="10"/>
  <c r="AD19" i="10"/>
  <c r="D244" i="10"/>
  <c r="E244" i="10" s="1"/>
  <c r="AD11" i="10"/>
  <c r="H182" i="10"/>
  <c r="AC29" i="10"/>
  <c r="AD13" i="10"/>
  <c r="AD12" i="10"/>
  <c r="AF220" i="10"/>
  <c r="E216" i="10"/>
  <c r="AD17" i="10"/>
  <c r="AF17" i="10" s="1"/>
  <c r="K150" i="10"/>
  <c r="K153" i="10" s="1"/>
  <c r="AF176" i="10"/>
  <c r="E170" i="10"/>
  <c r="V126" i="10"/>
  <c r="M121" i="10"/>
  <c r="M124" i="10" s="1"/>
  <c r="AC256" i="10"/>
  <c r="G150" i="10"/>
  <c r="AC189" i="10"/>
  <c r="K8" i="10"/>
  <c r="O122" i="10"/>
  <c r="O124" i="10" s="1"/>
  <c r="AL108" i="10"/>
  <c r="AL122" i="10" s="1"/>
  <c r="AC243" i="10"/>
  <c r="AE65" i="9"/>
  <c r="G124" i="10" l="1"/>
  <c r="F214" i="10"/>
  <c r="G215" i="10" s="1"/>
  <c r="G231" i="10" s="1"/>
  <c r="K6" i="10"/>
  <c r="AI16" i="11"/>
  <c r="V22" i="11"/>
  <c r="V24" i="11" s="1"/>
  <c r="E27" i="11"/>
  <c r="H58" i="11"/>
  <c r="B58" i="11"/>
  <c r="E58" i="11"/>
  <c r="B26" i="11"/>
  <c r="V26" i="11" s="1"/>
  <c r="B24" i="11"/>
  <c r="AG20" i="11"/>
  <c r="X20" i="11"/>
  <c r="X22" i="11" s="1"/>
  <c r="W22" i="11"/>
  <c r="D68" i="11" s="1"/>
  <c r="AH21" i="11"/>
  <c r="AJ21" i="11" s="1"/>
  <c r="AI21" i="11"/>
  <c r="K27" i="11"/>
  <c r="V10" i="10"/>
  <c r="W10" i="10" s="1"/>
  <c r="AG10" i="10" s="1"/>
  <c r="C214" i="10"/>
  <c r="AC16" i="10"/>
  <c r="AF12" i="10"/>
  <c r="AE12" i="10"/>
  <c r="E50" i="10"/>
  <c r="E246" i="10"/>
  <c r="H50" i="10"/>
  <c r="B50" i="10"/>
  <c r="K19" i="10"/>
  <c r="B19" i="10"/>
  <c r="E19" i="10"/>
  <c r="AF221" i="10"/>
  <c r="AD18" i="10"/>
  <c r="AF18" i="10" s="1"/>
  <c r="E37" i="10"/>
  <c r="G153" i="10"/>
  <c r="E172" i="10"/>
  <c r="B40" i="10"/>
  <c r="AF13" i="10"/>
  <c r="AE13" i="10"/>
  <c r="H51" i="10"/>
  <c r="E20" i="10"/>
  <c r="E51" i="10"/>
  <c r="K20" i="10"/>
  <c r="B51" i="10"/>
  <c r="B20" i="10"/>
  <c r="B44" i="10"/>
  <c r="H44" i="10"/>
  <c r="E44" i="10"/>
  <c r="E13" i="10"/>
  <c r="B13" i="10"/>
  <c r="K13" i="10"/>
  <c r="E153" i="10"/>
  <c r="B37" i="10"/>
  <c r="V125" i="10"/>
  <c r="B8" i="10"/>
  <c r="V8" i="10" s="1"/>
  <c r="G165" i="10"/>
  <c r="E9" i="10"/>
  <c r="I212" i="10"/>
  <c r="J214" i="10"/>
  <c r="AE11" i="10"/>
  <c r="AF11" i="10"/>
  <c r="H42" i="10"/>
  <c r="E42" i="10"/>
  <c r="B42" i="10"/>
  <c r="K11" i="10"/>
  <c r="E11" i="10"/>
  <c r="B11" i="10"/>
  <c r="E219" i="10"/>
  <c r="E228" i="10"/>
  <c r="E227" i="10"/>
  <c r="E221" i="10"/>
  <c r="E226" i="10"/>
  <c r="E225" i="10"/>
  <c r="E220" i="10"/>
  <c r="G216" i="10"/>
  <c r="E224" i="10"/>
  <c r="E223" i="10"/>
  <c r="E230" i="10"/>
  <c r="E229" i="10"/>
  <c r="E222" i="10"/>
  <c r="AG18" i="10"/>
  <c r="AG19" i="10"/>
  <c r="AG17" i="10"/>
  <c r="AH17" i="10" s="1"/>
  <c r="AJ17" i="10" s="1"/>
  <c r="AE19" i="10"/>
  <c r="AF19" i="10"/>
  <c r="E52" i="10"/>
  <c r="B21" i="10"/>
  <c r="B52" i="10"/>
  <c r="K21" i="10"/>
  <c r="H52" i="10"/>
  <c r="E21" i="10"/>
  <c r="AE10" i="10"/>
  <c r="E124" i="10"/>
  <c r="B6" i="10"/>
  <c r="I153" i="10"/>
  <c r="H37" i="10"/>
  <c r="B43" i="10"/>
  <c r="H43" i="10"/>
  <c r="E12" i="10"/>
  <c r="K12" i="10"/>
  <c r="B12" i="10"/>
  <c r="E43" i="10"/>
  <c r="AF21" i="10"/>
  <c r="AE21" i="10"/>
  <c r="C205" i="10"/>
  <c r="B215" i="10"/>
  <c r="B216" i="10" s="1"/>
  <c r="AF219" i="10"/>
  <c r="AD16" i="10"/>
  <c r="AF16" i="10" s="1"/>
  <c r="AC14" i="10"/>
  <c r="AE9" i="10"/>
  <c r="AC202" i="10"/>
  <c r="AC203" i="10"/>
  <c r="AE17" i="10"/>
  <c r="D164" i="9"/>
  <c r="D163" i="9"/>
  <c r="B27" i="11" l="1"/>
  <c r="K14" i="10"/>
  <c r="V27" i="11"/>
  <c r="D69" i="11"/>
  <c r="B69" i="11" s="1"/>
  <c r="X24" i="11"/>
  <c r="B68" i="11"/>
  <c r="AH20" i="11"/>
  <c r="AJ20" i="11" s="1"/>
  <c r="AI20" i="11"/>
  <c r="AI22" i="11" s="1"/>
  <c r="AI23" i="11" s="1"/>
  <c r="AI24" i="11" s="1"/>
  <c r="AI28" i="11" s="1"/>
  <c r="AG22" i="11"/>
  <c r="AG23" i="11" s="1"/>
  <c r="AG24" i="11" s="1"/>
  <c r="AG28" i="11" s="1"/>
  <c r="AH10" i="10"/>
  <c r="AJ10" i="10" s="1"/>
  <c r="AI10" i="10"/>
  <c r="AI17" i="10"/>
  <c r="E14" i="10"/>
  <c r="V19" i="10"/>
  <c r="X19" i="10" s="1"/>
  <c r="V20" i="10"/>
  <c r="D73" i="10" s="1"/>
  <c r="B73" i="10" s="1"/>
  <c r="B14" i="10"/>
  <c r="V6" i="10"/>
  <c r="V21" i="10"/>
  <c r="AC199" i="10"/>
  <c r="AC198" i="10"/>
  <c r="AC200" i="10" s="1"/>
  <c r="AE16" i="10"/>
  <c r="W8" i="10"/>
  <c r="X8" i="10" s="1"/>
  <c r="AH18" i="10"/>
  <c r="AJ18" i="10" s="1"/>
  <c r="B221" i="10"/>
  <c r="B230" i="10"/>
  <c r="B223" i="10"/>
  <c r="B222" i="10"/>
  <c r="B219" i="10"/>
  <c r="B229" i="10"/>
  <c r="B228" i="10"/>
  <c r="B227" i="10"/>
  <c r="B226" i="10"/>
  <c r="B225" i="10"/>
  <c r="B224" i="10"/>
  <c r="B220" i="10"/>
  <c r="D216" i="10"/>
  <c r="H215" i="10"/>
  <c r="B231" i="10"/>
  <c r="D215" i="10"/>
  <c r="D231" i="10" s="1"/>
  <c r="G229" i="10"/>
  <c r="G227" i="10"/>
  <c r="G225" i="10"/>
  <c r="G223" i="10"/>
  <c r="G220" i="10"/>
  <c r="G226" i="10"/>
  <c r="G224" i="10"/>
  <c r="G230" i="10"/>
  <c r="G222" i="10"/>
  <c r="G219" i="10"/>
  <c r="G228" i="10"/>
  <c r="G221" i="10"/>
  <c r="H48" i="10"/>
  <c r="E48" i="10"/>
  <c r="B17" i="10"/>
  <c r="B48" i="10"/>
  <c r="E17" i="10"/>
  <c r="K17" i="10"/>
  <c r="V12" i="10"/>
  <c r="AH19" i="10"/>
  <c r="AJ19" i="10" s="1"/>
  <c r="AI19" i="10"/>
  <c r="V11" i="10"/>
  <c r="I214" i="10"/>
  <c r="C206" i="10" s="1"/>
  <c r="AC18" i="10"/>
  <c r="AC204" i="10"/>
  <c r="H45" i="10"/>
  <c r="E232" i="10"/>
  <c r="V9" i="10"/>
  <c r="B45" i="10"/>
  <c r="V13" i="10"/>
  <c r="E45" i="10"/>
  <c r="X10" i="10"/>
  <c r="B136" i="9"/>
  <c r="C135" i="9"/>
  <c r="B135" i="9"/>
  <c r="C134" i="9"/>
  <c r="B134" i="9" s="1"/>
  <c r="G134" i="9" s="1"/>
  <c r="B132" i="9"/>
  <c r="B131" i="9"/>
  <c r="B130" i="9"/>
  <c r="B129" i="9"/>
  <c r="B107" i="9"/>
  <c r="C106" i="9"/>
  <c r="B106" i="9"/>
  <c r="B71" i="11" l="1"/>
  <c r="B73" i="11" s="1"/>
  <c r="D71" i="11"/>
  <c r="D73" i="11" s="1"/>
  <c r="B232" i="10"/>
  <c r="W12" i="10"/>
  <c r="AG12" i="10" s="1"/>
  <c r="W11" i="10"/>
  <c r="AG11" i="10" s="1"/>
  <c r="V17" i="10"/>
  <c r="X17" i="10" s="1"/>
  <c r="AC213" i="10"/>
  <c r="AC211" i="10"/>
  <c r="AC215" i="10"/>
  <c r="AC214" i="10"/>
  <c r="AC212" i="10"/>
  <c r="AC216" i="10"/>
  <c r="AI18" i="10"/>
  <c r="AE18" i="10"/>
  <c r="G232" i="10"/>
  <c r="H231" i="10"/>
  <c r="J215" i="10"/>
  <c r="J231" i="10" s="1"/>
  <c r="H216" i="10"/>
  <c r="AC22" i="10"/>
  <c r="AC23" i="10" s="1"/>
  <c r="AC24" i="10" s="1"/>
  <c r="AC28" i="10" s="1"/>
  <c r="W24" i="10"/>
  <c r="V14" i="10"/>
  <c r="W6" i="10"/>
  <c r="D230" i="10"/>
  <c r="D228" i="10"/>
  <c r="D226" i="10"/>
  <c r="D224" i="10"/>
  <c r="D222" i="10"/>
  <c r="D229" i="10"/>
  <c r="H47" i="10"/>
  <c r="D227" i="10"/>
  <c r="D221" i="10"/>
  <c r="D225" i="10"/>
  <c r="D220" i="10"/>
  <c r="B47" i="10"/>
  <c r="K16" i="10"/>
  <c r="D223" i="10"/>
  <c r="E47" i="10"/>
  <c r="D219" i="10"/>
  <c r="E16" i="10"/>
  <c r="B16" i="10"/>
  <c r="W13" i="10"/>
  <c r="AG13" i="10" s="1"/>
  <c r="W9" i="10"/>
  <c r="AG9" i="10" s="1"/>
  <c r="C105" i="9"/>
  <c r="B105" i="9" s="1"/>
  <c r="X9" i="10" l="1"/>
  <c r="X12" i="10"/>
  <c r="X11" i="10"/>
  <c r="X13" i="10"/>
  <c r="H221" i="10"/>
  <c r="H225" i="10"/>
  <c r="H224" i="10"/>
  <c r="H220" i="10"/>
  <c r="J216" i="10"/>
  <c r="H230" i="10"/>
  <c r="H223" i="10"/>
  <c r="H222" i="10"/>
  <c r="H219" i="10"/>
  <c r="H229" i="10"/>
  <c r="H228" i="10"/>
  <c r="H227" i="10"/>
  <c r="H226" i="10"/>
  <c r="AH11" i="10"/>
  <c r="AJ11" i="10" s="1"/>
  <c r="AI11" i="10"/>
  <c r="D232" i="10"/>
  <c r="W14" i="10"/>
  <c r="C69" i="10" s="1"/>
  <c r="AH12" i="10"/>
  <c r="AJ12" i="10" s="1"/>
  <c r="AI12" i="10"/>
  <c r="AH13" i="10"/>
  <c r="AJ13" i="10" s="1"/>
  <c r="AI13" i="10"/>
  <c r="AG14" i="10"/>
  <c r="AH9" i="10"/>
  <c r="AJ9" i="10" s="1"/>
  <c r="AI9" i="10"/>
  <c r="V16" i="10"/>
  <c r="AC217" i="10"/>
  <c r="B102" i="9"/>
  <c r="X14" i="10" l="1"/>
  <c r="C70" i="10" s="1"/>
  <c r="W16" i="10"/>
  <c r="W21" i="10" s="1"/>
  <c r="AG21" i="10" s="1"/>
  <c r="AI14" i="10"/>
  <c r="H232" i="10"/>
  <c r="J230" i="10"/>
  <c r="J228" i="10"/>
  <c r="J226" i="10"/>
  <c r="J224" i="10"/>
  <c r="J222" i="10"/>
  <c r="J223" i="10"/>
  <c r="J219" i="10"/>
  <c r="B49" i="10"/>
  <c r="B53" i="10" s="1"/>
  <c r="J229" i="10"/>
  <c r="J227" i="10"/>
  <c r="J221" i="10"/>
  <c r="J220" i="10"/>
  <c r="H49" i="10"/>
  <c r="H53" i="10" s="1"/>
  <c r="K18" i="10"/>
  <c r="K22" i="10" s="1"/>
  <c r="J225" i="10"/>
  <c r="E18" i="10"/>
  <c r="E22" i="10" s="1"/>
  <c r="E49" i="10"/>
  <c r="E53" i="10" s="1"/>
  <c r="B18" i="10"/>
  <c r="K146" i="9"/>
  <c r="B101" i="9"/>
  <c r="B100" i="9"/>
  <c r="X16" i="10" l="1"/>
  <c r="X21" i="10"/>
  <c r="W20" i="10"/>
  <c r="W22" i="10" s="1"/>
  <c r="D69" i="10" s="1"/>
  <c r="AG16" i="10"/>
  <c r="AH16" i="10" s="1"/>
  <c r="AJ16" i="10" s="1"/>
  <c r="K26" i="10"/>
  <c r="K24" i="10"/>
  <c r="E57" i="10"/>
  <c r="E55" i="10"/>
  <c r="H57" i="10"/>
  <c r="H55" i="10"/>
  <c r="V18" i="10"/>
  <c r="B22" i="10"/>
  <c r="E26" i="10"/>
  <c r="E24" i="10"/>
  <c r="B57" i="10"/>
  <c r="B55" i="10"/>
  <c r="J232" i="10"/>
  <c r="C72" i="10"/>
  <c r="C74" i="10" s="1"/>
  <c r="AH21" i="10"/>
  <c r="AJ21" i="10" s="1"/>
  <c r="AI21" i="10"/>
  <c r="B163" i="9"/>
  <c r="C182" i="9"/>
  <c r="B117" i="9"/>
  <c r="K117" i="9" s="1"/>
  <c r="J119" i="9"/>
  <c r="B60" i="9"/>
  <c r="K60" i="9"/>
  <c r="E60" i="9"/>
  <c r="H60" i="9"/>
  <c r="K29" i="9"/>
  <c r="B29" i="9"/>
  <c r="X20" i="10" l="1"/>
  <c r="AG20" i="10"/>
  <c r="AH20" i="10" s="1"/>
  <c r="AJ20" i="10" s="1"/>
  <c r="AI16" i="10"/>
  <c r="B58" i="10"/>
  <c r="K27" i="10"/>
  <c r="E58" i="10"/>
  <c r="B69" i="10"/>
  <c r="B26" i="10"/>
  <c r="V26" i="10" s="1"/>
  <c r="B24" i="10"/>
  <c r="E27" i="10"/>
  <c r="X18" i="10"/>
  <c r="V22" i="10"/>
  <c r="V24" i="10" s="1"/>
  <c r="H58" i="10"/>
  <c r="B103" i="9"/>
  <c r="B118" i="9"/>
  <c r="K118" i="9" s="1"/>
  <c r="B116" i="9"/>
  <c r="K116" i="9" s="1"/>
  <c r="AJ116" i="9" s="1"/>
  <c r="M111" i="9"/>
  <c r="B108" i="9"/>
  <c r="I108" i="9" s="1"/>
  <c r="D64" i="9"/>
  <c r="AJ256" i="9"/>
  <c r="AI254" i="9" s="1"/>
  <c r="C245" i="9"/>
  <c r="AC21" i="9" s="1"/>
  <c r="B244" i="9"/>
  <c r="AJ243" i="9"/>
  <c r="C243" i="9"/>
  <c r="AC19" i="9" s="1"/>
  <c r="E231" i="9"/>
  <c r="AJ217" i="9"/>
  <c r="AI214" i="9" s="1"/>
  <c r="F213" i="9"/>
  <c r="E211" i="9"/>
  <c r="C211" i="9"/>
  <c r="B211" i="9"/>
  <c r="E210" i="9"/>
  <c r="B210" i="9"/>
  <c r="H208" i="9"/>
  <c r="AJ204" i="9"/>
  <c r="AI202" i="9" s="1"/>
  <c r="AI203" i="9"/>
  <c r="B203" i="9"/>
  <c r="B204" i="9" s="1"/>
  <c r="AJ200" i="9"/>
  <c r="AI199" i="9" s="1"/>
  <c r="C194" i="9"/>
  <c r="F211" i="9" s="1"/>
  <c r="C210" i="9"/>
  <c r="AJ189" i="9"/>
  <c r="AI187" i="9" s="1"/>
  <c r="C185" i="9"/>
  <c r="C179" i="9"/>
  <c r="O171" i="9"/>
  <c r="M171" i="9"/>
  <c r="J171" i="9"/>
  <c r="K171" i="9" s="1"/>
  <c r="F171" i="9"/>
  <c r="G171" i="9" s="1"/>
  <c r="E41" i="9" s="1"/>
  <c r="D171" i="9"/>
  <c r="AF177" i="9" s="1"/>
  <c r="AF170" i="9"/>
  <c r="J170" i="9"/>
  <c r="F170" i="9"/>
  <c r="B170" i="9"/>
  <c r="M170" i="9" s="1"/>
  <c r="AF169" i="9"/>
  <c r="N164" i="9"/>
  <c r="O164" i="9" s="1"/>
  <c r="J164" i="9"/>
  <c r="K164" i="9" s="1"/>
  <c r="K10" i="9" s="1"/>
  <c r="F164" i="9"/>
  <c r="G164" i="9" s="1"/>
  <c r="E10" i="9" s="1"/>
  <c r="E164" i="9"/>
  <c r="B10" i="9" s="1"/>
  <c r="L164" i="9"/>
  <c r="M164" i="9" s="1"/>
  <c r="N163" i="9"/>
  <c r="O163" i="9" s="1"/>
  <c r="J163" i="9"/>
  <c r="K163" i="9" s="1"/>
  <c r="K9" i="9" s="1"/>
  <c r="F163" i="9"/>
  <c r="G163" i="9" s="1"/>
  <c r="E163" i="9"/>
  <c r="H170" i="9"/>
  <c r="O147" i="9"/>
  <c r="M147" i="9"/>
  <c r="K147" i="9"/>
  <c r="I147" i="9"/>
  <c r="AJ147" i="9" s="1"/>
  <c r="G147" i="9"/>
  <c r="E147" i="9"/>
  <c r="O145" i="9"/>
  <c r="M145" i="9"/>
  <c r="K145" i="9"/>
  <c r="I145" i="9"/>
  <c r="AJ145" i="9" s="1"/>
  <c r="G145" i="9"/>
  <c r="AH145" i="9" s="1"/>
  <c r="E145" i="9"/>
  <c r="AE144" i="9"/>
  <c r="O144" i="9"/>
  <c r="M144" i="9"/>
  <c r="I144" i="9"/>
  <c r="AJ144" i="9" s="1"/>
  <c r="G144" i="9"/>
  <c r="AH144" i="9" s="1"/>
  <c r="E144" i="9"/>
  <c r="AF144" i="9" s="1"/>
  <c r="K144" i="9"/>
  <c r="O143" i="9"/>
  <c r="G143" i="9"/>
  <c r="AH143" i="9" s="1"/>
  <c r="M143" i="9"/>
  <c r="I142" i="9"/>
  <c r="AJ142" i="9" s="1"/>
  <c r="E142" i="9"/>
  <c r="AF142" i="9" s="1"/>
  <c r="O142" i="9"/>
  <c r="I141" i="9"/>
  <c r="AJ141" i="9" s="1"/>
  <c r="G141" i="9"/>
  <c r="AH141" i="9" s="1"/>
  <c r="K141" i="9"/>
  <c r="M140" i="9"/>
  <c r="E140" i="9"/>
  <c r="O139" i="9"/>
  <c r="G139" i="9"/>
  <c r="AE139" i="9"/>
  <c r="AE138" i="9"/>
  <c r="O138" i="9"/>
  <c r="M138" i="9"/>
  <c r="I138" i="9"/>
  <c r="AJ138" i="9" s="1"/>
  <c r="G138" i="9"/>
  <c r="AH138" i="9" s="1"/>
  <c r="E138" i="9"/>
  <c r="AF138" i="9" s="1"/>
  <c r="K138" i="9"/>
  <c r="K137" i="9"/>
  <c r="I137" i="9"/>
  <c r="AE136" i="9"/>
  <c r="O136" i="9"/>
  <c r="M136" i="9"/>
  <c r="I136" i="9"/>
  <c r="AJ136" i="9" s="1"/>
  <c r="G136" i="9"/>
  <c r="AH136" i="9" s="1"/>
  <c r="E136" i="9"/>
  <c r="AF136" i="9" s="1"/>
  <c r="K136" i="9"/>
  <c r="K135" i="9"/>
  <c r="M134" i="9"/>
  <c r="O133" i="9"/>
  <c r="M133" i="9"/>
  <c r="I133" i="9"/>
  <c r="G133" i="9"/>
  <c r="E133" i="9"/>
  <c r="K133" i="9"/>
  <c r="K132" i="9"/>
  <c r="K131" i="9"/>
  <c r="O130" i="9"/>
  <c r="M130" i="9"/>
  <c r="I130" i="9"/>
  <c r="G130" i="9"/>
  <c r="E130" i="9"/>
  <c r="K130" i="9"/>
  <c r="O129" i="9"/>
  <c r="M129" i="9"/>
  <c r="G129" i="9"/>
  <c r="E129" i="9"/>
  <c r="AF132" i="9" s="1"/>
  <c r="K129" i="9"/>
  <c r="K115" i="9"/>
  <c r="I115" i="9"/>
  <c r="AE115" i="9"/>
  <c r="O114" i="9"/>
  <c r="AL114" i="9" s="1"/>
  <c r="M114" i="9"/>
  <c r="G114" i="9"/>
  <c r="E114" i="9"/>
  <c r="AF114" i="9" s="1"/>
  <c r="K114" i="9"/>
  <c r="AE113" i="9"/>
  <c r="K112" i="9"/>
  <c r="E112" i="9"/>
  <c r="M112" i="9"/>
  <c r="O111" i="9"/>
  <c r="AL111" i="9" s="1"/>
  <c r="G111" i="9"/>
  <c r="AH111" i="9" s="1"/>
  <c r="E111" i="9"/>
  <c r="K111" i="9"/>
  <c r="AE110" i="9"/>
  <c r="O109" i="9"/>
  <c r="M109" i="9"/>
  <c r="G109" i="9"/>
  <c r="AH109" i="9" s="1"/>
  <c r="E109" i="9"/>
  <c r="AF109" i="9" s="1"/>
  <c r="K109" i="9"/>
  <c r="AE108" i="9"/>
  <c r="K108" i="9"/>
  <c r="O107" i="9"/>
  <c r="I107" i="9"/>
  <c r="G107" i="9"/>
  <c r="M107" i="9"/>
  <c r="O106" i="9"/>
  <c r="M106" i="9"/>
  <c r="G106" i="9"/>
  <c r="E106" i="9"/>
  <c r="K106" i="9"/>
  <c r="K105" i="9"/>
  <c r="O104" i="9"/>
  <c r="M104" i="9"/>
  <c r="I104" i="9"/>
  <c r="G104" i="9"/>
  <c r="E104" i="9"/>
  <c r="K104" i="9"/>
  <c r="M103" i="9"/>
  <c r="AE100" i="9"/>
  <c r="O100" i="9"/>
  <c r="I100" i="9"/>
  <c r="G100" i="9"/>
  <c r="M100" i="9"/>
  <c r="B93" i="9"/>
  <c r="C239" i="9" s="1"/>
  <c r="G239" i="9" s="1"/>
  <c r="D179" i="9" s="1"/>
  <c r="C92" i="9"/>
  <c r="D92" i="9" s="1"/>
  <c r="D91" i="9"/>
  <c r="C91" i="9"/>
  <c r="C90" i="9"/>
  <c r="D90" i="9" s="1"/>
  <c r="C89" i="9"/>
  <c r="D89" i="9" s="1"/>
  <c r="C88" i="9"/>
  <c r="D88" i="9" s="1"/>
  <c r="C87" i="9"/>
  <c r="D87" i="9" s="1"/>
  <c r="C86" i="9"/>
  <c r="D86" i="9" s="1"/>
  <c r="C85" i="9"/>
  <c r="D85" i="9" s="1"/>
  <c r="C84" i="9"/>
  <c r="D84" i="9" s="1"/>
  <c r="C83" i="9"/>
  <c r="D83" i="9" s="1"/>
  <c r="C82" i="9"/>
  <c r="D82" i="9" s="1"/>
  <c r="D81" i="9"/>
  <c r="X74" i="9"/>
  <c r="W73" i="9"/>
  <c r="W75" i="9" s="1"/>
  <c r="V73" i="9"/>
  <c r="V75" i="9" s="1"/>
  <c r="AE71" i="9"/>
  <c r="B71" i="9"/>
  <c r="AE70" i="9"/>
  <c r="AE69" i="9"/>
  <c r="AE68" i="9"/>
  <c r="AE67" i="9"/>
  <c r="AE66" i="9"/>
  <c r="C64" i="9"/>
  <c r="G57" i="9"/>
  <c r="Q56" i="9"/>
  <c r="N56" i="9"/>
  <c r="C56" i="9"/>
  <c r="S53" i="9"/>
  <c r="S57" i="9" s="1"/>
  <c r="R53" i="9"/>
  <c r="P53" i="9"/>
  <c r="P57" i="9" s="1"/>
  <c r="O53" i="9"/>
  <c r="M57" i="9"/>
  <c r="L53" i="9"/>
  <c r="L57" i="9" s="1"/>
  <c r="J57" i="9"/>
  <c r="I53" i="9"/>
  <c r="I57" i="9" s="1"/>
  <c r="F53" i="9"/>
  <c r="F57" i="9" s="1"/>
  <c r="D57" i="9"/>
  <c r="C53" i="9"/>
  <c r="S45" i="9"/>
  <c r="R45" i="9"/>
  <c r="P45" i="9"/>
  <c r="O45" i="9"/>
  <c r="M55" i="9"/>
  <c r="L45" i="9"/>
  <c r="J55" i="9"/>
  <c r="I45" i="9"/>
  <c r="G55" i="9"/>
  <c r="F45" i="9"/>
  <c r="F55" i="9" s="1"/>
  <c r="D55" i="9"/>
  <c r="C45" i="9"/>
  <c r="C55" i="9" s="1"/>
  <c r="K56" i="9"/>
  <c r="H38" i="9"/>
  <c r="H56" i="9" s="1"/>
  <c r="E38" i="9"/>
  <c r="E56" i="9" s="1"/>
  <c r="B38" i="9"/>
  <c r="B56" i="9" s="1"/>
  <c r="S35" i="9"/>
  <c r="Q35" i="9"/>
  <c r="P35" i="9"/>
  <c r="N35" i="9"/>
  <c r="M35" i="9"/>
  <c r="K35" i="9"/>
  <c r="J35" i="9"/>
  <c r="H35" i="9"/>
  <c r="G35" i="9"/>
  <c r="E35" i="9"/>
  <c r="D35" i="9"/>
  <c r="B35" i="9"/>
  <c r="N29" i="9"/>
  <c r="B64" i="9" s="1"/>
  <c r="AC29" i="9" s="1"/>
  <c r="S26" i="9"/>
  <c r="R22" i="9"/>
  <c r="R26" i="9" s="1"/>
  <c r="P22" i="9"/>
  <c r="P26" i="9" s="1"/>
  <c r="O22" i="9"/>
  <c r="O26" i="9" s="1"/>
  <c r="M26" i="9"/>
  <c r="L22" i="9"/>
  <c r="L26" i="9" s="1"/>
  <c r="J22" i="9"/>
  <c r="J26" i="9" s="1"/>
  <c r="I22" i="9"/>
  <c r="G26" i="9"/>
  <c r="F22" i="9"/>
  <c r="F26" i="9" s="1"/>
  <c r="D26" i="9"/>
  <c r="C22" i="9"/>
  <c r="AC20" i="9"/>
  <c r="S24" i="9"/>
  <c r="R14" i="9"/>
  <c r="P14" i="9"/>
  <c r="P24" i="9" s="1"/>
  <c r="O14" i="9"/>
  <c r="M24" i="9"/>
  <c r="L14" i="9"/>
  <c r="J14" i="9"/>
  <c r="I14" i="9"/>
  <c r="G24" i="9"/>
  <c r="F14" i="9"/>
  <c r="D24" i="9"/>
  <c r="D27" i="9" s="1"/>
  <c r="C14" i="9"/>
  <c r="AC13" i="9"/>
  <c r="AC12" i="9"/>
  <c r="AC11" i="9"/>
  <c r="E9" i="9"/>
  <c r="Q25" i="9"/>
  <c r="N25" i="9"/>
  <c r="K7" i="9"/>
  <c r="K25" i="9" s="1"/>
  <c r="H25" i="9"/>
  <c r="E7" i="9"/>
  <c r="E25" i="9" s="1"/>
  <c r="B7" i="9"/>
  <c r="B25" i="9" s="1"/>
  <c r="I5" i="9"/>
  <c r="S4" i="9"/>
  <c r="Q4" i="9"/>
  <c r="P4" i="9"/>
  <c r="N4" i="9"/>
  <c r="M4" i="9"/>
  <c r="K4" i="9"/>
  <c r="J4" i="9"/>
  <c r="I4" i="9"/>
  <c r="H4" i="9"/>
  <c r="G4" i="9"/>
  <c r="E4" i="9"/>
  <c r="G118" i="9" l="1"/>
  <c r="AI198" i="9"/>
  <c r="I116" i="9"/>
  <c r="F24" i="9"/>
  <c r="F27" i="9" s="1"/>
  <c r="R24" i="9"/>
  <c r="R27" i="9" s="1"/>
  <c r="O55" i="9"/>
  <c r="O58" i="9" s="1"/>
  <c r="M118" i="9"/>
  <c r="C58" i="9"/>
  <c r="D58" i="9"/>
  <c r="O118" i="9"/>
  <c r="AL118" i="9" s="1"/>
  <c r="J24" i="9"/>
  <c r="J27" i="9" s="1"/>
  <c r="M172" i="9"/>
  <c r="L24" i="9"/>
  <c r="L27" i="9" s="1"/>
  <c r="K170" i="9"/>
  <c r="E118" i="9"/>
  <c r="X22" i="10"/>
  <c r="D70" i="10" s="1"/>
  <c r="AG22" i="10"/>
  <c r="AG23" i="10" s="1"/>
  <c r="AG24" i="10" s="1"/>
  <c r="AG28" i="10" s="1"/>
  <c r="AI20" i="10"/>
  <c r="AI22" i="10" s="1"/>
  <c r="AI23" i="10" s="1"/>
  <c r="AI24" i="10" s="1"/>
  <c r="AI28" i="10" s="1"/>
  <c r="B27" i="10"/>
  <c r="V27" i="10"/>
  <c r="F210" i="9"/>
  <c r="G210" i="9" s="1"/>
  <c r="L55" i="9"/>
  <c r="L58" i="9" s="1"/>
  <c r="R55" i="9"/>
  <c r="R58" i="9" s="1"/>
  <c r="E116" i="9"/>
  <c r="M116" i="9"/>
  <c r="I118" i="9"/>
  <c r="P55" i="9"/>
  <c r="P58" i="9" s="1"/>
  <c r="C24" i="9"/>
  <c r="C27" i="9" s="1"/>
  <c r="I24" i="9"/>
  <c r="I27" i="9" s="1"/>
  <c r="O24" i="9"/>
  <c r="O27" i="9" s="1"/>
  <c r="V29" i="9"/>
  <c r="G58" i="9"/>
  <c r="S55" i="9"/>
  <c r="S58" i="9" s="1"/>
  <c r="G116" i="9"/>
  <c r="O116" i="9"/>
  <c r="AD20" i="9"/>
  <c r="AF20" i="9" s="1"/>
  <c r="AI255" i="9"/>
  <c r="AC255" i="9" s="1"/>
  <c r="AI251" i="9"/>
  <c r="AI252" i="9"/>
  <c r="AC252" i="9" s="1"/>
  <c r="AI249" i="9"/>
  <c r="AC249" i="9" s="1"/>
  <c r="AI253" i="9"/>
  <c r="AC253" i="9" s="1"/>
  <c r="AI250" i="9"/>
  <c r="AC250" i="9" s="1"/>
  <c r="AI242" i="9"/>
  <c r="AC242" i="9" s="1"/>
  <c r="AI192" i="9"/>
  <c r="AC192" i="9" s="1"/>
  <c r="AI213" i="9"/>
  <c r="AI211" i="9"/>
  <c r="AI215" i="9"/>
  <c r="AI212" i="9"/>
  <c r="AI216" i="9"/>
  <c r="AI188" i="9"/>
  <c r="AI182" i="9"/>
  <c r="AI185" i="9"/>
  <c r="AC185" i="9" s="1"/>
  <c r="AI183" i="9"/>
  <c r="AC183" i="9" s="1"/>
  <c r="AI186" i="9"/>
  <c r="AC186" i="9" s="1"/>
  <c r="AI184" i="9"/>
  <c r="AC184" i="9" s="1"/>
  <c r="G165" i="9"/>
  <c r="M105" i="9"/>
  <c r="G105" i="9"/>
  <c r="O105" i="9"/>
  <c r="E105" i="9"/>
  <c r="G211" i="9"/>
  <c r="B212" i="9"/>
  <c r="D211" i="9"/>
  <c r="O165" i="9"/>
  <c r="E165" i="9"/>
  <c r="K122" i="9"/>
  <c r="I151" i="9"/>
  <c r="I170" i="9"/>
  <c r="H40" i="9" s="1"/>
  <c r="G170" i="9"/>
  <c r="B9" i="9"/>
  <c r="O170" i="9"/>
  <c r="I55" i="9"/>
  <c r="I58" i="9" s="1"/>
  <c r="P27" i="9"/>
  <c r="AE72" i="9"/>
  <c r="D93" i="9"/>
  <c r="E90" i="9" s="1"/>
  <c r="S27" i="9"/>
  <c r="M58" i="9"/>
  <c r="J58" i="9"/>
  <c r="M27" i="9"/>
  <c r="AD13" i="9"/>
  <c r="AF13" i="9" s="1"/>
  <c r="AD12" i="9"/>
  <c r="AF12" i="9" s="1"/>
  <c r="AD19" i="9"/>
  <c r="AF19" i="9" s="1"/>
  <c r="AD11" i="9"/>
  <c r="AF11" i="9" s="1"/>
  <c r="AD21" i="9"/>
  <c r="AF21" i="9" s="1"/>
  <c r="AC188" i="9"/>
  <c r="AC187" i="9"/>
  <c r="AC182" i="9"/>
  <c r="F58" i="9"/>
  <c r="G27" i="9"/>
  <c r="AC251" i="9"/>
  <c r="AC254" i="9"/>
  <c r="D243" i="9"/>
  <c r="E243" i="9" s="1"/>
  <c r="H179" i="9"/>
  <c r="C201" i="9"/>
  <c r="C203" i="9" s="1"/>
  <c r="C204" i="9" s="1"/>
  <c r="D245" i="9"/>
  <c r="E245" i="9" s="1"/>
  <c r="H182" i="9"/>
  <c r="D244" i="9"/>
  <c r="E244" i="9" s="1"/>
  <c r="H185" i="9"/>
  <c r="O101" i="9"/>
  <c r="AL101" i="9" s="1"/>
  <c r="G101" i="9"/>
  <c r="M101" i="9"/>
  <c r="E101" i="9"/>
  <c r="O102" i="9"/>
  <c r="G102" i="9"/>
  <c r="M102" i="9"/>
  <c r="E102" i="9"/>
  <c r="E103" i="9"/>
  <c r="O110" i="9"/>
  <c r="G110" i="9"/>
  <c r="M110" i="9"/>
  <c r="E110" i="9"/>
  <c r="I113" i="9"/>
  <c r="I131" i="9"/>
  <c r="AJ131" i="9" s="1"/>
  <c r="I132" i="9"/>
  <c r="AJ132" i="9" s="1"/>
  <c r="E134" i="9"/>
  <c r="O135" i="9"/>
  <c r="G135" i="9"/>
  <c r="AH135" i="9" s="1"/>
  <c r="M135" i="9"/>
  <c r="E135" i="9"/>
  <c r="K151" i="9"/>
  <c r="I101" i="9"/>
  <c r="I102" i="9"/>
  <c r="K103" i="9"/>
  <c r="O108" i="9"/>
  <c r="G108" i="9"/>
  <c r="G122" i="9" s="1"/>
  <c r="M108" i="9"/>
  <c r="M122" i="9" s="1"/>
  <c r="E108" i="9"/>
  <c r="I110" i="9"/>
  <c r="K113" i="9"/>
  <c r="AH134" i="9"/>
  <c r="K101" i="9"/>
  <c r="K102" i="9"/>
  <c r="K110" i="9"/>
  <c r="I112" i="9"/>
  <c r="O112" i="9"/>
  <c r="AL112" i="9" s="1"/>
  <c r="G112" i="9"/>
  <c r="AH112" i="9" s="1"/>
  <c r="O115" i="9"/>
  <c r="AL115" i="9" s="1"/>
  <c r="G115" i="9"/>
  <c r="M115" i="9"/>
  <c r="E115" i="9"/>
  <c r="AF115" i="9" s="1"/>
  <c r="I135" i="9"/>
  <c r="AJ135" i="9" s="1"/>
  <c r="O137" i="9"/>
  <c r="O151" i="9" s="1"/>
  <c r="G137" i="9"/>
  <c r="M137" i="9"/>
  <c r="M151" i="9" s="1"/>
  <c r="E137" i="9"/>
  <c r="E151" i="9" s="1"/>
  <c r="AJ137" i="9"/>
  <c r="M139" i="9"/>
  <c r="E139" i="9"/>
  <c r="K139" i="9"/>
  <c r="I139" i="9"/>
  <c r="O140" i="9"/>
  <c r="G140" i="9"/>
  <c r="AH140" i="9" s="1"/>
  <c r="K140" i="9"/>
  <c r="I140" i="9"/>
  <c r="AJ140" i="9" s="1"/>
  <c r="B205" i="9"/>
  <c r="AH100" i="9"/>
  <c r="I103" i="9"/>
  <c r="O103" i="9"/>
  <c r="G103" i="9"/>
  <c r="O113" i="9"/>
  <c r="AL113" i="9" s="1"/>
  <c r="G113" i="9"/>
  <c r="M113" i="9"/>
  <c r="E113" i="9"/>
  <c r="AF113" i="9" s="1"/>
  <c r="O131" i="9"/>
  <c r="G131" i="9"/>
  <c r="M131" i="9"/>
  <c r="E131" i="9"/>
  <c r="O132" i="9"/>
  <c r="G132" i="9"/>
  <c r="M132" i="9"/>
  <c r="E132" i="9"/>
  <c r="K134" i="9"/>
  <c r="K150" i="9" s="1"/>
  <c r="I134" i="9"/>
  <c r="AJ134" i="9" s="1"/>
  <c r="O134" i="9"/>
  <c r="AH139" i="9"/>
  <c r="H213" i="9"/>
  <c r="I213" i="9" s="1"/>
  <c r="B213" i="9"/>
  <c r="C213" i="9" s="1"/>
  <c r="K100" i="9"/>
  <c r="I105" i="9"/>
  <c r="I106" i="9"/>
  <c r="K107" i="9"/>
  <c r="I109" i="9"/>
  <c r="I122" i="9" s="1"/>
  <c r="AE109" i="9"/>
  <c r="I111" i="9"/>
  <c r="I114" i="9"/>
  <c r="AE114" i="9"/>
  <c r="I129" i="9"/>
  <c r="K165" i="9"/>
  <c r="E100" i="9"/>
  <c r="E107" i="9"/>
  <c r="M141" i="9"/>
  <c r="E141" i="9"/>
  <c r="AF141" i="9" s="1"/>
  <c r="O141" i="9"/>
  <c r="K172" i="9"/>
  <c r="E212" i="9"/>
  <c r="K142" i="9"/>
  <c r="I143" i="9"/>
  <c r="AJ143" i="9" s="1"/>
  <c r="AI241" i="9"/>
  <c r="M142" i="9"/>
  <c r="K143" i="9"/>
  <c r="H171" i="9"/>
  <c r="I171" i="9" s="1"/>
  <c r="H41" i="9" s="1"/>
  <c r="G142" i="9"/>
  <c r="AH142" i="9" s="1"/>
  <c r="E143" i="9"/>
  <c r="H163" i="9"/>
  <c r="L163" i="9"/>
  <c r="M163" i="9" s="1"/>
  <c r="H164" i="9"/>
  <c r="D170" i="9"/>
  <c r="E171" i="9"/>
  <c r="B41" i="9" s="1"/>
  <c r="D210" i="9"/>
  <c r="AE20" i="9" l="1"/>
  <c r="AC10" i="9"/>
  <c r="AI243" i="9"/>
  <c r="I150" i="9"/>
  <c r="H37" i="9" s="1"/>
  <c r="X24" i="10"/>
  <c r="B70" i="10"/>
  <c r="B72" i="10" s="1"/>
  <c r="B74" i="10" s="1"/>
  <c r="D72" i="10"/>
  <c r="D74" i="10" s="1"/>
  <c r="AC9" i="9"/>
  <c r="AD9" i="9"/>
  <c r="AD10" i="9"/>
  <c r="AF10" i="9" s="1"/>
  <c r="AI256" i="9"/>
  <c r="B214" i="9"/>
  <c r="AF219" i="9" s="1"/>
  <c r="E89" i="9"/>
  <c r="H212" i="9"/>
  <c r="H214" i="9" s="1"/>
  <c r="AF221" i="9" s="1"/>
  <c r="G121" i="9"/>
  <c r="E6" i="9" s="1"/>
  <c r="G212" i="9"/>
  <c r="G214" i="9" s="1"/>
  <c r="AC17" i="9" s="1"/>
  <c r="AC202" i="9" s="1"/>
  <c r="D212" i="9"/>
  <c r="C212" i="9" s="1"/>
  <c r="O152" i="9"/>
  <c r="E150" i="9"/>
  <c r="M150" i="9"/>
  <c r="G150" i="9"/>
  <c r="E37" i="9" s="1"/>
  <c r="O150" i="9"/>
  <c r="I172" i="9"/>
  <c r="O172" i="9"/>
  <c r="G172" i="9"/>
  <c r="E40" i="9"/>
  <c r="E84" i="9"/>
  <c r="C93" i="9"/>
  <c r="E92" i="9"/>
  <c r="E81" i="9"/>
  <c r="AE13" i="9"/>
  <c r="AE11" i="9"/>
  <c r="AE12" i="9"/>
  <c r="AE19" i="9"/>
  <c r="I121" i="9"/>
  <c r="E93" i="9"/>
  <c r="E83" i="9"/>
  <c r="E91" i="9"/>
  <c r="E82" i="9"/>
  <c r="E86" i="9"/>
  <c r="E85" i="9"/>
  <c r="E88" i="9"/>
  <c r="E87" i="9"/>
  <c r="AE21" i="9"/>
  <c r="E246" i="9"/>
  <c r="B50" i="9"/>
  <c r="H50" i="9"/>
  <c r="E50" i="9"/>
  <c r="B19" i="9"/>
  <c r="K19" i="9"/>
  <c r="E19" i="9"/>
  <c r="B37" i="9"/>
  <c r="G151" i="9"/>
  <c r="AH137" i="9"/>
  <c r="AH154" i="9" s="1"/>
  <c r="G123" i="9"/>
  <c r="AH110" i="9"/>
  <c r="AH122" i="9" s="1"/>
  <c r="AC241" i="9"/>
  <c r="AC243" i="9" s="1"/>
  <c r="M165" i="9"/>
  <c r="AJ100" i="9"/>
  <c r="AJ122" i="9" s="1"/>
  <c r="K121" i="9"/>
  <c r="G152" i="9"/>
  <c r="I152" i="9"/>
  <c r="H39" i="9" s="1"/>
  <c r="AJ139" i="9"/>
  <c r="AJ154" i="9" s="1"/>
  <c r="I123" i="9"/>
  <c r="AL108" i="9"/>
  <c r="AL122" i="9" s="1"/>
  <c r="O122" i="9"/>
  <c r="O121" i="9"/>
  <c r="O123" i="9"/>
  <c r="I164" i="9"/>
  <c r="V10" i="9" s="1"/>
  <c r="E214" i="9"/>
  <c r="B52" i="9"/>
  <c r="H52" i="9"/>
  <c r="E52" i="9"/>
  <c r="E21" i="9"/>
  <c r="B21" i="9"/>
  <c r="K21" i="9"/>
  <c r="M121" i="9"/>
  <c r="I163" i="9"/>
  <c r="AF9" i="9"/>
  <c r="AF100" i="9"/>
  <c r="E121" i="9"/>
  <c r="K152" i="9"/>
  <c r="K153" i="9" s="1"/>
  <c r="E122" i="9"/>
  <c r="AF108" i="9"/>
  <c r="E123" i="9"/>
  <c r="AF110" i="9"/>
  <c r="H44" i="9"/>
  <c r="E44" i="9"/>
  <c r="B44" i="9"/>
  <c r="B13" i="9"/>
  <c r="K13" i="9"/>
  <c r="E13" i="9"/>
  <c r="B215" i="9"/>
  <c r="AC256" i="9"/>
  <c r="AC189" i="9"/>
  <c r="M152" i="9"/>
  <c r="B43" i="9"/>
  <c r="H43" i="9"/>
  <c r="E43" i="9"/>
  <c r="E12" i="9"/>
  <c r="B12" i="9"/>
  <c r="K12" i="9"/>
  <c r="AF176" i="9"/>
  <c r="E170" i="9"/>
  <c r="B206" i="9"/>
  <c r="J213" i="9" s="1"/>
  <c r="D213" i="9"/>
  <c r="E152" i="9"/>
  <c r="B39" i="9" s="1"/>
  <c r="AF139" i="9"/>
  <c r="AF154" i="9" s="1"/>
  <c r="K123" i="9"/>
  <c r="K8" i="9" s="1"/>
  <c r="M123" i="9"/>
  <c r="H51" i="9"/>
  <c r="E51" i="9"/>
  <c r="B51" i="9"/>
  <c r="K20" i="9"/>
  <c r="E20" i="9"/>
  <c r="B20" i="9"/>
  <c r="H42" i="9"/>
  <c r="E42" i="9"/>
  <c r="B42" i="9"/>
  <c r="E11" i="9"/>
  <c r="B11" i="9"/>
  <c r="K11" i="9"/>
  <c r="AD16" i="9" l="1"/>
  <c r="AF16" i="9" s="1"/>
  <c r="V125" i="9"/>
  <c r="V126" i="9"/>
  <c r="AC203" i="9"/>
  <c r="AD18" i="9"/>
  <c r="AF18" i="9" s="1"/>
  <c r="J212" i="9"/>
  <c r="I212" i="9" s="1"/>
  <c r="F212" i="9"/>
  <c r="D214" i="9"/>
  <c r="C214" i="9" s="1"/>
  <c r="G124" i="9"/>
  <c r="O153" i="9"/>
  <c r="E153" i="9"/>
  <c r="E39" i="9"/>
  <c r="E45" i="9" s="1"/>
  <c r="E8" i="9"/>
  <c r="E14" i="9" s="1"/>
  <c r="M153" i="9"/>
  <c r="I124" i="9"/>
  <c r="V12" i="9"/>
  <c r="V13" i="9"/>
  <c r="AF122" i="9"/>
  <c r="M124" i="9"/>
  <c r="E216" i="9"/>
  <c r="F214" i="9"/>
  <c r="G215" i="9" s="1"/>
  <c r="G231" i="9" s="1"/>
  <c r="AF220" i="9"/>
  <c r="AD17" i="9"/>
  <c r="W10" i="9"/>
  <c r="AG10" i="9" s="1"/>
  <c r="AH10" i="9" s="1"/>
  <c r="AJ10" i="9" s="1"/>
  <c r="O124" i="9"/>
  <c r="I153" i="9"/>
  <c r="V11" i="9"/>
  <c r="E172" i="9"/>
  <c r="B40" i="9"/>
  <c r="B45" i="9" s="1"/>
  <c r="B8" i="9"/>
  <c r="E124" i="9"/>
  <c r="B6" i="9"/>
  <c r="I165" i="9"/>
  <c r="K124" i="9"/>
  <c r="K6" i="9"/>
  <c r="K14" i="9" s="1"/>
  <c r="AC204" i="9"/>
  <c r="B231" i="9"/>
  <c r="H215" i="9"/>
  <c r="B216" i="9"/>
  <c r="AE9" i="9"/>
  <c r="AC14" i="9"/>
  <c r="V21" i="9"/>
  <c r="H45" i="9"/>
  <c r="V19" i="9"/>
  <c r="V20" i="9"/>
  <c r="AE10" i="9"/>
  <c r="G153" i="9"/>
  <c r="AJ241" i="8"/>
  <c r="AI240" i="8" s="1"/>
  <c r="AI239" i="8" l="1"/>
  <c r="AI241" i="8" s="1"/>
  <c r="J214" i="9"/>
  <c r="I214" i="9" s="1"/>
  <c r="C206" i="9" s="1"/>
  <c r="C205" i="9"/>
  <c r="D215" i="9"/>
  <c r="D231" i="9" s="1"/>
  <c r="AC16" i="9"/>
  <c r="AC199" i="9" s="1"/>
  <c r="V8" i="9"/>
  <c r="W8" i="9" s="1"/>
  <c r="X8" i="9" s="1"/>
  <c r="AI10" i="9"/>
  <c r="X10" i="9"/>
  <c r="V9" i="9"/>
  <c r="E221" i="9"/>
  <c r="E230" i="9"/>
  <c r="E228" i="9"/>
  <c r="E226" i="9"/>
  <c r="E224" i="9"/>
  <c r="E222" i="9"/>
  <c r="E219" i="9"/>
  <c r="E227" i="9"/>
  <c r="G216" i="9"/>
  <c r="E229" i="9"/>
  <c r="E223" i="9"/>
  <c r="E225" i="9"/>
  <c r="E220" i="9"/>
  <c r="W13" i="9"/>
  <c r="AG13" i="9" s="1"/>
  <c r="B219" i="9"/>
  <c r="B229" i="9"/>
  <c r="B227" i="9"/>
  <c r="B225" i="9"/>
  <c r="B223" i="9"/>
  <c r="B220" i="9"/>
  <c r="D216" i="9"/>
  <c r="B221" i="9"/>
  <c r="B230" i="9"/>
  <c r="B222" i="9"/>
  <c r="B224" i="9"/>
  <c r="B226" i="9"/>
  <c r="B228" i="9"/>
  <c r="H231" i="9"/>
  <c r="H216" i="9"/>
  <c r="AF17" i="9"/>
  <c r="AE17" i="9"/>
  <c r="W12" i="9"/>
  <c r="AG12" i="9" s="1"/>
  <c r="D73" i="9"/>
  <c r="B73" i="9" s="1"/>
  <c r="V6" i="9"/>
  <c r="B14" i="9"/>
  <c r="W11" i="9"/>
  <c r="AG11" i="9" s="1"/>
  <c r="AC18" i="9" l="1"/>
  <c r="W24" i="9"/>
  <c r="AC198" i="9"/>
  <c r="AC200" i="9" s="1"/>
  <c r="AC22" i="9"/>
  <c r="AC23" i="9" s="1"/>
  <c r="AC24" i="9" s="1"/>
  <c r="AC28" i="9" s="1"/>
  <c r="AE16" i="9"/>
  <c r="X13" i="9"/>
  <c r="X11" i="9"/>
  <c r="X12" i="9"/>
  <c r="AH11" i="9"/>
  <c r="AJ11" i="9" s="1"/>
  <c r="AI11" i="9"/>
  <c r="V14" i="9"/>
  <c r="W6" i="9"/>
  <c r="H219" i="9"/>
  <c r="H229" i="9"/>
  <c r="H227" i="9"/>
  <c r="H225" i="9"/>
  <c r="H223" i="9"/>
  <c r="H220" i="9"/>
  <c r="J216" i="9"/>
  <c r="H221" i="9"/>
  <c r="H224" i="9"/>
  <c r="H226" i="9"/>
  <c r="H228" i="9"/>
  <c r="H222" i="9"/>
  <c r="H230" i="9"/>
  <c r="B232" i="9"/>
  <c r="G230" i="9"/>
  <c r="G228" i="9"/>
  <c r="G226" i="9"/>
  <c r="G224" i="9"/>
  <c r="G222" i="9"/>
  <c r="G219" i="9"/>
  <c r="G229" i="9"/>
  <c r="G227" i="9"/>
  <c r="G225" i="9"/>
  <c r="G223" i="9"/>
  <c r="G220" i="9"/>
  <c r="G221" i="9"/>
  <c r="B48" i="9"/>
  <c r="H48" i="9"/>
  <c r="E17" i="9"/>
  <c r="B17" i="9"/>
  <c r="E48" i="9"/>
  <c r="K17" i="9"/>
  <c r="J215" i="9"/>
  <c r="J231" i="9" s="1"/>
  <c r="W9" i="9"/>
  <c r="AG9" i="9" s="1"/>
  <c r="AH12" i="9"/>
  <c r="AJ12" i="9" s="1"/>
  <c r="AI12" i="9"/>
  <c r="D229" i="9"/>
  <c r="D227" i="9"/>
  <c r="D225" i="9"/>
  <c r="D223" i="9"/>
  <c r="D220" i="9"/>
  <c r="D221" i="9"/>
  <c r="D230" i="9"/>
  <c r="D228" i="9"/>
  <c r="D226" i="9"/>
  <c r="D224" i="9"/>
  <c r="D222" i="9"/>
  <c r="D219" i="9"/>
  <c r="H47" i="9"/>
  <c r="E47" i="9"/>
  <c r="B47" i="9"/>
  <c r="K16" i="9"/>
  <c r="E16" i="9"/>
  <c r="B16" i="9"/>
  <c r="AI13" i="9"/>
  <c r="AH13" i="9"/>
  <c r="AJ13" i="9" s="1"/>
  <c r="E232" i="9"/>
  <c r="AC216" i="9"/>
  <c r="AC215" i="9"/>
  <c r="AC213" i="9"/>
  <c r="AC211" i="9"/>
  <c r="AC214" i="9"/>
  <c r="AC212" i="9"/>
  <c r="AE18" i="9"/>
  <c r="AJ187" i="8"/>
  <c r="AI181" i="8" s="1"/>
  <c r="X9" i="9" l="1"/>
  <c r="X14" i="9" s="1"/>
  <c r="H232" i="9"/>
  <c r="AG14" i="9"/>
  <c r="AH9" i="9"/>
  <c r="AJ9" i="9" s="1"/>
  <c r="AI9" i="9"/>
  <c r="AI14" i="9" s="1"/>
  <c r="V16" i="9"/>
  <c r="D232" i="9"/>
  <c r="V17" i="9"/>
  <c r="G232" i="9"/>
  <c r="AC217" i="9"/>
  <c r="J229" i="9"/>
  <c r="J227" i="9"/>
  <c r="J225" i="9"/>
  <c r="J223" i="9"/>
  <c r="J220" i="9"/>
  <c r="J221" i="9"/>
  <c r="J230" i="9"/>
  <c r="J228" i="9"/>
  <c r="J226" i="9"/>
  <c r="J224" i="9"/>
  <c r="J222" i="9"/>
  <c r="J219" i="9"/>
  <c r="H49" i="9"/>
  <c r="H53" i="9" s="1"/>
  <c r="E49" i="9"/>
  <c r="E53" i="9" s="1"/>
  <c r="B49" i="9"/>
  <c r="B53" i="9" s="1"/>
  <c r="E18" i="9"/>
  <c r="E22" i="9" s="1"/>
  <c r="B18" i="9"/>
  <c r="K18" i="9"/>
  <c r="K22" i="9" s="1"/>
  <c r="W14" i="9"/>
  <c r="AI180" i="8"/>
  <c r="AI186" i="8"/>
  <c r="AI182" i="8"/>
  <c r="AI184" i="8"/>
  <c r="AI183" i="8"/>
  <c r="AI185" i="8"/>
  <c r="E7" i="8"/>
  <c r="B7" i="8"/>
  <c r="C69" i="9" l="1"/>
  <c r="W16" i="9"/>
  <c r="E26" i="9"/>
  <c r="E24" i="9"/>
  <c r="Q26" i="9"/>
  <c r="Q24" i="9"/>
  <c r="Q57" i="9"/>
  <c r="Q55" i="9"/>
  <c r="E57" i="9"/>
  <c r="E55" i="9"/>
  <c r="H57" i="9"/>
  <c r="H55" i="9"/>
  <c r="K26" i="9"/>
  <c r="K24" i="9"/>
  <c r="H24" i="9"/>
  <c r="H26" i="9"/>
  <c r="N57" i="9"/>
  <c r="N55" i="9"/>
  <c r="N26" i="9"/>
  <c r="N24" i="9"/>
  <c r="B55" i="9"/>
  <c r="B57" i="9"/>
  <c r="V18" i="9"/>
  <c r="V22" i="9" s="1"/>
  <c r="V24" i="9" s="1"/>
  <c r="B22" i="9"/>
  <c r="K57" i="9"/>
  <c r="K55" i="9"/>
  <c r="J232" i="9"/>
  <c r="C70" i="9"/>
  <c r="AG17" i="9"/>
  <c r="X16" i="9"/>
  <c r="Q7" i="8"/>
  <c r="Q27" i="9" l="1"/>
  <c r="N27" i="9"/>
  <c r="Q58" i="9"/>
  <c r="E27" i="9"/>
  <c r="K58" i="9"/>
  <c r="N58" i="9"/>
  <c r="K27" i="9"/>
  <c r="E58" i="9"/>
  <c r="X17" i="9"/>
  <c r="AG16" i="9"/>
  <c r="B58" i="9"/>
  <c r="AH17" i="9"/>
  <c r="AJ17" i="9" s="1"/>
  <c r="AI17" i="9"/>
  <c r="B26" i="9"/>
  <c r="V26" i="9" s="1"/>
  <c r="V27" i="9" s="1"/>
  <c r="B24" i="9"/>
  <c r="C72" i="9"/>
  <c r="C74" i="9" s="1"/>
  <c r="H58" i="9"/>
  <c r="H27" i="9"/>
  <c r="B38" i="8"/>
  <c r="H38" i="8"/>
  <c r="B114" i="8"/>
  <c r="O114" i="8" l="1"/>
  <c r="AL114" i="8" s="1"/>
  <c r="AE114" i="8"/>
  <c r="B27" i="9"/>
  <c r="AG18" i="9"/>
  <c r="X18" i="9"/>
  <c r="W21" i="9"/>
  <c r="AH16" i="9"/>
  <c r="AJ16" i="9" s="1"/>
  <c r="AI16" i="9"/>
  <c r="I114" i="8"/>
  <c r="E114" i="8"/>
  <c r="AF114" i="8" s="1"/>
  <c r="M114" i="8"/>
  <c r="K114" i="8"/>
  <c r="G114" i="8"/>
  <c r="B142" i="8"/>
  <c r="M142" i="8" s="1"/>
  <c r="E142" i="8"/>
  <c r="O142" i="8"/>
  <c r="B128" i="8"/>
  <c r="B143" i="8"/>
  <c r="AE143" i="8" s="1"/>
  <c r="B141" i="8"/>
  <c r="B140" i="8"/>
  <c r="AE140" i="8" s="1"/>
  <c r="B139" i="8"/>
  <c r="B138" i="8"/>
  <c r="AE138" i="8" s="1"/>
  <c r="B137" i="8"/>
  <c r="AE137" i="8" s="1"/>
  <c r="B136" i="8"/>
  <c r="B135" i="8"/>
  <c r="AE135" i="8" s="1"/>
  <c r="C134" i="8"/>
  <c r="K38" i="8" s="1"/>
  <c r="C133" i="8"/>
  <c r="E38" i="8" s="1"/>
  <c r="B132" i="8"/>
  <c r="B131" i="8"/>
  <c r="B130" i="8"/>
  <c r="I130" i="8" s="1"/>
  <c r="AJ130" i="8" s="1"/>
  <c r="B129" i="8"/>
  <c r="B100" i="8"/>
  <c r="AE100" i="8" s="1"/>
  <c r="AG21" i="9" l="1"/>
  <c r="X21" i="9"/>
  <c r="W20" i="9"/>
  <c r="W22" i="9" s="1"/>
  <c r="AG19" i="9"/>
  <c r="X19" i="9"/>
  <c r="AH18" i="9"/>
  <c r="AJ18" i="9" s="1"/>
  <c r="AI18" i="9"/>
  <c r="B133" i="8"/>
  <c r="G142" i="8"/>
  <c r="AH142" i="8" s="1"/>
  <c r="I142" i="8"/>
  <c r="AJ142" i="8" s="1"/>
  <c r="K142" i="8"/>
  <c r="B134" i="8"/>
  <c r="H56" i="8"/>
  <c r="D162" i="8"/>
  <c r="H169" i="8" s="1"/>
  <c r="D161" i="8"/>
  <c r="H168" i="8" s="1"/>
  <c r="AG20" i="9" l="1"/>
  <c r="AG22" i="9" s="1"/>
  <c r="AG23" i="9" s="1"/>
  <c r="AG24" i="9" s="1"/>
  <c r="AG28" i="9" s="1"/>
  <c r="X20" i="9"/>
  <c r="X22" i="9" s="1"/>
  <c r="D69" i="9"/>
  <c r="AI19" i="9"/>
  <c r="AH19" i="9"/>
  <c r="AJ19" i="9" s="1"/>
  <c r="AH21" i="9"/>
  <c r="AJ21" i="9" s="1"/>
  <c r="AI21" i="9"/>
  <c r="AE66" i="8"/>
  <c r="AE67" i="8"/>
  <c r="AE68" i="8"/>
  <c r="AE69" i="8"/>
  <c r="AE70" i="8"/>
  <c r="AE71" i="8"/>
  <c r="AI20" i="9" l="1"/>
  <c r="AI22" i="9" s="1"/>
  <c r="AI23" i="9" s="1"/>
  <c r="AI24" i="9" s="1"/>
  <c r="AI28" i="9" s="1"/>
  <c r="AH20" i="9"/>
  <c r="AJ20" i="9" s="1"/>
  <c r="B69" i="9"/>
  <c r="D70" i="9"/>
  <c r="B70" i="9" s="1"/>
  <c r="X24" i="9"/>
  <c r="AE65" i="8"/>
  <c r="AE72" i="8" s="1"/>
  <c r="D72" i="9" l="1"/>
  <c r="D74" i="9" s="1"/>
  <c r="B72" i="9"/>
  <c r="B74" i="9" s="1"/>
  <c r="X74" i="8"/>
  <c r="W73" i="8"/>
  <c r="W75" i="8" s="1"/>
  <c r="V73" i="8"/>
  <c r="V75" i="8" s="1"/>
  <c r="C64" i="8" l="1"/>
  <c r="J53" i="8" l="1"/>
  <c r="J45" i="8"/>
  <c r="J55" i="8" l="1"/>
  <c r="J57" i="8"/>
  <c r="J58" i="8" s="1"/>
  <c r="I53" i="8"/>
  <c r="I57" i="8" s="1"/>
  <c r="I45" i="8"/>
  <c r="I55" i="8" s="1"/>
  <c r="I58" i="8" l="1"/>
  <c r="B192" i="8"/>
  <c r="B243" i="8"/>
  <c r="B104" i="8"/>
  <c r="B102" i="8" l="1"/>
  <c r="B101" i="8"/>
  <c r="B107" i="8" l="1"/>
  <c r="C82" i="8" l="1"/>
  <c r="C83" i="8"/>
  <c r="C84" i="8"/>
  <c r="C85" i="8"/>
  <c r="C86" i="8"/>
  <c r="C87" i="8"/>
  <c r="C88" i="8"/>
  <c r="C89" i="8"/>
  <c r="C90" i="8"/>
  <c r="C91" i="8"/>
  <c r="C92" i="8"/>
  <c r="C106" i="8" l="1"/>
  <c r="B106" i="8" s="1"/>
  <c r="C105" i="8"/>
  <c r="B105" i="8" s="1"/>
  <c r="B115" i="8" l="1"/>
  <c r="AE115" i="8" s="1"/>
  <c r="B113" i="8"/>
  <c r="AE113" i="8" s="1"/>
  <c r="B112" i="8"/>
  <c r="B111" i="8"/>
  <c r="B110" i="8"/>
  <c r="AE110" i="8" s="1"/>
  <c r="B109" i="8"/>
  <c r="AE109" i="8" s="1"/>
  <c r="B108" i="8"/>
  <c r="AE108" i="8" s="1"/>
  <c r="O53" i="8" l="1"/>
  <c r="O45" i="8"/>
  <c r="O55" i="8" l="1"/>
  <c r="O58" i="8" s="1"/>
  <c r="I5" i="8"/>
  <c r="I4" i="8"/>
  <c r="S35" i="8" l="1"/>
  <c r="Q35" i="8"/>
  <c r="P35" i="8"/>
  <c r="N35" i="8"/>
  <c r="M35" i="8"/>
  <c r="K35" i="8"/>
  <c r="J35" i="8"/>
  <c r="H35" i="8"/>
  <c r="G35" i="8"/>
  <c r="E35" i="8"/>
  <c r="D35" i="8"/>
  <c r="B35" i="8"/>
  <c r="S4" i="8"/>
  <c r="Q4" i="8"/>
  <c r="P4" i="8"/>
  <c r="N4" i="8"/>
  <c r="M4" i="8"/>
  <c r="K4" i="8"/>
  <c r="H4" i="8"/>
  <c r="E4" i="8"/>
  <c r="J4" i="8"/>
  <c r="G4" i="8"/>
  <c r="AJ254" i="8"/>
  <c r="AI252" i="8" s="1"/>
  <c r="C243" i="8"/>
  <c r="AC21" i="8" s="1"/>
  <c r="B242" i="8"/>
  <c r="B241" i="8"/>
  <c r="C241" i="8" s="1"/>
  <c r="AC19" i="8" s="1"/>
  <c r="E229" i="8"/>
  <c r="F211" i="8"/>
  <c r="E209" i="8"/>
  <c r="B209" i="8"/>
  <c r="E208" i="8"/>
  <c r="B208" i="8"/>
  <c r="AJ215" i="8"/>
  <c r="H206" i="8"/>
  <c r="B201" i="8"/>
  <c r="AJ202" i="8"/>
  <c r="AI201" i="8" s="1"/>
  <c r="C192" i="8"/>
  <c r="F209" i="8" s="1"/>
  <c r="G209" i="8" s="1"/>
  <c r="C208" i="8"/>
  <c r="AJ198" i="8"/>
  <c r="AI196" i="8" s="1"/>
  <c r="C183" i="8"/>
  <c r="C180" i="8"/>
  <c r="C177" i="8"/>
  <c r="J169" i="8"/>
  <c r="F169" i="8"/>
  <c r="D169" i="8"/>
  <c r="AF175" i="8" s="1"/>
  <c r="J168" i="8"/>
  <c r="F168" i="8"/>
  <c r="G168" i="8" s="1"/>
  <c r="D168" i="8"/>
  <c r="B168" i="8"/>
  <c r="AF168" i="8"/>
  <c r="N162" i="8"/>
  <c r="O162" i="8" s="1"/>
  <c r="Q10" i="8" s="1"/>
  <c r="L162" i="8"/>
  <c r="M162" i="8" s="1"/>
  <c r="N10" i="8" s="1"/>
  <c r="J162" i="8"/>
  <c r="K162" i="8" s="1"/>
  <c r="K10" i="8" s="1"/>
  <c r="H162" i="8"/>
  <c r="I162" i="8" s="1"/>
  <c r="H10" i="8" s="1"/>
  <c r="F162" i="8"/>
  <c r="G162" i="8" s="1"/>
  <c r="E10" i="8" s="1"/>
  <c r="E162" i="8"/>
  <c r="B10" i="8" s="1"/>
  <c r="AF167" i="8"/>
  <c r="N161" i="8"/>
  <c r="O161" i="8" s="1"/>
  <c r="Q9" i="8" s="1"/>
  <c r="L161" i="8"/>
  <c r="M161" i="8" s="1"/>
  <c r="N9" i="8" s="1"/>
  <c r="J161" i="8"/>
  <c r="K161" i="8" s="1"/>
  <c r="H161" i="8"/>
  <c r="I161" i="8" s="1"/>
  <c r="H9" i="8" s="1"/>
  <c r="F161" i="8"/>
  <c r="G161" i="8" s="1"/>
  <c r="E161" i="8"/>
  <c r="O145" i="8"/>
  <c r="M145" i="8"/>
  <c r="K145" i="8"/>
  <c r="I145" i="8"/>
  <c r="G145" i="8"/>
  <c r="E145" i="8"/>
  <c r="O144" i="8"/>
  <c r="M144" i="8"/>
  <c r="K144" i="8"/>
  <c r="I144" i="8"/>
  <c r="AJ144" i="8" s="1"/>
  <c r="G144" i="8"/>
  <c r="AH144" i="8" s="1"/>
  <c r="E144" i="8"/>
  <c r="O143" i="8"/>
  <c r="M143" i="8"/>
  <c r="K143" i="8"/>
  <c r="I143" i="8"/>
  <c r="AJ143" i="8" s="1"/>
  <c r="G143" i="8"/>
  <c r="AH143" i="8" s="1"/>
  <c r="E143" i="8"/>
  <c r="AF143" i="8" s="1"/>
  <c r="O141" i="8"/>
  <c r="M141" i="8"/>
  <c r="K141" i="8"/>
  <c r="I141" i="8"/>
  <c r="AJ141" i="8" s="1"/>
  <c r="G141" i="8"/>
  <c r="AH141" i="8" s="1"/>
  <c r="E141" i="8"/>
  <c r="O140" i="8"/>
  <c r="M140" i="8"/>
  <c r="K140" i="8"/>
  <c r="I140" i="8"/>
  <c r="AJ140" i="8" s="1"/>
  <c r="G140" i="8"/>
  <c r="AH140" i="8" s="1"/>
  <c r="E140" i="8"/>
  <c r="AF140" i="8" s="1"/>
  <c r="O139" i="8"/>
  <c r="M139" i="8"/>
  <c r="K139" i="8"/>
  <c r="I139" i="8"/>
  <c r="AJ139" i="8" s="1"/>
  <c r="G139" i="8"/>
  <c r="AH139" i="8" s="1"/>
  <c r="E139" i="8"/>
  <c r="O138" i="8"/>
  <c r="M138" i="8"/>
  <c r="K138" i="8"/>
  <c r="I138" i="8"/>
  <c r="AJ138" i="8" s="1"/>
  <c r="G138" i="8"/>
  <c r="AH138" i="8" s="1"/>
  <c r="E138" i="8"/>
  <c r="AF138" i="8" s="1"/>
  <c r="O137" i="8"/>
  <c r="M137" i="8"/>
  <c r="K137" i="8"/>
  <c r="I137" i="8"/>
  <c r="AJ137" i="8" s="1"/>
  <c r="G137" i="8"/>
  <c r="AH137" i="8" s="1"/>
  <c r="E137" i="8"/>
  <c r="AF137" i="8" s="1"/>
  <c r="O136" i="8"/>
  <c r="M136" i="8"/>
  <c r="K136" i="8"/>
  <c r="I136" i="8"/>
  <c r="AJ136" i="8" s="1"/>
  <c r="G136" i="8"/>
  <c r="AH136" i="8" s="1"/>
  <c r="E136" i="8"/>
  <c r="C56" i="8"/>
  <c r="I135" i="8"/>
  <c r="AJ135" i="8" s="1"/>
  <c r="M134" i="8"/>
  <c r="M132" i="8"/>
  <c r="K131" i="8"/>
  <c r="K128" i="8"/>
  <c r="O117" i="8"/>
  <c r="AL117" i="8" s="1"/>
  <c r="M117" i="8"/>
  <c r="K117" i="8"/>
  <c r="I117" i="8"/>
  <c r="G117" i="8"/>
  <c r="E117" i="8"/>
  <c r="O116" i="8"/>
  <c r="M116" i="8"/>
  <c r="K116" i="8"/>
  <c r="AJ116" i="8" s="1"/>
  <c r="I116" i="8"/>
  <c r="G116" i="8"/>
  <c r="E116" i="8"/>
  <c r="O115" i="8"/>
  <c r="AL115" i="8" s="1"/>
  <c r="M115" i="8"/>
  <c r="K115" i="8"/>
  <c r="I115" i="8"/>
  <c r="G115" i="8"/>
  <c r="E115" i="8"/>
  <c r="AF115" i="8" s="1"/>
  <c r="O113" i="8"/>
  <c r="AL113" i="8" s="1"/>
  <c r="M113" i="8"/>
  <c r="K113" i="8"/>
  <c r="I113" i="8"/>
  <c r="G113" i="8"/>
  <c r="E113" i="8"/>
  <c r="AF113" i="8" s="1"/>
  <c r="O112" i="8"/>
  <c r="AL112" i="8" s="1"/>
  <c r="M112" i="8"/>
  <c r="K112" i="8"/>
  <c r="I112" i="8"/>
  <c r="G112" i="8"/>
  <c r="AH112" i="8" s="1"/>
  <c r="E112" i="8"/>
  <c r="O111" i="8"/>
  <c r="AL111" i="8" s="1"/>
  <c r="M111" i="8"/>
  <c r="K111" i="8"/>
  <c r="I111" i="8"/>
  <c r="G111" i="8"/>
  <c r="AH111" i="8" s="1"/>
  <c r="E111" i="8"/>
  <c r="O110" i="8"/>
  <c r="M110" i="8"/>
  <c r="K110" i="8"/>
  <c r="I110" i="8"/>
  <c r="G110" i="8"/>
  <c r="AH110" i="8" s="1"/>
  <c r="E110" i="8"/>
  <c r="AF110" i="8" s="1"/>
  <c r="O109" i="8"/>
  <c r="M109" i="8"/>
  <c r="K109" i="8"/>
  <c r="I109" i="8"/>
  <c r="G109" i="8"/>
  <c r="AH109" i="8" s="1"/>
  <c r="E109" i="8"/>
  <c r="AF109" i="8" s="1"/>
  <c r="O108" i="8"/>
  <c r="AL108" i="8" s="1"/>
  <c r="M108" i="8"/>
  <c r="K108" i="8"/>
  <c r="I108" i="8"/>
  <c r="G108" i="8"/>
  <c r="E108" i="8"/>
  <c r="AF108" i="8" s="1"/>
  <c r="O107" i="8"/>
  <c r="O106" i="8"/>
  <c r="K106" i="8"/>
  <c r="M105" i="8"/>
  <c r="I105" i="8"/>
  <c r="K104" i="8"/>
  <c r="B103" i="8"/>
  <c r="O103" i="8" s="1"/>
  <c r="K102" i="8"/>
  <c r="O101" i="8"/>
  <c r="AL101" i="8" s="1"/>
  <c r="K100" i="8"/>
  <c r="AJ100" i="8" s="1"/>
  <c r="B93" i="8"/>
  <c r="C237" i="8" s="1"/>
  <c r="G237" i="8" s="1"/>
  <c r="D177" i="8" s="1"/>
  <c r="D92" i="8"/>
  <c r="D91" i="8"/>
  <c r="D90" i="8"/>
  <c r="D89" i="8"/>
  <c r="D88" i="8"/>
  <c r="D87" i="8"/>
  <c r="D86" i="8"/>
  <c r="D85" i="8"/>
  <c r="D84" i="8"/>
  <c r="D83" i="8"/>
  <c r="D82" i="8"/>
  <c r="C81" i="8"/>
  <c r="D81" i="8" s="1"/>
  <c r="B71" i="8"/>
  <c r="Q56" i="8"/>
  <c r="S53" i="8"/>
  <c r="S57" i="8" s="1"/>
  <c r="R53" i="8"/>
  <c r="P53" i="8"/>
  <c r="P57" i="8" s="1"/>
  <c r="M53" i="8"/>
  <c r="M57" i="8" s="1"/>
  <c r="L53" i="8"/>
  <c r="L57" i="8" s="1"/>
  <c r="G53" i="8"/>
  <c r="G57" i="8" s="1"/>
  <c r="F53" i="8"/>
  <c r="F57" i="8" s="1"/>
  <c r="D53" i="8"/>
  <c r="D57" i="8" s="1"/>
  <c r="C53" i="8"/>
  <c r="S45" i="8"/>
  <c r="R45" i="8"/>
  <c r="P45" i="8"/>
  <c r="M45" i="8"/>
  <c r="L45" i="8"/>
  <c r="G45" i="8"/>
  <c r="F45" i="8"/>
  <c r="D45" i="8"/>
  <c r="N56" i="8"/>
  <c r="K56" i="8"/>
  <c r="D64" i="8"/>
  <c r="N29" i="8"/>
  <c r="E25" i="8"/>
  <c r="S22" i="8"/>
  <c r="S26" i="8" s="1"/>
  <c r="R22" i="8"/>
  <c r="R26" i="8" s="1"/>
  <c r="P22" i="8"/>
  <c r="P26" i="8" s="1"/>
  <c r="O22" i="8"/>
  <c r="O26" i="8" s="1"/>
  <c r="M22" i="8"/>
  <c r="M26" i="8" s="1"/>
  <c r="L22" i="8"/>
  <c r="L26" i="8" s="1"/>
  <c r="J22" i="8"/>
  <c r="J26" i="8" s="1"/>
  <c r="I22" i="8"/>
  <c r="G22" i="8"/>
  <c r="G26" i="8" s="1"/>
  <c r="F22" i="8"/>
  <c r="F26" i="8" s="1"/>
  <c r="D22" i="8"/>
  <c r="D26" i="8" s="1"/>
  <c r="C22" i="8"/>
  <c r="AC20" i="8"/>
  <c r="S14" i="8"/>
  <c r="R14" i="8"/>
  <c r="P14" i="8"/>
  <c r="O14" i="8"/>
  <c r="M14" i="8"/>
  <c r="L14" i="8"/>
  <c r="J14" i="8"/>
  <c r="I14" i="8"/>
  <c r="G14" i="8"/>
  <c r="F14" i="8"/>
  <c r="D14" i="8"/>
  <c r="C14" i="8"/>
  <c r="AC13" i="8"/>
  <c r="AC12" i="8"/>
  <c r="AC11" i="8"/>
  <c r="Q25" i="8"/>
  <c r="N7" i="8"/>
  <c r="N25" i="8" s="1"/>
  <c r="K7" i="8"/>
  <c r="K25" i="8" s="1"/>
  <c r="H7" i="8"/>
  <c r="H25" i="8" s="1"/>
  <c r="B25" i="8"/>
  <c r="AC240" i="8" l="1"/>
  <c r="AC239" i="8"/>
  <c r="AC184" i="8"/>
  <c r="AC186" i="8"/>
  <c r="AC183" i="8"/>
  <c r="AC185" i="8"/>
  <c r="AJ121" i="8"/>
  <c r="E163" i="8"/>
  <c r="AL121" i="8"/>
  <c r="E149" i="8"/>
  <c r="AI253" i="8"/>
  <c r="AC253" i="8" s="1"/>
  <c r="E150" i="8"/>
  <c r="O24" i="8"/>
  <c r="O27" i="8" s="1"/>
  <c r="B9" i="8"/>
  <c r="G55" i="8"/>
  <c r="G58" i="8" s="1"/>
  <c r="M55" i="8"/>
  <c r="M58" i="8" s="1"/>
  <c r="G131" i="8"/>
  <c r="K149" i="8"/>
  <c r="G150" i="8"/>
  <c r="M169" i="8"/>
  <c r="N41" i="8" s="1"/>
  <c r="B56" i="8"/>
  <c r="I134" i="8"/>
  <c r="AJ134" i="8" s="1"/>
  <c r="G132" i="8"/>
  <c r="O134" i="8"/>
  <c r="G100" i="8"/>
  <c r="AH100" i="8" s="1"/>
  <c r="AH121" i="8" s="1"/>
  <c r="F55" i="8"/>
  <c r="F58" i="8" s="1"/>
  <c r="L55" i="8"/>
  <c r="L58" i="8" s="1"/>
  <c r="S55" i="8"/>
  <c r="S58" i="8" s="1"/>
  <c r="I100" i="8"/>
  <c r="E102" i="8"/>
  <c r="M131" i="8"/>
  <c r="G102" i="8"/>
  <c r="G135" i="8"/>
  <c r="AH135" i="8" s="1"/>
  <c r="M150" i="8"/>
  <c r="AI250" i="8"/>
  <c r="AC250" i="8" s="1"/>
  <c r="O102" i="8"/>
  <c r="I102" i="8"/>
  <c r="E128" i="8"/>
  <c r="AF131" i="8" s="1"/>
  <c r="E131" i="8"/>
  <c r="I169" i="8"/>
  <c r="H41" i="8" s="1"/>
  <c r="G163" i="8"/>
  <c r="E9" i="8"/>
  <c r="K133" i="8"/>
  <c r="E133" i="8"/>
  <c r="M133" i="8"/>
  <c r="G133" i="8"/>
  <c r="AH133" i="8" s="1"/>
  <c r="O133" i="8"/>
  <c r="E40" i="8"/>
  <c r="M107" i="8"/>
  <c r="F24" i="8"/>
  <c r="F27" i="8" s="1"/>
  <c r="R24" i="8"/>
  <c r="R27" i="8" s="1"/>
  <c r="M100" i="8"/>
  <c r="G103" i="8"/>
  <c r="E107" i="8"/>
  <c r="I132" i="8"/>
  <c r="AJ132" i="8" s="1"/>
  <c r="AD9" i="8"/>
  <c r="G24" i="8"/>
  <c r="G27" i="8" s="1"/>
  <c r="E56" i="8"/>
  <c r="D55" i="8"/>
  <c r="E100" i="8"/>
  <c r="AF100" i="8" s="1"/>
  <c r="AF121" i="8" s="1"/>
  <c r="O100" i="8"/>
  <c r="M102" i="8"/>
  <c r="K103" i="8"/>
  <c r="I104" i="8"/>
  <c r="G107" i="8"/>
  <c r="G121" i="8"/>
  <c r="O121" i="8"/>
  <c r="M128" i="8"/>
  <c r="O131" i="8"/>
  <c r="O132" i="8"/>
  <c r="G134" i="8"/>
  <c r="AH134" i="8" s="1"/>
  <c r="O149" i="8"/>
  <c r="Q39" i="8" s="1"/>
  <c r="K150" i="8"/>
  <c r="E169" i="8"/>
  <c r="B41" i="8" s="1"/>
  <c r="K169" i="8"/>
  <c r="K41" i="8" s="1"/>
  <c r="AI200" i="8"/>
  <c r="M104" i="8"/>
  <c r="I107" i="8"/>
  <c r="K168" i="8"/>
  <c r="K40" i="8" s="1"/>
  <c r="O168" i="8"/>
  <c r="Q40" i="8" s="1"/>
  <c r="G169" i="8"/>
  <c r="E41" i="8" s="1"/>
  <c r="C209" i="8"/>
  <c r="B203" i="8" s="1"/>
  <c r="AI247" i="8"/>
  <c r="AC247" i="8" s="1"/>
  <c r="AI249" i="8"/>
  <c r="AC249" i="8" s="1"/>
  <c r="AI251" i="8"/>
  <c r="AC251" i="8" s="1"/>
  <c r="S24" i="8"/>
  <c r="S27" i="8" s="1"/>
  <c r="E104" i="8"/>
  <c r="I128" i="8"/>
  <c r="M163" i="8"/>
  <c r="M168" i="8"/>
  <c r="O169" i="8"/>
  <c r="Q41" i="8" s="1"/>
  <c r="F208" i="8"/>
  <c r="G208" i="8" s="1"/>
  <c r="G210" i="8" s="1"/>
  <c r="G212" i="8" s="1"/>
  <c r="AC17" i="8" s="1"/>
  <c r="AI248" i="8"/>
  <c r="AC248" i="8" s="1"/>
  <c r="M149" i="8"/>
  <c r="G149" i="8"/>
  <c r="I149" i="8"/>
  <c r="I122" i="8"/>
  <c r="G122" i="8"/>
  <c r="O122" i="8"/>
  <c r="K122" i="8"/>
  <c r="E122" i="8"/>
  <c r="M122" i="8"/>
  <c r="K121" i="8"/>
  <c r="D93" i="8"/>
  <c r="E91" i="8" s="1"/>
  <c r="R55" i="8"/>
  <c r="R58" i="8" s="1"/>
  <c r="I24" i="8"/>
  <c r="I27" i="8" s="1"/>
  <c r="C24" i="8"/>
  <c r="C27" i="8" s="1"/>
  <c r="D58" i="8"/>
  <c r="M24" i="8"/>
  <c r="M27" i="8" s="1"/>
  <c r="J24" i="8"/>
  <c r="J27" i="8" s="1"/>
  <c r="D24" i="8"/>
  <c r="D27" i="8" s="1"/>
  <c r="B64" i="8"/>
  <c r="AC9" i="8"/>
  <c r="AD20" i="8"/>
  <c r="AF20" i="8" s="1"/>
  <c r="AD10" i="8"/>
  <c r="V29" i="8"/>
  <c r="K163" i="8"/>
  <c r="K9" i="8"/>
  <c r="AC10" i="8"/>
  <c r="AC252" i="8"/>
  <c r="O130" i="8"/>
  <c r="G130" i="8"/>
  <c r="M130" i="8"/>
  <c r="E130" i="8"/>
  <c r="K130" i="8"/>
  <c r="P24" i="8"/>
  <c r="P27" i="8" s="1"/>
  <c r="C45" i="8"/>
  <c r="C55" i="8" s="1"/>
  <c r="C58" i="8" s="1"/>
  <c r="E168" i="8"/>
  <c r="AF174" i="8"/>
  <c r="AI213" i="8"/>
  <c r="AI214" i="8"/>
  <c r="AI211" i="8"/>
  <c r="AI209" i="8"/>
  <c r="AI212" i="8"/>
  <c r="AI210" i="8"/>
  <c r="M101" i="8"/>
  <c r="E101" i="8"/>
  <c r="I101" i="8"/>
  <c r="K101" i="8"/>
  <c r="O129" i="8"/>
  <c r="G129" i="8"/>
  <c r="M129" i="8"/>
  <c r="K129" i="8"/>
  <c r="E129" i="8"/>
  <c r="L24" i="8"/>
  <c r="L27" i="8" s="1"/>
  <c r="I121" i="8"/>
  <c r="AC182" i="8"/>
  <c r="AC180" i="8"/>
  <c r="AC181" i="8"/>
  <c r="G101" i="8"/>
  <c r="K105" i="8"/>
  <c r="O105" i="8"/>
  <c r="G105" i="8"/>
  <c r="E105" i="8"/>
  <c r="M106" i="8"/>
  <c r="E106" i="8"/>
  <c r="I106" i="8"/>
  <c r="G106" i="8"/>
  <c r="I129" i="8"/>
  <c r="E210" i="8"/>
  <c r="P55" i="8"/>
  <c r="P58" i="8" s="1"/>
  <c r="I103" i="8"/>
  <c r="M103" i="8"/>
  <c r="E103" i="8"/>
  <c r="E121" i="8"/>
  <c r="M121" i="8"/>
  <c r="I150" i="8"/>
  <c r="I163" i="8"/>
  <c r="AI197" i="8"/>
  <c r="G104" i="8"/>
  <c r="O104" i="8"/>
  <c r="K107" i="8"/>
  <c r="G128" i="8"/>
  <c r="O128" i="8"/>
  <c r="I168" i="8"/>
  <c r="D208" i="8"/>
  <c r="B210" i="8"/>
  <c r="M135" i="8"/>
  <c r="E135" i="8"/>
  <c r="AF135" i="8" s="1"/>
  <c r="K135" i="8"/>
  <c r="O135" i="8"/>
  <c r="O150" i="8"/>
  <c r="O163" i="8"/>
  <c r="I131" i="8"/>
  <c r="AJ131" i="8" s="1"/>
  <c r="K132" i="8"/>
  <c r="I133" i="8"/>
  <c r="AJ133" i="8" s="1"/>
  <c r="K134" i="8"/>
  <c r="B202" i="8"/>
  <c r="E132" i="8"/>
  <c r="E134" i="8"/>
  <c r="AJ152" i="8" l="1"/>
  <c r="AC187" i="8"/>
  <c r="AH152" i="8"/>
  <c r="AC241" i="8"/>
  <c r="E90" i="8"/>
  <c r="B39" i="8"/>
  <c r="H8" i="8"/>
  <c r="C93" i="8"/>
  <c r="E39" i="8"/>
  <c r="N39" i="8"/>
  <c r="K170" i="8"/>
  <c r="Q8" i="8"/>
  <c r="E8" i="8"/>
  <c r="K39" i="8"/>
  <c r="H39" i="8"/>
  <c r="G170" i="8"/>
  <c r="AE20" i="8"/>
  <c r="G148" i="8"/>
  <c r="G151" i="8" s="1"/>
  <c r="V10" i="8"/>
  <c r="W10" i="8" s="1"/>
  <c r="D211" i="8"/>
  <c r="B204" i="8"/>
  <c r="J211" i="8" s="1"/>
  <c r="I148" i="8"/>
  <c r="M148" i="8"/>
  <c r="M151" i="8" s="1"/>
  <c r="M120" i="8"/>
  <c r="M123" i="8" s="1"/>
  <c r="I120" i="8"/>
  <c r="I123" i="8" s="1"/>
  <c r="AI254" i="8"/>
  <c r="O170" i="8"/>
  <c r="D209" i="8"/>
  <c r="D210" i="8" s="1"/>
  <c r="O120" i="8"/>
  <c r="O123" i="8" s="1"/>
  <c r="E148" i="8"/>
  <c r="E151" i="8" s="1"/>
  <c r="N40" i="8"/>
  <c r="M170" i="8"/>
  <c r="E120" i="8"/>
  <c r="K120" i="8"/>
  <c r="K6" i="8" s="1"/>
  <c r="N8" i="8"/>
  <c r="K8" i="8"/>
  <c r="E82" i="8"/>
  <c r="E81" i="8"/>
  <c r="E86" i="8"/>
  <c r="E88" i="8"/>
  <c r="E83" i="8"/>
  <c r="E85" i="8"/>
  <c r="E93" i="8"/>
  <c r="E87" i="8"/>
  <c r="E89" i="8"/>
  <c r="E92" i="8"/>
  <c r="E84" i="8"/>
  <c r="AF10" i="8"/>
  <c r="AC200" i="8"/>
  <c r="AC201" i="8"/>
  <c r="K148" i="8"/>
  <c r="AF152" i="8"/>
  <c r="AC254" i="8"/>
  <c r="V125" i="8"/>
  <c r="V124" i="8"/>
  <c r="B8" i="8"/>
  <c r="B40" i="8"/>
  <c r="E170" i="8"/>
  <c r="D242" i="8"/>
  <c r="E242" i="8" s="1"/>
  <c r="H183" i="8"/>
  <c r="H180" i="8"/>
  <c r="H177" i="8"/>
  <c r="D243" i="8"/>
  <c r="E243" i="8" s="1"/>
  <c r="D241" i="8"/>
  <c r="E241" i="8" s="1"/>
  <c r="AD21" i="8"/>
  <c r="C199" i="8"/>
  <c r="C201" i="8" s="1"/>
  <c r="C202" i="8" s="1"/>
  <c r="AD12" i="8"/>
  <c r="AD11" i="8"/>
  <c r="AC29" i="8"/>
  <c r="AD19" i="8"/>
  <c r="AD13" i="8"/>
  <c r="H211" i="8"/>
  <c r="I211" i="8" s="1"/>
  <c r="B211" i="8"/>
  <c r="C211" i="8" s="1"/>
  <c r="H210" i="8"/>
  <c r="I170" i="8"/>
  <c r="H40" i="8"/>
  <c r="AF9" i="8"/>
  <c r="AI190" i="8"/>
  <c r="G120" i="8"/>
  <c r="AE10" i="8"/>
  <c r="O148" i="8"/>
  <c r="E212" i="8"/>
  <c r="F210" i="8"/>
  <c r="AE9" i="8"/>
  <c r="AC14" i="8"/>
  <c r="E123" i="8" l="1"/>
  <c r="B6" i="8"/>
  <c r="I151" i="8"/>
  <c r="H37" i="8"/>
  <c r="Q6" i="8"/>
  <c r="N6" i="8"/>
  <c r="K123" i="8"/>
  <c r="E37" i="8"/>
  <c r="H6" i="8"/>
  <c r="J210" i="8"/>
  <c r="J212" i="8" s="1"/>
  <c r="C210" i="8"/>
  <c r="D212" i="8"/>
  <c r="N37" i="8"/>
  <c r="V8" i="8"/>
  <c r="W8" i="8" s="1"/>
  <c r="X8" i="8" s="1"/>
  <c r="B37" i="8"/>
  <c r="V9" i="8"/>
  <c r="K151" i="8"/>
  <c r="K37" i="8"/>
  <c r="AC202" i="8"/>
  <c r="H43" i="8"/>
  <c r="Q43" i="8"/>
  <c r="B43" i="8"/>
  <c r="H12" i="8"/>
  <c r="K43" i="8"/>
  <c r="N12" i="8"/>
  <c r="N43" i="8"/>
  <c r="Q12" i="8"/>
  <c r="E12" i="8"/>
  <c r="B12" i="8"/>
  <c r="E43" i="8"/>
  <c r="K12" i="8"/>
  <c r="AC16" i="8"/>
  <c r="H212" i="8"/>
  <c r="AG10" i="8"/>
  <c r="O151" i="8"/>
  <c r="Q37" i="8"/>
  <c r="AF21" i="8"/>
  <c r="AE21" i="8"/>
  <c r="AF11" i="8"/>
  <c r="AE11" i="8"/>
  <c r="E244" i="8"/>
  <c r="H50" i="8"/>
  <c r="E50" i="8"/>
  <c r="Q19" i="8"/>
  <c r="E19" i="8"/>
  <c r="N50" i="8"/>
  <c r="K19" i="8"/>
  <c r="Q50" i="8"/>
  <c r="B50" i="8"/>
  <c r="N19" i="8"/>
  <c r="B19" i="8"/>
  <c r="K50" i="8"/>
  <c r="H19" i="8"/>
  <c r="N44" i="8"/>
  <c r="B44" i="8"/>
  <c r="Q44" i="8"/>
  <c r="Q13" i="8"/>
  <c r="E13" i="8"/>
  <c r="K44" i="8"/>
  <c r="N13" i="8"/>
  <c r="B13" i="8"/>
  <c r="H44" i="8"/>
  <c r="K13" i="8"/>
  <c r="E44" i="8"/>
  <c r="H13" i="8"/>
  <c r="E6" i="8"/>
  <c r="G123" i="8"/>
  <c r="AE13" i="8"/>
  <c r="AF13" i="8"/>
  <c r="AF12" i="8"/>
  <c r="AE12" i="8"/>
  <c r="H52" i="8"/>
  <c r="K52" i="8"/>
  <c r="B52" i="8"/>
  <c r="K21" i="8"/>
  <c r="N52" i="8"/>
  <c r="Q21" i="8"/>
  <c r="E21" i="8"/>
  <c r="Q52" i="8"/>
  <c r="H21" i="8"/>
  <c r="E52" i="8"/>
  <c r="N21" i="8"/>
  <c r="B21" i="8"/>
  <c r="N51" i="8"/>
  <c r="B51" i="8"/>
  <c r="E51" i="8"/>
  <c r="N20" i="8"/>
  <c r="B20" i="8"/>
  <c r="K51" i="8"/>
  <c r="H20" i="8"/>
  <c r="Q51" i="8"/>
  <c r="K20" i="8"/>
  <c r="H51" i="8"/>
  <c r="Q20" i="8"/>
  <c r="E20" i="8"/>
  <c r="AF218" i="8"/>
  <c r="E214" i="8"/>
  <c r="F212" i="8"/>
  <c r="G213" i="8" s="1"/>
  <c r="G229" i="8" s="1"/>
  <c r="AD17" i="8"/>
  <c r="AC190" i="8"/>
  <c r="B212" i="8"/>
  <c r="AE19" i="8"/>
  <c r="AF19" i="8"/>
  <c r="B213" i="8"/>
  <c r="B229" i="8" s="1"/>
  <c r="N42" i="8"/>
  <c r="B42" i="8"/>
  <c r="E42" i="8"/>
  <c r="K11" i="8"/>
  <c r="Q11" i="8"/>
  <c r="E11" i="8"/>
  <c r="Q42" i="8"/>
  <c r="H11" i="8"/>
  <c r="K42" i="8"/>
  <c r="H42" i="8"/>
  <c r="N11" i="8"/>
  <c r="B11" i="8"/>
  <c r="X10" i="8"/>
  <c r="H14" i="8" l="1"/>
  <c r="I210" i="8"/>
  <c r="V6" i="8"/>
  <c r="W6" i="8" s="1"/>
  <c r="Q14" i="8"/>
  <c r="N14" i="8"/>
  <c r="K45" i="8"/>
  <c r="V20" i="8"/>
  <c r="D73" i="8" s="1"/>
  <c r="B73" i="8" s="1"/>
  <c r="V12" i="8"/>
  <c r="W12" i="8" s="1"/>
  <c r="AG12" i="8" s="1"/>
  <c r="N45" i="8"/>
  <c r="V11" i="8"/>
  <c r="AF17" i="8"/>
  <c r="AE17" i="8"/>
  <c r="B214" i="8"/>
  <c r="AF217" i="8"/>
  <c r="AD16" i="8"/>
  <c r="AF16" i="8" s="1"/>
  <c r="V21" i="8"/>
  <c r="V19" i="8"/>
  <c r="K14" i="8"/>
  <c r="AC196" i="8"/>
  <c r="AC197" i="8"/>
  <c r="B14" i="8"/>
  <c r="AF219" i="8"/>
  <c r="AD18" i="8"/>
  <c r="AF18" i="8" s="1"/>
  <c r="I212" i="8"/>
  <c r="C204" i="8" s="1"/>
  <c r="AC18" i="8"/>
  <c r="E227" i="8"/>
  <c r="E225" i="8"/>
  <c r="E223" i="8"/>
  <c r="E221" i="8"/>
  <c r="E219" i="8"/>
  <c r="E217" i="8"/>
  <c r="E228" i="8"/>
  <c r="E224" i="8"/>
  <c r="E220" i="8"/>
  <c r="E226" i="8"/>
  <c r="E222" i="8"/>
  <c r="E218" i="8"/>
  <c r="G214" i="8"/>
  <c r="E14" i="8"/>
  <c r="H45" i="8"/>
  <c r="Q45" i="8"/>
  <c r="C212" i="8"/>
  <c r="C203" i="8" s="1"/>
  <c r="W9" i="8"/>
  <c r="AG9" i="8" s="1"/>
  <c r="H213" i="8"/>
  <c r="H214" i="8" s="1"/>
  <c r="E45" i="8"/>
  <c r="V13" i="8"/>
  <c r="B45" i="8"/>
  <c r="AH10" i="8"/>
  <c r="AJ10" i="8" s="1"/>
  <c r="AI10" i="8"/>
  <c r="B136" i="7"/>
  <c r="B135" i="7"/>
  <c r="C134" i="7"/>
  <c r="B134" i="7" s="1"/>
  <c r="C133" i="7"/>
  <c r="B133" i="7"/>
  <c r="C132" i="7"/>
  <c r="B132" i="7" s="1"/>
  <c r="B131" i="7"/>
  <c r="B130" i="7"/>
  <c r="B129" i="7"/>
  <c r="B128" i="7"/>
  <c r="B127" i="7"/>
  <c r="B101" i="7"/>
  <c r="B100" i="7"/>
  <c r="B99" i="7"/>
  <c r="B98" i="7"/>
  <c r="B97" i="7"/>
  <c r="B228" i="8" l="1"/>
  <c r="B220" i="8"/>
  <c r="B217" i="8"/>
  <c r="B218" i="8"/>
  <c r="W24" i="8"/>
  <c r="AE16" i="8"/>
  <c r="D213" i="8"/>
  <c r="D229" i="8" s="1"/>
  <c r="V14" i="8"/>
  <c r="E230" i="8"/>
  <c r="J214" i="8"/>
  <c r="H228" i="8"/>
  <c r="H226" i="8"/>
  <c r="H224" i="8"/>
  <c r="H222" i="8"/>
  <c r="H220" i="8"/>
  <c r="H218" i="8"/>
  <c r="H225" i="8"/>
  <c r="H221" i="8"/>
  <c r="H217" i="8"/>
  <c r="H227" i="8"/>
  <c r="H223" i="8"/>
  <c r="H219" i="8"/>
  <c r="AH12" i="8"/>
  <c r="AJ12" i="8" s="1"/>
  <c r="AI12" i="8"/>
  <c r="G227" i="8"/>
  <c r="G225" i="8"/>
  <c r="G223" i="8"/>
  <c r="G221" i="8"/>
  <c r="G219" i="8"/>
  <c r="G217" i="8"/>
  <c r="G222" i="8"/>
  <c r="H48" i="8"/>
  <c r="G218" i="8"/>
  <c r="K48" i="8"/>
  <c r="K17" i="8"/>
  <c r="B48" i="8"/>
  <c r="E17" i="8"/>
  <c r="G228" i="8"/>
  <c r="G224" i="8"/>
  <c r="E48" i="8"/>
  <c r="H17" i="8"/>
  <c r="G220" i="8"/>
  <c r="Q48" i="8"/>
  <c r="Q17" i="8"/>
  <c r="G226" i="8"/>
  <c r="N48" i="8"/>
  <c r="B17" i="8"/>
  <c r="N17" i="8"/>
  <c r="AC213" i="8"/>
  <c r="AC214" i="8"/>
  <c r="AC209" i="8"/>
  <c r="AC212" i="8"/>
  <c r="AC211" i="8"/>
  <c r="AC210" i="8"/>
  <c r="AE18" i="8"/>
  <c r="AC198" i="8"/>
  <c r="W13" i="8"/>
  <c r="AG13" i="8" s="1"/>
  <c r="X12" i="8"/>
  <c r="AH9" i="8"/>
  <c r="AJ9" i="8" s="1"/>
  <c r="AI9" i="8"/>
  <c r="W11" i="8"/>
  <c r="AG11" i="8" s="1"/>
  <c r="H229" i="8"/>
  <c r="J213" i="8"/>
  <c r="J229" i="8" s="1"/>
  <c r="X9" i="8"/>
  <c r="AC22" i="8"/>
  <c r="AC23" i="8" s="1"/>
  <c r="AC24" i="8" s="1"/>
  <c r="AC28" i="8" s="1"/>
  <c r="D214" i="8"/>
  <c r="B226" i="8"/>
  <c r="B224" i="8"/>
  <c r="B222" i="8"/>
  <c r="B227" i="8"/>
  <c r="B223" i="8"/>
  <c r="B219" i="8"/>
  <c r="B225" i="8"/>
  <c r="B221" i="8"/>
  <c r="C89" i="7"/>
  <c r="C88" i="7"/>
  <c r="C87" i="7"/>
  <c r="C86" i="7"/>
  <c r="C85" i="7"/>
  <c r="C84" i="7"/>
  <c r="C83" i="7"/>
  <c r="C82" i="7"/>
  <c r="C81" i="7"/>
  <c r="C80" i="7"/>
  <c r="C79" i="7"/>
  <c r="C78" i="7"/>
  <c r="X13" i="8" l="1"/>
  <c r="X11" i="8"/>
  <c r="J228" i="8"/>
  <c r="J226" i="8"/>
  <c r="J224" i="8"/>
  <c r="J222" i="8"/>
  <c r="J220" i="8"/>
  <c r="J218" i="8"/>
  <c r="J227" i="8"/>
  <c r="J219" i="8"/>
  <c r="N49" i="8"/>
  <c r="B49" i="8"/>
  <c r="J225" i="8"/>
  <c r="J221" i="8"/>
  <c r="H49" i="8"/>
  <c r="H18" i="8"/>
  <c r="Q49" i="8"/>
  <c r="N18" i="8"/>
  <c r="J217" i="8"/>
  <c r="E49" i="8"/>
  <c r="Q18" i="8"/>
  <c r="E18" i="8"/>
  <c r="J223" i="8"/>
  <c r="B18" i="8"/>
  <c r="K49" i="8"/>
  <c r="K18" i="8"/>
  <c r="V17" i="8"/>
  <c r="D228" i="8"/>
  <c r="D226" i="8"/>
  <c r="D224" i="8"/>
  <c r="D222" i="8"/>
  <c r="D220" i="8"/>
  <c r="D218" i="8"/>
  <c r="D225" i="8"/>
  <c r="D217" i="8"/>
  <c r="N47" i="8"/>
  <c r="B47" i="8"/>
  <c r="K47" i="8"/>
  <c r="N16" i="8"/>
  <c r="B16" i="8"/>
  <c r="E47" i="8"/>
  <c r="H16" i="8"/>
  <c r="D221" i="8"/>
  <c r="H47" i="8"/>
  <c r="K16" i="8"/>
  <c r="D227" i="8"/>
  <c r="D223" i="8"/>
  <c r="E16" i="8"/>
  <c r="D219" i="8"/>
  <c r="Q47" i="8"/>
  <c r="Q16" i="8"/>
  <c r="AH11" i="8"/>
  <c r="AJ11" i="8" s="1"/>
  <c r="AI11" i="8"/>
  <c r="AI13" i="8"/>
  <c r="AH13" i="8"/>
  <c r="AJ13" i="8" s="1"/>
  <c r="G230" i="8"/>
  <c r="AC215" i="8"/>
  <c r="B230" i="8"/>
  <c r="W14" i="8"/>
  <c r="AG14" i="8"/>
  <c r="H230" i="8"/>
  <c r="AJ247" i="7"/>
  <c r="AI245" i="7" s="1"/>
  <c r="AI246" i="7"/>
  <c r="B244" i="7"/>
  <c r="C244" i="7" s="1"/>
  <c r="AC21" i="7" s="1"/>
  <c r="B243" i="7"/>
  <c r="B242" i="7"/>
  <c r="C242" i="7" s="1"/>
  <c r="AC19" i="7" s="1"/>
  <c r="AI240" i="7"/>
  <c r="E230" i="7"/>
  <c r="F212" i="7"/>
  <c r="E210" i="7"/>
  <c r="B210" i="7"/>
  <c r="E209" i="7"/>
  <c r="B209" i="7"/>
  <c r="AJ208" i="7"/>
  <c r="H207" i="7"/>
  <c r="B202" i="7"/>
  <c r="AJ195" i="7"/>
  <c r="AI194" i="7" s="1"/>
  <c r="C193" i="7"/>
  <c r="F210" i="7" s="1"/>
  <c r="B193" i="7"/>
  <c r="C209" i="7" s="1"/>
  <c r="AJ191" i="7"/>
  <c r="C184" i="7"/>
  <c r="C181" i="7"/>
  <c r="AI178" i="7"/>
  <c r="C178" i="7"/>
  <c r="AI177" i="7"/>
  <c r="AI176" i="7"/>
  <c r="AI175" i="7"/>
  <c r="N170" i="7"/>
  <c r="L170" i="7"/>
  <c r="J170" i="7"/>
  <c r="H170" i="7"/>
  <c r="F170" i="7"/>
  <c r="D170" i="7"/>
  <c r="AF170" i="7" s="1"/>
  <c r="B170" i="7"/>
  <c r="M170" i="7" s="1"/>
  <c r="N41" i="7" s="1"/>
  <c r="N169" i="7"/>
  <c r="L169" i="7"/>
  <c r="J169" i="7"/>
  <c r="H169" i="7"/>
  <c r="F169" i="7"/>
  <c r="D169" i="7"/>
  <c r="B169" i="7"/>
  <c r="AF163" i="7"/>
  <c r="N163" i="7"/>
  <c r="O163" i="7" s="1"/>
  <c r="Q10" i="7" s="1"/>
  <c r="L163" i="7"/>
  <c r="M163" i="7" s="1"/>
  <c r="J163" i="7"/>
  <c r="K163" i="7" s="1"/>
  <c r="K10" i="7" s="1"/>
  <c r="H163" i="7"/>
  <c r="I163" i="7" s="1"/>
  <c r="H10" i="7" s="1"/>
  <c r="F163" i="7"/>
  <c r="G163" i="7" s="1"/>
  <c r="E10" i="7" s="1"/>
  <c r="E163" i="7"/>
  <c r="B10" i="7" s="1"/>
  <c r="AF162" i="7"/>
  <c r="N162" i="7"/>
  <c r="O162" i="7" s="1"/>
  <c r="Q9" i="7" s="1"/>
  <c r="L162" i="7"/>
  <c r="M162" i="7" s="1"/>
  <c r="N9" i="7" s="1"/>
  <c r="J162" i="7"/>
  <c r="K162" i="7" s="1"/>
  <c r="H162" i="7"/>
  <c r="I162" i="7" s="1"/>
  <c r="F162" i="7"/>
  <c r="G162" i="7" s="1"/>
  <c r="E162" i="7"/>
  <c r="B9" i="7" s="1"/>
  <c r="O146" i="7"/>
  <c r="M146" i="7"/>
  <c r="K146" i="7"/>
  <c r="I146" i="7"/>
  <c r="G146" i="7"/>
  <c r="E146" i="7"/>
  <c r="O145" i="7"/>
  <c r="M145" i="7"/>
  <c r="K145" i="7"/>
  <c r="I145" i="7"/>
  <c r="G145" i="7"/>
  <c r="E145" i="7"/>
  <c r="O144" i="7"/>
  <c r="L144" i="7"/>
  <c r="M144" i="7" s="1"/>
  <c r="K144" i="7"/>
  <c r="I144" i="7"/>
  <c r="G144" i="7"/>
  <c r="D144" i="7"/>
  <c r="E144" i="7" s="1"/>
  <c r="O143" i="7"/>
  <c r="L143" i="7"/>
  <c r="M143" i="7" s="1"/>
  <c r="K143" i="7"/>
  <c r="I143" i="7"/>
  <c r="G143" i="7"/>
  <c r="D143" i="7"/>
  <c r="E143" i="7" s="1"/>
  <c r="O142" i="7"/>
  <c r="L142" i="7"/>
  <c r="M142" i="7" s="1"/>
  <c r="K142" i="7"/>
  <c r="I142" i="7"/>
  <c r="G142" i="7"/>
  <c r="D142" i="7"/>
  <c r="E142" i="7" s="1"/>
  <c r="O141" i="7"/>
  <c r="M141" i="7"/>
  <c r="K141" i="7"/>
  <c r="I141" i="7"/>
  <c r="G141" i="7"/>
  <c r="E141" i="7"/>
  <c r="O140" i="7"/>
  <c r="M140" i="7"/>
  <c r="K140" i="7"/>
  <c r="I140" i="7"/>
  <c r="G140" i="7"/>
  <c r="E140" i="7"/>
  <c r="O139" i="7"/>
  <c r="M139" i="7"/>
  <c r="K139" i="7"/>
  <c r="I139" i="7"/>
  <c r="G139" i="7"/>
  <c r="E139" i="7"/>
  <c r="AE138" i="7"/>
  <c r="O138" i="7"/>
  <c r="M138" i="7"/>
  <c r="K138" i="7"/>
  <c r="I138" i="7"/>
  <c r="G138" i="7"/>
  <c r="E138" i="7"/>
  <c r="AF138" i="7" s="1"/>
  <c r="AE137" i="7"/>
  <c r="O137" i="7"/>
  <c r="L137" i="7"/>
  <c r="M137" i="7" s="1"/>
  <c r="K137" i="7"/>
  <c r="I137" i="7"/>
  <c r="G137" i="7"/>
  <c r="D137" i="7"/>
  <c r="E137" i="7" s="1"/>
  <c r="M136" i="7"/>
  <c r="G136" i="7"/>
  <c r="D136" i="7"/>
  <c r="B38" i="7" s="1"/>
  <c r="B56" i="7" s="1"/>
  <c r="K136" i="7"/>
  <c r="O135" i="7"/>
  <c r="M135" i="7"/>
  <c r="I135" i="7"/>
  <c r="G135" i="7"/>
  <c r="E135" i="7"/>
  <c r="K135" i="7"/>
  <c r="O134" i="7"/>
  <c r="K134" i="7"/>
  <c r="E134" i="7"/>
  <c r="I134" i="7"/>
  <c r="O133" i="7"/>
  <c r="L133" i="7"/>
  <c r="N38" i="7" s="1"/>
  <c r="N56" i="7" s="1"/>
  <c r="G133" i="7"/>
  <c r="K133" i="7"/>
  <c r="E132" i="7"/>
  <c r="O131" i="7"/>
  <c r="M131" i="7"/>
  <c r="I131" i="7"/>
  <c r="G131" i="7"/>
  <c r="E131" i="7"/>
  <c r="K131" i="7"/>
  <c r="G130" i="7"/>
  <c r="O129" i="7"/>
  <c r="M129" i="7"/>
  <c r="I129" i="7"/>
  <c r="G129" i="7"/>
  <c r="E129" i="7"/>
  <c r="K129" i="7"/>
  <c r="O128" i="7"/>
  <c r="G128" i="7"/>
  <c r="K128" i="7"/>
  <c r="AE127" i="7"/>
  <c r="O127" i="7"/>
  <c r="M127" i="7"/>
  <c r="I127" i="7"/>
  <c r="G127" i="7"/>
  <c r="E127" i="7"/>
  <c r="K127" i="7"/>
  <c r="O116" i="7"/>
  <c r="M116" i="7"/>
  <c r="K116" i="7"/>
  <c r="I116" i="7"/>
  <c r="G116" i="7"/>
  <c r="E116" i="7"/>
  <c r="O115" i="7"/>
  <c r="M115" i="7"/>
  <c r="K115" i="7"/>
  <c r="I115" i="7"/>
  <c r="G115" i="7"/>
  <c r="E115" i="7"/>
  <c r="O114" i="7"/>
  <c r="M114" i="7"/>
  <c r="K114" i="7"/>
  <c r="I114" i="7"/>
  <c r="G114" i="7"/>
  <c r="E114" i="7"/>
  <c r="O113" i="7"/>
  <c r="M113" i="7"/>
  <c r="K113" i="7"/>
  <c r="I113" i="7"/>
  <c r="G113" i="7"/>
  <c r="E113" i="7"/>
  <c r="O112" i="7"/>
  <c r="M112" i="7"/>
  <c r="K112" i="7"/>
  <c r="I112" i="7"/>
  <c r="G112" i="7"/>
  <c r="E112" i="7"/>
  <c r="O111" i="7"/>
  <c r="M111" i="7"/>
  <c r="K111" i="7"/>
  <c r="I111" i="7"/>
  <c r="G111" i="7"/>
  <c r="E111" i="7"/>
  <c r="O110" i="7"/>
  <c r="M110" i="7"/>
  <c r="K110" i="7"/>
  <c r="I110" i="7"/>
  <c r="G110" i="7"/>
  <c r="E110" i="7"/>
  <c r="O109" i="7"/>
  <c r="M109" i="7"/>
  <c r="K109" i="7"/>
  <c r="I109" i="7"/>
  <c r="G109" i="7"/>
  <c r="E109" i="7"/>
  <c r="AE108" i="7"/>
  <c r="O108" i="7"/>
  <c r="M108" i="7"/>
  <c r="K108" i="7"/>
  <c r="I108" i="7"/>
  <c r="G108" i="7"/>
  <c r="E108" i="7"/>
  <c r="AF108" i="7" s="1"/>
  <c r="AE107" i="7"/>
  <c r="O107" i="7"/>
  <c r="M107" i="7"/>
  <c r="K107" i="7"/>
  <c r="I107" i="7"/>
  <c r="G107" i="7"/>
  <c r="E107" i="7"/>
  <c r="B106" i="7"/>
  <c r="K106" i="7" s="1"/>
  <c r="B105" i="7"/>
  <c r="K105" i="7" s="1"/>
  <c r="C104" i="7"/>
  <c r="B104" i="7"/>
  <c r="E104" i="7" s="1"/>
  <c r="I103" i="7"/>
  <c r="C103" i="7"/>
  <c r="B103" i="7" s="1"/>
  <c r="E103" i="7" s="1"/>
  <c r="C102" i="7"/>
  <c r="B102" i="7" s="1"/>
  <c r="E102" i="7" s="1"/>
  <c r="M101" i="7"/>
  <c r="I101" i="7"/>
  <c r="E101" i="7"/>
  <c r="O101" i="7"/>
  <c r="O99" i="7"/>
  <c r="M99" i="7"/>
  <c r="I99" i="7"/>
  <c r="G99" i="7"/>
  <c r="E99" i="7"/>
  <c r="K99" i="7"/>
  <c r="AE97" i="7"/>
  <c r="O97" i="7"/>
  <c r="M97" i="7"/>
  <c r="I97" i="7"/>
  <c r="G97" i="7"/>
  <c r="E97" i="7"/>
  <c r="K97" i="7"/>
  <c r="B90" i="7"/>
  <c r="C238" i="7" s="1"/>
  <c r="G238" i="7" s="1"/>
  <c r="D178" i="7" s="1"/>
  <c r="D89" i="7"/>
  <c r="D88" i="7"/>
  <c r="D87" i="7"/>
  <c r="D86" i="7"/>
  <c r="D85" i="7"/>
  <c r="D84" i="7"/>
  <c r="D83" i="7"/>
  <c r="D82" i="7"/>
  <c r="D81" i="7"/>
  <c r="D80" i="7"/>
  <c r="D79" i="7"/>
  <c r="D78" i="7"/>
  <c r="B71" i="7"/>
  <c r="C64" i="7"/>
  <c r="F62" i="7"/>
  <c r="Q60" i="7"/>
  <c r="N60" i="7"/>
  <c r="K60" i="7"/>
  <c r="H60" i="7"/>
  <c r="E60" i="7"/>
  <c r="B60" i="7"/>
  <c r="Q56" i="7"/>
  <c r="S53" i="7"/>
  <c r="S57" i="7" s="1"/>
  <c r="R53" i="7"/>
  <c r="R57" i="7" s="1"/>
  <c r="P53" i="7"/>
  <c r="P57" i="7" s="1"/>
  <c r="O53" i="7"/>
  <c r="O57" i="7" s="1"/>
  <c r="M53" i="7"/>
  <c r="M57" i="7" s="1"/>
  <c r="L53" i="7"/>
  <c r="L57" i="7" s="1"/>
  <c r="J53" i="7"/>
  <c r="J57" i="7" s="1"/>
  <c r="I53" i="7"/>
  <c r="I57" i="7" s="1"/>
  <c r="G53" i="7"/>
  <c r="G57" i="7" s="1"/>
  <c r="F53" i="7"/>
  <c r="F57" i="7" s="1"/>
  <c r="D53" i="7"/>
  <c r="D57" i="7" s="1"/>
  <c r="C53" i="7"/>
  <c r="C57" i="7" s="1"/>
  <c r="S45" i="7"/>
  <c r="S55" i="7" s="1"/>
  <c r="S58" i="7" s="1"/>
  <c r="R45" i="7"/>
  <c r="R55" i="7" s="1"/>
  <c r="R58" i="7" s="1"/>
  <c r="P45" i="7"/>
  <c r="M45" i="7"/>
  <c r="L45" i="7"/>
  <c r="J45" i="7"/>
  <c r="I45" i="7"/>
  <c r="I55" i="7" s="1"/>
  <c r="G45" i="7"/>
  <c r="F45" i="7"/>
  <c r="D45" i="7"/>
  <c r="D55" i="7" s="1"/>
  <c r="D58" i="7" s="1"/>
  <c r="O39" i="7"/>
  <c r="O45" i="7" s="1"/>
  <c r="O55" i="7" s="1"/>
  <c r="O58" i="7" s="1"/>
  <c r="C39" i="7"/>
  <c r="K38" i="7"/>
  <c r="K56" i="7" s="1"/>
  <c r="H38" i="7"/>
  <c r="H56" i="7" s="1"/>
  <c r="E38" i="7"/>
  <c r="E56" i="7" s="1"/>
  <c r="C37" i="7"/>
  <c r="Q29" i="7"/>
  <c r="P29" i="7"/>
  <c r="N29" i="7"/>
  <c r="M29" i="7"/>
  <c r="K29" i="7"/>
  <c r="H29" i="7"/>
  <c r="E29" i="7"/>
  <c r="B29" i="7"/>
  <c r="E25" i="7"/>
  <c r="S22" i="7"/>
  <c r="S26" i="7" s="1"/>
  <c r="R22" i="7"/>
  <c r="R26" i="7" s="1"/>
  <c r="P22" i="7"/>
  <c r="P26" i="7" s="1"/>
  <c r="O22" i="7"/>
  <c r="O26" i="7" s="1"/>
  <c r="M22" i="7"/>
  <c r="M26" i="7" s="1"/>
  <c r="L22" i="7"/>
  <c r="L26" i="7" s="1"/>
  <c r="J22" i="7"/>
  <c r="J26" i="7" s="1"/>
  <c r="I22" i="7"/>
  <c r="I26" i="7" s="1"/>
  <c r="G22" i="7"/>
  <c r="G26" i="7" s="1"/>
  <c r="F22" i="7"/>
  <c r="F26" i="7" s="1"/>
  <c r="D22" i="7"/>
  <c r="D26" i="7" s="1"/>
  <c r="C22" i="7"/>
  <c r="C26" i="7" s="1"/>
  <c r="AC20" i="7"/>
  <c r="AC245" i="7" s="1"/>
  <c r="S14" i="7"/>
  <c r="R14" i="7"/>
  <c r="R24" i="7" s="1"/>
  <c r="R27" i="7" s="1"/>
  <c r="P14" i="7"/>
  <c r="O14" i="7"/>
  <c r="M14" i="7"/>
  <c r="L14" i="7"/>
  <c r="J14" i="7"/>
  <c r="I14" i="7"/>
  <c r="G14" i="7"/>
  <c r="F14" i="7"/>
  <c r="F24" i="7" s="1"/>
  <c r="F27" i="7" s="1"/>
  <c r="D14" i="7"/>
  <c r="C14" i="7"/>
  <c r="AC13" i="7"/>
  <c r="AC12" i="7"/>
  <c r="AC11" i="7"/>
  <c r="N10" i="7"/>
  <c r="Q7" i="7"/>
  <c r="Q25" i="7" s="1"/>
  <c r="N7" i="7"/>
  <c r="N25" i="7" s="1"/>
  <c r="K7" i="7"/>
  <c r="K25" i="7" s="1"/>
  <c r="H7" i="7"/>
  <c r="H25" i="7" s="1"/>
  <c r="B7" i="7"/>
  <c r="B25" i="7" s="1"/>
  <c r="D64" i="7" l="1"/>
  <c r="I58" i="7"/>
  <c r="C38" i="7"/>
  <c r="C56" i="7" s="1"/>
  <c r="O106" i="7"/>
  <c r="K150" i="7"/>
  <c r="M169" i="7"/>
  <c r="N40" i="7" s="1"/>
  <c r="F55" i="7"/>
  <c r="F58" i="7" s="1"/>
  <c r="E106" i="7"/>
  <c r="J24" i="7"/>
  <c r="J27" i="7" s="1"/>
  <c r="G169" i="7"/>
  <c r="I170" i="7"/>
  <c r="H41" i="7" s="1"/>
  <c r="I150" i="7"/>
  <c r="M164" i="7"/>
  <c r="O169" i="7"/>
  <c r="Q40" i="7" s="1"/>
  <c r="AI242" i="7"/>
  <c r="G150" i="7"/>
  <c r="L24" i="7"/>
  <c r="L27" i="7" s="1"/>
  <c r="O121" i="7"/>
  <c r="D24" i="7"/>
  <c r="D27" i="7" s="1"/>
  <c r="P24" i="7"/>
  <c r="P27" i="7" s="1"/>
  <c r="G106" i="7"/>
  <c r="AI193" i="7"/>
  <c r="AI243" i="7"/>
  <c r="AC243" i="7" s="1"/>
  <c r="C45" i="7"/>
  <c r="C55" i="7" s="1"/>
  <c r="C58" i="7" s="1"/>
  <c r="P55" i="7"/>
  <c r="P58" i="7" s="1"/>
  <c r="E40" i="7"/>
  <c r="G210" i="7"/>
  <c r="G164" i="7"/>
  <c r="E9" i="7"/>
  <c r="F209" i="7"/>
  <c r="G209" i="7" s="1"/>
  <c r="L55" i="7"/>
  <c r="L58" i="7" s="1"/>
  <c r="I24" i="7"/>
  <c r="I27" i="7" s="1"/>
  <c r="G55" i="7"/>
  <c r="G58" i="7" s="1"/>
  <c r="M55" i="7"/>
  <c r="M58" i="7" s="1"/>
  <c r="O105" i="7"/>
  <c r="I106" i="7"/>
  <c r="G120" i="7"/>
  <c r="O120" i="7"/>
  <c r="E170" i="7"/>
  <c r="B41" i="7" s="1"/>
  <c r="K170" i="7"/>
  <c r="K41" i="7" s="1"/>
  <c r="C210" i="7"/>
  <c r="B204" i="7" s="1"/>
  <c r="K164" i="7"/>
  <c r="M24" i="7"/>
  <c r="M27" i="7" s="1"/>
  <c r="G105" i="7"/>
  <c r="O170" i="7"/>
  <c r="Q41" i="7" s="1"/>
  <c r="K9" i="7"/>
  <c r="M106" i="7"/>
  <c r="E164" i="7"/>
  <c r="K169" i="7"/>
  <c r="G170" i="7"/>
  <c r="E41" i="7" s="1"/>
  <c r="E211" i="7"/>
  <c r="E213" i="7" s="1"/>
  <c r="AI244" i="7"/>
  <c r="AC244" i="7" s="1"/>
  <c r="X14" i="8"/>
  <c r="C70" i="8" s="1"/>
  <c r="V16" i="8"/>
  <c r="E53" i="8"/>
  <c r="E57" i="8" s="1"/>
  <c r="B53" i="8"/>
  <c r="B57" i="8" s="1"/>
  <c r="H53" i="8"/>
  <c r="H57" i="8" s="1"/>
  <c r="N53" i="8"/>
  <c r="N57" i="8" s="1"/>
  <c r="AI14" i="8"/>
  <c r="E22" i="8"/>
  <c r="E26" i="8" s="1"/>
  <c r="K22" i="8"/>
  <c r="K24" i="8" s="1"/>
  <c r="N22" i="8"/>
  <c r="N26" i="8" s="1"/>
  <c r="W17" i="8"/>
  <c r="AG17" i="8" s="1"/>
  <c r="J230" i="8"/>
  <c r="C69" i="8"/>
  <c r="B22" i="8"/>
  <c r="V18" i="8"/>
  <c r="W18" i="8" s="1"/>
  <c r="Q22" i="8"/>
  <c r="D230" i="8"/>
  <c r="Q53" i="8"/>
  <c r="H22" i="8"/>
  <c r="H26" i="8" s="1"/>
  <c r="K53" i="8"/>
  <c r="O150" i="7"/>
  <c r="Q39" i="7" s="1"/>
  <c r="G151" i="7"/>
  <c r="O151" i="7"/>
  <c r="K151" i="7"/>
  <c r="K39" i="7" s="1"/>
  <c r="G121" i="7"/>
  <c r="E8" i="7" s="1"/>
  <c r="E121" i="7"/>
  <c r="I121" i="7"/>
  <c r="K121" i="7"/>
  <c r="K120" i="7"/>
  <c r="AD10" i="7"/>
  <c r="AC9" i="7"/>
  <c r="AD20" i="7"/>
  <c r="AF20" i="7" s="1"/>
  <c r="AC178" i="7"/>
  <c r="AC177" i="7"/>
  <c r="AC175" i="7"/>
  <c r="AC176" i="7"/>
  <c r="J55" i="7"/>
  <c r="J58" i="7" s="1"/>
  <c r="AF97" i="7"/>
  <c r="O102" i="7"/>
  <c r="G102" i="7"/>
  <c r="K102" i="7"/>
  <c r="I102" i="7"/>
  <c r="O104" i="7"/>
  <c r="G104" i="7"/>
  <c r="K104" i="7"/>
  <c r="I104" i="7"/>
  <c r="K132" i="7"/>
  <c r="M132" i="7"/>
  <c r="G132" i="7"/>
  <c r="I132" i="7"/>
  <c r="I164" i="7"/>
  <c r="AI190" i="7"/>
  <c r="AJ234" i="7"/>
  <c r="AI189" i="7"/>
  <c r="H9" i="7"/>
  <c r="AD9" i="7"/>
  <c r="AC10" i="7"/>
  <c r="C24" i="7"/>
  <c r="C27" i="7" s="1"/>
  <c r="G24" i="7"/>
  <c r="G27" i="7" s="1"/>
  <c r="O24" i="7"/>
  <c r="O27" i="7" s="1"/>
  <c r="S24" i="7"/>
  <c r="S27" i="7" s="1"/>
  <c r="AC246" i="7"/>
  <c r="AC242" i="7"/>
  <c r="AC240" i="7"/>
  <c r="K40" i="7"/>
  <c r="I98" i="7"/>
  <c r="M98" i="7"/>
  <c r="E98" i="7"/>
  <c r="G98" i="7"/>
  <c r="O98" i="7"/>
  <c r="M100" i="7"/>
  <c r="E100" i="7"/>
  <c r="I100" i="7"/>
  <c r="O100" i="7"/>
  <c r="G100" i="7"/>
  <c r="K98" i="7"/>
  <c r="K100" i="7"/>
  <c r="M102" i="7"/>
  <c r="M104" i="7"/>
  <c r="O132" i="7"/>
  <c r="AF137" i="7"/>
  <c r="E150" i="7"/>
  <c r="D90" i="7"/>
  <c r="O103" i="7"/>
  <c r="G103" i="7"/>
  <c r="K103" i="7"/>
  <c r="M103" i="7"/>
  <c r="E120" i="7"/>
  <c r="AF107" i="7"/>
  <c r="M120" i="7"/>
  <c r="AF127" i="7"/>
  <c r="I130" i="7"/>
  <c r="O130" i="7"/>
  <c r="E130" i="7"/>
  <c r="K130" i="7"/>
  <c r="E169" i="7"/>
  <c r="AF169" i="7"/>
  <c r="B64" i="7"/>
  <c r="V29" i="7"/>
  <c r="I105" i="7"/>
  <c r="M105" i="7"/>
  <c r="E105" i="7"/>
  <c r="I120" i="7"/>
  <c r="M121" i="7"/>
  <c r="I128" i="7"/>
  <c r="M128" i="7"/>
  <c r="E128" i="7"/>
  <c r="M130" i="7"/>
  <c r="M150" i="7"/>
  <c r="I151" i="7"/>
  <c r="H39" i="7" s="1"/>
  <c r="AI206" i="7"/>
  <c r="AI207" i="7"/>
  <c r="AI204" i="7"/>
  <c r="AI202" i="7"/>
  <c r="AI205" i="7"/>
  <c r="AI203" i="7"/>
  <c r="K101" i="7"/>
  <c r="I133" i="7"/>
  <c r="M134" i="7"/>
  <c r="I136" i="7"/>
  <c r="I169" i="7"/>
  <c r="D209" i="7"/>
  <c r="B211" i="7"/>
  <c r="G101" i="7"/>
  <c r="E133" i="7"/>
  <c r="M133" i="7"/>
  <c r="G134" i="7"/>
  <c r="E136" i="7"/>
  <c r="O136" i="7"/>
  <c r="E151" i="7"/>
  <c r="M151" i="7"/>
  <c r="O164" i="7"/>
  <c r="B203" i="7"/>
  <c r="AI241" i="7"/>
  <c r="AF10" i="7" l="1"/>
  <c r="E39" i="7"/>
  <c r="D210" i="7"/>
  <c r="D211" i="7" s="1"/>
  <c r="C211" i="7" s="1"/>
  <c r="H8" i="7"/>
  <c r="AE20" i="7"/>
  <c r="V121" i="7"/>
  <c r="Q8" i="7"/>
  <c r="M171" i="7"/>
  <c r="I119" i="7"/>
  <c r="K171" i="7"/>
  <c r="G211" i="7"/>
  <c r="G213" i="7" s="1"/>
  <c r="D212" i="7"/>
  <c r="B205" i="7"/>
  <c r="J212" i="7" s="1"/>
  <c r="N39" i="7"/>
  <c r="AI247" i="7"/>
  <c r="V120" i="7"/>
  <c r="O171" i="7"/>
  <c r="G171" i="7"/>
  <c r="B55" i="8"/>
  <c r="B58" i="8" s="1"/>
  <c r="E24" i="8"/>
  <c r="E27" i="8" s="1"/>
  <c r="E55" i="8"/>
  <c r="E58" i="8" s="1"/>
  <c r="H55" i="8"/>
  <c r="H58" i="8" s="1"/>
  <c r="K26" i="8"/>
  <c r="K27" i="8" s="1"/>
  <c r="N55" i="8"/>
  <c r="N58" i="8" s="1"/>
  <c r="N24" i="8"/>
  <c r="N27" i="8" s="1"/>
  <c r="X17" i="8"/>
  <c r="Q57" i="8"/>
  <c r="Q55" i="8"/>
  <c r="C72" i="8"/>
  <c r="C74" i="8" s="1"/>
  <c r="Q24" i="8"/>
  <c r="Q26" i="8"/>
  <c r="W16" i="8"/>
  <c r="V22" i="8"/>
  <c r="V24" i="8" s="1"/>
  <c r="B26" i="8"/>
  <c r="B24" i="8"/>
  <c r="K57" i="8"/>
  <c r="K55" i="8"/>
  <c r="H24" i="8"/>
  <c r="AH17" i="8"/>
  <c r="AJ17" i="8" s="1"/>
  <c r="AI17" i="8"/>
  <c r="I149" i="7"/>
  <c r="I152" i="7" s="1"/>
  <c r="O149" i="7"/>
  <c r="Q37" i="7" s="1"/>
  <c r="AF147" i="7"/>
  <c r="E149" i="7"/>
  <c r="E152" i="7" s="1"/>
  <c r="G149" i="7"/>
  <c r="E37" i="7" s="1"/>
  <c r="M149" i="7"/>
  <c r="M152" i="7" s="1"/>
  <c r="K149" i="7"/>
  <c r="K152" i="7" s="1"/>
  <c r="K119" i="7"/>
  <c r="K122" i="7" s="1"/>
  <c r="E119" i="7"/>
  <c r="E122" i="7" s="1"/>
  <c r="M119" i="7"/>
  <c r="N6" i="7" s="1"/>
  <c r="B8" i="7"/>
  <c r="K8" i="7"/>
  <c r="N8" i="7"/>
  <c r="I122" i="7"/>
  <c r="H6" i="7"/>
  <c r="H211" i="7"/>
  <c r="O119" i="7"/>
  <c r="AF211" i="7"/>
  <c r="E215" i="7"/>
  <c r="AD17" i="7"/>
  <c r="AE10" i="7"/>
  <c r="B212" i="7"/>
  <c r="C212" i="7" s="1"/>
  <c r="H212" i="7"/>
  <c r="I212" i="7" s="1"/>
  <c r="D243" i="7"/>
  <c r="E243" i="7" s="1"/>
  <c r="Q51" i="7" s="1"/>
  <c r="H184" i="7"/>
  <c r="H181" i="7"/>
  <c r="H178" i="7"/>
  <c r="D242" i="7"/>
  <c r="E242" i="7" s="1"/>
  <c r="Q50" i="7" s="1"/>
  <c r="AD11" i="7"/>
  <c r="D244" i="7"/>
  <c r="E244" i="7" s="1"/>
  <c r="Q52" i="7" s="1"/>
  <c r="C200" i="7"/>
  <c r="C202" i="7" s="1"/>
  <c r="C203" i="7" s="1"/>
  <c r="AC29" i="7"/>
  <c r="AD21" i="7"/>
  <c r="AD19" i="7"/>
  <c r="AD13" i="7"/>
  <c r="AD12" i="7"/>
  <c r="E171" i="7"/>
  <c r="B40" i="7"/>
  <c r="G119" i="7"/>
  <c r="AF9" i="7"/>
  <c r="AE9" i="7"/>
  <c r="AC14" i="7"/>
  <c r="I171" i="7"/>
  <c r="H40" i="7"/>
  <c r="B39" i="7"/>
  <c r="AC241" i="7"/>
  <c r="AC247" i="7" s="1"/>
  <c r="AI183" i="7"/>
  <c r="AI233" i="7"/>
  <c r="AC233" i="7" s="1"/>
  <c r="E88" i="7"/>
  <c r="E84" i="7"/>
  <c r="E80" i="7"/>
  <c r="E86" i="7"/>
  <c r="E82" i="7"/>
  <c r="E78" i="7"/>
  <c r="E89" i="7"/>
  <c r="E87" i="7"/>
  <c r="E85" i="7"/>
  <c r="E83" i="7"/>
  <c r="E81" i="7"/>
  <c r="E79" i="7"/>
  <c r="C90" i="7"/>
  <c r="E90" i="7"/>
  <c r="AF117" i="7"/>
  <c r="V10" i="7"/>
  <c r="F211" i="7" l="1"/>
  <c r="D213" i="7"/>
  <c r="AC17" i="7"/>
  <c r="AC194" i="7" s="1"/>
  <c r="F213" i="7"/>
  <c r="G214" i="7" s="1"/>
  <c r="G230" i="7" s="1"/>
  <c r="J211" i="7"/>
  <c r="I211" i="7" s="1"/>
  <c r="V26" i="8"/>
  <c r="V27" i="8" s="1"/>
  <c r="X16" i="8"/>
  <c r="W19" i="8"/>
  <c r="W21" i="8" s="1"/>
  <c r="W20" i="8" s="1"/>
  <c r="Q27" i="8"/>
  <c r="H27" i="8"/>
  <c r="B27" i="8"/>
  <c r="AG16" i="8"/>
  <c r="K58" i="8"/>
  <c r="Q58" i="8"/>
  <c r="N37" i="7"/>
  <c r="H37" i="7"/>
  <c r="B37" i="7"/>
  <c r="O152" i="7"/>
  <c r="K37" i="7"/>
  <c r="G152" i="7"/>
  <c r="B6" i="7"/>
  <c r="K6" i="7"/>
  <c r="M122" i="7"/>
  <c r="V8" i="7"/>
  <c r="W8" i="7" s="1"/>
  <c r="E51" i="7"/>
  <c r="N20" i="7"/>
  <c r="B20" i="7"/>
  <c r="K51" i="7"/>
  <c r="N51" i="7"/>
  <c r="E20" i="7"/>
  <c r="H51" i="7"/>
  <c r="Q20" i="7"/>
  <c r="B51" i="7"/>
  <c r="K20" i="7"/>
  <c r="H20" i="7"/>
  <c r="B214" i="7"/>
  <c r="Q42" i="7"/>
  <c r="E42" i="7"/>
  <c r="K42" i="7"/>
  <c r="H42" i="7"/>
  <c r="H11" i="7"/>
  <c r="B42" i="7"/>
  <c r="Q11" i="7"/>
  <c r="E11" i="7"/>
  <c r="N11" i="7"/>
  <c r="B11" i="7"/>
  <c r="N42" i="7"/>
  <c r="K11" i="7"/>
  <c r="V9" i="7"/>
  <c r="AF19" i="7"/>
  <c r="AE19" i="7"/>
  <c r="K52" i="7"/>
  <c r="K21" i="7"/>
  <c r="E52" i="7"/>
  <c r="Q21" i="7"/>
  <c r="N52" i="7"/>
  <c r="B21" i="7"/>
  <c r="H52" i="7"/>
  <c r="N21" i="7"/>
  <c r="B52" i="7"/>
  <c r="H21" i="7"/>
  <c r="E21" i="7"/>
  <c r="K43" i="7"/>
  <c r="Q43" i="7"/>
  <c r="E43" i="7"/>
  <c r="N43" i="7"/>
  <c r="Q12" i="7"/>
  <c r="E12" i="7"/>
  <c r="H43" i="7"/>
  <c r="B43" i="7"/>
  <c r="K12" i="7"/>
  <c r="H12" i="7"/>
  <c r="N12" i="7"/>
  <c r="B12" i="7"/>
  <c r="AC16" i="7"/>
  <c r="AF17" i="7"/>
  <c r="AE17" i="7"/>
  <c r="B213" i="7"/>
  <c r="W10" i="7"/>
  <c r="AG10" i="7" s="1"/>
  <c r="AF12" i="7"/>
  <c r="AE12" i="7"/>
  <c r="E245" i="7"/>
  <c r="K50" i="7"/>
  <c r="E50" i="7"/>
  <c r="N50" i="7"/>
  <c r="N19" i="7"/>
  <c r="B19" i="7"/>
  <c r="H50" i="7"/>
  <c r="K19" i="7"/>
  <c r="B50" i="7"/>
  <c r="H19" i="7"/>
  <c r="Q19" i="7"/>
  <c r="E19" i="7"/>
  <c r="G122" i="7"/>
  <c r="E6" i="7"/>
  <c r="AF13" i="7"/>
  <c r="AE13" i="7"/>
  <c r="J213" i="7"/>
  <c r="O122" i="7"/>
  <c r="Q6" i="7"/>
  <c r="AI234" i="7"/>
  <c r="AC183" i="7"/>
  <c r="AF21" i="7"/>
  <c r="AE21" i="7"/>
  <c r="AF11" i="7"/>
  <c r="AE11" i="7"/>
  <c r="Q44" i="7"/>
  <c r="E44" i="7"/>
  <c r="K44" i="7"/>
  <c r="N13" i="7"/>
  <c r="B13" i="7"/>
  <c r="N44" i="7"/>
  <c r="H44" i="7"/>
  <c r="H13" i="7"/>
  <c r="B44" i="7"/>
  <c r="Q13" i="7"/>
  <c r="E13" i="7"/>
  <c r="K13" i="7"/>
  <c r="E228" i="7"/>
  <c r="E226" i="7"/>
  <c r="E224" i="7"/>
  <c r="E222" i="7"/>
  <c r="E220" i="7"/>
  <c r="E218" i="7"/>
  <c r="E225" i="7"/>
  <c r="E229" i="7"/>
  <c r="E221" i="7"/>
  <c r="E223" i="7"/>
  <c r="E227" i="7"/>
  <c r="E219" i="7"/>
  <c r="H213" i="7"/>
  <c r="AC193" i="7" l="1"/>
  <c r="G215" i="7"/>
  <c r="AC195" i="7"/>
  <c r="AG19" i="8"/>
  <c r="X19" i="8"/>
  <c r="AG18" i="8"/>
  <c r="X18" i="8"/>
  <c r="AH16" i="8"/>
  <c r="AJ16" i="8" s="1"/>
  <c r="AI16" i="8"/>
  <c r="K45" i="7"/>
  <c r="K14" i="7"/>
  <c r="V6" i="7"/>
  <c r="W6" i="7" s="1"/>
  <c r="X8" i="7"/>
  <c r="E45" i="7"/>
  <c r="V12" i="7"/>
  <c r="W12" i="7" s="1"/>
  <c r="AG12" i="7" s="1"/>
  <c r="N45" i="7"/>
  <c r="B45" i="7"/>
  <c r="H14" i="7"/>
  <c r="Q45" i="7"/>
  <c r="H45" i="7"/>
  <c r="AF212" i="7"/>
  <c r="AD18" i="7"/>
  <c r="AF18" i="7" s="1"/>
  <c r="E231" i="7"/>
  <c r="AH10" i="7"/>
  <c r="AJ10" i="7" s="1"/>
  <c r="AI10" i="7"/>
  <c r="B215" i="7"/>
  <c r="AF210" i="7"/>
  <c r="AD16" i="7"/>
  <c r="AF16" i="7" s="1"/>
  <c r="AC189" i="7"/>
  <c r="AC190" i="7"/>
  <c r="V11" i="7"/>
  <c r="V13" i="7"/>
  <c r="Q14" i="7"/>
  <c r="C213" i="7"/>
  <c r="C204" i="7" s="1"/>
  <c r="N14" i="7"/>
  <c r="H214" i="7"/>
  <c r="H215" i="7" s="1"/>
  <c r="B230" i="7"/>
  <c r="G228" i="7"/>
  <c r="G226" i="7"/>
  <c r="G224" i="7"/>
  <c r="G222" i="7"/>
  <c r="G220" i="7"/>
  <c r="G218" i="7"/>
  <c r="G227" i="7"/>
  <c r="G223" i="7"/>
  <c r="G219" i="7"/>
  <c r="G229" i="7"/>
  <c r="G225" i="7"/>
  <c r="G221" i="7"/>
  <c r="K48" i="7"/>
  <c r="Q48" i="7"/>
  <c r="E48" i="7"/>
  <c r="B48" i="7"/>
  <c r="H17" i="7"/>
  <c r="Q17" i="7"/>
  <c r="E17" i="7"/>
  <c r="N48" i="7"/>
  <c r="N17" i="7"/>
  <c r="B17" i="7"/>
  <c r="H48" i="7"/>
  <c r="K17" i="7"/>
  <c r="I213" i="7"/>
  <c r="C205" i="7" s="1"/>
  <c r="AC18" i="7"/>
  <c r="AC22" i="7" s="1"/>
  <c r="AC23" i="7" s="1"/>
  <c r="AC24" i="7" s="1"/>
  <c r="AC28" i="7" s="1"/>
  <c r="E14" i="7"/>
  <c r="B14" i="7"/>
  <c r="V19" i="7"/>
  <c r="X10" i="7"/>
  <c r="V21" i="7"/>
  <c r="W9" i="7"/>
  <c r="AG9" i="7" s="1"/>
  <c r="V20" i="7"/>
  <c r="AG20" i="8" l="1"/>
  <c r="X20" i="8"/>
  <c r="W22" i="8"/>
  <c r="D69" i="8" s="1"/>
  <c r="AH18" i="8"/>
  <c r="AJ18" i="8" s="1"/>
  <c r="AI18" i="8"/>
  <c r="AG21" i="8"/>
  <c r="X21" i="8"/>
  <c r="AI19" i="8"/>
  <c r="AH19" i="8"/>
  <c r="AJ19" i="8" s="1"/>
  <c r="W24" i="7"/>
  <c r="AC191" i="7"/>
  <c r="AE16" i="7"/>
  <c r="V17" i="7"/>
  <c r="W17" i="7" s="1"/>
  <c r="J215" i="7"/>
  <c r="H229" i="7"/>
  <c r="H227" i="7"/>
  <c r="H225" i="7"/>
  <c r="H223" i="7"/>
  <c r="H221" i="7"/>
  <c r="H219" i="7"/>
  <c r="H222" i="7"/>
  <c r="H226" i="7"/>
  <c r="H218" i="7"/>
  <c r="H228" i="7"/>
  <c r="H220" i="7"/>
  <c r="H224" i="7"/>
  <c r="AH9" i="7"/>
  <c r="AJ9" i="7" s="1"/>
  <c r="AI9" i="7"/>
  <c r="AC206" i="7"/>
  <c r="AC207" i="7"/>
  <c r="AC203" i="7"/>
  <c r="AC205" i="7"/>
  <c r="AC204" i="7"/>
  <c r="AE18" i="7"/>
  <c r="AC202" i="7"/>
  <c r="W11" i="7"/>
  <c r="AG11" i="7" s="1"/>
  <c r="D215" i="7"/>
  <c r="B229" i="7"/>
  <c r="B227" i="7"/>
  <c r="B225" i="7"/>
  <c r="B223" i="7"/>
  <c r="B221" i="7"/>
  <c r="B219" i="7"/>
  <c r="B228" i="7"/>
  <c r="B220" i="7"/>
  <c r="B224" i="7"/>
  <c r="B218" i="7"/>
  <c r="B222" i="7"/>
  <c r="B226" i="7"/>
  <c r="V14" i="7"/>
  <c r="D73" i="7"/>
  <c r="B73" i="7" s="1"/>
  <c r="G231" i="7"/>
  <c r="J214" i="7"/>
  <c r="J230" i="7" s="1"/>
  <c r="H230" i="7"/>
  <c r="AH12" i="7"/>
  <c r="AJ12" i="7" s="1"/>
  <c r="AI12" i="7"/>
  <c r="W13" i="7"/>
  <c r="AG13" i="7" s="1"/>
  <c r="X9" i="7"/>
  <c r="D214" i="7"/>
  <c r="D230" i="7" s="1"/>
  <c r="X12" i="7"/>
  <c r="X22" i="8" l="1"/>
  <c r="X24" i="8" s="1"/>
  <c r="AH21" i="8"/>
  <c r="AJ21" i="8" s="1"/>
  <c r="AI21" i="8"/>
  <c r="B69" i="8"/>
  <c r="AH20" i="8"/>
  <c r="AJ20" i="8" s="1"/>
  <c r="AI20" i="8"/>
  <c r="AG22" i="8"/>
  <c r="AG23" i="8" s="1"/>
  <c r="AG24" i="8" s="1"/>
  <c r="AG28" i="8" s="1"/>
  <c r="AH13" i="7"/>
  <c r="AJ13" i="7" s="1"/>
  <c r="AI13" i="7"/>
  <c r="AH11" i="7"/>
  <c r="AJ11" i="7" s="1"/>
  <c r="AI11" i="7"/>
  <c r="AI14" i="7" s="1"/>
  <c r="X13" i="7"/>
  <c r="B231" i="7"/>
  <c r="X11" i="7"/>
  <c r="AG14" i="7"/>
  <c r="H231" i="7"/>
  <c r="D229" i="7"/>
  <c r="D227" i="7"/>
  <c r="D225" i="7"/>
  <c r="D223" i="7"/>
  <c r="D221" i="7"/>
  <c r="D219" i="7"/>
  <c r="D226" i="7"/>
  <c r="D222" i="7"/>
  <c r="D218" i="7"/>
  <c r="D228" i="7"/>
  <c r="D224" i="7"/>
  <c r="D220" i="7"/>
  <c r="Q47" i="7"/>
  <c r="E47" i="7"/>
  <c r="K47" i="7"/>
  <c r="K16" i="7"/>
  <c r="N47" i="7"/>
  <c r="H16" i="7"/>
  <c r="H47" i="7"/>
  <c r="Q16" i="7"/>
  <c r="E16" i="7"/>
  <c r="B47" i="7"/>
  <c r="N16" i="7"/>
  <c r="B16" i="7"/>
  <c r="AC208" i="7"/>
  <c r="AC234" i="7" s="1"/>
  <c r="W14" i="7"/>
  <c r="J229" i="7"/>
  <c r="J227" i="7"/>
  <c r="J225" i="7"/>
  <c r="J223" i="7"/>
  <c r="J221" i="7"/>
  <c r="J219" i="7"/>
  <c r="J228" i="7"/>
  <c r="J224" i="7"/>
  <c r="J220" i="7"/>
  <c r="J226" i="7"/>
  <c r="J222" i="7"/>
  <c r="J218" i="7"/>
  <c r="Q49" i="7"/>
  <c r="E49" i="7"/>
  <c r="K49" i="7"/>
  <c r="H49" i="7"/>
  <c r="Q18" i="7"/>
  <c r="E18" i="7"/>
  <c r="B49" i="7"/>
  <c r="N18" i="7"/>
  <c r="B18" i="7"/>
  <c r="K18" i="7"/>
  <c r="N49" i="7"/>
  <c r="H18" i="7"/>
  <c r="X14" i="7" l="1"/>
  <c r="E22" i="7"/>
  <c r="E26" i="7" s="1"/>
  <c r="D70" i="8"/>
  <c r="B70" i="8" s="1"/>
  <c r="B72" i="8" s="1"/>
  <c r="B74" i="8" s="1"/>
  <c r="AI22" i="8"/>
  <c r="AI23" i="8" s="1"/>
  <c r="AI24" i="8" s="1"/>
  <c r="AI28" i="8" s="1"/>
  <c r="Q53" i="7"/>
  <c r="Q57" i="7" s="1"/>
  <c r="Q22" i="7"/>
  <c r="Q26" i="7" s="1"/>
  <c r="D231" i="7"/>
  <c r="N22" i="7"/>
  <c r="H53" i="7"/>
  <c r="H57" i="7" s="1"/>
  <c r="C70" i="7"/>
  <c r="E24" i="7"/>
  <c r="E27" i="7" s="1"/>
  <c r="N53" i="7"/>
  <c r="N57" i="7" s="1"/>
  <c r="Q55" i="7"/>
  <c r="B22" i="7"/>
  <c r="B26" i="7" s="1"/>
  <c r="V16" i="7"/>
  <c r="W16" i="7" s="1"/>
  <c r="Q24" i="7"/>
  <c r="K22" i="7"/>
  <c r="K26" i="7" s="1"/>
  <c r="V18" i="7"/>
  <c r="H55" i="7"/>
  <c r="K53" i="7"/>
  <c r="K57" i="7" s="1"/>
  <c r="J231" i="7"/>
  <c r="C69" i="7"/>
  <c r="B53" i="7"/>
  <c r="B57" i="7" s="1"/>
  <c r="H22" i="7"/>
  <c r="H26" i="7" s="1"/>
  <c r="E53" i="7"/>
  <c r="E57" i="7" s="1"/>
  <c r="N24" i="7" l="1"/>
  <c r="N26" i="7"/>
  <c r="N27" i="7" s="1"/>
  <c r="V26" i="7"/>
  <c r="D72" i="8"/>
  <c r="D74" i="8" s="1"/>
  <c r="H58" i="7"/>
  <c r="W18" i="7"/>
  <c r="AG18" i="7" s="1"/>
  <c r="AH18" i="7" s="1"/>
  <c r="AJ18" i="7" s="1"/>
  <c r="Q27" i="7"/>
  <c r="Q58" i="7"/>
  <c r="E55" i="7"/>
  <c r="K55" i="7"/>
  <c r="H24" i="7"/>
  <c r="V22" i="7"/>
  <c r="V24" i="7" s="1"/>
  <c r="X16" i="7"/>
  <c r="AG17" i="7"/>
  <c r="X17" i="7"/>
  <c r="C72" i="7"/>
  <c r="C74" i="7" s="1"/>
  <c r="B55" i="7"/>
  <c r="AG16" i="7"/>
  <c r="K24" i="7"/>
  <c r="B24" i="7"/>
  <c r="N55" i="7"/>
  <c r="AI18" i="7" l="1"/>
  <c r="X18" i="7"/>
  <c r="B27" i="7"/>
  <c r="W19" i="7"/>
  <c r="E58" i="7"/>
  <c r="V27" i="7"/>
  <c r="B58" i="7"/>
  <c r="AH16" i="7"/>
  <c r="AJ16" i="7" s="1"/>
  <c r="AI16" i="7"/>
  <c r="N58" i="7"/>
  <c r="K27" i="7"/>
  <c r="AH17" i="7"/>
  <c r="AJ17" i="7" s="1"/>
  <c r="AI17" i="7"/>
  <c r="H27" i="7"/>
  <c r="K58" i="7"/>
  <c r="AG19" i="7" l="1"/>
  <c r="X19" i="7"/>
  <c r="W21" i="7"/>
  <c r="W20" i="7" s="1"/>
  <c r="AG20" i="7" l="1"/>
  <c r="X20" i="7"/>
  <c r="W22" i="7"/>
  <c r="D69" i="7" s="1"/>
  <c r="B69" i="7" s="1"/>
  <c r="AG21" i="7"/>
  <c r="X21" i="7"/>
  <c r="AH19" i="7"/>
  <c r="AJ19" i="7" s="1"/>
  <c r="AI19" i="7"/>
  <c r="AG22" i="7" l="1"/>
  <c r="AG23" i="7" s="1"/>
  <c r="AG24" i="7" s="1"/>
  <c r="AG28" i="7" s="1"/>
  <c r="X22" i="7"/>
  <c r="D70" i="7" s="1"/>
  <c r="AH21" i="7"/>
  <c r="AJ21" i="7" s="1"/>
  <c r="AI21" i="7"/>
  <c r="AH20" i="7"/>
  <c r="AJ20" i="7" s="1"/>
  <c r="AI20" i="7"/>
  <c r="X24" i="7" l="1"/>
  <c r="AI22" i="7"/>
  <c r="AI23" i="7" s="1"/>
  <c r="AI24" i="7" s="1"/>
  <c r="AI28" i="7" s="1"/>
  <c r="B70" i="7"/>
  <c r="B72" i="7" s="1"/>
  <c r="B74" i="7" s="1"/>
  <c r="D72" i="7"/>
  <c r="D74" i="7" s="1"/>
  <c r="G6" i="1" l="1"/>
  <c r="B25" i="1" l="1"/>
  <c r="T9" i="1" s="1"/>
  <c r="E43" i="1" l="1"/>
  <c r="B43" i="1"/>
  <c r="F43" i="1" l="1"/>
  <c r="D49" i="1"/>
  <c r="E49" i="1" s="1"/>
  <c r="B49" i="1"/>
  <c r="F49" i="1" l="1"/>
  <c r="H6" i="1" s="1"/>
  <c r="B32" i="1"/>
  <c r="D36" i="1"/>
  <c r="E36" i="1" s="1"/>
  <c r="B36" i="1"/>
  <c r="B46" i="1"/>
  <c r="F36" i="1" l="1"/>
  <c r="B42" i="1"/>
  <c r="E47" i="1"/>
  <c r="F47" i="1" s="1"/>
  <c r="E6" i="1" s="1"/>
  <c r="B39" i="1" l="1"/>
  <c r="B40" i="1"/>
  <c r="B38" i="1"/>
  <c r="G88" i="1" l="1"/>
  <c r="G84" i="1"/>
  <c r="B82" i="1" s="1"/>
  <c r="C97" i="1"/>
  <c r="R104" i="3" l="1"/>
  <c r="Q103" i="3" s="1"/>
  <c r="Q101" i="3"/>
  <c r="Q100" i="3"/>
  <c r="Q99" i="3"/>
  <c r="Q98" i="3"/>
  <c r="Q97" i="3"/>
  <c r="Q96" i="3"/>
  <c r="R95" i="3"/>
  <c r="Q94" i="3" s="1"/>
  <c r="C94" i="3"/>
  <c r="C93" i="3"/>
  <c r="B92" i="3"/>
  <c r="C92" i="3" s="1"/>
  <c r="N18" i="3" s="1"/>
  <c r="R90" i="3"/>
  <c r="Q85" i="3" s="1"/>
  <c r="B79" i="3"/>
  <c r="O73" i="3"/>
  <c r="F73" i="3"/>
  <c r="C73" i="3"/>
  <c r="D73" i="3" s="1"/>
  <c r="D8" i="3" s="1"/>
  <c r="B8" i="3" s="1"/>
  <c r="O72" i="3"/>
  <c r="F72" i="3"/>
  <c r="C72" i="3"/>
  <c r="D72" i="3" s="1"/>
  <c r="D9" i="3" s="1"/>
  <c r="R65" i="3"/>
  <c r="Q61" i="3" s="1"/>
  <c r="A62" i="3"/>
  <c r="G58" i="3"/>
  <c r="C58" i="3"/>
  <c r="F57" i="3"/>
  <c r="B57" i="3"/>
  <c r="B58" i="3" s="1"/>
  <c r="Q54" i="3"/>
  <c r="H54" i="3"/>
  <c r="Q57" i="3" s="1"/>
  <c r="Q53" i="3"/>
  <c r="D46" i="3"/>
  <c r="E46" i="3" s="1"/>
  <c r="B46" i="3"/>
  <c r="E45" i="3"/>
  <c r="F45" i="3" s="1"/>
  <c r="D44" i="3"/>
  <c r="E44" i="3" s="1"/>
  <c r="E42" i="3"/>
  <c r="B42" i="3"/>
  <c r="F42" i="3" s="1"/>
  <c r="C7" i="3" s="1"/>
  <c r="C41" i="3"/>
  <c r="H40" i="3"/>
  <c r="H41" i="3" s="1"/>
  <c r="D40" i="3"/>
  <c r="E40" i="3" s="1"/>
  <c r="B40" i="3"/>
  <c r="N40" i="3" s="1"/>
  <c r="D39" i="3"/>
  <c r="E39" i="3" s="1"/>
  <c r="F39" i="3" s="1"/>
  <c r="B39" i="3"/>
  <c r="N39" i="3" s="1"/>
  <c r="D38" i="3"/>
  <c r="E38" i="3" s="1"/>
  <c r="O38" i="3" s="1"/>
  <c r="B38" i="3"/>
  <c r="N37" i="3"/>
  <c r="D37" i="3"/>
  <c r="E37" i="3" s="1"/>
  <c r="H36" i="3"/>
  <c r="D36" i="3"/>
  <c r="E36" i="3" s="1"/>
  <c r="O36" i="3" s="1"/>
  <c r="B36" i="3"/>
  <c r="N36" i="3" s="1"/>
  <c r="B32" i="3"/>
  <c r="E25" i="3"/>
  <c r="K21" i="3"/>
  <c r="J21" i="3"/>
  <c r="I21" i="3"/>
  <c r="O20" i="3"/>
  <c r="S20" i="3" s="1"/>
  <c r="N20" i="3"/>
  <c r="J97" i="3" s="1"/>
  <c r="O19" i="3"/>
  <c r="S19" i="3" s="1"/>
  <c r="O18" i="3"/>
  <c r="S18" i="3" s="1"/>
  <c r="J13" i="3"/>
  <c r="I13" i="3"/>
  <c r="O12" i="3"/>
  <c r="S12" i="3" s="1"/>
  <c r="N12" i="3"/>
  <c r="O11" i="3"/>
  <c r="N11" i="3"/>
  <c r="O10" i="3"/>
  <c r="S10" i="3" s="1"/>
  <c r="N10" i="3"/>
  <c r="O9" i="3"/>
  <c r="S9" i="3" s="1"/>
  <c r="O8" i="3"/>
  <c r="S8" i="3" s="1"/>
  <c r="N8" i="3"/>
  <c r="C6" i="3"/>
  <c r="C8" i="3" l="1"/>
  <c r="J23" i="3"/>
  <c r="R10" i="3"/>
  <c r="F40" i="3"/>
  <c r="D58" i="3"/>
  <c r="N9" i="3"/>
  <c r="N13" i="3" s="1"/>
  <c r="Q89" i="3"/>
  <c r="J89" i="3" s="1"/>
  <c r="I23" i="3"/>
  <c r="B41" i="3"/>
  <c r="D93" i="3"/>
  <c r="Q102" i="3"/>
  <c r="J102" i="3" s="1"/>
  <c r="Q59" i="3"/>
  <c r="J103" i="3"/>
  <c r="Q63" i="3"/>
  <c r="F38" i="3"/>
  <c r="D57" i="3"/>
  <c r="D59" i="3" s="1"/>
  <c r="B15" i="3" s="1"/>
  <c r="R8" i="3"/>
  <c r="R18" i="3"/>
  <c r="O40" i="3"/>
  <c r="Q84" i="3"/>
  <c r="J84" i="3" s="1"/>
  <c r="N19" i="3"/>
  <c r="J94" i="3" s="1"/>
  <c r="Q93" i="3"/>
  <c r="J93" i="3" s="1"/>
  <c r="R11" i="3"/>
  <c r="S11" i="3"/>
  <c r="Q56" i="3"/>
  <c r="D92" i="3"/>
  <c r="F37" i="3"/>
  <c r="O37" i="3"/>
  <c r="F44" i="3"/>
  <c r="D6" i="3" s="1"/>
  <c r="O44" i="3"/>
  <c r="O46" i="3"/>
  <c r="F46" i="3"/>
  <c r="E9" i="3"/>
  <c r="B9" i="3"/>
  <c r="E8" i="3"/>
  <c r="C9" i="3"/>
  <c r="R12" i="3"/>
  <c r="E41" i="3"/>
  <c r="N38" i="3"/>
  <c r="J100" i="3"/>
  <c r="J98" i="3"/>
  <c r="J96" i="3"/>
  <c r="R20" i="3"/>
  <c r="H83" i="3"/>
  <c r="H85" i="3"/>
  <c r="H81" i="3"/>
  <c r="F36" i="3"/>
  <c r="O39" i="3"/>
  <c r="H57" i="3"/>
  <c r="F58" i="3"/>
  <c r="H58" i="3" s="1"/>
  <c r="Q88" i="3"/>
  <c r="J88" i="3" s="1"/>
  <c r="Q86" i="3"/>
  <c r="J86" i="3" s="1"/>
  <c r="J101" i="3"/>
  <c r="J85" i="3"/>
  <c r="B59" i="3"/>
  <c r="Q64" i="3"/>
  <c r="Q62" i="3"/>
  <c r="Q60" i="3"/>
  <c r="Q87" i="3"/>
  <c r="J87" i="3" s="1"/>
  <c r="D94" i="3"/>
  <c r="J99" i="3"/>
  <c r="C59" i="3" l="1"/>
  <c r="F41" i="3"/>
  <c r="D7" i="3" s="1"/>
  <c r="B7" i="3" s="1"/>
  <c r="C15" i="3"/>
  <c r="R9" i="3"/>
  <c r="D15" i="3"/>
  <c r="E15" i="3"/>
  <c r="D19" i="3"/>
  <c r="C19" i="3"/>
  <c r="C18" i="3"/>
  <c r="D18" i="3"/>
  <c r="R19" i="3"/>
  <c r="N15" i="3"/>
  <c r="J54" i="3" s="1"/>
  <c r="E7" i="3"/>
  <c r="C20" i="3"/>
  <c r="D20" i="3"/>
  <c r="D10" i="3"/>
  <c r="C10" i="3"/>
  <c r="F59" i="3"/>
  <c r="H59" i="3"/>
  <c r="D12" i="3"/>
  <c r="C12" i="3"/>
  <c r="B60" i="3"/>
  <c r="B62" i="3"/>
  <c r="O15" i="3"/>
  <c r="C11" i="3"/>
  <c r="D11" i="3"/>
  <c r="D95" i="3"/>
  <c r="E19" i="3" l="1"/>
  <c r="B19" i="3"/>
  <c r="C13" i="3"/>
  <c r="J53" i="3"/>
  <c r="B18" i="3"/>
  <c r="E18" i="3"/>
  <c r="G59" i="3"/>
  <c r="E16" i="3"/>
  <c r="N16" i="3"/>
  <c r="B16" i="3"/>
  <c r="D16" i="3"/>
  <c r="C16" i="3"/>
  <c r="D62" i="3"/>
  <c r="B10" i="3"/>
  <c r="E10" i="3"/>
  <c r="D13" i="3"/>
  <c r="S15" i="3"/>
  <c r="E20" i="3"/>
  <c r="B20" i="3"/>
  <c r="B63" i="3"/>
  <c r="O17" i="3"/>
  <c r="F60" i="3"/>
  <c r="O16" i="3"/>
  <c r="K7" i="3"/>
  <c r="K13" i="3" s="1"/>
  <c r="K23" i="3" s="1"/>
  <c r="R15" i="3"/>
  <c r="E11" i="3"/>
  <c r="B11" i="3"/>
  <c r="B12" i="3"/>
  <c r="E12" i="3"/>
  <c r="B13" i="3" l="1"/>
  <c r="E13" i="3"/>
  <c r="S16" i="3"/>
  <c r="C62" i="3"/>
  <c r="D17" i="3"/>
  <c r="D21" i="3" s="1"/>
  <c r="D23" i="3" s="1"/>
  <c r="E17" i="3"/>
  <c r="E21" i="3" s="1"/>
  <c r="E23" i="3" s="1"/>
  <c r="C17" i="3"/>
  <c r="C21" i="3" s="1"/>
  <c r="C23" i="3" s="1"/>
  <c r="N17" i="3"/>
  <c r="N21" i="3" s="1"/>
  <c r="N22" i="3" s="1"/>
  <c r="N23" i="3" s="1"/>
  <c r="N24" i="3" s="1"/>
  <c r="B17" i="3"/>
  <c r="B21" i="3" s="1"/>
  <c r="B23" i="3" s="1"/>
  <c r="J57" i="3"/>
  <c r="R16" i="3"/>
  <c r="J56" i="3"/>
  <c r="S17" i="3"/>
  <c r="L19" i="3" l="1"/>
  <c r="V19" i="3" s="1"/>
  <c r="L15" i="3"/>
  <c r="L12" i="3"/>
  <c r="V12" i="3" s="1"/>
  <c r="L8" i="3"/>
  <c r="V8" i="3" s="1"/>
  <c r="L9" i="3"/>
  <c r="V9" i="3" s="1"/>
  <c r="L18" i="3"/>
  <c r="V18" i="3" s="1"/>
  <c r="L16" i="3"/>
  <c r="V16" i="3" s="1"/>
  <c r="L7" i="3"/>
  <c r="L20" i="3"/>
  <c r="V20" i="3" s="1"/>
  <c r="L10" i="3"/>
  <c r="V10" i="3" s="1"/>
  <c r="L17" i="3"/>
  <c r="V17" i="3" s="1"/>
  <c r="W17" i="3" s="1"/>
  <c r="Y17" i="3" s="1"/>
  <c r="L11" i="3"/>
  <c r="V11" i="3" s="1"/>
  <c r="J61" i="3"/>
  <c r="J64" i="3"/>
  <c r="R17" i="3"/>
  <c r="J63" i="3"/>
  <c r="J59" i="3"/>
  <c r="J62" i="3"/>
  <c r="J60" i="3"/>
  <c r="X11" i="3" l="1"/>
  <c r="W11" i="3"/>
  <c r="Y11" i="3" s="1"/>
  <c r="L13" i="3"/>
  <c r="W8" i="3"/>
  <c r="Y8" i="3" s="1"/>
  <c r="V13" i="3"/>
  <c r="X8" i="3"/>
  <c r="W16" i="3"/>
  <c r="Y16" i="3" s="1"/>
  <c r="X16" i="3"/>
  <c r="X12" i="3"/>
  <c r="W12" i="3"/>
  <c r="Y12" i="3" s="1"/>
  <c r="X17" i="3"/>
  <c r="X10" i="3"/>
  <c r="W10" i="3"/>
  <c r="Y10" i="3" s="1"/>
  <c r="X18" i="3"/>
  <c r="W18" i="3"/>
  <c r="Y18" i="3" s="1"/>
  <c r="L21" i="3"/>
  <c r="V15" i="3"/>
  <c r="W20" i="3"/>
  <c r="Y20" i="3" s="1"/>
  <c r="X20" i="3"/>
  <c r="W9" i="3"/>
  <c r="Y9" i="3" s="1"/>
  <c r="X9" i="3"/>
  <c r="W19" i="3"/>
  <c r="Y19" i="3" s="1"/>
  <c r="X19" i="3"/>
  <c r="L23" i="3" l="1"/>
  <c r="X13" i="3"/>
  <c r="V21" i="3"/>
  <c r="V22" i="3" s="1"/>
  <c r="V23" i="3" s="1"/>
  <c r="V24" i="3" s="1"/>
  <c r="X15" i="3"/>
  <c r="X21" i="3" s="1"/>
  <c r="W15" i="3"/>
  <c r="Y15" i="3" s="1"/>
  <c r="X22" i="3" l="1"/>
  <c r="X23" i="3" s="1"/>
  <c r="M25" i="1" l="1"/>
  <c r="M21" i="1"/>
  <c r="L21" i="1"/>
  <c r="K21" i="1"/>
  <c r="J21" i="1"/>
  <c r="M13" i="1"/>
  <c r="M23" i="1" s="1"/>
  <c r="L13" i="1"/>
  <c r="L23" i="1" s="1"/>
  <c r="K13" i="1"/>
  <c r="K23" i="1" s="1"/>
  <c r="J13" i="1"/>
  <c r="J23" i="1" l="1"/>
  <c r="B60" i="1"/>
  <c r="C95" i="1" l="1"/>
  <c r="E46" i="1" l="1"/>
  <c r="E42" i="1"/>
  <c r="F42" i="1" s="1"/>
  <c r="C7" i="1" s="1"/>
  <c r="C6" i="1"/>
  <c r="B41" i="1" l="1"/>
  <c r="F46" i="1"/>
  <c r="P40" i="1" l="1"/>
  <c r="P39" i="1"/>
  <c r="P38" i="1"/>
  <c r="P37" i="1"/>
  <c r="P36" i="1"/>
  <c r="P21" i="1" l="1"/>
  <c r="C96" i="1" l="1"/>
  <c r="C75" i="1"/>
  <c r="C76" i="1"/>
  <c r="T68" i="1" l="1"/>
  <c r="S63" i="1" s="1"/>
  <c r="S57" i="1"/>
  <c r="S56" i="1"/>
  <c r="T107" i="1"/>
  <c r="S99" i="1" s="1"/>
  <c r="T98" i="1"/>
  <c r="S97" i="1" s="1"/>
  <c r="T93" i="1"/>
  <c r="S89" i="1" s="1"/>
  <c r="S104" i="1" l="1"/>
  <c r="S66" i="1"/>
  <c r="S100" i="1"/>
  <c r="S96" i="1"/>
  <c r="S101" i="1"/>
  <c r="S105" i="1"/>
  <c r="S65" i="1"/>
  <c r="S102" i="1"/>
  <c r="S106" i="1"/>
  <c r="S62" i="1"/>
  <c r="S64" i="1"/>
  <c r="S103" i="1"/>
  <c r="S67" i="1"/>
  <c r="S92" i="1"/>
  <c r="S91" i="1"/>
  <c r="S88" i="1"/>
  <c r="S90" i="1"/>
  <c r="S87" i="1"/>
  <c r="M24" i="2"/>
  <c r="M23" i="2"/>
  <c r="M22" i="2"/>
  <c r="M21" i="2"/>
  <c r="M20" i="2"/>
  <c r="M19" i="2"/>
  <c r="D19" i="2"/>
  <c r="M8" i="2"/>
  <c r="M7" i="2"/>
  <c r="M6" i="2"/>
  <c r="M5" i="2"/>
  <c r="M4" i="2"/>
  <c r="M3" i="2"/>
  <c r="D3" i="2"/>
  <c r="Q76" i="1" l="1"/>
  <c r="Q75" i="1"/>
  <c r="S20" i="1" l="1"/>
  <c r="S19" i="1"/>
  <c r="S18" i="1"/>
  <c r="A65" i="1"/>
  <c r="L96" i="1" l="1"/>
  <c r="L97" i="1"/>
  <c r="L104" i="1"/>
  <c r="L100" i="1"/>
  <c r="L103" i="1"/>
  <c r="L106" i="1"/>
  <c r="L102" i="1"/>
  <c r="L105" i="1"/>
  <c r="L101" i="1"/>
  <c r="L99" i="1"/>
  <c r="S12" i="1" l="1"/>
  <c r="S11" i="1"/>
  <c r="S10" i="1"/>
  <c r="P27" i="2"/>
  <c r="O27" i="2"/>
  <c r="N19" i="2"/>
  <c r="P11" i="2"/>
  <c r="O11" i="2"/>
  <c r="N3" i="2"/>
  <c r="L89" i="1" l="1"/>
  <c r="L90" i="1"/>
  <c r="L88" i="1"/>
  <c r="L87" i="1"/>
  <c r="L91" i="1"/>
  <c r="L92" i="1"/>
  <c r="F76" i="1" l="1"/>
  <c r="D76" i="1"/>
  <c r="F75" i="1"/>
  <c r="D75" i="1"/>
  <c r="G61" i="1"/>
  <c r="F60" i="1"/>
  <c r="C61" i="1"/>
  <c r="H57" i="1"/>
  <c r="H40" i="1"/>
  <c r="H41" i="1" s="1"/>
  <c r="C41" i="1"/>
  <c r="H36" i="1"/>
  <c r="O21" i="1"/>
  <c r="N21" i="1"/>
  <c r="O13" i="1"/>
  <c r="N13" i="1"/>
  <c r="N23" i="1" l="1"/>
  <c r="D8" i="1"/>
  <c r="C8" i="1"/>
  <c r="D9" i="1"/>
  <c r="C9" i="1"/>
  <c r="S60" i="1"/>
  <c r="S59" i="1"/>
  <c r="D96" i="1"/>
  <c r="T8" i="1"/>
  <c r="S8" i="1"/>
  <c r="S9" i="1"/>
  <c r="T19" i="1"/>
  <c r="T12" i="1"/>
  <c r="T20" i="1"/>
  <c r="T18" i="1"/>
  <c r="T10" i="1"/>
  <c r="T11" i="1"/>
  <c r="F61" i="1"/>
  <c r="H61" i="1" s="1"/>
  <c r="D60" i="1"/>
  <c r="B61" i="1"/>
  <c r="D61" i="1" s="1"/>
  <c r="O23" i="1"/>
  <c r="H60" i="1"/>
  <c r="B8" i="1" l="1"/>
  <c r="G8" i="1"/>
  <c r="H8" i="1"/>
  <c r="F8" i="1"/>
  <c r="E9" i="1"/>
  <c r="H9" i="1"/>
  <c r="G9" i="1"/>
  <c r="F9" i="1"/>
  <c r="B9" i="1"/>
  <c r="E8" i="1"/>
  <c r="D19" i="1"/>
  <c r="E19" i="1" s="1"/>
  <c r="F19" i="1" s="1"/>
  <c r="G19" i="1" s="1"/>
  <c r="H19" i="1" s="1"/>
  <c r="C19" i="1"/>
  <c r="X9" i="1"/>
  <c r="X8" i="1"/>
  <c r="D97" i="1"/>
  <c r="W9" i="1"/>
  <c r="D62" i="1"/>
  <c r="F62" i="1"/>
  <c r="F63" i="1" s="1"/>
  <c r="D95" i="1"/>
  <c r="X18" i="1"/>
  <c r="W18" i="1"/>
  <c r="H84" i="1"/>
  <c r="X20" i="1"/>
  <c r="W20" i="1"/>
  <c r="H86" i="1"/>
  <c r="H88" i="1"/>
  <c r="W11" i="1"/>
  <c r="X11" i="1"/>
  <c r="W12" i="1"/>
  <c r="X12" i="1"/>
  <c r="S13" i="1"/>
  <c r="W8" i="1"/>
  <c r="X10" i="1"/>
  <c r="W10" i="1"/>
  <c r="X19" i="1"/>
  <c r="W19" i="1"/>
  <c r="H62" i="1"/>
  <c r="B62" i="1"/>
  <c r="B65" i="1" s="1"/>
  <c r="G16" i="1" l="1"/>
  <c r="F16" i="1"/>
  <c r="H16" i="1"/>
  <c r="E16" i="1"/>
  <c r="B15" i="1"/>
  <c r="H15" i="1"/>
  <c r="F15" i="1"/>
  <c r="E15" i="1"/>
  <c r="G15" i="1"/>
  <c r="B19" i="1"/>
  <c r="C15" i="1"/>
  <c r="D15" i="1"/>
  <c r="C16" i="1"/>
  <c r="D11" i="1"/>
  <c r="C11" i="1"/>
  <c r="D98" i="1"/>
  <c r="C18" i="1"/>
  <c r="D20" i="1"/>
  <c r="E20" i="1" s="1"/>
  <c r="F20" i="1" s="1"/>
  <c r="G20" i="1" s="1"/>
  <c r="H20" i="1" s="1"/>
  <c r="C20" i="1"/>
  <c r="D12" i="1"/>
  <c r="C12" i="1"/>
  <c r="D10" i="1"/>
  <c r="C10" i="1"/>
  <c r="S15" i="1"/>
  <c r="T16" i="1"/>
  <c r="B16" i="1"/>
  <c r="G62" i="1"/>
  <c r="D16" i="1"/>
  <c r="D65" i="1"/>
  <c r="S16" i="1"/>
  <c r="D18" i="1"/>
  <c r="B18" i="1" s="1"/>
  <c r="B63" i="1"/>
  <c r="T15" i="1"/>
  <c r="C62" i="1"/>
  <c r="F17" i="1" l="1"/>
  <c r="G17" i="1"/>
  <c r="E17" i="1"/>
  <c r="H17" i="1"/>
  <c r="G12" i="1"/>
  <c r="H12" i="1"/>
  <c r="G10" i="1"/>
  <c r="H10" i="1"/>
  <c r="G11" i="1"/>
  <c r="H11" i="1"/>
  <c r="B12" i="1"/>
  <c r="F12" i="1"/>
  <c r="B10" i="1"/>
  <c r="F10" i="1"/>
  <c r="B11" i="1"/>
  <c r="F11" i="1"/>
  <c r="E12" i="1"/>
  <c r="E10" i="1"/>
  <c r="B20" i="1"/>
  <c r="E11" i="1"/>
  <c r="C13" i="1"/>
  <c r="D17" i="1"/>
  <c r="D21" i="1" s="1"/>
  <c r="C17" i="1"/>
  <c r="C21" i="1" s="1"/>
  <c r="L57" i="1"/>
  <c r="X15" i="1"/>
  <c r="X16" i="1"/>
  <c r="L59" i="1"/>
  <c r="S17" i="1"/>
  <c r="L56" i="1"/>
  <c r="C65" i="1"/>
  <c r="W16" i="1"/>
  <c r="B17" i="1"/>
  <c r="L60" i="1"/>
  <c r="E18" i="1"/>
  <c r="F18" i="1" s="1"/>
  <c r="W15" i="1"/>
  <c r="B66" i="1"/>
  <c r="T17" i="1"/>
  <c r="G18" i="1" l="1"/>
  <c r="F21" i="1"/>
  <c r="B21" i="1"/>
  <c r="C23" i="1"/>
  <c r="X17" i="1"/>
  <c r="S21" i="1"/>
  <c r="S22" i="1" s="1"/>
  <c r="S23" i="1" s="1"/>
  <c r="L67" i="1"/>
  <c r="L66" i="1"/>
  <c r="L64" i="1"/>
  <c r="L65" i="1"/>
  <c r="L62" i="1"/>
  <c r="L63" i="1"/>
  <c r="E21" i="1"/>
  <c r="W17" i="1"/>
  <c r="D38" i="1"/>
  <c r="E38" i="1" s="1"/>
  <c r="F38" i="1" s="1"/>
  <c r="D39" i="1"/>
  <c r="C23" i="2" s="1"/>
  <c r="E23" i="2" s="1"/>
  <c r="G23" i="2" s="1"/>
  <c r="H23" i="2" s="1"/>
  <c r="D37" i="1"/>
  <c r="E37" i="1" s="1"/>
  <c r="D40" i="1"/>
  <c r="D48" i="1"/>
  <c r="E48" i="1" s="1"/>
  <c r="Q48" i="1" s="1"/>
  <c r="D45" i="1"/>
  <c r="E45" i="1" s="1"/>
  <c r="C21" i="2" l="1"/>
  <c r="E21" i="2" s="1"/>
  <c r="G21" i="2" s="1"/>
  <c r="H21" i="2" s="1"/>
  <c r="P21" i="2" s="1"/>
  <c r="H18" i="1"/>
  <c r="H21" i="1" s="1"/>
  <c r="G21" i="1"/>
  <c r="C3" i="2"/>
  <c r="E3" i="2" s="1"/>
  <c r="C7" i="2"/>
  <c r="E7" i="2" s="1"/>
  <c r="G7" i="2" s="1"/>
  <c r="H7" i="2" s="1"/>
  <c r="L7" i="2" s="1"/>
  <c r="E39" i="1"/>
  <c r="C19" i="2"/>
  <c r="E19" i="2" s="1"/>
  <c r="G19" i="2" s="1"/>
  <c r="C6" i="2"/>
  <c r="E6" i="2" s="1"/>
  <c r="G6" i="2" s="1"/>
  <c r="H6" i="2" s="1"/>
  <c r="O6" i="2" s="1"/>
  <c r="F45" i="1"/>
  <c r="D6" i="1" s="1"/>
  <c r="Q45" i="1"/>
  <c r="F37" i="1"/>
  <c r="Q37" i="1"/>
  <c r="C5" i="2"/>
  <c r="E5" i="2" s="1"/>
  <c r="G5" i="2" s="1"/>
  <c r="H5" i="2" s="1"/>
  <c r="P5" i="2" s="1"/>
  <c r="Q38" i="1"/>
  <c r="O21" i="2"/>
  <c r="J21" i="2"/>
  <c r="L21" i="2"/>
  <c r="P23" i="2"/>
  <c r="O23" i="2"/>
  <c r="L23" i="2"/>
  <c r="J23" i="2"/>
  <c r="E40" i="1"/>
  <c r="C8" i="2"/>
  <c r="E8" i="2" s="1"/>
  <c r="G8" i="2" s="1"/>
  <c r="H8" i="2" s="1"/>
  <c r="J7" i="2"/>
  <c r="C4" i="2"/>
  <c r="E4" i="2" s="1"/>
  <c r="G4" i="2" s="1"/>
  <c r="H4" i="2" s="1"/>
  <c r="C20" i="2"/>
  <c r="E20" i="2" s="1"/>
  <c r="C24" i="2"/>
  <c r="E24" i="2" s="1"/>
  <c r="G24" i="2" s="1"/>
  <c r="H24" i="2" s="1"/>
  <c r="F48" i="1"/>
  <c r="F6" i="1" s="1"/>
  <c r="C22" i="2"/>
  <c r="E22" i="2" s="1"/>
  <c r="L6" i="2" l="1"/>
  <c r="L5" i="2"/>
  <c r="O7" i="2"/>
  <c r="P7" i="2"/>
  <c r="F21" i="2"/>
  <c r="N21" i="2" s="1"/>
  <c r="P6" i="2"/>
  <c r="F23" i="2"/>
  <c r="N23" i="2" s="1"/>
  <c r="J5" i="2"/>
  <c r="O5" i="2"/>
  <c r="J6" i="2"/>
  <c r="F39" i="1"/>
  <c r="Q39" i="1"/>
  <c r="G20" i="2"/>
  <c r="H20" i="2" s="1"/>
  <c r="E25" i="2"/>
  <c r="F20" i="2"/>
  <c r="F22" i="2"/>
  <c r="N22" i="2" s="1"/>
  <c r="G22" i="2"/>
  <c r="H22" i="2" s="1"/>
  <c r="P24" i="2"/>
  <c r="L24" i="2"/>
  <c r="O24" i="2"/>
  <c r="J24" i="2"/>
  <c r="F24" i="2"/>
  <c r="N24" i="2" s="1"/>
  <c r="L4" i="2"/>
  <c r="O4" i="2"/>
  <c r="J4" i="2"/>
  <c r="P4" i="2"/>
  <c r="F8" i="2"/>
  <c r="N8" i="2" s="1"/>
  <c r="G3" i="2"/>
  <c r="F5" i="2"/>
  <c r="N5" i="2" s="1"/>
  <c r="F4" i="2"/>
  <c r="F7" i="2"/>
  <c r="N7" i="2" s="1"/>
  <c r="F6" i="2"/>
  <c r="N6" i="2" s="1"/>
  <c r="E9" i="2"/>
  <c r="G9" i="2" s="1"/>
  <c r="H19" i="2"/>
  <c r="C26" i="2"/>
  <c r="O8" i="2"/>
  <c r="P8" i="2"/>
  <c r="J8" i="2"/>
  <c r="L8" i="2"/>
  <c r="C10" i="2"/>
  <c r="Q36" i="1"/>
  <c r="E41" i="1"/>
  <c r="Q40" i="1"/>
  <c r="F40" i="1"/>
  <c r="G7" i="1" l="1"/>
  <c r="G13" i="1" s="1"/>
  <c r="G23" i="1" s="1"/>
  <c r="G10" i="2"/>
  <c r="G11" i="2" s="1"/>
  <c r="H3" i="2"/>
  <c r="J10" i="2"/>
  <c r="K4" i="2" s="1"/>
  <c r="H26" i="2"/>
  <c r="I20" i="2" s="1"/>
  <c r="O19" i="2"/>
  <c r="P19" i="2"/>
  <c r="L19" i="2"/>
  <c r="N20" i="2"/>
  <c r="F41" i="1"/>
  <c r="D7" i="1" s="1"/>
  <c r="N4" i="2"/>
  <c r="F9" i="2"/>
  <c r="F10" i="2" s="1"/>
  <c r="F11" i="2" s="1"/>
  <c r="N11" i="2" s="1"/>
  <c r="N14" i="2" s="1"/>
  <c r="O15" i="2"/>
  <c r="L22" i="2"/>
  <c r="J22" i="2"/>
  <c r="O22" i="2"/>
  <c r="P22" i="2"/>
  <c r="G25" i="2"/>
  <c r="G26" i="2" s="1"/>
  <c r="G27" i="2" s="1"/>
  <c r="F25" i="2"/>
  <c r="F26" i="2" s="1"/>
  <c r="F27" i="2" s="1"/>
  <c r="N27" i="2" s="1"/>
  <c r="N30" i="2" s="1"/>
  <c r="E26" i="2"/>
  <c r="E10" i="2"/>
  <c r="P15" i="2"/>
  <c r="L20" i="2"/>
  <c r="J20" i="2"/>
  <c r="P20" i="2"/>
  <c r="P31" i="2" s="1"/>
  <c r="O20" i="2"/>
  <c r="H7" i="1" l="1"/>
  <c r="H13" i="1" s="1"/>
  <c r="H23" i="1" s="1"/>
  <c r="F7" i="1"/>
  <c r="F13" i="1" s="1"/>
  <c r="F23" i="1" s="1"/>
  <c r="N26" i="2"/>
  <c r="N29" i="2" s="1"/>
  <c r="N31" i="2"/>
  <c r="O30" i="2"/>
  <c r="O26" i="2"/>
  <c r="O29" i="2" s="1"/>
  <c r="N10" i="2"/>
  <c r="N13" i="2" s="1"/>
  <c r="N15" i="2"/>
  <c r="I26" i="2"/>
  <c r="I25" i="2"/>
  <c r="H28" i="2"/>
  <c r="I23" i="2"/>
  <c r="I21" i="2"/>
  <c r="I24" i="2"/>
  <c r="H10" i="2"/>
  <c r="P3" i="2"/>
  <c r="O3" i="2"/>
  <c r="L3" i="2"/>
  <c r="L10" i="2" s="1"/>
  <c r="L12" i="2" s="1"/>
  <c r="J26" i="2"/>
  <c r="K20" i="2" s="1"/>
  <c r="E7" i="1"/>
  <c r="E13" i="1" s="1"/>
  <c r="E23" i="1" s="1"/>
  <c r="B7" i="1"/>
  <c r="D13" i="1"/>
  <c r="D23" i="1" s="1"/>
  <c r="L26" i="2"/>
  <c r="L28" i="2" s="1"/>
  <c r="I19" i="2"/>
  <c r="O31" i="2"/>
  <c r="I22" i="2"/>
  <c r="P26" i="2"/>
  <c r="P29" i="2" s="1"/>
  <c r="P30" i="2"/>
  <c r="K10" i="2"/>
  <c r="K9" i="2"/>
  <c r="K3" i="2"/>
  <c r="K6" i="2"/>
  <c r="K5" i="2"/>
  <c r="K7" i="2"/>
  <c r="K8" i="2"/>
  <c r="P14" i="2" l="1"/>
  <c r="P10" i="2"/>
  <c r="P13" i="2" s="1"/>
  <c r="K25" i="2"/>
  <c r="K19" i="2"/>
  <c r="K26" i="2"/>
  <c r="K21" i="2"/>
  <c r="K23" i="2"/>
  <c r="K24" i="2"/>
  <c r="I10" i="2"/>
  <c r="I9" i="2"/>
  <c r="H12" i="2"/>
  <c r="I6" i="2"/>
  <c r="I5" i="2"/>
  <c r="I7" i="2"/>
  <c r="I8" i="2"/>
  <c r="I4" i="2"/>
  <c r="B13" i="1"/>
  <c r="B23" i="1" s="1"/>
  <c r="P7" i="1"/>
  <c r="P13" i="1" s="1"/>
  <c r="P23" i="1" s="1"/>
  <c r="S24" i="1"/>
  <c r="I3" i="2"/>
  <c r="O10" i="2"/>
  <c r="O13" i="2" s="1"/>
  <c r="O14" i="2"/>
  <c r="K22" i="2"/>
  <c r="Q18" i="1" l="1"/>
  <c r="AA18" i="1" s="1"/>
  <c r="Q11" i="1"/>
  <c r="AA11" i="1" s="1"/>
  <c r="Q20" i="1"/>
  <c r="AA20" i="1" s="1"/>
  <c r="Q10" i="1"/>
  <c r="AA10" i="1" s="1"/>
  <c r="Q9" i="1"/>
  <c r="AA9" i="1" s="1"/>
  <c r="Q19" i="1"/>
  <c r="AA19" i="1" s="1"/>
  <c r="Q15" i="1"/>
  <c r="Q7" i="1"/>
  <c r="Q12" i="1"/>
  <c r="AA12" i="1" s="1"/>
  <c r="Q16" i="1"/>
  <c r="AA16" i="1" s="1"/>
  <c r="Q17" i="1"/>
  <c r="AA17" i="1" s="1"/>
  <c r="Q8" i="1"/>
  <c r="AA8" i="1" s="1"/>
  <c r="AB8" i="1" l="1"/>
  <c r="AD8" i="1" s="1"/>
  <c r="AA13" i="1"/>
  <c r="AC8" i="1"/>
  <c r="Q13" i="1"/>
  <c r="AB10" i="1"/>
  <c r="AD10" i="1" s="1"/>
  <c r="AC10" i="1"/>
  <c r="AB17" i="1"/>
  <c r="AD17" i="1" s="1"/>
  <c r="AC17" i="1"/>
  <c r="Q21" i="1"/>
  <c r="AA15" i="1"/>
  <c r="AC20" i="1"/>
  <c r="AB20" i="1"/>
  <c r="AD20" i="1" s="1"/>
  <c r="AC16" i="1"/>
  <c r="AB16" i="1"/>
  <c r="AD16" i="1" s="1"/>
  <c r="AC19" i="1"/>
  <c r="AB19" i="1"/>
  <c r="AD19" i="1" s="1"/>
  <c r="AC11" i="1"/>
  <c r="AB11" i="1"/>
  <c r="AD11" i="1" s="1"/>
  <c r="AB12" i="1"/>
  <c r="AD12" i="1" s="1"/>
  <c r="AC12" i="1"/>
  <c r="AB9" i="1"/>
  <c r="AD9" i="1" s="1"/>
  <c r="AC9" i="1"/>
  <c r="AC18" i="1"/>
  <c r="AB18" i="1"/>
  <c r="AD18" i="1" s="1"/>
  <c r="Q23" i="1" l="1"/>
  <c r="AC13" i="1"/>
  <c r="AC15" i="1"/>
  <c r="AC21" i="1" s="1"/>
  <c r="AA21" i="1"/>
  <c r="AA22" i="1" s="1"/>
  <c r="AA23" i="1" s="1"/>
  <c r="AA24" i="1" s="1"/>
  <c r="AB15" i="1"/>
  <c r="AD15" i="1" s="1"/>
  <c r="AC22" i="1" l="1"/>
  <c r="AC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Moreau, Danielle</author>
    <author>Depriest, Eric</author>
  </authors>
  <commentList>
    <comment ref="B6" authorId="0" shapeId="0" xr:uid="{DED402F8-3583-45C9-BC4D-F4FF52EA1E7A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TMB source plant</t>
        </r>
      </text>
    </comment>
    <comment ref="B7" authorId="1" shapeId="0" xr:uid="{75444CA2-134E-41A2-A00C-054907A2BFA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7" authorId="1" shapeId="0" xr:uid="{1099D0C6-D79B-4AEB-A6EF-BA4E8AC713A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H7" authorId="1" shapeId="0" xr:uid="{6FF1ABA1-A029-4F5F-97B1-B263EF7F57B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N7" authorId="1" shapeId="0" xr:uid="{4EE45633-5782-4FE9-9222-AD41CB8CFEB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B38" authorId="1" shapeId="0" xr:uid="{F85AA901-8D6A-41E1-9EE0-E67FE9D13EB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38" authorId="1" shapeId="0" xr:uid="{6F44FF3D-EF95-4C78-9BF6-83FC0E07A77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H38" authorId="1" shapeId="0" xr:uid="{3AAC78B6-F874-4A80-B9B6-29802B74E06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K38" authorId="1" shapeId="0" xr:uid="{F2A84E32-2DEF-47AD-81CC-94AD99EF539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C80" authorId="0" shapeId="0" xr:uid="{1A23CE24-83F0-4046-B54B-9212397D9FD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A83" authorId="1" shapeId="0" xr:uid="{693F424D-62D1-417A-B478-E6C8B0633EF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similar to Asphaltene</t>
        </r>
      </text>
    </comment>
    <comment ref="C83" authorId="0" shapeId="0" xr:uid="{E51760C9-EA6C-4446-AD5B-F200E8FAC81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4" authorId="0" shapeId="0" xr:uid="{3C281159-77DB-40A9-B5AC-BC93A936A4C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5" authorId="0" shapeId="0" xr:uid="{DFA12497-2A15-430A-8F94-D3DF90105DF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6" authorId="0" shapeId="0" xr:uid="{EE8A8DE0-266D-4916-AC2C-41C74670E9E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7" authorId="0" shapeId="0" xr:uid="{109123AE-590C-4FFC-80F6-5177E23789D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8" authorId="0" shapeId="0" xr:uid="{06FDA849-EC68-4EC8-A108-CF69D78C72A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9" authorId="0" shapeId="0" xr:uid="{C2CCF14F-C985-453E-96C9-EBEA8B8BFAC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90" authorId="0" shapeId="0" xr:uid="{4A7D4336-B45D-4E43-B58F-3774CF98FD9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A93" authorId="0" shapeId="0" xr:uid="{7D74EC31-0A52-400A-A109-C4C923160368}">
      <text>
        <r>
          <rPr>
            <sz val="9"/>
            <color indexed="81"/>
            <rFont val="Tahoma"/>
            <family val="2"/>
          </rPr>
          <t>Archived memo of past methodology:
"Purchase Price * BOM Usage * Scrap Factor * Mix = Std. Cost Contribution"</t>
        </r>
      </text>
    </comment>
    <comment ref="B97" authorId="0" shapeId="0" xr:uid="{35E461BC-B356-4116-A626-1EEC503BF13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2022 standard + freight to New Iberia.
Net of $0.000 MCI under-absorption</t>
        </r>
      </text>
    </comment>
    <comment ref="C97" authorId="1" shapeId="0" xr:uid="{FB327D2E-A8AA-4743-B9D1-673AC9515C8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97" authorId="1" shapeId="0" xr:uid="{2090AB83-5E0D-4E8F-BABD-E32DA85C6AA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701601
Jan-Aug 2022</t>
        </r>
      </text>
    </comment>
    <comment ref="F97" authorId="1" shapeId="0" xr:uid="{8443122F-8F86-4027-B318-8ADB39A3683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702464
Jan-Aug 2022</t>
        </r>
      </text>
    </comment>
    <comment ref="B98" authorId="0" shapeId="0" xr:uid="{D5C561B6-2665-4200-8B91-9404FE34482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'22
MCI 2021 standard + freight to New Iberia.
Net of $0.000 MCI under-absorption</t>
        </r>
      </text>
    </comment>
    <comment ref="C98" authorId="1" shapeId="0" xr:uid="{086A3A4D-32B7-496C-A03C-A79242B772C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N98" authorId="1" shapeId="0" xr:uid="{CECC6365-A7D1-4D9A-994B-E9921C5BCD0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B99" authorId="0" shapeId="0" xr:uid="{942546C8-42BF-495C-86C8-0B1D7C889C1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2022 standard + freight to New Iberia.
</t>
        </r>
      </text>
    </comment>
    <comment ref="C99" authorId="1" shapeId="0" xr:uid="{BFF4D41E-2590-46B4-A117-647509D4164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H99" authorId="1" shapeId="0" xr:uid="{82FBF439-7A8A-4D2E-8215-E34A6839FAD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702240
Jan-Aug 2022</t>
        </r>
      </text>
    </comment>
    <comment ref="B100" authorId="0" shapeId="0" xr:uid="{DA7963E3-6318-4668-9C30-AFD83C34B6F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2022 standard + freight to New Iberia.
</t>
        </r>
      </text>
    </comment>
    <comment ref="C100" authorId="1" shapeId="0" xr:uid="{AA68DB5E-2B7D-4734-84E4-85A53D40804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B101" authorId="1" shapeId="0" xr:uid="{8C3A376F-87B9-4157-A337-1FBF1053A4B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'22</t>
        </r>
      </text>
    </comment>
    <comment ref="B102" authorId="0" shapeId="0" xr:uid="{54F58C20-5A0C-4EC8-A2B3-74CC3097223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2022 standard + freight to New Iberia.
Net of $0.000 MCI under-absorption</t>
        </r>
      </text>
    </comment>
    <comment ref="C102" authorId="1" shapeId="0" xr:uid="{D1344AF1-BE33-4DBE-BD53-F2BC6E65F9F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L102" authorId="1" shapeId="0" xr:uid="{282CBA45-651D-449F-B154-48AE70697F7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703640
Jan-Aug 2022</t>
        </r>
      </text>
    </comment>
    <comment ref="C103" authorId="1" shapeId="0" xr:uid="{7B04B380-033A-4036-95FA-0CE1190DA2E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04" authorId="0" shapeId="0" xr:uid="{B0515BC0-FE28-4CE4-9277-89094B5EC4A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2022 standard, net of upstream source plant underabsorption.</t>
        </r>
      </text>
    </comment>
    <comment ref="C104" authorId="0" shapeId="0" xr:uid="{BF498848-6A95-495F-8D5A-F3873BD2275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$0.0447 NI Infusion underabsorbed  &amp; $0.000 MCI CL substrate underabsorbed</t>
        </r>
      </text>
    </comment>
    <comment ref="B105" authorId="0" shapeId="0" xr:uid="{2E4D88BF-3322-47EA-BC43-4D4055BC02E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2022 standard, net of upstream source plant underabsorption.</t>
        </r>
      </text>
    </comment>
    <comment ref="B106" authorId="0" shapeId="0" xr:uid="{48A7024B-914F-40F7-85D3-D51AF970ECA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2021 standard, net of upstream source plant underabsorption.</t>
        </r>
      </text>
    </comment>
    <comment ref="C106" authorId="0" shapeId="0" xr:uid="{A2D6B152-7A4A-4B27-A39C-1673F2FE793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$0.0552 NI Infusion underabsorbed  &amp; $0.1084 EUF CL substrate underabsorbed</t>
        </r>
      </text>
    </comment>
    <comment ref="B107" authorId="0" shapeId="0" xr:uid="{B5B2E4B9-9ABA-4712-8C38-380341636BB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2022 standard + freight to New Iberia.
Net of $0.000 EUF under-absorption
*BV of NI inventory on hand Aug 22</t>
        </r>
      </text>
    </comment>
    <comment ref="C107" authorId="1" shapeId="0" xr:uid="{78A1F481-018E-4876-B4F7-465018AFBE3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108" authorId="1" shapeId="0" xr:uid="{889F849A-6401-4774-B1F0-AA367C2B0DB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701601
Jan-Aug 2022</t>
        </r>
      </text>
    </comment>
    <comment ref="F108" authorId="1" shapeId="0" xr:uid="{C4F9BE62-07F3-4BF7-97FC-33061550A99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702464
Jan-Aug 2022</t>
        </r>
      </text>
    </comment>
    <comment ref="H108" authorId="1" shapeId="0" xr:uid="{FA579BE1-C4E5-4CD9-9468-B7F2D95ACF2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702240
Jan-Aug 2022</t>
        </r>
      </text>
    </comment>
    <comment ref="L108" authorId="1" shapeId="0" xr:uid="{3EB0E541-30CD-4FF0-986A-6E442E1AF58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703640
Jan-Aug 2022</t>
        </r>
      </text>
    </comment>
    <comment ref="N108" authorId="1" shapeId="0" xr:uid="{825833F8-6AEF-44D6-B186-B21819B3BC1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B109" authorId="1" shapeId="0" xr:uid="{868F424A-44E3-420B-A6BC-8081E92F796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2022 purchase
</t>
        </r>
      </text>
    </comment>
    <comment ref="F109" authorId="1" shapeId="0" xr:uid="{305F7799-D5A5-476E-B73C-B99AC5E94332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702464
Jan-Aug 2022</t>
        </r>
      </text>
    </comment>
    <comment ref="N109" authorId="1" shapeId="0" xr:uid="{8B1417E0-E2B9-4F4C-AFB4-E83006CD0A4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D110" authorId="1" shapeId="0" xr:uid="{F2DAF942-5F54-4A21-AB29-9855EFCCD26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701601
Jan-Aug 2022</t>
        </r>
      </text>
    </comment>
    <comment ref="F110" authorId="1" shapeId="0" xr:uid="{00C5954B-4DE8-4E7F-9CD0-9DAD5C4DF27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702464
Jan-Aug 2022</t>
        </r>
      </text>
    </comment>
    <comment ref="H110" authorId="1" shapeId="0" xr:uid="{54C1AD40-5F5B-4544-811F-B1DD33342F4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702240
Jan-Aug 2022</t>
        </r>
      </text>
    </comment>
    <comment ref="L110" authorId="1" shapeId="0" xr:uid="{594044C4-5F19-4753-8481-C55F92BF921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703640
Jan-Aug 2022</t>
        </r>
      </text>
    </comment>
    <comment ref="N110" authorId="1" shapeId="0" xr:uid="{1ACE4161-D4D2-4447-9AF4-855DCD4CF68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F111" authorId="1" shapeId="0" xr:uid="{08F7FDDD-DF43-4190-AB11-9A2416B11A0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702464
Jan-Aug 2022</t>
        </r>
      </text>
    </comment>
    <comment ref="N111" authorId="1" shapeId="0" xr:uid="{7C462B9D-4AC2-457E-A46E-0C7504EC3E2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D112" authorId="1" shapeId="0" xr:uid="{810B164E-1541-4401-8068-F936B223446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701601
Jan-Aug 2022</t>
        </r>
      </text>
    </comment>
    <comment ref="H112" authorId="1" shapeId="0" xr:uid="{C730EDA1-0414-4366-9ED5-5385FCFEEFB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702240
Jan-Aug 2022</t>
        </r>
      </text>
    </comment>
    <comment ref="L112" authorId="1" shapeId="0" xr:uid="{B24061A9-1B20-4DF9-974D-8EEF2749C90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703640
Jan-Aug 2022</t>
        </r>
      </text>
    </comment>
    <comment ref="D113" authorId="1" shapeId="0" xr:uid="{77338B7E-28E3-4183-9CB7-0CA2C433B77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701601
Jan-Aug 2022</t>
        </r>
      </text>
    </comment>
    <comment ref="H113" authorId="1" shapeId="0" xr:uid="{051F529C-635C-495A-9A0A-52E2C5303A9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702240
Jan-Aug 2022</t>
        </r>
      </text>
    </comment>
    <comment ref="L113" authorId="1" shapeId="0" xr:uid="{DA854941-F66F-4C97-A113-0B17D64C0C8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703640
Jan-Aug 2022</t>
        </r>
      </text>
    </comment>
    <comment ref="D114" authorId="1" shapeId="0" xr:uid="{C2036EC8-D00B-4527-84D0-E0997D356CA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701601
Jan-Aug 2022</t>
        </r>
      </text>
    </comment>
    <comment ref="B115" authorId="2" shapeId="0" xr:uid="{82DFA4A6-FDDA-4D51-8C89-6ABDCD30C7DA}">
      <text>
        <r>
          <rPr>
            <b/>
            <sz val="9"/>
            <color indexed="81"/>
            <rFont val="Tahoma"/>
            <family val="2"/>
          </rPr>
          <t>Depriest, Eric:</t>
        </r>
        <r>
          <rPr>
            <sz val="9"/>
            <color indexed="81"/>
            <rFont val="Tahoma"/>
            <family val="2"/>
          </rPr>
          <t xml:space="preserve">
16.25 lbs per 1300</t>
        </r>
      </text>
    </comment>
    <comment ref="J115" authorId="2" shapeId="0" xr:uid="{A797CD2E-D932-4602-9B4F-3CC22554C7B3}">
      <text>
        <r>
          <rPr>
            <b/>
            <sz val="9"/>
            <color indexed="81"/>
            <rFont val="Tahoma"/>
            <family val="2"/>
          </rPr>
          <t>Depriest, Eric:</t>
        </r>
        <r>
          <rPr>
            <sz val="9"/>
            <color indexed="81"/>
            <rFont val="Tahoma"/>
            <family val="2"/>
          </rPr>
          <t xml:space="preserve">
16.25 lbs of chemical needed for 1300lbs of substrate
</t>
        </r>
      </text>
    </comment>
    <comment ref="N116" authorId="1" shapeId="0" xr:uid="{B233D453-1922-466A-B02F-96E3F0E1F6F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B127" authorId="0" shapeId="0" xr:uid="{B2B81A5A-19A1-4D15-B4DD-205E1FDE68D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2022 standard + freight to New Iberia.
Net of $0.000 MCI under-absorption</t>
        </r>
      </text>
    </comment>
    <comment ref="C127" authorId="1" shapeId="0" xr:uid="{CB6D6EF6-8338-4E6A-9B3C-85D80A9D60B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28" authorId="0" shapeId="0" xr:uid="{A47360B5-33F1-4559-AB97-36FC006584C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'22
MCI 2021 standard + freight to New Iberia.
Net of $0.000 MCI under-absorption</t>
        </r>
      </text>
    </comment>
    <comment ref="C128" authorId="1" shapeId="0" xr:uid="{251D9766-0D6F-4514-9160-7EB35B912B2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29" authorId="0" shapeId="0" xr:uid="{67FD8745-F9D0-431C-AB15-A57E77D607D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2022 standard + freight to New Iberia.
</t>
        </r>
      </text>
    </comment>
    <comment ref="C129" authorId="1" shapeId="0" xr:uid="{3C61700A-F979-4061-9A5F-DC623DCFFE2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H129" authorId="1" shapeId="0" xr:uid="{045B57B4-2612-480E-AB0F-59DDDC95592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702606
Jan-Aug 2022</t>
        </r>
      </text>
    </comment>
    <comment ref="B130" authorId="0" shapeId="0" xr:uid="{B9071F4D-61E2-48E4-B5D4-27B80DADAD4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2022 standard + freight to New Iberia.
</t>
        </r>
      </text>
    </comment>
    <comment ref="C130" authorId="1" shapeId="0" xr:uid="{24F19BB6-9C26-4DCF-82F7-7D6AD417EBA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B131" authorId="1" shapeId="0" xr:uid="{49A11DDF-F78F-4D46-BF11-917EDCDD28A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'22</t>
        </r>
      </text>
    </comment>
    <comment ref="H131" authorId="1" shapeId="0" xr:uid="{5A299D17-DDDF-4548-BBA1-11DD3C65795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702606
Jan-Aug 2022</t>
        </r>
      </text>
    </comment>
    <comment ref="B132" authorId="0" shapeId="0" xr:uid="{07055210-0B73-4AB7-B859-FE29BAF398F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2022 standard + freight to New Iberia.
Net of $0.000 MCI under-absorption</t>
        </r>
      </text>
    </comment>
    <comment ref="C132" authorId="1" shapeId="0" xr:uid="{3895B294-25D6-42D7-B3A4-4F949ACECA6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C133" authorId="1" shapeId="0" xr:uid="{3E632128-FC3D-4421-87BA-FA985E8BB23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34" authorId="0" shapeId="0" xr:uid="{8158FE51-DB97-41A7-B80C-73315DD4BA9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2022 standard, net of upstream source plant underabsorption.</t>
        </r>
      </text>
    </comment>
    <comment ref="C134" authorId="0" shapeId="0" xr:uid="{469961E7-AE54-44C3-A8A5-1133C78FC7E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$0.0447 NI Infusion underabsorbed  &amp; $0.000 MCI CL substrate underabsorbed</t>
        </r>
      </text>
    </comment>
    <comment ref="F134" authorId="1" shapeId="0" xr:uid="{96185CBD-0516-4E63-8243-22E41D0B6AAB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B135" authorId="0" shapeId="0" xr:uid="{E7C3EB28-044E-473F-8166-A7E4ADD4B8F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2022 standard, net of upstream source plant underabsorption.</t>
        </r>
      </text>
    </comment>
    <comment ref="B136" authorId="0" shapeId="0" xr:uid="{74E4D9DB-F2F8-46EF-B76F-C79C45FC360F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2021 standard, net of upstream source plant underabsorption.</t>
        </r>
      </text>
    </comment>
    <comment ref="C136" authorId="0" shapeId="0" xr:uid="{944BBE6B-B563-4868-8B0C-D8AD0D5783F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$0.0552 NI Infusion underabsorbed  &amp; $0.1084 EUF CL substrate underabsorbed</t>
        </r>
      </text>
    </comment>
    <comment ref="B137" authorId="0" shapeId="0" xr:uid="{CB5D955E-B38F-429D-A170-B5A5BDFC2374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2022 standard + freight to New Iberia.
Net of $0.000 EUF under-absorption
</t>
        </r>
      </text>
    </comment>
    <comment ref="C137" authorId="1" shapeId="0" xr:uid="{73395BB8-8F21-4710-88C6-E5A7F39A3CF3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137" authorId="1" shapeId="0" xr:uid="{D063DD27-444F-44F2-B94D-3399739EBBE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702167
Jan-Aug 2022</t>
        </r>
      </text>
    </comment>
    <comment ref="B138" authorId="1" shapeId="0" xr:uid="{858633BB-3D04-41F9-A1EC-4A12E051B05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2022 purchase</t>
        </r>
      </text>
    </comment>
    <comment ref="D138" authorId="1" shapeId="0" xr:uid="{A1AA54BB-E66D-4A18-875A-326E21A5EF29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702167
Jan-Aug 2022</t>
        </r>
      </text>
    </comment>
    <comment ref="F138" authorId="1" shapeId="0" xr:uid="{D07982AD-DCE4-4E36-B0B2-221C21F6071C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B139" authorId="1" shapeId="0" xr:uid="{1D57301E-7CC2-4E65-87C5-92E3ADBCBEE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2022 purchase
</t>
        </r>
      </text>
    </comment>
    <comment ref="D139" authorId="1" shapeId="0" xr:uid="{A2B59187-7A74-4711-A30B-C169AEE211C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702167
Jan-Aug 2022</t>
        </r>
      </text>
    </comment>
    <comment ref="D140" authorId="1" shapeId="0" xr:uid="{8B9A9CC6-CA6E-4724-992D-B061DBE7082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702167
Jan-Aug 2022</t>
        </r>
      </text>
    </comment>
    <comment ref="F140" authorId="1" shapeId="0" xr:uid="{997EB481-98EF-4EE4-AFC6-CA88CB14E42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D141" authorId="1" shapeId="0" xr:uid="{CBE630BE-03A7-4822-974E-484ECC0A353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702167
Jan-Aug 2022</t>
        </r>
      </text>
    </comment>
    <comment ref="F141" authorId="1" shapeId="0" xr:uid="{02CAF21C-6E3D-437E-B8B2-945670576E6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D142" authorId="1" shapeId="0" xr:uid="{37D3B671-54DD-433B-AF66-8735740638C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2020</t>
        </r>
      </text>
    </comment>
    <comment ref="F142" authorId="1" shapeId="0" xr:uid="{ED3D0011-1096-49DB-8A8A-A3526264FD2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F143" authorId="1" shapeId="0" xr:uid="{3F917407-4B4C-42E6-BA41-C306D6159EF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F144" authorId="1" shapeId="0" xr:uid="{CDA066FC-97C4-4685-A847-09D80E5A165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B145" authorId="2" shapeId="0" xr:uid="{517E7A2F-1605-486D-AB6E-4173228841C4}">
      <text>
        <r>
          <rPr>
            <b/>
            <sz val="9"/>
            <color indexed="81"/>
            <rFont val="Tahoma"/>
            <family val="2"/>
          </rPr>
          <t>Depriest, Eric:</t>
        </r>
        <r>
          <rPr>
            <sz val="9"/>
            <color indexed="81"/>
            <rFont val="Tahoma"/>
            <family val="2"/>
          </rPr>
          <t xml:space="preserve">
16.25 lbs per 1300</t>
        </r>
      </text>
    </comment>
    <comment ref="H146" authorId="1" shapeId="0" xr:uid="{7E9F6E56-A58B-4A40-865F-1101F1334AC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702606
Jan-Aug 2022</t>
        </r>
      </text>
    </comment>
    <comment ref="B147" authorId="1" shapeId="0" xr:uid="{1882FAD5-7AA1-4D90-AF10-9A4A4E099F1A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purchase
</t>
        </r>
      </text>
    </comment>
    <comment ref="B148" authorId="1" shapeId="0" xr:uid="{0B0DD942-A226-41F9-B49F-10271E10F6D1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purchase
</t>
        </r>
      </text>
    </comment>
    <comment ref="B149" authorId="1" shapeId="0" xr:uid="{8B4D6573-571B-478A-A989-EFE6EE208E8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N164" authorId="1" shapeId="0" xr:uid="{8A84768A-E384-4D1D-9C80-7F14C50A3D9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N165" authorId="1" shapeId="0" xr:uid="{9191BA79-4375-4D07-8632-651D17B0412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H171" authorId="1" shapeId="0" xr:uid="{21A7ABE1-8090-40C4-8793-A0047332E308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702606</t>
        </r>
      </text>
    </comment>
    <comment ref="J171" authorId="1" shapeId="0" xr:uid="{4932D2E8-036E-4632-B2FA-8D7B7C5D6C65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H172" authorId="1" shapeId="0" xr:uid="{2DEBE5A5-AC41-4890-AB15-B3D7B26CC1F6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702606</t>
        </r>
      </text>
    </comment>
    <comment ref="J172" authorId="1" shapeId="0" xr:uid="{1C376DDE-CC4E-470B-BC93-50AA292568DE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A182" authorId="0" shapeId="0" xr:uid="{4AB06D79-D8A8-43A0-9794-6699A3E21A49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nozzles, screens, shotgun shells, union processor, grid, DSI system .0022/lb</t>
        </r>
      </text>
    </comment>
    <comment ref="B195" authorId="0" shapeId="0" xr:uid="{F2F7E383-9307-4C7D-A408-E3A3F26AB497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</t>
        </r>
      </text>
    </comment>
    <comment ref="C195" authorId="0" shapeId="0" xr:uid="{FE0E9940-7DD9-4D35-B245-F69F8DBB3C2D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</t>
        </r>
      </text>
    </comment>
    <comment ref="B197" authorId="0" shapeId="0" xr:uid="{66F33724-4353-4716-8D6C-A76DDE325344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9.5% of production bagged for 10-mos Jan-Oct '18</t>
        </r>
      </text>
    </comment>
    <comment ref="B198" authorId="0" shapeId="0" xr:uid="{BBA6E3D2-CC1D-401F-80C3-71262218446D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2018 actual rate 29%</t>
        </r>
      </text>
    </comment>
    <comment ref="C202" authorId="0" shapeId="0" xr:uid="{6B68DAE6-C334-477C-9EAC-74CDD2FED113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5047K lbs bagged Jan-Nov '18, many at 2400 lbs or 2600 lbs per bag instead of 3,200 lbs.</t>
        </r>
      </text>
    </comment>
    <comment ref="C204" authorId="0" shapeId="0" xr:uid="{A2325E29-0CC4-417E-ABAB-B70A6358F758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Assumes 4 bags per hour at 3,200 lbs per bag.</t>
        </r>
      </text>
    </comment>
    <comment ref="C205" authorId="0" shapeId="0" xr:uid="{6A8C25CC-5AE8-4FC7-BC66-1D518E02B9D8}">
      <text>
        <r>
          <rPr>
            <b/>
            <sz val="9"/>
            <color indexed="81"/>
            <rFont val="Tahoma"/>
            <family val="2"/>
          </rPr>
          <t>Broussard, Glenn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652 hours Jan-Nov '18</t>
        </r>
      </text>
    </comment>
    <comment ref="A237" authorId="0" shapeId="0" xr:uid="{2AA437AE-8B56-453B-8ED7-02EC6541A592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Archived memo from past methodology: 
"Plant Utilization Ratio * Annual Cost * Planned Production = Std. Cost Contribution (Fixed)"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Moreau, Danielle</author>
    <author>Depriest, Eric</author>
  </authors>
  <commentList>
    <comment ref="B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TMB source plant</t>
        </r>
      </text>
    </comment>
    <comment ref="B7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7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H7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N7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B38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38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H38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K38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C7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0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A83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similar to Asphaltene</t>
        </r>
      </text>
    </comment>
    <comment ref="C8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4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5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6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7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8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9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90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A93" authorId="0" shapeId="0" xr:uid="{00000000-0006-0000-0000-000017000000}">
      <text>
        <r>
          <rPr>
            <sz val="9"/>
            <color indexed="81"/>
            <rFont val="Tahoma"/>
            <family val="2"/>
          </rPr>
          <t>Archived memo of past methodology:
"Purchase Price * BOM Usage * Scrap Factor * Mix = Std. Cost Contribution"</t>
        </r>
      </text>
    </comment>
    <comment ref="B97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2022 standard + freight to New Iberia.
Net of $0.000 MCI under-absorption</t>
        </r>
      </text>
    </comment>
    <comment ref="C97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97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701601
Jan-Aug 2022</t>
        </r>
      </text>
    </comment>
    <comment ref="F97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702464
Jan-Aug 2022</t>
        </r>
      </text>
    </comment>
    <comment ref="B98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'22
MCI 2021 standard + freight to New Iberia.
Net of $0.000 MCI under-absorption</t>
        </r>
      </text>
    </comment>
    <comment ref="C98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N98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B99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2022 standard + freight to New Iberia.
</t>
        </r>
      </text>
    </comment>
    <comment ref="C99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H99" authorId="1" shapeId="0" xr:uid="{00000000-0006-0000-0000-00002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702240
Jan-Aug 2022</t>
        </r>
      </text>
    </comment>
    <comment ref="B100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2022 standard + freight to New Iberia.
</t>
        </r>
      </text>
    </comment>
    <comment ref="C100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B101" authorId="1" shapeId="0" xr:uid="{00000000-0006-0000-0000-00002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'22</t>
        </r>
      </text>
    </comment>
    <comment ref="B102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2022 standard + freight to New Iberia.
Net of $0.000 MCI under-absorption</t>
        </r>
      </text>
    </comment>
    <comment ref="C102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L102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703640
Jan-Aug 2022</t>
        </r>
      </text>
    </comment>
    <comment ref="C103" authorId="1" shapeId="0" xr:uid="{00000000-0006-0000-0000-00002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04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2022 standard, net of upstream source plant underabsorption.</t>
        </r>
      </text>
    </comment>
    <comment ref="C104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$0.0447 NI Infusion underabsorbed  &amp; $0.000 MCI CL substrate underabsorbed</t>
        </r>
      </text>
    </comment>
    <comment ref="B105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2022 standard, net of upstream source plant underabsorption.</t>
        </r>
      </text>
    </comment>
    <comment ref="B106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2021 standard, net of upstream source plant underabsorption.</t>
        </r>
      </text>
    </comment>
    <comment ref="C106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$0.0552 NI Infusion underabsorbed  &amp; $0.1084 EUF CL substrate underabsorbed</t>
        </r>
      </text>
    </comment>
    <comment ref="B107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2022 standard + freight to New Iberia.
Net of $0.000 EUF under-absorption
*BV of NI inventory on hand Aug 22</t>
        </r>
      </text>
    </comment>
    <comment ref="C107" authorId="1" shapeId="0" xr:uid="{00000000-0006-0000-0000-00002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108" authorId="1" shapeId="0" xr:uid="{00000000-0006-0000-0000-00003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701601
Jan-Aug 2022</t>
        </r>
      </text>
    </comment>
    <comment ref="F108" authorId="1" shapeId="0" xr:uid="{00000000-0006-0000-0000-00003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702464
Jan-Aug 2022</t>
        </r>
      </text>
    </comment>
    <comment ref="H108" authorId="1" shapeId="0" xr:uid="{00000000-0006-0000-0000-00003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702240
Jan-Aug 2022</t>
        </r>
      </text>
    </comment>
    <comment ref="L108" authorId="1" shapeId="0" xr:uid="{00000000-0006-0000-0000-00003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703640
Jan-Aug 2022</t>
        </r>
      </text>
    </comment>
    <comment ref="N108" authorId="1" shapeId="0" xr:uid="{00000000-0006-0000-0000-00003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B109" authorId="1" shapeId="0" xr:uid="{00000000-0006-0000-0000-00003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2022 purchase
</t>
        </r>
      </text>
    </comment>
    <comment ref="F109" authorId="1" shapeId="0" xr:uid="{00000000-0006-0000-0000-00003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702464
Jan-Aug 2022</t>
        </r>
      </text>
    </comment>
    <comment ref="N109" authorId="1" shapeId="0" xr:uid="{00000000-0006-0000-0000-00003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D110" authorId="1" shapeId="0" xr:uid="{00000000-0006-0000-0000-00003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701601
Jan-Aug 2022</t>
        </r>
      </text>
    </comment>
    <comment ref="F110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702464
Jan-Aug 2022</t>
        </r>
      </text>
    </comment>
    <comment ref="H110" authorId="1" shapeId="0" xr:uid="{00000000-0006-0000-0000-00003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702240
Jan-Aug 2022</t>
        </r>
      </text>
    </comment>
    <comment ref="L110" authorId="1" shapeId="0" xr:uid="{00000000-0006-0000-0000-00003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703640
Jan-Aug 2022</t>
        </r>
      </text>
    </comment>
    <comment ref="N110" authorId="1" shapeId="0" xr:uid="{00000000-0006-0000-0000-00003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F111" authorId="1" shapeId="0" xr:uid="{00000000-0006-0000-0000-00003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702464
Jan-Aug 2022</t>
        </r>
      </text>
    </comment>
    <comment ref="N111" authorId="1" shapeId="0" xr:uid="{00000000-0006-0000-0000-00003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D112" authorId="1" shapeId="0" xr:uid="{00000000-0006-0000-0000-00003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701601
Jan-Aug 2022</t>
        </r>
      </text>
    </comment>
    <comment ref="H112" authorId="1" shapeId="0" xr:uid="{00000000-0006-0000-0000-00004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702240
Jan-Aug 2022</t>
        </r>
      </text>
    </comment>
    <comment ref="L112" authorId="1" shapeId="0" xr:uid="{00000000-0006-0000-0000-00004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703640
Jan-Aug 2022</t>
        </r>
      </text>
    </comment>
    <comment ref="D113" authorId="1" shapeId="0" xr:uid="{00000000-0006-0000-0000-00004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701601
Jan-Aug 2022</t>
        </r>
      </text>
    </comment>
    <comment ref="H113" authorId="1" shapeId="0" xr:uid="{00000000-0006-0000-0000-00004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702240
Jan-Aug 2022</t>
        </r>
      </text>
    </comment>
    <comment ref="L113" authorId="1" shapeId="0" xr:uid="{00000000-0006-0000-0000-00004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703640
Jan-Aug 2022</t>
        </r>
      </text>
    </comment>
    <comment ref="D114" authorId="1" shapeId="0" xr:uid="{00000000-0006-0000-0000-00004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701601
Jan-Aug 2022</t>
        </r>
      </text>
    </comment>
    <comment ref="B115" authorId="2" shapeId="0" xr:uid="{00000000-0006-0000-0000-000046000000}">
      <text>
        <r>
          <rPr>
            <b/>
            <sz val="9"/>
            <color indexed="81"/>
            <rFont val="Tahoma"/>
            <family val="2"/>
          </rPr>
          <t>Depriest, Eric:</t>
        </r>
        <r>
          <rPr>
            <sz val="9"/>
            <color indexed="81"/>
            <rFont val="Tahoma"/>
            <family val="2"/>
          </rPr>
          <t xml:space="preserve">
16.25 lbs per 1300</t>
        </r>
      </text>
    </comment>
    <comment ref="J115" authorId="2" shapeId="0" xr:uid="{00000000-0006-0000-0000-000047000000}">
      <text>
        <r>
          <rPr>
            <b/>
            <sz val="9"/>
            <color indexed="81"/>
            <rFont val="Tahoma"/>
            <family val="2"/>
          </rPr>
          <t>Depriest, Eric:</t>
        </r>
        <r>
          <rPr>
            <sz val="9"/>
            <color indexed="81"/>
            <rFont val="Tahoma"/>
            <family val="2"/>
          </rPr>
          <t xml:space="preserve">
16.25 lbs of chemical needed for 1300lbs of substrate
</t>
        </r>
      </text>
    </comment>
    <comment ref="N116" authorId="1" shapeId="0" xr:uid="{00000000-0006-0000-0000-00004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B127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2022 standard + freight to New Iberia.
Net of $0.000 MCI under-absorption</t>
        </r>
      </text>
    </comment>
    <comment ref="C127" authorId="1" shapeId="0" xr:uid="{00000000-0006-0000-0000-00004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28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'22
MCI 2021 standard + freight to New Iberia.
Net of $0.000 MCI under-absorption</t>
        </r>
      </text>
    </comment>
    <comment ref="C128" authorId="1" shapeId="0" xr:uid="{00000000-0006-0000-0000-00004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29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2022 standard + freight to New Iberia.
</t>
        </r>
      </text>
    </comment>
    <comment ref="C129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H129" authorId="1" shapeId="0" xr:uid="{00000000-0006-0000-0000-00004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702606
Jan-Aug 2022</t>
        </r>
      </text>
    </comment>
    <comment ref="B130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2022 standard + freight to New Iberia.
</t>
        </r>
      </text>
    </comment>
    <comment ref="C130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B131" authorId="1" shapeId="0" xr:uid="{00000000-0006-0000-0000-00005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'22</t>
        </r>
      </text>
    </comment>
    <comment ref="H131" authorId="1" shapeId="0" xr:uid="{00000000-0006-0000-0000-00005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702606
Jan-Aug 2022</t>
        </r>
      </text>
    </comment>
    <comment ref="B132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2022 standard + freight to New Iberia.
Net of $0.000 MCI under-absorption</t>
        </r>
      </text>
    </comment>
    <comment ref="C132" authorId="1" shapeId="0" xr:uid="{00000000-0006-0000-0000-00005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C133" authorId="1" shapeId="0" xr:uid="{00000000-0006-0000-0000-00005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34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2022 standard, net of upstream source plant underabsorption.</t>
        </r>
      </text>
    </comment>
    <comment ref="C134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$0.0447 NI Infusion underabsorbed  &amp; $0.000 MCI CL substrate underabsorbed</t>
        </r>
      </text>
    </comment>
    <comment ref="F134" authorId="1" shapeId="0" xr:uid="{00000000-0006-0000-0000-00005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B135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2022 standard, net of upstream source plant underabsorption.</t>
        </r>
      </text>
    </comment>
    <comment ref="B136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2021 standard, net of upstream source plant underabsorption.</t>
        </r>
      </text>
    </comment>
    <comment ref="C136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$0.0552 NI Infusion underabsorbed  &amp; $0.1084 EUF CL substrate underabsorbed</t>
        </r>
      </text>
    </comment>
    <comment ref="B137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2022 standard + freight to New Iberia.
Net of $0.000 EUF under-absorption
</t>
        </r>
      </text>
    </comment>
    <comment ref="C137" authorId="1" shapeId="0" xr:uid="{00000000-0006-0000-0000-00005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137" authorId="1" shapeId="0" xr:uid="{00000000-0006-0000-0000-00005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702167
Jan-Aug 2022</t>
        </r>
      </text>
    </comment>
    <comment ref="B138" authorId="1" shapeId="0" xr:uid="{00000000-0006-0000-0000-00006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Jul 2022 purchase</t>
        </r>
      </text>
    </comment>
    <comment ref="D138" authorId="1" shapeId="0" xr:uid="{00000000-0006-0000-0000-00006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702167
Jan-Aug 2022</t>
        </r>
      </text>
    </comment>
    <comment ref="F138" authorId="1" shapeId="0" xr:uid="{00000000-0006-0000-0000-00006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B139" authorId="1" shapeId="0" xr:uid="{00000000-0006-0000-0000-00006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2022 purchase
</t>
        </r>
      </text>
    </comment>
    <comment ref="D139" authorId="1" shapeId="0" xr:uid="{00000000-0006-0000-0000-00006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702167
Jan-Aug 2022</t>
        </r>
      </text>
    </comment>
    <comment ref="D140" authorId="1" shapeId="0" xr:uid="{00000000-0006-0000-0000-00006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702167
Jan-Aug 2022</t>
        </r>
      </text>
    </comment>
    <comment ref="F140" authorId="1" shapeId="0" xr:uid="{00000000-0006-0000-0000-00006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D141" authorId="1" shapeId="0" xr:uid="{00000000-0006-0000-0000-00006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702167
Jan-Aug 2022</t>
        </r>
      </text>
    </comment>
    <comment ref="F141" authorId="1" shapeId="0" xr:uid="{00000000-0006-0000-0000-00006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D142" authorId="1" shapeId="0" xr:uid="{00000000-0006-0000-0000-00006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2020</t>
        </r>
      </text>
    </comment>
    <comment ref="F142" authorId="1" shapeId="0" xr:uid="{00000000-0006-0000-0000-00006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F143" authorId="1" shapeId="0" xr:uid="{00000000-0006-0000-0000-00006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F144" authorId="1" shapeId="0" xr:uid="{00000000-0006-0000-0000-00006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703540
Jan-Aug 2022</t>
        </r>
      </text>
    </comment>
    <comment ref="B145" authorId="2" shapeId="0" xr:uid="{00000000-0006-0000-0000-00006D000000}">
      <text>
        <r>
          <rPr>
            <b/>
            <sz val="9"/>
            <color indexed="81"/>
            <rFont val="Tahoma"/>
            <family val="2"/>
          </rPr>
          <t>Depriest, Eric:</t>
        </r>
        <r>
          <rPr>
            <sz val="9"/>
            <color indexed="81"/>
            <rFont val="Tahoma"/>
            <family val="2"/>
          </rPr>
          <t xml:space="preserve">
16.25 lbs per 1300</t>
        </r>
      </text>
    </comment>
    <comment ref="H146" authorId="1" shapeId="0" xr:uid="{00000000-0006-0000-0000-00006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702606
Jan-Aug 2022</t>
        </r>
      </text>
    </comment>
    <comment ref="B147" authorId="1" shapeId="0" xr:uid="{00000000-0006-0000-0000-00006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purchase
</t>
        </r>
      </text>
    </comment>
    <comment ref="B148" authorId="1" shapeId="0" xr:uid="{00000000-0006-0000-0000-00007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22 purchase
</t>
        </r>
      </text>
    </comment>
    <comment ref="B149" authorId="1" shapeId="0" xr:uid="{00000000-0006-0000-0000-00007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inventory on hand Aug 22</t>
        </r>
      </text>
    </comment>
    <comment ref="N164" authorId="1" shapeId="0" xr:uid="{00000000-0006-0000-0000-00007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N165" authorId="1" shapeId="0" xr:uid="{00000000-0006-0000-0000-00007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H171" authorId="1" shapeId="0" xr:uid="{00000000-0006-0000-0000-00007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702606</t>
        </r>
      </text>
    </comment>
    <comment ref="J171" authorId="1" shapeId="0" xr:uid="{00000000-0006-0000-0000-00007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H172" authorId="1" shapeId="0" xr:uid="{00000000-0006-0000-0000-00007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702606</t>
        </r>
      </text>
    </comment>
    <comment ref="J172" authorId="1" shapeId="0" xr:uid="{00000000-0006-0000-0000-00007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A182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nozzles, screens, shotgun shells, union processor, grid, DSI system .0022/lb</t>
        </r>
      </text>
    </comment>
    <comment ref="B195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</t>
        </r>
      </text>
    </comment>
    <comment ref="C195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4% increase assumed</t>
        </r>
      </text>
    </comment>
    <comment ref="B197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9.5% of production bagged for 10-mos Jan-Oct '18</t>
        </r>
      </text>
    </comment>
    <comment ref="B198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2018 actual rate 29%</t>
        </r>
      </text>
    </comment>
    <comment ref="C202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5047K lbs bagged Jan-Nov '18, many at 2400 lbs or 2600 lbs per bag instead of 3,200 lbs.</t>
        </r>
      </text>
    </comment>
    <comment ref="C204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Assumes 4 bags per hour at 3,200 lbs per bag.</t>
        </r>
      </text>
    </comment>
    <comment ref="C205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Broussard, Glenn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652 hours Jan-Nov '18</t>
        </r>
      </text>
    </comment>
    <comment ref="A237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Archived memo from past methodology: 
"Plant Utilization Ratio * Annual Cost * Planned Production = Std. Cost Contribution (Fixed)"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Moreau, Danielle</author>
  </authors>
  <commentList>
    <comment ref="B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TMB source plant</t>
        </r>
      </text>
    </comment>
    <comment ref="B7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7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H7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N7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B38" authorId="1" shapeId="0" xr:uid="{00000000-0006-0000-0100-00000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38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H38" authorId="1" shapeId="0" xr:uid="{00000000-0006-0000-0100-00000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K38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C79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0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2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3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4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5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7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8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9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90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A94" authorId="0" shapeId="0" xr:uid="{00000000-0006-0000-0100-000016000000}">
      <text>
        <r>
          <rPr>
            <sz val="9"/>
            <color indexed="81"/>
            <rFont val="Tahoma"/>
            <family val="2"/>
          </rPr>
          <t>Archived memo of past methodology:
"Purchase Price * BOM Usage * Scrap Factor * Mix = Std. Cost Contribution"</t>
        </r>
      </text>
    </comment>
    <comment ref="B98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2021 standard + freight to New Iberia.
Net of $0.000 MCI under-absorption</t>
        </r>
      </text>
    </comment>
    <comment ref="C98" authorId="1" shapeId="0" xr:uid="{00000000-0006-0000-0100-00001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98" authorId="1" shapeId="0" xr:uid="{00000000-0006-0000-0100-00001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98" authorId="1" shapeId="0" xr:uid="{00000000-0006-0000-0100-00001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J98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99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2021 standard + freight to New Iberia.
Net of $0.000 MCI under-absorption</t>
        </r>
      </text>
    </comment>
    <comment ref="C99" authorId="1" shapeId="0" xr:uid="{00000000-0006-0000-0100-00001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N99" authorId="1" shapeId="0" xr:uid="{00000000-0006-0000-0100-00001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B100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2021 standard + freight to New Iberia.
</t>
        </r>
      </text>
    </comment>
    <comment ref="C100" authorId="1" shapeId="0" xr:uid="{00000000-0006-0000-0100-00002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H100" authorId="1" shapeId="0" xr:uid="{00000000-0006-0000-0100-00002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702456</t>
        </r>
      </text>
    </comment>
    <comment ref="B101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2021 standard + freight to New Iberia.
</t>
        </r>
      </text>
    </comment>
    <comment ref="C101" authorId="1" shapeId="0" xr:uid="{00000000-0006-0000-0100-00002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B102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McIntyre stock Aug 2021 + freight to NI.</t>
        </r>
      </text>
    </comment>
    <comment ref="C102" authorId="1" shapeId="0" xr:uid="{00000000-0006-0000-0100-00002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C103" authorId="1" shapeId="0" xr:uid="{00000000-0006-0000-0100-00002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04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2020 standard, net of upstream source plant underabsorption.</t>
        </r>
      </text>
    </comment>
    <comment ref="C104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$0.0447 NI Infusion underabsorbed  &amp; $0.000 MCI CL substrate underabsorbed</t>
        </r>
      </text>
    </comment>
    <comment ref="B105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2021 standard, net of upstream source plant underabsorption.</t>
        </r>
      </text>
    </comment>
    <comment ref="C105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$0.0552 NI Infusion underabsorbed  &amp; $0.1084 EUF CL substrate underabsorbed</t>
        </r>
      </text>
    </comment>
    <comment ref="B106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2021 standard + freight to New Iberia.
Net of $0.000 MCI under-absorption
Add $0.02 per Joy C</t>
        </r>
      </text>
    </comment>
    <comment ref="C106" authorId="1" shapeId="0" xr:uid="{00000000-0006-0000-0100-00002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107" authorId="1" shapeId="0" xr:uid="{00000000-0006-0000-0100-00002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07" authorId="1" shapeId="0" xr:uid="{00000000-0006-0000-0100-00002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08" authorId="1" shapeId="0" xr:uid="{00000000-0006-0000-0100-00002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08" authorId="1" shapeId="0" xr:uid="{00000000-0006-0000-0100-00003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H108" authorId="1" shapeId="0" xr:uid="{00000000-0006-0000-0100-00003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702456</t>
        </r>
      </text>
    </comment>
    <comment ref="N108" authorId="1" shapeId="0" xr:uid="{00000000-0006-0000-0100-00003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D109" authorId="1" shapeId="0" xr:uid="{00000000-0006-0000-0100-00003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09" authorId="1" shapeId="0" xr:uid="{00000000-0006-0000-0100-00003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H109" authorId="1" shapeId="0" xr:uid="{00000000-0006-0000-0100-00003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702456</t>
        </r>
      </text>
    </comment>
    <comment ref="N109" authorId="1" shapeId="0" xr:uid="{00000000-0006-0000-0100-00003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D110" authorId="1" shapeId="0" xr:uid="{00000000-0006-0000-0100-00003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10" authorId="1" shapeId="0" xr:uid="{00000000-0006-0000-0100-00003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H110" authorId="1" shapeId="0" xr:uid="{00000000-0006-0000-0100-00003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702456</t>
        </r>
      </text>
    </comment>
    <comment ref="N110" authorId="1" shapeId="0" xr:uid="{00000000-0006-0000-0100-00003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D111" authorId="1" shapeId="0" xr:uid="{00000000-0006-0000-0100-00003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11" authorId="1" shapeId="0" xr:uid="{00000000-0006-0000-0100-00003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H111" authorId="1" shapeId="0" xr:uid="{00000000-0006-0000-0100-00003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702456</t>
        </r>
      </text>
    </comment>
    <comment ref="N111" authorId="1" shapeId="0" xr:uid="{00000000-0006-0000-0100-00003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D112" authorId="1" shapeId="0" xr:uid="{00000000-0006-0000-0100-00003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13" authorId="1" shapeId="0" xr:uid="{00000000-0006-0000-0100-00004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14" authorId="1" shapeId="0" xr:uid="{00000000-0006-0000-0100-00004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J116" authorId="0" shapeId="0" xr:uid="{00000000-0006-0000-0100-00004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2020</t>
        </r>
      </text>
    </comment>
    <comment ref="N117" authorId="1" shapeId="0" xr:uid="{00000000-0006-0000-0100-00004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B128" authorId="0" shapeId="0" xr:uid="{00000000-0006-0000-0100-00004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2021 standard + freight to New Iberia.
Net of $0.000 MCI under-absorption</t>
        </r>
      </text>
    </comment>
    <comment ref="C128" authorId="1" shapeId="0" xr:uid="{00000000-0006-0000-0100-00004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29" authorId="0" shapeId="0" xr:uid="{00000000-0006-0000-0100-00004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2021 standard + freight to New Iberia.
Net of $0.000 MCI under-absorption</t>
        </r>
      </text>
    </comment>
    <comment ref="C129" authorId="1" shapeId="0" xr:uid="{00000000-0006-0000-0100-00004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30" authorId="0" shapeId="0" xr:uid="{00000000-0006-0000-0100-00004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2021 standard + freight to New Iberia.
</t>
        </r>
      </text>
    </comment>
    <comment ref="C130" authorId="1" shapeId="0" xr:uid="{00000000-0006-0000-0100-00004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H130" authorId="1" shapeId="0" xr:uid="{00000000-0006-0000-0100-00004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B131" authorId="0" shapeId="0" xr:uid="{00000000-0006-0000-0100-00004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McIntyre stock Aug 2021 + freight to NI.</t>
        </r>
      </text>
    </comment>
    <comment ref="C131" authorId="1" shapeId="0" xr:uid="{00000000-0006-0000-0100-00004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C132" authorId="1" shapeId="0" xr:uid="{00000000-0006-0000-0100-00004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33" authorId="0" shapeId="0" xr:uid="{00000000-0006-0000-0100-00004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2020 standard, net of upstream source plant underabsorption.</t>
        </r>
      </text>
    </comment>
    <comment ref="C133" authorId="0" shapeId="0" xr:uid="{00000000-0006-0000-0100-00004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$0.0447 NI Infusion underabsorbed  &amp; $0.000 MCI CL substrate underabsorbed</t>
        </r>
      </text>
    </comment>
    <comment ref="F133" authorId="1" shapeId="0" xr:uid="{00000000-0006-0000-0100-00005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B134" authorId="0" shapeId="0" xr:uid="{00000000-0006-0000-0100-00005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2021 standard, net of upstream source plant underabsorption.</t>
        </r>
      </text>
    </comment>
    <comment ref="C134" authorId="0" shapeId="0" xr:uid="{00000000-0006-0000-0100-00005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$0.0552 NI Infusion underabsorbed  &amp; $0.1084 EUF CL substrate underabsorbed</t>
        </r>
      </text>
    </comment>
    <comment ref="B135" authorId="0" shapeId="0" xr:uid="{00000000-0006-0000-0100-00005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2021 standard + freight to New Iberia.
Net of $0.000 MCI under-absorption
Add $0.02 per Joy C</t>
        </r>
      </text>
    </comment>
    <comment ref="C135" authorId="1" shapeId="0" xr:uid="{00000000-0006-0000-0100-00005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135" authorId="1" shapeId="0" xr:uid="{00000000-0006-0000-0100-00005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36" authorId="1" shapeId="0" xr:uid="{00000000-0006-0000-0100-00005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F136" authorId="1" shapeId="0" xr:uid="{00000000-0006-0000-0100-00005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37" authorId="1" shapeId="0" xr:uid="{00000000-0006-0000-0100-00005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F137" authorId="1" shapeId="0" xr:uid="{00000000-0006-0000-0100-00005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38" authorId="1" shapeId="0" xr:uid="{00000000-0006-0000-0100-00005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F138" authorId="1" shapeId="0" xr:uid="{00000000-0006-0000-0100-00005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39" authorId="1" shapeId="0" xr:uid="{00000000-0006-0000-0100-00005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F139" authorId="1" shapeId="0" xr:uid="{00000000-0006-0000-0100-00005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40" authorId="1" shapeId="0" xr:uid="{00000000-0006-0000-0100-00005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F140" authorId="1" shapeId="0" xr:uid="{00000000-0006-0000-0100-00005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41" authorId="1" shapeId="0" xr:uid="{00000000-0006-0000-0100-00006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2020</t>
        </r>
      </text>
    </comment>
    <comment ref="F141" authorId="1" shapeId="0" xr:uid="{00000000-0006-0000-0100-00006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43" authorId="1" shapeId="0" xr:uid="{00000000-0006-0000-0100-00006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2020
</t>
        </r>
      </text>
    </comment>
    <comment ref="H146" authorId="1" shapeId="0" xr:uid="{00000000-0006-0000-0100-00006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B161" authorId="0" shapeId="0" xr:uid="{00000000-0006-0000-0100-000064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Jan-Aug '21 avg (approx)</t>
        </r>
      </text>
    </comment>
    <comment ref="D161" authorId="1" shapeId="0" xr:uid="{00000000-0006-0000-0100-00006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F161" authorId="1" shapeId="0" xr:uid="{00000000-0006-0000-0100-00006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70260 &amp; 702464</t>
        </r>
      </text>
    </comment>
    <comment ref="H161" authorId="1" shapeId="0" xr:uid="{00000000-0006-0000-0100-00006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703322
</t>
        </r>
      </text>
    </comment>
    <comment ref="J161" authorId="1" shapeId="0" xr:uid="{00000000-0006-0000-0100-00006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N161" authorId="1" shapeId="0" xr:uid="{00000000-0006-0000-0100-00006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B162" authorId="0" shapeId="0" xr:uid="{00000000-0006-0000-0100-00006A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Jan-Oct '21 avg (approx)</t>
        </r>
      </text>
    </comment>
    <comment ref="D162" authorId="1" shapeId="0" xr:uid="{00000000-0006-0000-0100-00006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F162" authorId="1" shapeId="0" xr:uid="{00000000-0006-0000-0100-00006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70260 &amp; 702464</t>
        </r>
      </text>
    </comment>
    <comment ref="H162" authorId="1" shapeId="0" xr:uid="{00000000-0006-0000-0100-00006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703322</t>
        </r>
      </text>
    </comment>
    <comment ref="J162" authorId="1" shapeId="0" xr:uid="{00000000-0006-0000-0100-00006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N162" authorId="1" shapeId="0" xr:uid="{00000000-0006-0000-0100-00006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Order 702888</t>
        </r>
      </text>
    </comment>
    <comment ref="B168" authorId="0" shapeId="0" xr:uid="{00000000-0006-0000-0100-000070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Jan-Aug '21 avg (approx)</t>
        </r>
      </text>
    </comment>
    <comment ref="D168" authorId="1" shapeId="0" xr:uid="{00000000-0006-0000-0100-00007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702167</t>
        </r>
      </text>
    </comment>
    <comment ref="F168" authorId="1" shapeId="0" xr:uid="{00000000-0006-0000-0100-00007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701987</t>
        </r>
      </text>
    </comment>
    <comment ref="H168" authorId="1" shapeId="0" xr:uid="{00000000-0006-0000-0100-00007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702606</t>
        </r>
      </text>
    </comment>
    <comment ref="J168" authorId="1" shapeId="0" xr:uid="{00000000-0006-0000-0100-00007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B169" authorId="0" shapeId="0" xr:uid="{00000000-0006-0000-0100-000075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Jan-Oct '21 avg (approx)</t>
        </r>
      </text>
    </comment>
    <comment ref="D169" authorId="1" shapeId="0" xr:uid="{00000000-0006-0000-0100-00007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702167</t>
        </r>
      </text>
    </comment>
    <comment ref="F169" authorId="1" shapeId="0" xr:uid="{00000000-0006-0000-0100-00007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701987</t>
        </r>
      </text>
    </comment>
    <comment ref="H169" authorId="1" shapeId="0" xr:uid="{00000000-0006-0000-0100-00007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 YTD 702606</t>
        </r>
      </text>
    </comment>
    <comment ref="J169" authorId="1" shapeId="0" xr:uid="{00000000-0006-0000-0100-00007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A179" authorId="0" shapeId="0" xr:uid="{00000000-0006-0000-0100-00007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nozzles, screens, shotgun shells, union processor, grid, DSI system .0022/lb</t>
        </r>
      </text>
    </comment>
    <comment ref="B192" authorId="0" shapeId="0" xr:uid="{00000000-0006-0000-0100-00007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2% increase assumed</t>
        </r>
      </text>
    </comment>
    <comment ref="C192" authorId="0" shapeId="0" xr:uid="{00000000-0006-0000-0100-00007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2% increase assumed</t>
        </r>
      </text>
    </comment>
    <comment ref="B194" authorId="0" shapeId="0" xr:uid="{00000000-0006-0000-0100-00007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9.5% of production bagged for 10-mos Jan-Oct '18</t>
        </r>
      </text>
    </comment>
    <comment ref="B195" authorId="0" shapeId="0" xr:uid="{00000000-0006-0000-0100-00007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2018 actual rate 29%</t>
        </r>
      </text>
    </comment>
    <comment ref="C199" authorId="0" shapeId="0" xr:uid="{00000000-0006-0000-0100-00007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5047K lbs bagged Jan-Nov '18, many at 2400 lbs or 2600 lbs per bag instead of 3,200 lbs.</t>
        </r>
      </text>
    </comment>
    <comment ref="C201" authorId="0" shapeId="0" xr:uid="{00000000-0006-0000-0100-00008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Assumes 4 bags per hour at 3,200 lbs per bag.</t>
        </r>
      </text>
    </comment>
    <comment ref="C202" authorId="0" shapeId="0" xr:uid="{00000000-0006-0000-0100-000081000000}">
      <text>
        <r>
          <rPr>
            <b/>
            <sz val="9"/>
            <color indexed="81"/>
            <rFont val="Tahoma"/>
            <family val="2"/>
          </rPr>
          <t>Broussard, Glenn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652 hours Jan-Nov '18</t>
        </r>
      </text>
    </comment>
    <comment ref="A234" authorId="0" shapeId="0" xr:uid="{00000000-0006-0000-0100-00008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Archived memo from past methodology: 
"Plant Utilization Ratio * Annual Cost * Planned Production = Std. Cost Contribution (Fixed)"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Moreau, Danielle</author>
  </authors>
  <commentList>
    <comment ref="B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TMB source plant</t>
        </r>
      </text>
    </comment>
    <comment ref="B7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7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H7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B38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38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H38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K38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C8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2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3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4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5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6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7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8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9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90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91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92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A96" authorId="0" shapeId="0" xr:uid="{00000000-0006-0000-0200-000015000000}">
      <text>
        <r>
          <rPr>
            <sz val="9"/>
            <color indexed="81"/>
            <rFont val="Tahoma"/>
            <family val="2"/>
          </rPr>
          <t>Archived memo of past methodology:
"Purchase Price * BOM Usage * Scrap Factor * Mix = Std. Cost Contribution"</t>
        </r>
      </text>
    </comment>
    <comment ref="B100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2021 standard + freight to New Iberia.
Net of $0.000 MCI under-absorption</t>
        </r>
      </text>
    </comment>
    <comment ref="C100" authorId="1" shapeId="0" xr:uid="{00000000-0006-0000-0200-00001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100" authorId="1" shapeId="0" xr:uid="{00000000-0006-0000-0200-00001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00" authorId="1" shapeId="0" xr:uid="{00000000-0006-0000-0200-00001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J100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01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2021 standard + freight to New Iberia.
Net of $0.000 MCI under-absorption</t>
        </r>
      </text>
    </comment>
    <comment ref="C101" authorId="1" shapeId="0" xr:uid="{00000000-0006-0000-0200-00001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02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2021 standard + freight to New Iberia.
</t>
        </r>
      </text>
    </comment>
    <comment ref="C102" authorId="1" shapeId="0" xr:uid="{00000000-0006-0000-0200-00001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B103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McIntyre stock Aug 2021 + freight to NI.</t>
        </r>
      </text>
    </comment>
    <comment ref="C103" authorId="1" shapeId="0" xr:uid="{00000000-0006-0000-0200-00002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C104" authorId="1" shapeId="0" xr:uid="{00000000-0006-0000-0200-00002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05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2020 standard, net of upstream source plant underabsorption.</t>
        </r>
      </text>
    </comment>
    <comment ref="C105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$0.0447 NI Infusion underabsorbed  &amp; $0.000 MCI CL substrate underabsorbed</t>
        </r>
      </text>
    </comment>
    <comment ref="B106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2021 standard, net of upstream source plant underabsorption.</t>
        </r>
      </text>
    </comment>
    <comment ref="C106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$0.0552 NI Infusion underabsorbed  &amp; $0.1084 EUF CL substrate underabsorbed</t>
        </r>
      </text>
    </comment>
    <comment ref="B107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2021 standard + freight to New Iberia.
Net of $0.000 MCI under-absorption
Add $0.02 per Joy C</t>
        </r>
      </text>
    </comment>
    <comment ref="C107" authorId="1" shapeId="0" xr:uid="{00000000-0006-0000-0200-00002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108" authorId="1" shapeId="0" xr:uid="{00000000-0006-0000-0200-00002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08" authorId="1" shapeId="0" xr:uid="{00000000-0006-0000-0200-00002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09" authorId="1" shapeId="0" xr:uid="{00000000-0006-0000-0200-00002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09" authorId="1" shapeId="0" xr:uid="{00000000-0006-0000-0200-00002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10" authorId="1" shapeId="0" xr:uid="{00000000-0006-0000-0200-00002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10" authorId="1" shapeId="0" xr:uid="{00000000-0006-0000-0200-00002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11" authorId="1" shapeId="0" xr:uid="{00000000-0006-0000-0200-00002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11" authorId="1" shapeId="0" xr:uid="{00000000-0006-0000-0200-00002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12" authorId="1" shapeId="0" xr:uid="{00000000-0006-0000-0200-00003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12" authorId="1" shapeId="0" xr:uid="{00000000-0006-0000-0200-00003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13" authorId="1" shapeId="0" xr:uid="{00000000-0006-0000-0200-00003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14" authorId="1" shapeId="0" xr:uid="{00000000-0006-0000-0200-00003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15" authorId="1" shapeId="0" xr:uid="{00000000-0006-0000-0200-00003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J117" authorId="0" shapeId="0" xr:uid="{00000000-0006-0000-0200-00003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2020</t>
        </r>
      </text>
    </comment>
    <comment ref="B129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2021 standard + freight to New Iberia.
Net of $0.000 MCI under-absorption</t>
        </r>
      </text>
    </comment>
    <comment ref="C129" authorId="1" shapeId="0" xr:uid="{00000000-0006-0000-0200-00003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30" authorId="0" shapeId="0" xr:uid="{00000000-0006-0000-0200-00003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2021 standard + freight to New Iberia.
Net of $0.000 MCI under-absorption</t>
        </r>
      </text>
    </comment>
    <comment ref="C130" authorId="1" shapeId="0" xr:uid="{00000000-0006-0000-0200-00003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31" authorId="0" shapeId="0" xr:uid="{00000000-0006-0000-0200-00003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2021 standard + freight to New Iberia.
</t>
        </r>
      </text>
    </comment>
    <comment ref="C131" authorId="1" shapeId="0" xr:uid="{00000000-0006-0000-0200-00003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H131" authorId="1" shapeId="0" xr:uid="{00000000-0006-0000-0200-00003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B132" authorId="0" shapeId="0" xr:uid="{00000000-0006-0000-0200-00003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McIntyre stock Aug 2021 + freight to NI.</t>
        </r>
      </text>
    </comment>
    <comment ref="C132" authorId="1" shapeId="0" xr:uid="{00000000-0006-0000-0200-00003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C133" authorId="1" shapeId="0" xr:uid="{00000000-0006-0000-0200-00003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34" authorId="0" shapeId="0" xr:uid="{00000000-0006-0000-0200-00004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2020 standard, net of upstream source plant underabsorption.</t>
        </r>
      </text>
    </comment>
    <comment ref="C134" authorId="0" shapeId="0" xr:uid="{00000000-0006-0000-0200-00004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$0.0447 NI Infusion underabsorbed  &amp; $0.000 MCI CL substrate underabsorbed</t>
        </r>
      </text>
    </comment>
    <comment ref="F134" authorId="1" shapeId="0" xr:uid="{00000000-0006-0000-0200-00004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B135" authorId="0" shapeId="0" xr:uid="{00000000-0006-0000-0200-00004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2021 standard, net of upstream source plant underabsorption.</t>
        </r>
      </text>
    </comment>
    <comment ref="C135" authorId="0" shapeId="0" xr:uid="{00000000-0006-0000-0200-00004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$0.0552 NI Infusion underabsorbed  &amp; $0.1084 EUF CL substrate underabsorbed</t>
        </r>
      </text>
    </comment>
    <comment ref="B136" authorId="0" shapeId="0" xr:uid="{00000000-0006-0000-0200-00004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2021 standard + freight to New Iberia.
Net of $0.000 MCI under-absorption
Add $0.02 per Joy C</t>
        </r>
      </text>
    </comment>
    <comment ref="C136" authorId="1" shapeId="0" xr:uid="{00000000-0006-0000-0200-00004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136" authorId="1" shapeId="0" xr:uid="{00000000-0006-0000-0200-00004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37" authorId="1" shapeId="0" xr:uid="{00000000-0006-0000-0200-00004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F137" authorId="1" shapeId="0" xr:uid="{00000000-0006-0000-0200-00004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38" authorId="1" shapeId="0" xr:uid="{00000000-0006-0000-0200-00004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F138" authorId="1" shapeId="0" xr:uid="{00000000-0006-0000-0200-00004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39" authorId="1" shapeId="0" xr:uid="{00000000-0006-0000-0200-00004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F139" authorId="1" shapeId="0" xr:uid="{00000000-0006-0000-0200-00004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40" authorId="1" shapeId="0" xr:uid="{00000000-0006-0000-0200-00004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F140" authorId="1" shapeId="0" xr:uid="{00000000-0006-0000-0200-00004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41" authorId="1" shapeId="0" xr:uid="{00000000-0006-0000-0200-00005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F141" authorId="1" shapeId="0" xr:uid="{00000000-0006-0000-0200-00005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42" authorId="1" shapeId="0" xr:uid="{00000000-0006-0000-0200-00005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2020</t>
        </r>
      </text>
    </comment>
    <comment ref="F142" authorId="1" shapeId="0" xr:uid="{00000000-0006-0000-0200-00005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D144" authorId="1" shapeId="0" xr:uid="{00000000-0006-0000-0200-00005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2020
</t>
        </r>
      </text>
    </comment>
    <comment ref="H147" authorId="1" shapeId="0" xr:uid="{00000000-0006-0000-0200-00005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B163" authorId="0" shapeId="0" xr:uid="{00000000-0006-0000-0200-000056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Jan-Aug '21 avg (approx)</t>
        </r>
      </text>
    </comment>
    <comment ref="D163" authorId="1" shapeId="0" xr:uid="{00000000-0006-0000-0200-00005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F163" authorId="1" shapeId="0" xr:uid="{00000000-0006-0000-0200-00005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H163" authorId="1" shapeId="0" xr:uid="{00000000-0006-0000-0200-00005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J163" authorId="1" shapeId="0" xr:uid="{00000000-0006-0000-0200-00005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L163" authorId="1" shapeId="0" xr:uid="{00000000-0006-0000-0200-00005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N163" authorId="1" shapeId="0" xr:uid="{00000000-0006-0000-0200-00005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B164" authorId="0" shapeId="0" xr:uid="{00000000-0006-0000-0200-00005D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Jan-Aug '21 avg (approx)</t>
        </r>
      </text>
    </comment>
    <comment ref="D164" authorId="1" shapeId="0" xr:uid="{00000000-0006-0000-0200-00005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F164" authorId="1" shapeId="0" xr:uid="{00000000-0006-0000-0200-00005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H164" authorId="1" shapeId="0" xr:uid="{00000000-0006-0000-0200-00006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J164" authorId="1" shapeId="0" xr:uid="{00000000-0006-0000-0200-00006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L164" authorId="1" shapeId="0" xr:uid="{00000000-0006-0000-0200-00006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N164" authorId="1" shapeId="0" xr:uid="{00000000-0006-0000-0200-00006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B170" authorId="0" shapeId="0" xr:uid="{00000000-0006-0000-0200-000064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Jan-Aug '21 avg (approx)</t>
        </r>
      </text>
    </comment>
    <comment ref="D170" authorId="1" shapeId="0" xr:uid="{00000000-0006-0000-0200-00006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F170" authorId="1" shapeId="0" xr:uid="{00000000-0006-0000-0200-00006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H170" authorId="1" shapeId="0" xr:uid="{00000000-0006-0000-0200-00006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J170" authorId="1" shapeId="0" xr:uid="{00000000-0006-0000-0200-00006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B171" authorId="0" shapeId="0" xr:uid="{00000000-0006-0000-0200-000069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Jan-Aug '21 avg (approx)</t>
        </r>
      </text>
    </comment>
    <comment ref="D171" authorId="1" shapeId="0" xr:uid="{00000000-0006-0000-0200-00006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F171" authorId="1" shapeId="0" xr:uid="{00000000-0006-0000-0200-00006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H171" authorId="1" shapeId="0" xr:uid="{00000000-0006-0000-0200-00006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Jan-Aug '21 avg rate</t>
        </r>
      </text>
    </comment>
    <comment ref="J171" authorId="1" shapeId="0" xr:uid="{00000000-0006-0000-0200-00006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A181" authorId="0" shapeId="0" xr:uid="{00000000-0006-0000-0200-00006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nozzles, screens, shotgun shells, union processor, grid, DSI system .0022/lb</t>
        </r>
      </text>
    </comment>
    <comment ref="B194" authorId="0" shapeId="0" xr:uid="{00000000-0006-0000-0200-00006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2% increase assumed</t>
        </r>
      </text>
    </comment>
    <comment ref="C194" authorId="0" shapeId="0" xr:uid="{00000000-0006-0000-0200-00007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2% increase assumed</t>
        </r>
      </text>
    </comment>
    <comment ref="B196" authorId="0" shapeId="0" xr:uid="{00000000-0006-0000-0200-00007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9.5% of production bagged for 10-mos Jan-Oct '18</t>
        </r>
      </text>
    </comment>
    <comment ref="B197" authorId="0" shapeId="0" xr:uid="{00000000-0006-0000-0200-00007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2018 actual rate 29%</t>
        </r>
      </text>
    </comment>
    <comment ref="C201" authorId="0" shapeId="0" xr:uid="{00000000-0006-0000-0200-00007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5047K lbs bagged Jan-Nov '18, many at 2400 lbs or 2600 lbs per bag instead of 3,200 lbs.</t>
        </r>
      </text>
    </comment>
    <comment ref="C203" authorId="0" shapeId="0" xr:uid="{00000000-0006-0000-0200-00007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Assumes 4 bags per hour at 3,200 lbs per bag.</t>
        </r>
      </text>
    </comment>
    <comment ref="C204" authorId="0" shapeId="0" xr:uid="{00000000-0006-0000-0200-000075000000}">
      <text>
        <r>
          <rPr>
            <b/>
            <sz val="9"/>
            <color indexed="81"/>
            <rFont val="Tahoma"/>
            <family val="2"/>
          </rPr>
          <t>Broussard, Glenn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652 hours Jan-Nov '18</t>
        </r>
      </text>
    </comment>
    <comment ref="A237" authorId="0" shapeId="0" xr:uid="{00000000-0006-0000-0200-00007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Archived memo from past methodology: 
"Plant Utilization Ratio * Annual Cost * Planned Production = Std. Cost Contribution (Fixed)"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Moreau, Danielle</author>
  </authors>
  <commentList>
    <comment ref="B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TMB source plant</t>
        </r>
      </text>
    </comment>
    <comment ref="B7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7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H7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B38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38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H38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K38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C8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3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4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5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6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7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8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9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90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91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92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A96" authorId="0" shapeId="0" xr:uid="{00000000-0006-0000-0300-000015000000}">
      <text>
        <r>
          <rPr>
            <sz val="9"/>
            <color indexed="81"/>
            <rFont val="Tahoma"/>
            <family val="2"/>
          </rPr>
          <t>Archived memo of past methodology:
"Purchase Price * BOM Usage * Scrap Factor * Mix = Std. Cost Contribution"</t>
        </r>
      </text>
    </comment>
    <comment ref="B100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2020 standard + freight to New Iberia.
Net of $0.000 MCI under-absorption</t>
        </r>
      </text>
    </comment>
    <comment ref="C100" authorId="1" shapeId="0" xr:uid="{00000000-0006-0000-0300-00001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100" authorId="1" shapeId="0" xr:uid="{00000000-0006-0000-0300-00001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00" authorId="1" shapeId="0" xr:uid="{00000000-0006-0000-0300-00001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J100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01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2020 standard + freight to New Iberia.
Net of $0.000 MCI under-absorption</t>
        </r>
      </text>
    </comment>
    <comment ref="C101" authorId="1" shapeId="0" xr:uid="{00000000-0006-0000-0300-00001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02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2020 standard + freight to New Iberia.
</t>
        </r>
      </text>
    </comment>
    <comment ref="C102" authorId="1" shapeId="0" xr:uid="{00000000-0006-0000-0300-00001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B103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McIntyre stock Sept 2020 + freight to NI.</t>
        </r>
      </text>
    </comment>
    <comment ref="C103" authorId="1" shapeId="0" xr:uid="{00000000-0006-0000-0300-00002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C104" authorId="1" shapeId="0" xr:uid="{00000000-0006-0000-0300-00002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05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2020 standard, net of upstream source plant underabsorption.</t>
        </r>
      </text>
    </comment>
    <comment ref="C105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$0.0447 NI Infusion underabsorbed  &amp; $0.000 MCI CL substrate underabsorbed</t>
        </r>
      </text>
    </comment>
    <comment ref="B106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2020 standard, net of upstream source plant underabsorption.</t>
        </r>
      </text>
    </comment>
    <comment ref="C106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$0.0552 NI Infusion underabsorbed  &amp; $0.1084 EUF CL substrate underabsorbed</t>
        </r>
      </text>
    </comment>
    <comment ref="B107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2020 standard + freight to New Iberia.
Net of $0.000 MCI under-absorption
Add $0.02 per Joy C</t>
        </r>
      </text>
    </comment>
    <comment ref="C107" authorId="1" shapeId="0" xr:uid="{00000000-0006-0000-0300-00002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108" authorId="1" shapeId="0" xr:uid="{00000000-0006-0000-0300-00002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09" authorId="1" shapeId="0" xr:uid="{00000000-0006-0000-0300-00002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Feb 2020</t>
        </r>
      </text>
    </comment>
    <comment ref="F109" authorId="1" shapeId="0" xr:uid="{00000000-0006-0000-0300-00002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10" authorId="1" shapeId="0" xr:uid="{00000000-0006-0000-0300-00002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Feb 2020</t>
        </r>
      </text>
    </comment>
    <comment ref="F110" authorId="1" shapeId="0" xr:uid="{00000000-0006-0000-0300-00002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11" authorId="1" shapeId="0" xr:uid="{00000000-0006-0000-0300-00002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12" authorId="1" shapeId="0" xr:uid="{00000000-0006-0000-0300-00002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13" authorId="1" shapeId="0" xr:uid="{00000000-0006-0000-0300-00002F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Feb 2020</t>
        </r>
      </text>
    </comment>
    <comment ref="D114" authorId="1" shapeId="0" xr:uid="{00000000-0006-0000-0300-00003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15" authorId="1" shapeId="0" xr:uid="{00000000-0006-0000-0300-00003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J117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Aug 2020</t>
        </r>
      </text>
    </comment>
    <comment ref="B129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2020 standard + freight to New Iberia.
Net of $0.000 MCI under-absorption</t>
        </r>
      </text>
    </comment>
    <comment ref="C129" authorId="1" shapeId="0" xr:uid="{00000000-0006-0000-0300-00003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30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2020 standard + freight to New Iberia.
Net of $0.000 MCI under-absorption</t>
        </r>
      </text>
    </comment>
    <comment ref="C130" authorId="1" shapeId="0" xr:uid="{00000000-0006-0000-0300-00003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3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2020 standard + freight to New Iberia.
</t>
        </r>
      </text>
    </comment>
    <comment ref="C131" authorId="1" shapeId="0" xr:uid="{00000000-0006-0000-0300-00003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EUF</t>
        </r>
      </text>
    </comment>
    <comment ref="B132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McIntyre stock Sept 2020 + freight to NI.</t>
        </r>
      </text>
    </comment>
    <comment ref="C132" authorId="1" shapeId="0" xr:uid="{00000000-0006-0000-0300-00003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C133" authorId="1" shapeId="0" xr:uid="{00000000-0006-0000-0300-00003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B134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2020 standard, net of upstream source plant underabsorption.</t>
        </r>
      </text>
    </comment>
    <comment ref="C134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$0.0447 NI Infusion underabsorbed  &amp; $0.000 MCI CL substrate underabsorbed</t>
        </r>
      </text>
    </comment>
    <comment ref="B135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2020 standard, net of upstream source plant underabsorption.</t>
        </r>
      </text>
    </comment>
    <comment ref="C135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$0.0552 NI Infusion underabsorbed  &amp; $0.1084 EUF CL substrate underabsorbed</t>
        </r>
      </text>
    </comment>
    <comment ref="B136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 2020 standard + freight to New Iberia.
Net of $0.000 MCI under-absorption
Add $0.02 per Joy C</t>
        </r>
      </text>
    </comment>
    <comment ref="C136" authorId="1" shapeId="0" xr:uid="{00000000-0006-0000-0300-00004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source plant: MCI</t>
        </r>
      </text>
    </comment>
    <comment ref="D138" authorId="1" shapeId="0" xr:uid="{00000000-0006-0000-0300-00004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2020</t>
        </r>
      </text>
    </comment>
    <comment ref="D139" authorId="1" shapeId="0" xr:uid="{00000000-0006-0000-0300-00004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2020
</t>
        </r>
      </text>
    </comment>
    <comment ref="D142" authorId="1" shapeId="0" xr:uid="{00000000-0006-0000-0300-00004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2020</t>
        </r>
      </text>
    </comment>
    <comment ref="D144" authorId="1" shapeId="0" xr:uid="{00000000-0006-0000-0300-00004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Jun 2020
</t>
        </r>
      </text>
    </comment>
    <comment ref="B163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Jan-Sept '20 avg (approx)</t>
        </r>
      </text>
    </comment>
    <comment ref="D163" authorId="1" shapeId="0" xr:uid="{00000000-0006-0000-0300-00004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F163" authorId="1" shapeId="0" xr:uid="{00000000-0006-0000-0300-00004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H163" authorId="1" shapeId="0" xr:uid="{00000000-0006-0000-0300-00004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J163" authorId="1" shapeId="0" xr:uid="{00000000-0006-0000-0300-00004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L163" authorId="1" shapeId="0" xr:uid="{00000000-0006-0000-0300-00004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N163" authorId="1" shapeId="0" xr:uid="{00000000-0006-0000-0300-00004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B164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Jan-Sept '20 avg (approx)</t>
        </r>
      </text>
    </comment>
    <comment ref="D164" authorId="1" shapeId="0" xr:uid="{00000000-0006-0000-0300-00004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F164" authorId="1" shapeId="0" xr:uid="{00000000-0006-0000-0300-00004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H164" authorId="1" shapeId="0" xr:uid="{00000000-0006-0000-0300-00005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J164" authorId="1" shapeId="0" xr:uid="{00000000-0006-0000-0300-00005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L164" authorId="1" shapeId="0" xr:uid="{00000000-0006-0000-0300-00005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N164" authorId="1" shapeId="0" xr:uid="{00000000-0006-0000-0300-00005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B170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Jan-Sept '20 avg (approx)</t>
        </r>
      </text>
    </comment>
    <comment ref="D170" authorId="1" shapeId="0" xr:uid="{00000000-0006-0000-0300-00005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F170" authorId="1" shapeId="0" xr:uid="{00000000-0006-0000-0300-00005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H170" authorId="1" shapeId="0" xr:uid="{00000000-0006-0000-0300-00005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J170" authorId="1" shapeId="0" xr:uid="{00000000-0006-0000-0300-00005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B17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Jan-Sept '20 avg (approx)</t>
        </r>
      </text>
    </comment>
    <comment ref="D171" authorId="1" shapeId="0" xr:uid="{00000000-0006-0000-0300-00005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F171" authorId="1" shapeId="0" xr:uid="{00000000-0006-0000-0300-00005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H171" authorId="1" shapeId="0" xr:uid="{00000000-0006-0000-0300-00005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J171" authorId="1" shapeId="0" xr:uid="{00000000-0006-0000-0300-00005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A181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nozzles, screens, shotgun shells, union processor, grid, DSI system .0022/lb</t>
        </r>
      </text>
    </comment>
    <comment ref="B194" authorId="1" shapeId="0" xr:uid="{00000000-0006-0000-0300-00005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Dec '20 avg rate + 3% wage increase</t>
        </r>
      </text>
    </comment>
    <comment ref="C194" authorId="1" shapeId="0" xr:uid="{00000000-0006-0000-0300-00006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Dec '20 avg rate + 3% wage increase</t>
        </r>
      </text>
    </comment>
    <comment ref="B196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9.5% of production bagged for 10-mos Jan-Oct '18</t>
        </r>
      </text>
    </comment>
    <comment ref="B197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2018 actual rate 29%</t>
        </r>
      </text>
    </comment>
    <comment ref="C201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5047K lbs bagged Jan-Nov '18, many at 2400 lbs or 2600 lbs per bag instead of 3,200 lbs.</t>
        </r>
      </text>
    </comment>
    <comment ref="C203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Assumes 4 bags per hour at 3,200 lbs per bag.</t>
        </r>
      </text>
    </comment>
    <comment ref="C204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Broussard, Glenn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652 hours Jan-Nov '18</t>
        </r>
      </text>
    </comment>
    <comment ref="A237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Archived memo from past methodology: 
"Plant Utilization Ratio * Annual Cost * Planned Production = Std. Cost Contribution (Fixed)"</t>
        </r>
      </text>
    </comment>
    <comment ref="B243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switched to hourly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Moreau, Danielle</author>
  </authors>
  <commentList>
    <comment ref="B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TMB source plant</t>
        </r>
      </text>
    </comment>
    <comment ref="B7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7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H7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B38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38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H38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K38" authorId="1" shapeId="0" xr:uid="{00000000-0006-0000-0400-00000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C8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2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3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4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5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6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7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8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9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90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91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92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A96" authorId="0" shapeId="0" xr:uid="{00000000-0006-0000-0400-000015000000}">
      <text>
        <r>
          <rPr>
            <sz val="9"/>
            <color indexed="81"/>
            <rFont val="Tahoma"/>
            <family val="2"/>
          </rPr>
          <t>Archived memo of past methodology:
"Purchase Price * BOM Usage * Scrap Factor * Mix = Std. Cost Contribution"</t>
        </r>
      </text>
    </comment>
    <comment ref="B100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2020 standard + freight to New Iberia.
Net of $0.092 EUf under-absorption</t>
        </r>
      </text>
    </comment>
    <comment ref="C100" authorId="1" shapeId="0" xr:uid="{00000000-0006-0000-0400-00001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</t>
        </r>
      </text>
    </comment>
    <comment ref="D100" authorId="1" shapeId="0" xr:uid="{00000000-0006-0000-0400-00001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00" authorId="1" shapeId="0" xr:uid="{00000000-0006-0000-0400-00001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J100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01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2020 standard + freight to New Iberia.
Net of $0.092 EUf under-absorption</t>
        </r>
      </text>
    </comment>
    <comment ref="C101" authorId="1" shapeId="0" xr:uid="{00000000-0006-0000-0400-00001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</t>
        </r>
      </text>
    </comment>
    <comment ref="B102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Eufaula 2019 standard + freight to New Iberia.
Net of $0.2291 EUF under-absorption</t>
        </r>
      </text>
    </comment>
    <comment ref="C102" authorId="1" shapeId="0" xr:uid="{00000000-0006-0000-0400-00001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</t>
        </r>
      </text>
    </comment>
    <comment ref="B103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McIntyre stock Dec 2019 + freight to NI.</t>
        </r>
      </text>
    </comment>
    <comment ref="C103" authorId="1" shapeId="0" xr:uid="{00000000-0006-0000-0400-00002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</t>
        </r>
      </text>
    </comment>
    <comment ref="B104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McIntyre 2019 standard + freight to New Iberia.</t>
        </r>
      </text>
    </comment>
    <comment ref="C104" authorId="1" shapeId="0" xr:uid="{00000000-0006-0000-0400-00002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</t>
        </r>
      </text>
    </comment>
    <comment ref="B105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2020 standard, net of upstream source plant underabsorption.</t>
        </r>
      </text>
    </comment>
    <comment ref="C105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$0.0490 NI Infusion underabsorbed  &amp; $0.0652 EUF CL substrate underabsorbed</t>
        </r>
      </text>
    </comment>
    <comment ref="B106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2020 standard, net of upstream source plant underabsorption.</t>
        </r>
      </text>
    </comment>
    <comment ref="C106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$0.0490 NI Infusion underabsorbed  &amp; $0.1132 EUF CL substrate underabsorbed</t>
        </r>
      </text>
    </comment>
    <comment ref="B107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2020 standard + freight to New Iberia.
Net of $0.1467 EUF under-absorption</t>
        </r>
      </text>
    </comment>
    <comment ref="C107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underabsorbed</t>
        </r>
      </text>
    </comment>
    <comment ref="D108" authorId="1" shapeId="0" xr:uid="{00000000-0006-0000-0400-00002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09" authorId="1" shapeId="0" xr:uid="{00000000-0006-0000-0400-00002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09" authorId="1" shapeId="0" xr:uid="{00000000-0006-0000-0400-00002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10" authorId="1" shapeId="0" xr:uid="{00000000-0006-0000-0400-00002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10" authorId="1" shapeId="0" xr:uid="{00000000-0006-0000-0400-00002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11" authorId="1" shapeId="0" xr:uid="{00000000-0006-0000-0400-00002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F112" authorId="1" shapeId="0" xr:uid="{00000000-0006-0000-0400-00002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13" authorId="1" shapeId="0" xr:uid="{00000000-0006-0000-0400-00003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14" authorId="1" shapeId="0" xr:uid="{00000000-0006-0000-0400-00003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D115" authorId="1" shapeId="0" xr:uid="{00000000-0006-0000-0400-00003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Jan-Sept '19 avg rate</t>
        </r>
      </text>
    </comment>
    <comment ref="J116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28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2020 standard + freight to New Iberia.
Net of $0.092 EUf under-absorption</t>
        </r>
      </text>
    </comment>
    <comment ref="C128" authorId="1" shapeId="0" xr:uid="{00000000-0006-0000-0400-00003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</t>
        </r>
      </text>
    </comment>
    <comment ref="B129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2020 standard + freight to New Iberia.
Net of $0.092 EUf under-absorption</t>
        </r>
      </text>
    </comment>
    <comment ref="C129" authorId="1" shapeId="0" xr:uid="{00000000-0006-0000-0400-00003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</t>
        </r>
      </text>
    </comment>
    <comment ref="B130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Eufaula 2019 standard + freight to New Iberia.
Net of $0.2291 EUF under-absorption</t>
        </r>
      </text>
    </comment>
    <comment ref="C130" authorId="1" shapeId="0" xr:uid="{00000000-0006-0000-0400-00003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</t>
        </r>
      </text>
    </comment>
    <comment ref="B131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BV of McIntyre stock Dec 2019 + freight to NI.</t>
        </r>
      </text>
    </comment>
    <comment ref="C131" authorId="1" shapeId="0" xr:uid="{00000000-0006-0000-0400-00003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</t>
        </r>
      </text>
    </comment>
    <comment ref="B132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McIntyre 2019 standard + freight to New Iberia.</t>
        </r>
      </text>
    </comment>
    <comment ref="C132" authorId="1" shapeId="0" xr:uid="{00000000-0006-0000-0400-00003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MCI</t>
        </r>
      </text>
    </comment>
    <comment ref="B133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2020 standard, net of upstream source plant underabsorption.</t>
        </r>
      </text>
    </comment>
    <comment ref="C133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$0.0490 NI Infusion underabsorbed  &amp; $0.0652 EUF CL substrate underabsorbed</t>
        </r>
      </text>
    </comment>
    <comment ref="B134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NI Infusion 2020 standard, net of upstream source plant underabsorption.</t>
        </r>
      </text>
    </comment>
    <comment ref="C134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$0.0490 NI Infusion underabsorbed  &amp; $0.1132 EUF CL substrate underabsorbed</t>
        </r>
      </text>
    </comment>
    <comment ref="B135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Eufaula 2020 standard + freight to New Iberia.
Net of $0.1467 EUF under-absorption</t>
        </r>
      </text>
    </comment>
    <comment ref="C135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EUF underabsorbed</t>
        </r>
      </text>
    </comment>
    <comment ref="B161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Jan-Oct '19 avg (approx)</t>
        </r>
      </text>
    </comment>
    <comment ref="D161" authorId="1" shapeId="0" xr:uid="{00000000-0006-0000-0400-00004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F161" authorId="1" shapeId="0" xr:uid="{00000000-0006-0000-0400-00004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H161" authorId="1" shapeId="0" xr:uid="{00000000-0006-0000-0400-000047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J161" authorId="1" shapeId="0" xr:uid="{00000000-0006-0000-0400-00004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L161" authorId="1" shapeId="0" xr:uid="{00000000-0006-0000-0400-00004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N161" authorId="1" shapeId="0" xr:uid="{00000000-0006-0000-0400-00004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B162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Per B Phelps email 11/13/19</t>
        </r>
      </text>
    </comment>
    <comment ref="D162" authorId="1" shapeId="0" xr:uid="{00000000-0006-0000-0400-00004C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F162" authorId="1" shapeId="0" xr:uid="{00000000-0006-0000-0400-00004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H162" authorId="1" shapeId="0" xr:uid="{00000000-0006-0000-0400-00004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J162" authorId="1" shapeId="0" xr:uid="{00000000-0006-0000-0400-00004F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L162" authorId="1" shapeId="0" xr:uid="{00000000-0006-0000-0400-000050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N162" authorId="1" shapeId="0" xr:uid="{00000000-0006-0000-0400-000051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B168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 xml:space="preserve">Moreau, Danielle:
</t>
        </r>
        <r>
          <rPr>
            <sz val="9"/>
            <color indexed="81"/>
            <rFont val="Tahoma"/>
            <family val="2"/>
          </rPr>
          <t>Jan-Oct '19 avg (approx)</t>
        </r>
      </text>
    </comment>
    <comment ref="D168" authorId="1" shapeId="0" xr:uid="{00000000-0006-0000-0400-00005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F168" authorId="1" shapeId="0" xr:uid="{00000000-0006-0000-0400-000054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H168" authorId="1" shapeId="0" xr:uid="{00000000-0006-0000-0400-00005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J168" authorId="1" shapeId="0" xr:uid="{00000000-0006-0000-0400-00005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B169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Per R. Riffey email 9/12/18, based on B. Phelts forecast.</t>
        </r>
      </text>
    </comment>
    <comment ref="D169" authorId="1" shapeId="0" xr:uid="{00000000-0006-0000-0400-000058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F169" authorId="1" shapeId="0" xr:uid="{00000000-0006-0000-0400-000059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H169" authorId="1" shapeId="0" xr:uid="{00000000-0006-0000-0400-00005A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J169" authorId="1" shapeId="0" xr:uid="{00000000-0006-0000-0400-00005B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Jan-Oct '19 avg rate</t>
        </r>
      </text>
    </comment>
    <comment ref="A179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nozzles, screens, shotgun shells, union processor, grid, DSI system .0022/lb</t>
        </r>
      </text>
    </comment>
    <comment ref="B192" authorId="1" shapeId="0" xr:uid="{00000000-0006-0000-0400-00005D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 '19 avg rate + 3% wage increase</t>
        </r>
      </text>
    </comment>
    <comment ref="C192" authorId="1" shapeId="0" xr:uid="{00000000-0006-0000-0400-00005E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Sept '19 avg rate + 3% wage increase</t>
        </r>
      </text>
    </comment>
    <comment ref="B194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9.5% of production bagged for 10-mos Jan-Oct '18</t>
        </r>
      </text>
    </comment>
    <comment ref="B195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2018 actual rate 29%</t>
        </r>
      </text>
    </comment>
    <comment ref="C199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5047K lbs bagged Jan-Nov '18, many at 2400 lbs or 2600 lbs per bag instead of 3,200 lbs.</t>
        </r>
      </text>
    </comment>
    <comment ref="C201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Assumes 4 bags per hour at 3,200 lbs per bag.</t>
        </r>
      </text>
    </comment>
    <comment ref="C202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Broussard, Glenn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652 hours Jan-Nov '18</t>
        </r>
      </text>
    </comment>
    <comment ref="A235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Archived memo from past methodology: 
"Plant Utilization Ratio * Annual Cost * Planned Production = Std. Cost Contribution (Fixed)"</t>
        </r>
      </text>
    </comment>
    <comment ref="B241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Oct-19 + 3% merit increase assumed.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Broussard, Glenn</author>
    <author>Beacham, Marty</author>
  </authors>
  <commentList>
    <comment ref="B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TMB source plant</t>
        </r>
      </text>
    </comment>
    <comment ref="E6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Updated to correct error in original that erroneously overstated substrate by $0.1354/lb.</t>
        </r>
      </text>
    </comment>
    <comment ref="B7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TMB source plant</t>
        </r>
      </text>
    </comment>
    <comment ref="H7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Q34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Never made in NI and would require capex to add capability.</t>
        </r>
      </text>
    </comment>
    <comment ref="B38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EUF source plant</t>
        </r>
      </text>
    </comment>
    <comment ref="E38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NI INF source plant for SG I
from TMB courced CL substrate</t>
        </r>
      </text>
    </comment>
    <comment ref="H38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NI INF source plant for FDP-71 I
from TMB courced CL substrate</t>
        </r>
      </text>
    </comment>
    <comment ref="N3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NI INF source plant for SG I
from TMB courced CL substrate</t>
        </r>
      </text>
    </comment>
    <comment ref="N39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Updated to correct error in original that erroneously omitted chemicals $0.0088/lb.</t>
        </r>
      </text>
    </comment>
    <comment ref="C78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7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0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2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3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4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5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6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7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8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C89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800,000 lbs per day assumes running both lines.</t>
        </r>
      </text>
    </comment>
    <comment ref="A93" authorId="0" shapeId="0" xr:uid="{00000000-0006-0000-0500-000017000000}">
      <text>
        <r>
          <rPr>
            <sz val="9"/>
            <color indexed="81"/>
            <rFont val="Tahoma"/>
            <family val="2"/>
          </rPr>
          <t>Archived memo of past methodology:
"Purchase Price * BOM Usage * Scrap Factor * Mix = Std. Cost Contribution"</t>
        </r>
      </text>
    </comment>
    <comment ref="B97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Toomsboro 2019 standard + freight to New Iberia.
Net of $0.028 TMB under-absorption</t>
        </r>
      </text>
    </comment>
    <comment ref="C97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TMB</t>
        </r>
      </text>
    </comment>
    <comment ref="D97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J97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98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Toomsboro 2019 standard + freight to New Iberia.
Net of $0.028 TMB under-absorption</t>
        </r>
      </text>
    </comment>
    <comment ref="C98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TMB</t>
        </r>
      </text>
    </comment>
    <comment ref="F98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deleted original 0.78730 use/lb erroneously entered</t>
        </r>
      </text>
    </comment>
    <comment ref="G98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changed BOM use/lb to remove erroneous cost of $0.1354/lb.</t>
        </r>
      </text>
    </comment>
    <comment ref="B99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Eufaula 2019 standard + freight to New Iberia.
Net of $0.2291 EUF under-absorption</t>
        </r>
      </text>
    </comment>
    <comment ref="C99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EUF</t>
        </r>
      </text>
    </comment>
    <comment ref="H99" authorId="0" shapeId="0" xr:uid="{00000000-0006-0000-0500-00002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00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BV of McIntyre stock Dec 2018 + freight to NI.</t>
        </r>
      </text>
    </comment>
    <comment ref="C100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MCI</t>
        </r>
      </text>
    </comment>
    <comment ref="F100" authorId="0" shapeId="0" xr:uid="{00000000-0006-0000-0500-00002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01" authorId="0" shapeId="0" xr:uid="{00000000-0006-0000-0500-00002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McIntyre 2019 standard + freight to New Iberia.</t>
        </r>
      </text>
    </comment>
    <comment ref="C101" authorId="0" shapeId="0" xr:uid="{00000000-0006-0000-0500-00002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MCI</t>
        </r>
      </text>
    </comment>
    <comment ref="B102" authorId="0" shapeId="0" xr:uid="{00000000-0006-0000-0500-00002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NI Infusion 2019 standard, net of upstream source plant underabsorption.</t>
        </r>
      </text>
    </comment>
    <comment ref="C102" authorId="0" shapeId="0" xr:uid="{00000000-0006-0000-0500-00002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$0.00749 NI Infusion underabsorbed  &amp; $0.02212 TMB CL substrate underabsorbed</t>
        </r>
      </text>
    </comment>
    <comment ref="B103" authorId="0" shapeId="0" xr:uid="{00000000-0006-0000-0500-00002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NI Infusion 2019 standard, net of upstream source plant underabsorption.</t>
        </r>
      </text>
    </comment>
    <comment ref="C103" authorId="0" shapeId="0" xr:uid="{00000000-0006-0000-0500-00002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$0.00749 NI Infusion underabsorbed  &amp; $0.02748 TMB CL substrate underabsorbed</t>
        </r>
      </text>
    </comment>
    <comment ref="B104" authorId="0" shapeId="0" xr:uid="{00000000-0006-0000-0500-00002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NI Infusion 2019 standard, net of upstream source plant underabsorption.</t>
        </r>
      </text>
    </comment>
    <comment ref="C104" authorId="0" shapeId="0" xr:uid="{00000000-0006-0000-0500-00002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$0.00749 NI Infusion underabsorbed  &amp; $0.02723 TMB CL substrate underabsorbed</t>
        </r>
      </text>
    </comment>
    <comment ref="B105" authorId="0" shapeId="0" xr:uid="{00000000-0006-0000-0500-00002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NI Infusion 2019 standard, net of upstream source plant underabsorption.</t>
        </r>
      </text>
    </comment>
    <comment ref="C105" authorId="0" shapeId="0" xr:uid="{00000000-0006-0000-0500-00002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$0.00749 NI Infusion underabsorbed</t>
        </r>
      </text>
    </comment>
    <comment ref="B106" authorId="0" shapeId="0" xr:uid="{00000000-0006-0000-0500-00003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Eufaula 2019 standard + freight to New Iberia.
Net of $0.1467 EUF under-absorption</t>
        </r>
      </text>
    </comment>
    <comment ref="C106" authorId="0" shapeId="0" xr:uid="{00000000-0006-0000-0500-00003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EUF underabsorbed</t>
        </r>
      </text>
    </comment>
    <comment ref="B107" authorId="0" shapeId="0" xr:uid="{00000000-0006-0000-0500-00003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D107" authorId="0" shapeId="0" xr:uid="{00000000-0006-0000-0500-00003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F107" authorId="0" shapeId="0" xr:uid="{00000000-0006-0000-0500-00003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H107" authorId="0" shapeId="0" xr:uid="{00000000-0006-0000-0500-00003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08" authorId="0" shapeId="0" xr:uid="{00000000-0006-0000-0500-00003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D108" authorId="0" shapeId="0" xr:uid="{00000000-0006-0000-0500-00003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09" authorId="0" shapeId="0" xr:uid="{00000000-0006-0000-0500-00003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D109" authorId="0" shapeId="0" xr:uid="{00000000-0006-0000-0500-00003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10" authorId="0" shapeId="0" xr:uid="{00000000-0006-0000-0500-00003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D110" authorId="0" shapeId="0" xr:uid="{00000000-0006-0000-0500-00003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11" authorId="0" shapeId="0" xr:uid="{00000000-0006-0000-0500-00003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D111" authorId="0" shapeId="0" xr:uid="{00000000-0006-0000-0500-00003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12" authorId="0" shapeId="0" xr:uid="{00000000-0006-0000-0500-00003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D112" authorId="0" shapeId="0" xr:uid="{00000000-0006-0000-0500-00003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F112" authorId="0" shapeId="0" xr:uid="{00000000-0006-0000-0500-00004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H112" authorId="0" shapeId="0" xr:uid="{00000000-0006-0000-0500-00004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13" authorId="0" shapeId="0" xr:uid="{00000000-0006-0000-0500-00004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D113" authorId="0" shapeId="0" xr:uid="{00000000-0006-0000-0500-00004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F113" authorId="0" shapeId="0" xr:uid="{00000000-0006-0000-0500-00004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H113" authorId="0" shapeId="0" xr:uid="{00000000-0006-0000-0500-00004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14" authorId="0" shapeId="0" xr:uid="{00000000-0006-0000-0500-00004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D114" authorId="0" shapeId="0" xr:uid="{00000000-0006-0000-0500-00004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F114" authorId="0" shapeId="0" xr:uid="{00000000-0006-0000-0500-00004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H114" authorId="0" shapeId="0" xr:uid="{00000000-0006-0000-0500-00004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15" authorId="0" shapeId="0" xr:uid="{00000000-0006-0000-0500-00004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J115" authorId="0" shapeId="0" xr:uid="{00000000-0006-0000-0500-00004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16" authorId="0" shapeId="0" xr:uid="{00000000-0006-0000-0500-00004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N125" authorId="0" shapeId="0" xr:uid="{00000000-0006-0000-0500-00004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Never made in NI and would require capex to add capability.</t>
        </r>
      </text>
    </comment>
    <comment ref="B127" authorId="0" shapeId="0" xr:uid="{00000000-0006-0000-0500-00004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Toomsboro 2019 standard + freight to New Iberia.
Net of $0.028 TMB under-absorption</t>
        </r>
      </text>
    </comment>
    <comment ref="C127" authorId="0" shapeId="0" xr:uid="{00000000-0006-0000-0500-00004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TMB</t>
        </r>
      </text>
    </comment>
    <comment ref="B128" authorId="0" shapeId="0" xr:uid="{00000000-0006-0000-0500-00005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Toomsboro 2019 standard + freight to New Iberia.
Net of $0.028 TMB under-absorption</t>
        </r>
      </text>
    </comment>
    <comment ref="C128" authorId="0" shapeId="0" xr:uid="{00000000-0006-0000-0500-00005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TMB</t>
        </r>
      </text>
    </comment>
    <comment ref="B129" authorId="0" shapeId="0" xr:uid="{00000000-0006-0000-0500-00005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Eufaula 2019 standard + freight to New Iberia.
Net of $0.2291 EUF under-absorption</t>
        </r>
      </text>
    </comment>
    <comment ref="C129" authorId="0" shapeId="0" xr:uid="{00000000-0006-0000-0500-00005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EUF</t>
        </r>
      </text>
    </comment>
    <comment ref="B130" authorId="0" shapeId="0" xr:uid="{00000000-0006-0000-0500-00005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BV of McIntyre stock Dec 2018 + freight to NI.</t>
        </r>
      </text>
    </comment>
    <comment ref="C130" authorId="0" shapeId="0" xr:uid="{00000000-0006-0000-0500-00005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MCI</t>
        </r>
      </text>
    </comment>
    <comment ref="B131" authorId="0" shapeId="0" xr:uid="{00000000-0006-0000-0500-00005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McIntyre 2019 standard + freight to New Iberia.</t>
        </r>
      </text>
    </comment>
    <comment ref="C131" authorId="0" shapeId="0" xr:uid="{00000000-0006-0000-0500-00005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MCI</t>
        </r>
      </text>
    </comment>
    <comment ref="B132" authorId="0" shapeId="0" xr:uid="{00000000-0006-0000-0500-00005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NI Infusion 2019 standard, net of upstream source plant underabsorption.</t>
        </r>
      </text>
    </comment>
    <comment ref="C132" authorId="0" shapeId="0" xr:uid="{00000000-0006-0000-0500-00005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$0.00749 NI Infusion underabsorbed  &amp; $0.02212 TMB CL substrate underabsorbed</t>
        </r>
      </text>
    </comment>
    <comment ref="B133" authorId="0" shapeId="0" xr:uid="{00000000-0006-0000-0500-00005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NI Infusion 2019 standard, net of upstream source plant underabsorption.</t>
        </r>
      </text>
    </comment>
    <comment ref="C133" authorId="0" shapeId="0" xr:uid="{00000000-0006-0000-0500-00005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$0.00749 NI Infusion underabsorbed  &amp; $0.02748 TMB CL substrate underabsorbed</t>
        </r>
      </text>
    </comment>
    <comment ref="L133" authorId="0" shapeId="0" xr:uid="{00000000-0006-0000-0500-00005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Rate per Oct '17 production run</t>
        </r>
      </text>
    </comment>
    <comment ref="B134" authorId="0" shapeId="0" xr:uid="{00000000-0006-0000-0500-00005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NI Infusion 2019 standard, net of upstream source plant underabsorption.</t>
        </r>
      </text>
    </comment>
    <comment ref="C134" authorId="0" shapeId="0" xr:uid="{00000000-0006-0000-0500-00005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$0.00749 NI Infusion underabsorbed  &amp; $0.02723 TMB CL substrate underabsorbed</t>
        </r>
      </text>
    </comment>
    <comment ref="B135" authorId="0" shapeId="0" xr:uid="{00000000-0006-0000-0500-00005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NI Infusion 2019 standard, net of upstream source plant underabsorption.</t>
        </r>
      </text>
    </comment>
    <comment ref="C135" authorId="0" shapeId="0" xr:uid="{00000000-0006-0000-0500-00006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$0.00749 NI Infusion underabsorbed</t>
        </r>
      </text>
    </comment>
    <comment ref="B136" authorId="0" shapeId="0" xr:uid="{00000000-0006-0000-0500-00006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Eufaula 2019 standard + freight to New Iberia.
Net of $0.1467 EUF under-absorption</t>
        </r>
      </text>
    </comment>
    <comment ref="C136" authorId="0" shapeId="0" xr:uid="{00000000-0006-0000-0500-00006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EUF underabsorbed</t>
        </r>
      </text>
    </comment>
    <comment ref="B137" authorId="0" shapeId="0" xr:uid="{00000000-0006-0000-0500-00006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L137" authorId="0" shapeId="0" xr:uid="{00000000-0006-0000-0500-00006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Rate per Oct '17 production run</t>
        </r>
      </text>
    </comment>
    <comment ref="B138" authorId="0" shapeId="0" xr:uid="{00000000-0006-0000-0500-00006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B139" authorId="0" shapeId="0" xr:uid="{00000000-0006-0000-0500-00006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B140" authorId="0" shapeId="0" xr:uid="{00000000-0006-0000-0500-00006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B141" authorId="0" shapeId="0" xr:uid="{00000000-0006-0000-0500-00006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B142" authorId="0" shapeId="0" xr:uid="{00000000-0006-0000-0500-00006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L142" authorId="0" shapeId="0" xr:uid="{00000000-0006-0000-0500-00006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Rate per Oct '17 production run</t>
        </r>
      </text>
    </comment>
    <comment ref="B143" authorId="0" shapeId="0" xr:uid="{00000000-0006-0000-0500-00006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L143" authorId="0" shapeId="0" xr:uid="{00000000-0006-0000-0500-00006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Rate per Oct '17 production run</t>
        </r>
      </text>
    </comment>
    <comment ref="B144" authorId="0" shapeId="0" xr:uid="{00000000-0006-0000-0500-00006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L144" authorId="0" shapeId="0" xr:uid="{00000000-0006-0000-0500-00006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Rate per Oct '17 production run</t>
        </r>
      </text>
    </comment>
    <comment ref="B145" authorId="0" shapeId="0" xr:uid="{00000000-0006-0000-0500-00006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B146" authorId="0" shapeId="0" xr:uid="{00000000-0006-0000-0500-00007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Latest pricing provided by Eric/Brett</t>
        </r>
      </text>
    </comment>
    <comment ref="B162" authorId="0" shapeId="0" xr:uid="{00000000-0006-0000-0500-000071000000}">
      <text>
        <r>
          <rPr>
            <b/>
            <sz val="9"/>
            <color indexed="81"/>
            <rFont val="Tahoma"/>
            <family val="2"/>
          </rPr>
          <t>Jan-Oct '18 avg (approx)</t>
        </r>
      </text>
    </comment>
    <comment ref="D162" authorId="0" shapeId="0" xr:uid="{00000000-0006-0000-0500-000072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F162" authorId="0" shapeId="0" xr:uid="{00000000-0006-0000-0500-00007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H162" authorId="0" shapeId="0" xr:uid="{00000000-0006-0000-0500-00007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J162" authorId="0" shapeId="0" xr:uid="{00000000-0006-0000-0500-00007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L162" authorId="0" shapeId="0" xr:uid="{00000000-0006-0000-0500-00007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N162" authorId="0" shapeId="0" xr:uid="{00000000-0006-0000-0500-00007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63" authorId="0" shapeId="0" xr:uid="{00000000-0006-0000-0500-00007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Per R. Riffey email 9/12/18, based on B. Phelts forecast.</t>
        </r>
      </text>
    </comment>
    <comment ref="B169" authorId="0" shapeId="0" xr:uid="{00000000-0006-0000-0500-000079000000}">
      <text>
        <r>
          <rPr>
            <b/>
            <sz val="9"/>
            <color indexed="81"/>
            <rFont val="Tahoma"/>
            <family val="2"/>
          </rPr>
          <t>Jan-Oct '18 avg (approx)</t>
        </r>
      </text>
    </comment>
    <comment ref="D169" authorId="0" shapeId="0" xr:uid="{00000000-0006-0000-0500-00007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F169" authorId="0" shapeId="0" xr:uid="{00000000-0006-0000-0500-00007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H169" authorId="0" shapeId="0" xr:uid="{00000000-0006-0000-0500-00007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J169" authorId="0" shapeId="0" xr:uid="{00000000-0006-0000-0500-00007D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L169" authorId="0" shapeId="0" xr:uid="{00000000-0006-0000-0500-00007E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N169" authorId="0" shapeId="0" xr:uid="{00000000-0006-0000-0500-00007F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Jan-Nov '18 avg rate</t>
        </r>
      </text>
    </comment>
    <comment ref="B170" authorId="0" shapeId="0" xr:uid="{00000000-0006-0000-0500-000080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Per R. Riffey email 9/12/18, based on B. Phelts forecast.</t>
        </r>
      </text>
    </comment>
    <comment ref="A180" authorId="0" shapeId="0" xr:uid="{00000000-0006-0000-0500-000081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nozzles, screens, shotgun shells, union processor, grid, DSI system .0022/lb</t>
        </r>
      </text>
    </comment>
    <comment ref="B193" authorId="1" shapeId="0" xr:uid="{00000000-0006-0000-0500-000082000000}">
      <text>
        <r>
          <rPr>
            <b/>
            <sz val="9"/>
            <color indexed="81"/>
            <rFont val="Tahoma"/>
            <family val="2"/>
          </rPr>
          <t xml:space="preserve">Oct '18 average rate + 3% wage increase
</t>
        </r>
      </text>
    </comment>
    <comment ref="C193" authorId="1" shapeId="0" xr:uid="{00000000-0006-0000-0500-000083000000}">
      <text>
        <r>
          <rPr>
            <b/>
            <sz val="9"/>
            <color indexed="81"/>
            <rFont val="Tahoma"/>
            <family val="2"/>
          </rPr>
          <t xml:space="preserve">Oct '18 average rate + 3% wage increase
</t>
        </r>
      </text>
    </comment>
    <comment ref="B195" authorId="0" shapeId="0" xr:uid="{00000000-0006-0000-0500-000084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9.5% of production bagged for 10-mos Jan-Oct '18</t>
        </r>
      </text>
    </comment>
    <comment ref="B196" authorId="0" shapeId="0" xr:uid="{00000000-0006-0000-0500-00008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2018 actual rate 29%</t>
        </r>
      </text>
    </comment>
    <comment ref="C200" authorId="0" shapeId="0" xr:uid="{00000000-0006-0000-0500-000086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5047K lbs bagged Jan-Nov '18, many at 2400 lbs or 2600 lbs per bag instead of 3,200 lbs.</t>
        </r>
      </text>
    </comment>
    <comment ref="C202" authorId="0" shapeId="0" xr:uid="{00000000-0006-0000-0500-000087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Assumes 4 bags per hour at 3,200 lbs per bag.</t>
        </r>
      </text>
    </comment>
    <comment ref="C203" authorId="0" shapeId="0" xr:uid="{00000000-0006-0000-0500-000088000000}">
      <text>
        <r>
          <rPr>
            <b/>
            <sz val="9"/>
            <color indexed="81"/>
            <rFont val="Tahoma"/>
            <family val="2"/>
          </rPr>
          <t>Broussard, Glenn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652 hours Jan-Nov '18</t>
        </r>
      </text>
    </comment>
    <comment ref="A236" authorId="0" shapeId="0" xr:uid="{00000000-0006-0000-0500-00008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Archived memo from past methodology: 
"Plant Utilization Ratio * Annual Cost * Planned Production = Std. Cost Contribution (Fixed)"</t>
        </r>
      </text>
    </comment>
    <comment ref="B242" authorId="0" shapeId="0" xr:uid="{00000000-0006-0000-0500-00008A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Oct-18 + 3% merit increase assumed.</t>
        </r>
      </text>
    </comment>
    <comment ref="C243" authorId="0" shapeId="0" xr:uid="{00000000-0006-0000-0500-00008B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Depreciation forecast</t>
        </r>
      </text>
    </comment>
    <comment ref="B244" authorId="0" shapeId="0" xr:uid="{00000000-0006-0000-0500-00008C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Oct &amp; Nov 2018 monthly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Depriest, Eric</author>
    <author>Broussard, Glenn</author>
    <author>Moreau, Danielle</author>
  </authors>
  <commentList>
    <comment ref="C3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Depriest, Eric:</t>
        </r>
        <r>
          <rPr>
            <sz val="9"/>
            <color indexed="81"/>
            <rFont val="Tahoma"/>
            <family val="2"/>
          </rPr>
          <t xml:space="preserve">
numbers are based on recipe with 3.75% coat wt.  CBL 20/40</t>
        </r>
      </text>
    </comment>
    <comment ref="D4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Depriest, Eric:</t>
        </r>
        <r>
          <rPr>
            <sz val="9"/>
            <color indexed="81"/>
            <rFont val="Tahoma"/>
            <family val="2"/>
          </rPr>
          <t xml:space="preserve">
Manually added this %</t>
        </r>
      </text>
    </comment>
    <comment ref="B45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$0.196/lb Euf 2018 mfg std
$0.0257/lb Freight from Euf to NI
$0.2217/lb. Total</t>
        </r>
      </text>
    </comment>
    <comment ref="D45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Depriest, Eric:</t>
        </r>
        <r>
          <rPr>
            <sz val="9"/>
            <color indexed="81"/>
            <rFont val="Tahoma"/>
            <family val="2"/>
          </rPr>
          <t xml:space="preserve">
based on CBL 20/40 recipe</t>
        </r>
      </text>
    </comment>
    <comment ref="B47" authorId="2" shapeId="0" xr:uid="{00000000-0006-0000-0600-000005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see Scaleguard 2018 plan 
standard
</t>
        </r>
      </text>
    </comment>
    <comment ref="B48" authorId="2" shapeId="0" xr:uid="{00000000-0006-0000-0600-000006000000}">
      <text>
        <r>
          <rPr>
            <b/>
            <sz val="9"/>
            <color indexed="81"/>
            <rFont val="Tahoma"/>
            <family val="2"/>
          </rPr>
          <t>Moreau, Danielle:</t>
        </r>
        <r>
          <rPr>
            <sz val="9"/>
            <color indexed="81"/>
            <rFont val="Tahoma"/>
            <family val="2"/>
          </rPr>
          <t xml:space="preserve">
see Scaleguard 2018 plan 
standard
</t>
        </r>
      </text>
    </comment>
    <comment ref="D70" authorId="2" shapeId="0" xr:uid="{00000000-0006-0000-0600-000007000000}">
      <text>
        <r>
          <rPr>
            <b/>
            <sz val="9"/>
            <color indexed="81"/>
            <rFont val="Tahoma"/>
            <family val="2"/>
          </rPr>
          <t xml:space="preserve">Moreau, Danielle:
Sept '2017 invoice
</t>
        </r>
      </text>
    </comment>
    <comment ref="H70" authorId="2" shapeId="0" xr:uid="{00000000-0006-0000-0600-000008000000}">
      <text>
        <r>
          <rPr>
            <b/>
            <sz val="9"/>
            <color indexed="81"/>
            <rFont val="Tahoma"/>
            <family val="2"/>
          </rPr>
          <t>Moreau, Danielle:
Sept '17 invoice</t>
        </r>
      </text>
    </comment>
    <comment ref="Q75" authorId="1" shapeId="0" xr:uid="{00000000-0006-0000-0600-000009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mbtu/1000lbs for SAP entry rather than mmbtu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Depriest, Eric</author>
    <author>Broussard, Glenn</author>
    <author>Moreau, Danielle</author>
    <author>Thomas, Mark</author>
  </authors>
  <commentList>
    <comment ref="C36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Depriest, Eric:</t>
        </r>
        <r>
          <rPr>
            <sz val="9"/>
            <color indexed="81"/>
            <rFont val="Tahoma"/>
            <family val="2"/>
          </rPr>
          <t xml:space="preserve">
numbers are based on recipe with 3.75% coat wt.  CBL 20/40</t>
        </r>
      </text>
    </comment>
    <comment ref="D4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Depriest, Eric:</t>
        </r>
        <r>
          <rPr>
            <sz val="9"/>
            <color indexed="81"/>
            <rFont val="Tahoma"/>
            <family val="2"/>
          </rPr>
          <t xml:space="preserve">
Manually added this %</t>
        </r>
      </text>
    </comment>
    <comment ref="B44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$0.1113/lb Euf 2016 mfg std
$0.0342/lb Freight from Euf to NI
$0.1455/lb. Total</t>
        </r>
      </text>
    </comment>
    <comment ref="D44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Depriest, Eric:</t>
        </r>
        <r>
          <rPr>
            <sz val="9"/>
            <color indexed="81"/>
            <rFont val="Tahoma"/>
            <family val="2"/>
          </rPr>
          <t xml:space="preserve">
based on CBL 20/40 recipe</t>
        </r>
      </text>
    </comment>
    <comment ref="B46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ScaleGuard 2017 Plan Standard</t>
        </r>
      </text>
    </comment>
    <comment ref="D67" authorId="2" shapeId="0" xr:uid="{00000000-0006-0000-0700-000006000000}">
      <text>
        <r>
          <rPr>
            <b/>
            <sz val="9"/>
            <color indexed="81"/>
            <rFont val="Tahoma"/>
            <family val="2"/>
          </rPr>
          <t xml:space="preserve">Moreau, Danielle:
Sept '2016 invoice
</t>
        </r>
      </text>
    </comment>
    <comment ref="H67" authorId="2" shapeId="0" xr:uid="{00000000-0006-0000-0700-000007000000}">
      <text>
        <r>
          <rPr>
            <b/>
            <sz val="9"/>
            <color indexed="81"/>
            <rFont val="Tahoma"/>
            <family val="2"/>
          </rPr>
          <t>Moreau, Danielle:
Sept '16 invoice</t>
        </r>
      </text>
    </comment>
    <comment ref="O72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Broussard, Glenn:</t>
        </r>
        <r>
          <rPr>
            <sz val="9"/>
            <color indexed="81"/>
            <rFont val="Tahoma"/>
            <family val="2"/>
          </rPr>
          <t xml:space="preserve">
mbtu/1000lbs for SAP entry rather than mmbtu</t>
        </r>
      </text>
    </comment>
    <comment ref="B92" authorId="3" shapeId="0" xr:uid="{00000000-0006-0000-0700-000009000000}">
      <text>
        <r>
          <rPr>
            <b/>
            <sz val="9"/>
            <color indexed="81"/>
            <rFont val="Tahoma"/>
            <family val="2"/>
          </rPr>
          <t xml:space="preserve">Eric DePriest
</t>
        </r>
        <r>
          <rPr>
            <sz val="9"/>
            <color indexed="81"/>
            <rFont val="Tahoma"/>
            <family val="2"/>
          </rPr>
          <t xml:space="preserve">1 supervisor required
72K
</t>
        </r>
      </text>
    </comment>
  </commentList>
</comments>
</file>

<file path=xl/sharedStrings.xml><?xml version="1.0" encoding="utf-8"?>
<sst xmlns="http://schemas.openxmlformats.org/spreadsheetml/2006/main" count="4021" uniqueCount="472">
  <si>
    <t>Resin  Coating Standard - New Iberia</t>
  </si>
  <si>
    <t>New Iberia</t>
  </si>
  <si>
    <t>(excl substrate)</t>
  </si>
  <si>
    <t>RCC (actual)</t>
  </si>
  <si>
    <t>RCS (actual)</t>
  </si>
  <si>
    <t>Substrate</t>
  </si>
  <si>
    <t>Raw material - Chemical</t>
  </si>
  <si>
    <t xml:space="preserve"> </t>
  </si>
  <si>
    <t>Electricity</t>
  </si>
  <si>
    <t>Gas</t>
  </si>
  <si>
    <t>R&amp;M Supplies and Service</t>
  </si>
  <si>
    <t>Manufacturing Supplies</t>
  </si>
  <si>
    <t>Other variable</t>
  </si>
  <si>
    <t>Total Variables</t>
  </si>
  <si>
    <t>Production Labor</t>
  </si>
  <si>
    <t>Repairs &amp; Maintenance Labor</t>
  </si>
  <si>
    <t>Indirect Payroll Costs (Benefits)</t>
  </si>
  <si>
    <t>Supervision</t>
  </si>
  <si>
    <t>Insurance &amp; Taxes</t>
  </si>
  <si>
    <t>Depreciation</t>
  </si>
  <si>
    <t>Fixed Costs</t>
  </si>
  <si>
    <t xml:space="preserve">    TOTAL COSTS PER POUND</t>
  </si>
  <si>
    <t xml:space="preserve">    TOTAL PRODUCTION ( in 000 lbs )</t>
  </si>
  <si>
    <t>Assumes NI1 coats all CL 20/40</t>
  </si>
  <si>
    <t>Novalac</t>
  </si>
  <si>
    <t xml:space="preserve">Production Plan </t>
  </si>
  <si>
    <t xml:space="preserve">   Resin Coating</t>
  </si>
  <si>
    <t>Price ($/lb)</t>
  </si>
  <si>
    <t>Ratio/Mix</t>
  </si>
  <si>
    <t>% of coating</t>
  </si>
  <si>
    <t>Chemical</t>
  </si>
  <si>
    <t xml:space="preserve">   Resin 1 (Novolac)</t>
  </si>
  <si>
    <t>Yield Factor</t>
  </si>
  <si>
    <t xml:space="preserve">   Resin 2 (Bimex)</t>
  </si>
  <si>
    <t xml:space="preserve">   Hexmine (w 40% solution)</t>
  </si>
  <si>
    <t xml:space="preserve">   Others (Coupling Aid)</t>
  </si>
  <si>
    <t>Resin</t>
  </si>
  <si>
    <t>CL 20/40.C.Contrib</t>
  </si>
  <si>
    <t xml:space="preserve">   Others (Parting Aid)</t>
  </si>
  <si>
    <t>Std.C.Contrib.</t>
  </si>
  <si>
    <t xml:space="preserve">      Total Cost</t>
  </si>
  <si>
    <t>Variable Cost - Production/R&amp;M Labor &amp; Benefits</t>
  </si>
  <si>
    <t>Labor Class</t>
  </si>
  <si>
    <t>R&amp;M Labor</t>
  </si>
  <si>
    <t xml:space="preserve">  Full Time Employees</t>
  </si>
  <si>
    <t xml:space="preserve">  Overtime</t>
  </si>
  <si>
    <t>Equiv. Hrs.</t>
  </si>
  <si>
    <t>Rates</t>
  </si>
  <si>
    <t>Gross Pay</t>
  </si>
  <si>
    <t>Straight Time Pay</t>
  </si>
  <si>
    <t>Overtime Pay</t>
  </si>
  <si>
    <t>Variable Costs - Utilities</t>
  </si>
  <si>
    <t>Gas Unit Cost ($/mmbtu)</t>
  </si>
  <si>
    <t>Electricity Unit Cost ($/kwh)</t>
  </si>
  <si>
    <t>Gas usage (mmbtu/day)</t>
  </si>
  <si>
    <t>Electricity usage (kwh/day)</t>
  </si>
  <si>
    <t>Lbs per day</t>
  </si>
  <si>
    <t>Unit Cost</t>
  </si>
  <si>
    <t>Std.  Cost Contribution</t>
  </si>
  <si>
    <t>2011 Avg</t>
  </si>
  <si>
    <t xml:space="preserve">   Natural Gas (mmbtu)</t>
  </si>
  <si>
    <t xml:space="preserve">   Electricity (kwh)</t>
  </si>
  <si>
    <t>Variable Costs - R&amp;M Supplies, Manufacturing Supplies, W&amp;S Supplies , Other Variables</t>
  </si>
  <si>
    <t>Capital Equipment (RV)</t>
  </si>
  <si>
    <t>Total Cost</t>
  </si>
  <si>
    <t xml:space="preserve">    R&amp;M as % of Capital</t>
  </si>
  <si>
    <t>R&amp;M Supplies</t>
  </si>
  <si>
    <t xml:space="preserve">Manufacturing Supplies </t>
  </si>
  <si>
    <t xml:space="preserve">Other Variables </t>
  </si>
  <si>
    <t>Fixed Costs:</t>
  </si>
  <si>
    <t>Plant Utilization Ratio * Annual Cost * Planned Production = Std. Cost Contribution (Fixed)</t>
  </si>
  <si>
    <t>Depreciation &amp; Amortization</t>
  </si>
  <si>
    <t xml:space="preserve">      Total Fixed Costs Per Pound</t>
  </si>
  <si>
    <t>Production wks</t>
  </si>
  <si>
    <t>Hours Per wks</t>
  </si>
  <si>
    <t>Overtime Rate</t>
  </si>
  <si>
    <t>Jan-Sept 2014</t>
  </si>
  <si>
    <t>ScaleGuard</t>
  </si>
  <si>
    <t>CCtr 10001005</t>
  </si>
  <si>
    <t>Unit</t>
  </si>
  <si>
    <t>Unit Qty/</t>
  </si>
  <si>
    <t>Total Qty</t>
  </si>
  <si>
    <t>Activity or Matl/Plant</t>
  </si>
  <si>
    <t>UOM</t>
  </si>
  <si>
    <t>Cost</t>
  </si>
  <si>
    <t>1000 Lb</t>
  </si>
  <si>
    <t>ELE01</t>
  </si>
  <si>
    <t>kwh</t>
  </si>
  <si>
    <t>GAS01</t>
  </si>
  <si>
    <t>mbtu</t>
  </si>
  <si>
    <t>RMS01</t>
  </si>
  <si>
    <t>lb</t>
  </si>
  <si>
    <t>MFG01</t>
  </si>
  <si>
    <t>VAR01</t>
  </si>
  <si>
    <t>DLAB01</t>
  </si>
  <si>
    <t>hr</t>
  </si>
  <si>
    <t>MLAB01</t>
  </si>
  <si>
    <t>IPC01</t>
  </si>
  <si>
    <t>SUP01</t>
  </si>
  <si>
    <t>INS01</t>
  </si>
  <si>
    <t>DEP01</t>
  </si>
  <si>
    <t>IPC Rate</t>
  </si>
  <si>
    <t>Labor Cost Factors:</t>
  </si>
  <si>
    <t>SAP Material Number</t>
  </si>
  <si>
    <t>Material Description</t>
  </si>
  <si>
    <t>% per NI Std</t>
  </si>
  <si>
    <t>% Loss per NI Std</t>
  </si>
  <si>
    <t>Implied Yield Factor</t>
  </si>
  <si>
    <t>Batch: 1,000 lb Substrate Consumed</t>
  </si>
  <si>
    <t>Batch: 1,000 lb CB FG Produced</t>
  </si>
  <si>
    <t>SAP Valuated Material BOM</t>
  </si>
  <si>
    <t>SAP Valuated Material BOM %</t>
  </si>
  <si>
    <t>Valuated BOM Excluding Substrate</t>
  </si>
  <si>
    <t>Valuated BOM % Excluding Substrate</t>
  </si>
  <si>
    <t>Loss Qty/ 1000 lb
CB FG
Produced</t>
  </si>
  <si>
    <t>Material Prices</t>
  </si>
  <si>
    <t>Cost/ 
1000 lb
Substrate Consumed</t>
  </si>
  <si>
    <t>Cost/ 1000 lb CB FG
Produced</t>
  </si>
  <si>
    <t>LOI Cost/ 1000 lb CB FG
Produced</t>
  </si>
  <si>
    <t>Various</t>
  </si>
  <si>
    <t>Resin, novolac 03, solid</t>
  </si>
  <si>
    <t>Bimex Resin</t>
  </si>
  <si>
    <t>Hexamine solid</t>
  </si>
  <si>
    <t>Coupling aid 01</t>
  </si>
  <si>
    <t>Parting aid 01, liquid</t>
  </si>
  <si>
    <t>Included above</t>
  </si>
  <si>
    <t>Material loss</t>
  </si>
  <si>
    <t>Totals</t>
  </si>
  <si>
    <t>RC FG Output</t>
  </si>
  <si>
    <t>Cost/ lb - total</t>
  </si>
  <si>
    <t>Cost/ lb - substrate</t>
  </si>
  <si>
    <t>Cost/ lb - chemicals</t>
  </si>
  <si>
    <t>CARBOBOND LITE BOM</t>
  </si>
  <si>
    <t>Usage
(Unit/lb)</t>
  </si>
  <si>
    <t>Std.  Cost
Contribution</t>
  </si>
  <si>
    <t>Monthly
Expenses</t>
  </si>
  <si>
    <t>Annualized
Expenses</t>
  </si>
  <si>
    <t>Std. Cost
Contribution</t>
  </si>
  <si>
    <t>Total Gross Pay</t>
  </si>
  <si>
    <t>Hrs/ 1000 lbs</t>
  </si>
  <si>
    <t>Variable Costs - Material:</t>
  </si>
  <si>
    <t>30090/U100</t>
  </si>
  <si>
    <t>30120/U100</t>
  </si>
  <si>
    <t>30055/U100</t>
  </si>
  <si>
    <t>30058/U100</t>
  </si>
  <si>
    <t>30054/U100</t>
  </si>
  <si>
    <t>% Material Loss</t>
  </si>
  <si>
    <t>Chemicals</t>
  </si>
  <si>
    <t>CL Substrate</t>
  </si>
  <si>
    <t>CARBOLite</t>
  </si>
  <si>
    <t>Various/U100</t>
  </si>
  <si>
    <t>SG Substrate</t>
  </si>
  <si>
    <t>SCALEGUARD BOM</t>
  </si>
  <si>
    <t>Element</t>
  </si>
  <si>
    <t>630015</t>
  </si>
  <si>
    <t>630000</t>
  </si>
  <si>
    <t>631050</t>
  </si>
  <si>
    <t>see below</t>
  </si>
  <si>
    <t>630020</t>
  </si>
  <si>
    <t>631040</t>
  </si>
  <si>
    <t>Nov14 ytd</t>
  </si>
  <si>
    <t>633050</t>
  </si>
  <si>
    <t>%</t>
  </si>
  <si>
    <t>611000</t>
  </si>
  <si>
    <t>658000</t>
  </si>
  <si>
    <t>630040</t>
  </si>
  <si>
    <t>640000</t>
  </si>
  <si>
    <t>611030</t>
  </si>
  <si>
    <t>610210</t>
  </si>
  <si>
    <t>611040</t>
  </si>
  <si>
    <t>610215</t>
  </si>
  <si>
    <t>610220</t>
  </si>
  <si>
    <t>610510</t>
  </si>
  <si>
    <t>610600</t>
  </si>
  <si>
    <t>610610</t>
  </si>
  <si>
    <t>612000</t>
  </si>
  <si>
    <t>612100</t>
  </si>
  <si>
    <t>% to Cost</t>
  </si>
  <si>
    <t>ScaleGuard (CL)</t>
  </si>
  <si>
    <t>(ScaleGuard)</t>
  </si>
  <si>
    <t>(CarboLite)</t>
  </si>
  <si>
    <t>Absorption</t>
  </si>
  <si>
    <t>Absorption Limit</t>
  </si>
  <si>
    <t>Absorb</t>
  </si>
  <si>
    <t>Absorbed</t>
  </si>
  <si>
    <t>Underabs</t>
  </si>
  <si>
    <t>Abs Cost</t>
  </si>
  <si>
    <t>per 10000</t>
  </si>
  <si>
    <t>2017</t>
  </si>
  <si>
    <t>(CarboAir)</t>
  </si>
  <si>
    <t>CARBOAir UL</t>
  </si>
  <si>
    <t>BYK 20798 (CarboAir)</t>
  </si>
  <si>
    <t>2016 Standard</t>
  </si>
  <si>
    <t>150K lbs per day Line 1 - 2 shifts</t>
  </si>
  <si>
    <t>2017 Standard</t>
  </si>
  <si>
    <t>2018 Standard</t>
  </si>
  <si>
    <t>(Neurtraprop)</t>
  </si>
  <si>
    <t>(Fusion)</t>
  </si>
  <si>
    <t>ScaleGuard (HD)</t>
  </si>
  <si>
    <t>CARBOAir UL (produced in TMB) 861</t>
  </si>
  <si>
    <t>CARBOLite (produced in EUF)</t>
  </si>
  <si>
    <t>CL 20/40 Fusion Substrate 994</t>
  </si>
  <si>
    <t>(CB Lite)</t>
  </si>
  <si>
    <t>(ScaleGuard CL)</t>
  </si>
  <si>
    <t>(SG KSHD)</t>
  </si>
  <si>
    <t xml:space="preserve">   Others (Parting Aid-chembetaine)</t>
  </si>
  <si>
    <t xml:space="preserve">   Others (Coupling Aid-silane)</t>
  </si>
  <si>
    <t xml:space="preserve">   Resin 1 (Novolac; plenco)</t>
  </si>
  <si>
    <t xml:space="preserve">   Hexamine (w 40% solution)</t>
  </si>
  <si>
    <t>PST-100</t>
  </si>
  <si>
    <t>Activity</t>
  </si>
  <si>
    <t>Gross</t>
  </si>
  <si>
    <t>Qty/1000</t>
  </si>
  <si>
    <t>2019 STANDARDS</t>
  </si>
  <si>
    <t>Type</t>
  </si>
  <si>
    <t>Prod lbs</t>
  </si>
  <si>
    <t>ParaGuard</t>
  </si>
  <si>
    <t>19 Standard</t>
  </si>
  <si>
    <t>18 Actual</t>
  </si>
  <si>
    <t>18 Standard</t>
  </si>
  <si>
    <t>Composite</t>
  </si>
  <si>
    <t>(Jan-Nov)</t>
  </si>
  <si>
    <t>(Jan-Oct)</t>
  </si>
  <si>
    <t>Materials - Substrate</t>
  </si>
  <si>
    <t>Total Variable Costs</t>
  </si>
  <si>
    <t>Total Fixed Costs</t>
  </si>
  <si>
    <t>Activity Cost</t>
  </si>
  <si>
    <t>$/lb excl matl</t>
  </si>
  <si>
    <t>$/lb incl matl</t>
  </si>
  <si>
    <t>Total</t>
  </si>
  <si>
    <t>Variable</t>
  </si>
  <si>
    <t>Fixed</t>
  </si>
  <si>
    <t>Cost Summary:</t>
  </si>
  <si>
    <t>($ in 000s)</t>
  </si>
  <si>
    <t>Absorbed by Production</t>
  </si>
  <si>
    <t>Underabsorption Expensed</t>
  </si>
  <si>
    <t>Loss on Excess Gas Net Settled</t>
  </si>
  <si>
    <t>Less: Non-Cash</t>
  </si>
  <si>
    <t>Cash Cost</t>
  </si>
  <si>
    <t>Production Plan</t>
  </si>
  <si>
    <t>Prodn Days</t>
  </si>
  <si>
    <t>% Split</t>
  </si>
  <si>
    <t>Variable Costs - Material</t>
  </si>
  <si>
    <t>Materials Cost:</t>
  </si>
  <si>
    <t>BOM 
Use/lb</t>
  </si>
  <si>
    <t>Standard
Cost</t>
  </si>
  <si>
    <t>material</t>
  </si>
  <si>
    <t>plan price 1</t>
  </si>
  <si>
    <t>cost BOM</t>
  </si>
  <si>
    <t>Standard Cost Contribution:</t>
  </si>
  <si>
    <t>$/lb</t>
  </si>
  <si>
    <t>Total Material Cost Per Pound</t>
  </si>
  <si>
    <t>Unit Price</t>
  </si>
  <si>
    <t>Usage 
(Unit/lb)</t>
  </si>
  <si>
    <t>Electricity (kwh)</t>
  </si>
  <si>
    <t>Gas (mmbtu)</t>
  </si>
  <si>
    <t xml:space="preserve">    Total Utility Cost Per Pound</t>
  </si>
  <si>
    <t>Aug15 Ytd</t>
  </si>
  <si>
    <t>VAR01 (fuel)</t>
  </si>
  <si>
    <t>Variable Costs - Other</t>
  </si>
  <si>
    <t>VAR01 (sfty suppl)</t>
  </si>
  <si>
    <t>Std Cost</t>
  </si>
  <si>
    <t>VAR01 (water)</t>
  </si>
  <si>
    <t>VAR01 (trash rmvl)</t>
  </si>
  <si>
    <t>Other Consumables</t>
  </si>
  <si>
    <t xml:space="preserve">      Total Manufacturing Supplies</t>
  </si>
  <si>
    <t>Equip Rent, Disposal, Sewer, Water, Fuel</t>
  </si>
  <si>
    <t>INS01 (prop tax)</t>
  </si>
  <si>
    <t xml:space="preserve">      Total Other Variables</t>
  </si>
  <si>
    <t>Fixed Cost - Hourly Labor &amp; Benefits</t>
  </si>
  <si>
    <t>Aug15 YTD</t>
  </si>
  <si>
    <t>(12 hour shift)</t>
  </si>
  <si>
    <t>DLAB01 (s/t)</t>
  </si>
  <si>
    <t>DLAB01 (o/t)</t>
  </si>
  <si>
    <t>Labor Classification:</t>
  </si>
  <si>
    <t>Prod Labor</t>
  </si>
  <si>
    <t>Labor Cost Factors</t>
  </si>
  <si>
    <t>Full Time Employees</t>
  </si>
  <si>
    <t>Prodn wks</t>
  </si>
  <si>
    <t>Labor Rate</t>
  </si>
  <si>
    <t>Hrs per wk</t>
  </si>
  <si>
    <t>MLAB01 (s/t)</t>
  </si>
  <si>
    <t>Overtime</t>
  </si>
  <si>
    <t>Overtime rate</t>
  </si>
  <si>
    <t>MLAB01 (o/t)</t>
  </si>
  <si>
    <t>Shipping Labor %</t>
  </si>
  <si>
    <t>IPC rate</t>
  </si>
  <si>
    <t>FTEs</t>
  </si>
  <si>
    <t>IPC01 (vac)</t>
  </si>
  <si>
    <t>Hours</t>
  </si>
  <si>
    <t>IPC01 (hol)</t>
  </si>
  <si>
    <t>IPC01 (401k)</t>
  </si>
  <si>
    <t>IPC01 (ins)</t>
  </si>
  <si>
    <t>IPC01 (tax)</t>
  </si>
  <si>
    <t>R &amp; M Labor</t>
  </si>
  <si>
    <t>IPC01 (w/c)</t>
  </si>
  <si>
    <t>Labor Cost:</t>
  </si>
  <si>
    <t>Rate</t>
  </si>
  <si>
    <t>Less: Gross Pay Alloc to Shpg</t>
  </si>
  <si>
    <t>Labor Split:</t>
  </si>
  <si>
    <t>INS01 (insurance)</t>
  </si>
  <si>
    <t>Fixed Costs - Other</t>
  </si>
  <si>
    <t>000 lbs</t>
  </si>
  <si>
    <t>Plan Prodn</t>
  </si>
  <si>
    <t>Plant Utilization Ratio</t>
  </si>
  <si>
    <t>Plant Capacity</t>
  </si>
  <si>
    <t>DEP01 (land use)</t>
  </si>
  <si>
    <t>Prod lbs
Allocated</t>
  </si>
  <si>
    <t>Std Cost
Contribution</t>
  </si>
  <si>
    <t>DEP01 (bldg)</t>
  </si>
  <si>
    <t>640001</t>
  </si>
  <si>
    <t>DEP01 (m&amp;e)</t>
  </si>
  <si>
    <t>DEP01 (furniture)</t>
  </si>
  <si>
    <t>640060</t>
  </si>
  <si>
    <t>DEP01 (hardware)</t>
  </si>
  <si>
    <t>DEP01 (software)</t>
  </si>
  <si>
    <t>CARBOBond Lite</t>
  </si>
  <si>
    <t>CARBOBond HSP</t>
  </si>
  <si>
    <t>CARBOBond KSLD</t>
  </si>
  <si>
    <t>RPM LITE / NEUTRAPROP LWC</t>
  </si>
  <si>
    <t>RPM CP / NEUTRAPROP ISP</t>
  </si>
  <si>
    <t>CARBO AIR</t>
  </si>
  <si>
    <t>Fusion</t>
  </si>
  <si>
    <t>ScaleGuard II CL</t>
  </si>
  <si>
    <t>ScaleGuard II Ultra CL (FDP-712)</t>
  </si>
  <si>
    <t>ScaleGuard II KSHD (H)</t>
  </si>
  <si>
    <t>SaltGuard (FDP-806)</t>
  </si>
  <si>
    <t>CB Lite</t>
  </si>
  <si>
    <t>CB HSP</t>
  </si>
  <si>
    <t>CB KSLD</t>
  </si>
  <si>
    <t>RPM Lite / NP LWC</t>
  </si>
  <si>
    <t>RPM CP / NP ISP</t>
  </si>
  <si>
    <t>Air</t>
  </si>
  <si>
    <t>SG II CL</t>
  </si>
  <si>
    <t>SG II Ultra CL</t>
  </si>
  <si>
    <t>SG II KSHD (H)</t>
  </si>
  <si>
    <t>CARBO LITE (32, 36, 115)</t>
  </si>
  <si>
    <t>CARBOAIR UL (861, 938)</t>
  </si>
  <si>
    <t>KRYPTOSPHERE LD (976)</t>
  </si>
  <si>
    <t>CARBO HSP (19)</t>
  </si>
  <si>
    <t>CARBOPROP (50)</t>
  </si>
  <si>
    <t>FDP-711 (1179)</t>
  </si>
  <si>
    <t>FDP-804 (898)</t>
  </si>
  <si>
    <t>SCALEGUARD I CL (812, 951)</t>
  </si>
  <si>
    <t>SCALEGUARD I KSHD</t>
  </si>
  <si>
    <t>CL FUSION SUBSTRATE (994)</t>
  </si>
  <si>
    <t>HEXA-EU (30362)</t>
  </si>
  <si>
    <t>Silane-EU (30360)</t>
  </si>
  <si>
    <t>Surfactant-EU (30361)</t>
  </si>
  <si>
    <t>Parting aid 01, liquid (30054)</t>
  </si>
  <si>
    <t>Hexamine solid (30055)</t>
  </si>
  <si>
    <t>Coupling aid 01 (30058)</t>
  </si>
  <si>
    <t>Resin, novolac 03, solid (30090)</t>
  </si>
  <si>
    <t>Bimex Resin (30120)</t>
  </si>
  <si>
    <t>PST100 (30116)</t>
  </si>
  <si>
    <t>BYK 20798 (30242)</t>
  </si>
  <si>
    <t>Quantity</t>
  </si>
  <si>
    <t>(000 lbs)</t>
  </si>
  <si>
    <t>Monthly</t>
  </si>
  <si>
    <t>R&amp;M as</t>
  </si>
  <si>
    <t>% Capital</t>
  </si>
  <si>
    <t>% Utilized</t>
  </si>
  <si>
    <t>Materials - Substrate Under-Absorption</t>
  </si>
  <si>
    <r>
      <t>Substrate</t>
    </r>
    <r>
      <rPr>
        <b/>
        <sz val="10"/>
        <color rgb="FFFF0000"/>
        <rFont val="Arial"/>
        <family val="2"/>
      </rPr>
      <t>*</t>
    </r>
  </si>
  <si>
    <t>New Iberia Resin Coating</t>
  </si>
  <si>
    <t>Total Cost per Pound at Gross</t>
  </si>
  <si>
    <t>Net Cost per Pound Absorbed</t>
  </si>
  <si>
    <t>Less: RC Under-absorption</t>
  </si>
  <si>
    <t>Less: Substrate Plant Under-absorption</t>
  </si>
  <si>
    <t>16 Actual</t>
  </si>
  <si>
    <t>Fusion (#998, 999, 1025)</t>
  </si>
  <si>
    <t>Avg Net Selling Price (2018 &amp; 2017)</t>
  </si>
  <si>
    <t>(May '16)</t>
  </si>
  <si>
    <t>Materials - Resin &amp; Chemicals</t>
  </si>
  <si>
    <t>Underabsorb</t>
  </si>
  <si>
    <t>Shipping</t>
  </si>
  <si>
    <t>Bagging</t>
  </si>
  <si>
    <t>Quantity (000 lbs)</t>
  </si>
  <si>
    <t>N/A</t>
  </si>
  <si>
    <t>Gross Pay Alloc to Bulk Production</t>
  </si>
  <si>
    <t>Gross Pay Alloc to Bag Production</t>
  </si>
  <si>
    <t>Gross Pay Allocated</t>
  </si>
  <si>
    <t>IPC Allocated</t>
  </si>
  <si>
    <t>Average Bag Weight (lbs)</t>
  </si>
  <si>
    <t>17 Actual</t>
  </si>
  <si>
    <t>(Oct '17)</t>
  </si>
  <si>
    <t>Gross Pay Alloc to Prodn (Bulk &amp; Bag)</t>
  </si>
  <si>
    <t>Bagging Labor % (% of prodn bagged)</t>
  </si>
  <si>
    <t>Prod Labor:Alloc to Shipping &amp; Bagging:</t>
  </si>
  <si>
    <r>
      <t>(</t>
    </r>
    <r>
      <rPr>
        <b/>
        <sz val="10"/>
        <color rgb="FFFF0000"/>
        <rFont val="Arial"/>
        <family val="2"/>
      </rPr>
      <t>*</t>
    </r>
    <r>
      <rPr>
        <sz val="10"/>
        <color rgb="FFFF0000"/>
        <rFont val="Arial"/>
        <family val="2"/>
      </rPr>
      <t>Substrate prices are net of source</t>
    </r>
  </si>
  <si>
    <t>plant under-absorption)</t>
  </si>
  <si>
    <t>Total Plant Production (000 lbs)</t>
  </si>
  <si>
    <t>Total Production (000 lbs)</t>
  </si>
  <si>
    <t>Avg Net Selling Price ('18 &amp; '17)</t>
  </si>
  <si>
    <t>(000 lbs/day)</t>
  </si>
  <si>
    <t xml:space="preserve">  Lines 1 and 2</t>
  </si>
  <si>
    <t>Source plant
under-absorb</t>
  </si>
  <si>
    <t>SCALEGUARD I KSHD (H)</t>
  </si>
  <si>
    <t>2020 STANDARDS</t>
  </si>
  <si>
    <t>20 Standard</t>
  </si>
  <si>
    <t>KSXT</t>
  </si>
  <si>
    <t>(Jan-Sept)</t>
  </si>
  <si>
    <t>19 Actual</t>
  </si>
  <si>
    <t>Plenco Resin (30090)</t>
  </si>
  <si>
    <t>Bimex Resin-EU (30120)</t>
  </si>
  <si>
    <t>Surfactant (30054)</t>
  </si>
  <si>
    <t>Silane (30058)</t>
  </si>
  <si>
    <t>XX</t>
  </si>
  <si>
    <t>CARBOBond Lite EU</t>
  </si>
  <si>
    <t>Hexamine (30055)</t>
  </si>
  <si>
    <t>CB Lite EU</t>
  </si>
  <si>
    <t xml:space="preserve">WB Concentrate (30454) </t>
  </si>
  <si>
    <t>VAR01 (equip rental)</t>
  </si>
  <si>
    <t>VAR01 (mobile equip rental)</t>
  </si>
  <si>
    <t>633000</t>
  </si>
  <si>
    <t>633020</t>
  </si>
  <si>
    <t>Oct-19 YTD</t>
  </si>
  <si>
    <t>VAR01 (other main)</t>
  </si>
  <si>
    <t>630030</t>
  </si>
  <si>
    <t>DEP01 (vehicle</t>
  </si>
  <si>
    <t>640040</t>
  </si>
  <si>
    <t>INS01 (prop taxes)</t>
  </si>
  <si>
    <t>CL</t>
  </si>
  <si>
    <t>CBL</t>
  </si>
  <si>
    <t>CBL (EU)</t>
  </si>
  <si>
    <t>RPM</t>
  </si>
  <si>
    <t>AIR</t>
  </si>
  <si>
    <t xml:space="preserve">  </t>
  </si>
  <si>
    <t>KSLD (976)</t>
  </si>
  <si>
    <t>CL (994)</t>
  </si>
  <si>
    <t>SGII</t>
  </si>
  <si>
    <t>2021 STANDARDS</t>
  </si>
  <si>
    <t>21 Standard</t>
  </si>
  <si>
    <t>resin</t>
  </si>
  <si>
    <t>chemicals</t>
  </si>
  <si>
    <t>NOV-20 YTD</t>
  </si>
  <si>
    <t>JUL-DEC-20 YTD</t>
  </si>
  <si>
    <t>2022 STANDARDS</t>
  </si>
  <si>
    <t>22 Standard</t>
  </si>
  <si>
    <t>CB KSHD</t>
  </si>
  <si>
    <t>CARBOBond KSHD</t>
  </si>
  <si>
    <t>KRYPTOSPHERE HD (873)</t>
  </si>
  <si>
    <t>21 Actual</t>
  </si>
  <si>
    <t>NOV-21 YTD</t>
  </si>
  <si>
    <t>CBL KSLD</t>
  </si>
  <si>
    <t>CBL KSHD</t>
  </si>
  <si>
    <t>22 Actual</t>
  </si>
  <si>
    <t>(Jan-Aug)</t>
  </si>
  <si>
    <t>23 Standard</t>
  </si>
  <si>
    <t>FilterGuard</t>
  </si>
  <si>
    <t xml:space="preserve">SCALEGUARD IX CL </t>
  </si>
  <si>
    <t>XX Actual</t>
  </si>
  <si>
    <t>XX Standard</t>
  </si>
  <si>
    <t>NRT KRYPTOSPHERE LD (1200)</t>
  </si>
  <si>
    <t>SCALEGUARD I CL (812, 951, 1941, 1981, 2006)</t>
  </si>
  <si>
    <t>CARBO HSP (19, 824)</t>
  </si>
  <si>
    <t>Plenco Resin EU (30090)</t>
  </si>
  <si>
    <t>(Jul)</t>
  </si>
  <si>
    <t>(Jan)</t>
  </si>
  <si>
    <t>(Aug)</t>
  </si>
  <si>
    <t>CARBOAIR UL (861, 938) GUARD (822)</t>
  </si>
  <si>
    <t>Flowsolve (30540)</t>
  </si>
  <si>
    <t>Chemline 7000 Part A (30530)</t>
  </si>
  <si>
    <t>Chemline 7000 Part B (30531)</t>
  </si>
  <si>
    <t>SG CL II &amp; IV</t>
  </si>
  <si>
    <t>SG CL X</t>
  </si>
  <si>
    <t>2024 STANDARDS</t>
  </si>
  <si>
    <t>24 Standard</t>
  </si>
  <si>
    <t>23 Actual</t>
  </si>
  <si>
    <t>Jan</t>
  </si>
  <si>
    <t>(May)</t>
  </si>
  <si>
    <t>2025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</si>
</sst>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\ ;\(#,##0\)"/>
    <numFmt numFmtId="165" formatCode="_(* #,##0.0000_);_(* \(#,##0.0000\);_(* &quot;-&quot;????_);_(@_)"/>
    <numFmt numFmtId="166" formatCode="#,##0.0000\ ;\(#,##0.0000\)"/>
    <numFmt numFmtId="167" formatCode="_(&quot;$&quot;* #,##0.0000_);_(&quot;$&quot;* \(#,##0.0000\);_(&quot;$&quot;* &quot;-&quot;????_);_(@_)"/>
    <numFmt numFmtId="168" formatCode="#,##0.000\ ;\(#,##0.000\)"/>
    <numFmt numFmtId="169" formatCode="0.00_);[Red]\(0.00\)"/>
    <numFmt numFmtId="170" formatCode="0.0%"/>
    <numFmt numFmtId="171" formatCode="#,##0.00\ ;\(#,##0.00\)"/>
    <numFmt numFmtId="172" formatCode="&quot;$&quot;#,##0.0000\ ;\(&quot;$&quot;#,##0.0000\)"/>
    <numFmt numFmtId="173" formatCode="_(* #,##0_);_(* \(#,##0\);_(* &quot;-&quot;??_);_(@_)"/>
    <numFmt numFmtId="174" formatCode="_(&quot;$&quot;* #,##0.00_);_(&quot;$&quot;* \(#,##0.00\);_(&quot;$&quot;* &quot;-&quot;????_);_(@_)"/>
    <numFmt numFmtId="175" formatCode="_(&quot;$&quot;* #,##0_);_(&quot;$&quot;* \(#,##0\);_(&quot;$&quot;* &quot;-&quot;??_);_(@_)"/>
    <numFmt numFmtId="176" formatCode="_(&quot;$&quot;* #,##0.0000_);_(&quot;$&quot;* \(#,##0.0000\);_(&quot;$&quot;* &quot;-&quot;??_);_(@_)"/>
    <numFmt numFmtId="177" formatCode="_(* #,##0.00000_);_(* \(#,##0.00000\);_(* &quot;-&quot;?????_);_(@_)"/>
    <numFmt numFmtId="178" formatCode="_(* #,##0.000_);_(* \(#,##0.000\);_(* &quot;-&quot;???_);_(@_)"/>
    <numFmt numFmtId="179" formatCode="0.0000_);[Red]\(0.0000\)"/>
    <numFmt numFmtId="180" formatCode="_(* #,##0.0_);_(* \(#,##0.0\);_(* &quot;-&quot;??_);_(@_)"/>
    <numFmt numFmtId="181" formatCode="_(&quot;$&quot;* #,##0.000000_);_(&quot;$&quot;* \(#,##0.000000\);_(&quot;$&quot;* &quot;-&quot;??????_);_(@_)"/>
    <numFmt numFmtId="182" formatCode="#,##0.000"/>
    <numFmt numFmtId="183" formatCode="0.0000%"/>
    <numFmt numFmtId="184" formatCode="0.000%"/>
    <numFmt numFmtId="185" formatCode="_(* #,##0.000_);_(* \(#,##0.000\);_(* &quot;-&quot;_);_(@_)"/>
    <numFmt numFmtId="186" formatCode="_(* #,##0.000000_);_(* \(#,##0.000000\);_(* &quot;-&quot;??????_);_(@_)"/>
    <numFmt numFmtId="187" formatCode="_(* #,##0.0000_);_(* \(#,##0.0000\);_(* &quot;-&quot;??_);_(@_)"/>
    <numFmt numFmtId="188" formatCode="&quot;$&quot;#,##0.0000_);\(&quot;$&quot;#,##0.0000\)"/>
    <numFmt numFmtId="189" formatCode="0_);\(0\)"/>
    <numFmt numFmtId="190" formatCode="_(&quot;$&quot;* #,##0.00000_);_(&quot;$&quot;* \(#,##0.00000\);_(&quot;$&quot;* &quot;-&quot;?????_);_(@_)"/>
    <numFmt numFmtId="191" formatCode="#,##0.0\ ;\(#,##0.0\)"/>
    <numFmt numFmtId="192" formatCode="_(* #,##0.0_);_(* \(#,##0.0\);_(* &quot;-&quot;?_);_(@_)"/>
    <numFmt numFmtId="193" formatCode="_(* #,##0.00_);_(* \(#,##0.00\);_(* &quot;-&quot;_);_(@_)"/>
    <numFmt numFmtId="194" formatCode="_(* #,##0.000_);_(* \(#,##0.000\);_(* &quot;-&quot;??_);_(@_)"/>
    <numFmt numFmtId="195" formatCode="_(* #,##0.00000_);_(* \(#,##0.00000\);_(* &quot;-&quot;??_);_(@_)"/>
    <numFmt numFmtId="196" formatCode="_(* #,##0.000000_);_(* \(#,##0.000000\);_(* &quot;-&quot;??_);_(@_)"/>
    <numFmt numFmtId="197" formatCode="_(* #,##0.0000_);_(* \(#,##0.0000\);_(* &quot;-&quot;?????_);_(@_)"/>
    <numFmt numFmtId="198" formatCode="_(* #,##0_);_(* \(#,##0\);_(* &quot;-&quot;???_);_(@_)"/>
    <numFmt numFmtId="199" formatCode="_(* #,##0.0_);_(* \(#,##0.0\);_(* &quot;-&quot;?????_);_(@_)"/>
    <numFmt numFmtId="200" formatCode="_(* #,##0_);_(* \(#,##0\);_(* &quot;-&quot;?????_);_(@_)"/>
  </numFmts>
  <fonts count="44">
    <font>
      <sz val="11"/>
      <color theme="1"/>
      <name val="Calibri"/>
      <family val="2"/>
      <scheme val="minor"/>
    </font>
    <font>
      <sz val="10"/>
      <name val="Geneva"/>
    </font>
    <font>
      <b/>
      <sz val="14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 val="singleAccounting"/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u val="singleAccounting"/>
      <sz val="10"/>
      <color rgb="FFFF0000"/>
      <name val="Arial"/>
      <family val="2"/>
    </font>
    <font>
      <i/>
      <sz val="10"/>
      <name val="Arial"/>
      <family val="2"/>
    </font>
    <font>
      <i/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 val="singleAccounting"/>
      <sz val="10"/>
      <name val="Arial"/>
      <family val="2"/>
    </font>
    <font>
      <b/>
      <sz val="10"/>
      <color rgb="FFFF0000"/>
      <name val="Arial"/>
      <family val="2"/>
    </font>
    <font>
      <u/>
      <sz val="9"/>
      <name val="Arial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name val="Arial"/>
      <family val="2"/>
    </font>
    <font>
      <strike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i/>
      <sz val="10"/>
      <color theme="4" tint="-0.249977111117893"/>
      <name val="Arial"/>
      <family val="2"/>
    </font>
    <font>
      <b/>
      <i/>
      <sz val="10"/>
      <name val="Arial"/>
      <family val="2"/>
    </font>
    <font>
      <sz val="11"/>
      <color rgb="FF3F3F76"/>
      <name val="Calibri"/>
      <family val="2"/>
      <scheme val="minor"/>
    </font>
    <font>
      <i/>
      <u/>
      <sz val="10"/>
      <name val="Arial"/>
      <family val="2"/>
    </font>
    <font>
      <u val="doubleAccounting"/>
      <sz val="10"/>
      <name val="Arial"/>
      <family val="2"/>
    </font>
    <font>
      <u/>
      <sz val="10"/>
      <color rgb="FFFF0000"/>
      <name val="Arial"/>
      <family val="2"/>
    </font>
    <font>
      <u/>
      <sz val="11"/>
      <color theme="1"/>
      <name val="Calibri"/>
      <family val="2"/>
      <scheme val="minor"/>
    </font>
    <font>
      <sz val="8"/>
      <name val="Arial"/>
      <family val="2"/>
    </font>
    <font>
      <b/>
      <u val="doubleAccounting"/>
      <sz val="10"/>
      <name val="Arial"/>
      <family val="2"/>
    </font>
    <font>
      <u val="doubleAccounting"/>
      <sz val="10"/>
      <color rgb="FFFF0000"/>
      <name val="Arial"/>
      <family val="2"/>
    </font>
    <font>
      <sz val="10"/>
      <color rgb="FF0070C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rgb="FF3F3F76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</borders>
  <cellStyleXfs count="13">
    <xf numFmtId="0" fontId="0" fillId="0" borderId="0"/>
    <xf numFmtId="0" fontId="1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8" fillId="9" borderId="28" applyNumberFormat="0" applyAlignment="0" applyProtection="0"/>
  </cellStyleXfs>
  <cellXfs count="896">
    <xf numFmtId="0" fontId="0" fillId="0" borderId="0" xfId="0"/>
    <xf numFmtId="164" fontId="3" fillId="0" borderId="0" xfId="1" applyNumberFormat="1" applyFont="1"/>
    <xf numFmtId="164" fontId="5" fillId="0" borderId="0" xfId="1" applyNumberFormat="1" applyFont="1"/>
    <xf numFmtId="43" fontId="6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right"/>
    </xf>
    <xf numFmtId="164" fontId="3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left"/>
    </xf>
    <xf numFmtId="165" fontId="5" fillId="0" borderId="0" xfId="1" applyNumberFormat="1" applyFont="1" applyAlignment="1">
      <alignment horizontal="right"/>
    </xf>
    <xf numFmtId="164" fontId="3" fillId="0" borderId="0" xfId="1" applyNumberFormat="1" applyFont="1" applyAlignment="1">
      <alignment horizontal="left"/>
    </xf>
    <xf numFmtId="166" fontId="5" fillId="0" borderId="0" xfId="1" applyNumberFormat="1" applyFont="1"/>
    <xf numFmtId="165" fontId="5" fillId="0" borderId="0" xfId="1" applyNumberFormat="1" applyFont="1"/>
    <xf numFmtId="165" fontId="7" fillId="0" borderId="0" xfId="1" applyNumberFormat="1" applyFont="1"/>
    <xf numFmtId="166" fontId="3" fillId="0" borderId="0" xfId="1" applyNumberFormat="1" applyFont="1"/>
    <xf numFmtId="165" fontId="5" fillId="2" borderId="0" xfId="1" applyNumberFormat="1" applyFont="1" applyFill="1"/>
    <xf numFmtId="165" fontId="6" fillId="0" borderId="0" xfId="1" applyNumberFormat="1" applyFont="1"/>
    <xf numFmtId="167" fontId="8" fillId="0" borderId="1" xfId="1" applyNumberFormat="1" applyFont="1" applyBorder="1"/>
    <xf numFmtId="168" fontId="3" fillId="0" borderId="0" xfId="1" applyNumberFormat="1" applyFont="1" applyAlignment="1">
      <alignment horizontal="left"/>
    </xf>
    <xf numFmtId="164" fontId="8" fillId="0" borderId="0" xfId="1" applyNumberFormat="1" applyFont="1" applyAlignment="1">
      <alignment horizontal="right"/>
    </xf>
    <xf numFmtId="43" fontId="9" fillId="0" borderId="5" xfId="1" applyNumberFormat="1" applyFont="1" applyBorder="1"/>
    <xf numFmtId="164" fontId="10" fillId="0" borderId="5" xfId="1" applyNumberFormat="1" applyFont="1" applyBorder="1"/>
    <xf numFmtId="164" fontId="10" fillId="0" borderId="5" xfId="1" applyNumberFormat="1" applyFont="1" applyBorder="1" applyAlignment="1">
      <alignment horizontal="right"/>
    </xf>
    <xf numFmtId="168" fontId="10" fillId="0" borderId="5" xfId="1" applyNumberFormat="1" applyFont="1" applyBorder="1" applyAlignment="1">
      <alignment horizontal="center"/>
    </xf>
    <xf numFmtId="164" fontId="10" fillId="0" borderId="6" xfId="1" applyNumberFormat="1" applyFont="1" applyBorder="1"/>
    <xf numFmtId="164" fontId="5" fillId="0" borderId="7" xfId="1" applyNumberFormat="1" applyFont="1" applyBorder="1" applyAlignment="1">
      <alignment horizontal="left"/>
    </xf>
    <xf numFmtId="9" fontId="11" fillId="0" borderId="0" xfId="1" applyNumberFormat="1" applyFont="1"/>
    <xf numFmtId="164" fontId="5" fillId="0" borderId="8" xfId="1" applyNumberFormat="1" applyFont="1" applyBorder="1"/>
    <xf numFmtId="41" fontId="6" fillId="0" borderId="0" xfId="1" applyNumberFormat="1" applyFont="1" applyAlignment="1">
      <alignment horizontal="center"/>
    </xf>
    <xf numFmtId="9" fontId="5" fillId="0" borderId="0" xfId="1" applyNumberFormat="1" applyFont="1"/>
    <xf numFmtId="166" fontId="5" fillId="0" borderId="8" xfId="1" applyNumberFormat="1" applyFont="1" applyBorder="1" applyAlignment="1">
      <alignment horizontal="center"/>
    </xf>
    <xf numFmtId="168" fontId="3" fillId="0" borderId="0" xfId="1" applyNumberFormat="1" applyFont="1"/>
    <xf numFmtId="164" fontId="5" fillId="0" borderId="7" xfId="1" applyNumberFormat="1" applyFont="1" applyBorder="1"/>
    <xf numFmtId="43" fontId="5" fillId="0" borderId="0" xfId="1" applyNumberFormat="1" applyFont="1"/>
    <xf numFmtId="164" fontId="5" fillId="0" borderId="8" xfId="1" quotePrefix="1" applyNumberFormat="1" applyFont="1" applyBorder="1" applyAlignment="1">
      <alignment horizontal="center"/>
    </xf>
    <xf numFmtId="164" fontId="3" fillId="0" borderId="7" xfId="1" applyNumberFormat="1" applyFont="1" applyBorder="1"/>
    <xf numFmtId="41" fontId="12" fillId="0" borderId="0" xfId="1" applyNumberFormat="1" applyFont="1" applyAlignment="1">
      <alignment horizontal="center"/>
    </xf>
    <xf numFmtId="169" fontId="5" fillId="0" borderId="7" xfId="1" applyNumberFormat="1" applyFont="1" applyBorder="1"/>
    <xf numFmtId="170" fontId="5" fillId="0" borderId="0" xfId="1" applyNumberFormat="1" applyFont="1"/>
    <xf numFmtId="171" fontId="3" fillId="0" borderId="0" xfId="1" applyNumberFormat="1" applyFont="1"/>
    <xf numFmtId="164" fontId="3" fillId="0" borderId="8" xfId="1" applyNumberFormat="1" applyFont="1" applyBorder="1"/>
    <xf numFmtId="10" fontId="3" fillId="0" borderId="0" xfId="1" applyNumberFormat="1" applyFont="1"/>
    <xf numFmtId="165" fontId="3" fillId="0" borderId="0" xfId="1" applyNumberFormat="1" applyFont="1"/>
    <xf numFmtId="164" fontId="3" fillId="0" borderId="10" xfId="1" applyNumberFormat="1" applyFont="1" applyBorder="1"/>
    <xf numFmtId="164" fontId="3" fillId="0" borderId="11" xfId="1" applyNumberFormat="1" applyFont="1" applyBorder="1"/>
    <xf numFmtId="172" fontId="3" fillId="0" borderId="0" xfId="1" applyNumberFormat="1" applyFont="1"/>
    <xf numFmtId="164" fontId="5" fillId="0" borderId="4" xfId="1" applyNumberFormat="1" applyFont="1" applyBorder="1"/>
    <xf numFmtId="9" fontId="5" fillId="0" borderId="8" xfId="1" applyNumberFormat="1" applyFont="1" applyBorder="1"/>
    <xf numFmtId="10" fontId="5" fillId="0" borderId="0" xfId="2" applyNumberFormat="1" applyFont="1" applyFill="1" applyBorder="1"/>
    <xf numFmtId="10" fontId="5" fillId="0" borderId="8" xfId="2" applyNumberFormat="1" applyFont="1" applyFill="1" applyBorder="1"/>
    <xf numFmtId="43" fontId="6" fillId="0" borderId="0" xfId="1" applyNumberFormat="1" applyFont="1" applyAlignment="1">
      <alignment horizontal="center" wrapText="1"/>
    </xf>
    <xf numFmtId="43" fontId="6" fillId="0" borderId="0" xfId="2" applyFont="1" applyFill="1" applyBorder="1" applyAlignment="1">
      <alignment horizontal="center" wrapText="1"/>
    </xf>
    <xf numFmtId="43" fontId="6" fillId="0" borderId="8" xfId="2" applyFont="1" applyFill="1" applyBorder="1" applyAlignment="1">
      <alignment horizontal="center" wrapText="1"/>
    </xf>
    <xf numFmtId="174" fontId="5" fillId="0" borderId="0" xfId="1" applyNumberFormat="1" applyFont="1"/>
    <xf numFmtId="42" fontId="5" fillId="0" borderId="0" xfId="1" applyNumberFormat="1" applyFont="1"/>
    <xf numFmtId="44" fontId="5" fillId="0" borderId="0" xfId="3" applyFont="1" applyFill="1" applyBorder="1"/>
    <xf numFmtId="42" fontId="5" fillId="0" borderId="8" xfId="1" applyNumberFormat="1" applyFont="1" applyBorder="1"/>
    <xf numFmtId="43" fontId="5" fillId="0" borderId="0" xfId="3" applyNumberFormat="1" applyFont="1" applyFill="1" applyBorder="1"/>
    <xf numFmtId="173" fontId="6" fillId="0" borderId="0" xfId="3" applyNumberFormat="1" applyFont="1" applyFill="1" applyBorder="1"/>
    <xf numFmtId="173" fontId="6" fillId="0" borderId="8" xfId="3" applyNumberFormat="1" applyFont="1" applyFill="1" applyBorder="1"/>
    <xf numFmtId="167" fontId="5" fillId="0" borderId="8" xfId="2" applyNumberFormat="1" applyFont="1" applyFill="1" applyBorder="1"/>
    <xf numFmtId="164" fontId="3" fillId="0" borderId="9" xfId="1" applyNumberFormat="1" applyFont="1" applyBorder="1"/>
    <xf numFmtId="10" fontId="3" fillId="0" borderId="10" xfId="2" applyNumberFormat="1" applyFont="1" applyFill="1" applyBorder="1"/>
    <xf numFmtId="10" fontId="3" fillId="0" borderId="11" xfId="2" applyNumberFormat="1" applyFont="1" applyFill="1" applyBorder="1"/>
    <xf numFmtId="10" fontId="3" fillId="0" borderId="0" xfId="2" applyNumberFormat="1" applyFont="1" applyFill="1" applyBorder="1"/>
    <xf numFmtId="176" fontId="5" fillId="0" borderId="0" xfId="3" applyNumberFormat="1" applyFont="1" applyFill="1" applyBorder="1"/>
    <xf numFmtId="41" fontId="5" fillId="2" borderId="0" xfId="3" applyNumberFormat="1" applyFont="1" applyFill="1" applyBorder="1"/>
    <xf numFmtId="41" fontId="5" fillId="0" borderId="0" xfId="1" applyNumberFormat="1" applyFont="1"/>
    <xf numFmtId="41" fontId="5" fillId="2" borderId="8" xfId="3" applyNumberFormat="1" applyFont="1" applyFill="1" applyBorder="1"/>
    <xf numFmtId="41" fontId="5" fillId="0" borderId="0" xfId="3" applyNumberFormat="1" applyFont="1" applyFill="1" applyBorder="1"/>
    <xf numFmtId="41" fontId="5" fillId="0" borderId="8" xfId="3" applyNumberFormat="1" applyFont="1" applyFill="1" applyBorder="1"/>
    <xf numFmtId="41" fontId="3" fillId="0" borderId="0" xfId="3" applyNumberFormat="1" applyFont="1" applyFill="1" applyBorder="1"/>
    <xf numFmtId="41" fontId="3" fillId="0" borderId="0" xfId="1" applyNumberFormat="1" applyFont="1"/>
    <xf numFmtId="41" fontId="3" fillId="0" borderId="8" xfId="3" applyNumberFormat="1" applyFont="1" applyFill="1" applyBorder="1"/>
    <xf numFmtId="41" fontId="6" fillId="0" borderId="0" xfId="1" applyNumberFormat="1" applyFont="1" applyAlignment="1">
      <alignment horizontal="center" wrapText="1"/>
    </xf>
    <xf numFmtId="164" fontId="3" fillId="0" borderId="8" xfId="1" applyNumberFormat="1" applyFont="1" applyBorder="1" applyAlignment="1">
      <alignment horizontal="right"/>
    </xf>
    <xf numFmtId="178" fontId="5" fillId="0" borderId="0" xfId="1" applyNumberFormat="1" applyFont="1"/>
    <xf numFmtId="42" fontId="3" fillId="0" borderId="0" xfId="1" applyNumberFormat="1" applyFont="1"/>
    <xf numFmtId="176" fontId="3" fillId="0" borderId="8" xfId="2" applyNumberFormat="1" applyFont="1" applyFill="1" applyBorder="1"/>
    <xf numFmtId="178" fontId="5" fillId="0" borderId="0" xfId="2" applyNumberFormat="1" applyFont="1" applyFill="1" applyBorder="1"/>
    <xf numFmtId="178" fontId="3" fillId="0" borderId="0" xfId="1" applyNumberFormat="1" applyFont="1"/>
    <xf numFmtId="178" fontId="12" fillId="0" borderId="8" xfId="2" applyNumberFormat="1" applyFont="1" applyFill="1" applyBorder="1"/>
    <xf numFmtId="164" fontId="5" fillId="0" borderId="0" xfId="1" applyNumberFormat="1" applyFont="1" applyAlignment="1">
      <alignment horizontal="center" vertical="center"/>
    </xf>
    <xf numFmtId="164" fontId="5" fillId="0" borderId="8" xfId="1" applyNumberFormat="1" applyFont="1" applyBorder="1" applyAlignment="1">
      <alignment horizontal="center" wrapText="1"/>
    </xf>
    <xf numFmtId="167" fontId="6" fillId="0" borderId="8" xfId="1" applyNumberFormat="1" applyFont="1" applyBorder="1"/>
    <xf numFmtId="164" fontId="7" fillId="0" borderId="0" xfId="1" applyNumberFormat="1" applyFont="1"/>
    <xf numFmtId="164" fontId="5" fillId="0" borderId="9" xfId="1" applyNumberFormat="1" applyFont="1" applyBorder="1"/>
    <xf numFmtId="164" fontId="5" fillId="0" borderId="10" xfId="1" applyNumberFormat="1" applyFont="1" applyBorder="1"/>
    <xf numFmtId="164" fontId="13" fillId="0" borderId="10" xfId="1" applyNumberFormat="1" applyFont="1" applyBorder="1"/>
    <xf numFmtId="164" fontId="5" fillId="0" borderId="11" xfId="1" applyNumberFormat="1" applyFont="1" applyBorder="1"/>
    <xf numFmtId="164" fontId="14" fillId="0" borderId="0" xfId="1" applyNumberFormat="1" applyFont="1"/>
    <xf numFmtId="179" fontId="5" fillId="0" borderId="0" xfId="3" applyNumberFormat="1" applyFont="1" applyFill="1" applyBorder="1"/>
    <xf numFmtId="179" fontId="7" fillId="0" borderId="0" xfId="3" applyNumberFormat="1" applyFont="1" applyFill="1" applyBorder="1"/>
    <xf numFmtId="180" fontId="5" fillId="0" borderId="0" xfId="2" applyNumberFormat="1" applyFont="1" applyFill="1" applyBorder="1"/>
    <xf numFmtId="41" fontId="5" fillId="0" borderId="8" xfId="1" applyNumberFormat="1" applyFont="1" applyBorder="1"/>
    <xf numFmtId="41" fontId="17" fillId="3" borderId="0" xfId="1" applyNumberFormat="1" applyFont="1" applyFill="1" applyAlignment="1">
      <alignment wrapText="1"/>
    </xf>
    <xf numFmtId="41" fontId="8" fillId="3" borderId="0" xfId="1" applyNumberFormat="1" applyFont="1" applyFill="1"/>
    <xf numFmtId="41" fontId="8" fillId="3" borderId="0" xfId="1" applyNumberFormat="1" applyFont="1" applyFill="1" applyAlignment="1">
      <alignment horizontal="right"/>
    </xf>
    <xf numFmtId="41" fontId="17" fillId="3" borderId="0" xfId="1" applyNumberFormat="1" applyFont="1" applyFill="1" applyAlignment="1">
      <alignment horizontal="center"/>
    </xf>
    <xf numFmtId="41" fontId="17" fillId="3" borderId="0" xfId="1" applyNumberFormat="1" applyFont="1" applyFill="1" applyAlignment="1">
      <alignment horizontal="right"/>
    </xf>
    <xf numFmtId="41" fontId="17" fillId="3" borderId="0" xfId="1" applyNumberFormat="1" applyFont="1" applyFill="1"/>
    <xf numFmtId="164" fontId="3" fillId="3" borderId="0" xfId="1" applyNumberFormat="1" applyFont="1" applyFill="1"/>
    <xf numFmtId="164" fontId="5" fillId="3" borderId="0" xfId="1" applyNumberFormat="1" applyFont="1" applyFill="1" applyAlignment="1">
      <alignment horizontal="right"/>
    </xf>
    <xf numFmtId="164" fontId="5" fillId="3" borderId="0" xfId="1" applyNumberFormat="1" applyFont="1" applyFill="1" applyAlignment="1">
      <alignment horizontal="center"/>
    </xf>
    <xf numFmtId="42" fontId="5" fillId="3" borderId="0" xfId="1" quotePrefix="1" applyNumberFormat="1" applyFont="1" applyFill="1"/>
    <xf numFmtId="164" fontId="5" fillId="3" borderId="0" xfId="1" applyNumberFormat="1" applyFont="1" applyFill="1"/>
    <xf numFmtId="166" fontId="5" fillId="3" borderId="0" xfId="1" applyNumberFormat="1" applyFont="1" applyFill="1"/>
    <xf numFmtId="181" fontId="5" fillId="3" borderId="0" xfId="1" applyNumberFormat="1" applyFont="1" applyFill="1"/>
    <xf numFmtId="178" fontId="5" fillId="3" borderId="0" xfId="1" applyNumberFormat="1" applyFont="1" applyFill="1"/>
    <xf numFmtId="167" fontId="5" fillId="3" borderId="0" xfId="1" applyNumberFormat="1" applyFont="1" applyFill="1"/>
    <xf numFmtId="42" fontId="6" fillId="3" borderId="0" xfId="1" quotePrefix="1" applyNumberFormat="1" applyFont="1" applyFill="1"/>
    <xf numFmtId="42" fontId="8" fillId="3" borderId="0" xfId="1" applyNumberFormat="1" applyFont="1" applyFill="1"/>
    <xf numFmtId="167" fontId="8" fillId="3" borderId="12" xfId="1" applyNumberFormat="1" applyFont="1" applyFill="1" applyBorder="1"/>
    <xf numFmtId="164" fontId="5" fillId="0" borderId="0" xfId="1" applyNumberFormat="1" applyFont="1" applyAlignment="1">
      <alignment horizontal="center"/>
    </xf>
    <xf numFmtId="164" fontId="5" fillId="0" borderId="7" xfId="1" applyNumberFormat="1" applyFont="1" applyBorder="1" applyAlignment="1">
      <alignment horizontal="left" indent="1"/>
    </xf>
    <xf numFmtId="9" fontId="5" fillId="0" borderId="9" xfId="1" applyNumberFormat="1" applyFont="1" applyBorder="1" applyAlignment="1">
      <alignment horizontal="left" indent="1"/>
    </xf>
    <xf numFmtId="9" fontId="5" fillId="0" borderId="10" xfId="2" applyNumberFormat="1" applyFont="1" applyFill="1" applyBorder="1"/>
    <xf numFmtId="0" fontId="5" fillId="0" borderId="0" xfId="5"/>
    <xf numFmtId="182" fontId="5" fillId="4" borderId="14" xfId="5" applyNumberFormat="1" applyFill="1" applyBorder="1" applyAlignment="1">
      <alignment wrapText="1"/>
    </xf>
    <xf numFmtId="0" fontId="5" fillId="0" borderId="14" xfId="5" applyBorder="1" applyAlignment="1">
      <alignment wrapText="1"/>
    </xf>
    <xf numFmtId="183" fontId="5" fillId="0" borderId="14" xfId="5" applyNumberFormat="1" applyBorder="1" applyAlignment="1">
      <alignment wrapText="1"/>
    </xf>
    <xf numFmtId="182" fontId="5" fillId="0" borderId="14" xfId="5" applyNumberFormat="1" applyBorder="1" applyAlignment="1">
      <alignment wrapText="1"/>
    </xf>
    <xf numFmtId="0" fontId="5" fillId="0" borderId="15" xfId="5" applyBorder="1" applyAlignment="1">
      <alignment wrapText="1"/>
    </xf>
    <xf numFmtId="0" fontId="5" fillId="0" borderId="16" xfId="5" applyBorder="1" applyAlignment="1">
      <alignment wrapText="1"/>
    </xf>
    <xf numFmtId="0" fontId="5" fillId="0" borderId="17" xfId="5" applyBorder="1" applyAlignment="1">
      <alignment wrapText="1"/>
    </xf>
    <xf numFmtId="0" fontId="5" fillId="0" borderId="0" xfId="5" applyAlignment="1">
      <alignment wrapText="1"/>
    </xf>
    <xf numFmtId="49" fontId="18" fillId="4" borderId="12" xfId="5" applyNumberFormat="1" applyFont="1" applyFill="1" applyBorder="1" applyAlignment="1">
      <alignment wrapText="1"/>
    </xf>
    <xf numFmtId="0" fontId="5" fillId="0" borderId="12" xfId="5" applyBorder="1"/>
    <xf numFmtId="183" fontId="5" fillId="0" borderId="12" xfId="5" applyNumberFormat="1" applyBorder="1"/>
    <xf numFmtId="184" fontId="5" fillId="0" borderId="12" xfId="5" applyNumberFormat="1" applyBorder="1"/>
    <xf numFmtId="182" fontId="5" fillId="0" borderId="12" xfId="5" applyNumberFormat="1" applyBorder="1"/>
    <xf numFmtId="182" fontId="18" fillId="4" borderId="12" xfId="5" applyNumberFormat="1" applyFont="1" applyFill="1" applyBorder="1" applyAlignment="1">
      <alignment wrapText="1"/>
    </xf>
    <xf numFmtId="184" fontId="0" fillId="0" borderId="12" xfId="8" applyNumberFormat="1" applyFont="1" applyBorder="1"/>
    <xf numFmtId="10" fontId="0" fillId="0" borderId="12" xfId="8" applyNumberFormat="1" applyFont="1" applyBorder="1"/>
    <xf numFmtId="182" fontId="5" fillId="0" borderId="1" xfId="5" applyNumberFormat="1" applyBorder="1"/>
    <xf numFmtId="167" fontId="5" fillId="0" borderId="18" xfId="5" applyNumberFormat="1" applyBorder="1"/>
    <xf numFmtId="44" fontId="5" fillId="0" borderId="12" xfId="5" applyNumberFormat="1" applyBorder="1"/>
    <xf numFmtId="44" fontId="5" fillId="0" borderId="19" xfId="5" applyNumberFormat="1" applyBorder="1"/>
    <xf numFmtId="167" fontId="5" fillId="0" borderId="18" xfId="1" applyNumberFormat="1" applyFont="1" applyBorder="1"/>
    <xf numFmtId="0" fontId="5" fillId="0" borderId="18" xfId="5" applyBorder="1" applyAlignment="1">
      <alignment horizontal="left"/>
    </xf>
    <xf numFmtId="0" fontId="5" fillId="0" borderId="1" xfId="5" applyBorder="1"/>
    <xf numFmtId="0" fontId="5" fillId="0" borderId="19" xfId="5" applyBorder="1"/>
    <xf numFmtId="0" fontId="8" fillId="0" borderId="20" xfId="5" applyFont="1" applyBorder="1" applyAlignment="1">
      <alignment horizontal="left"/>
    </xf>
    <xf numFmtId="0" fontId="8" fillId="0" borderId="21" xfId="5" applyFont="1" applyBorder="1"/>
    <xf numFmtId="183" fontId="8" fillId="0" borderId="21" xfId="5" applyNumberFormat="1" applyFont="1" applyBorder="1"/>
    <xf numFmtId="184" fontId="8" fillId="0" borderId="21" xfId="5" applyNumberFormat="1" applyFont="1" applyBorder="1"/>
    <xf numFmtId="182" fontId="8" fillId="0" borderId="21" xfId="5" applyNumberFormat="1" applyFont="1" applyBorder="1"/>
    <xf numFmtId="184" fontId="8" fillId="0" borderId="21" xfId="8" applyNumberFormat="1" applyFont="1" applyBorder="1"/>
    <xf numFmtId="10" fontId="8" fillId="0" borderId="21" xfId="8" applyNumberFormat="1" applyFont="1" applyBorder="1"/>
    <xf numFmtId="182" fontId="8" fillId="0" borderId="22" xfId="5" applyNumberFormat="1" applyFont="1" applyBorder="1"/>
    <xf numFmtId="167" fontId="8" fillId="0" borderId="20" xfId="5" applyNumberFormat="1" applyFont="1" applyBorder="1"/>
    <xf numFmtId="44" fontId="8" fillId="0" borderId="21" xfId="5" applyNumberFormat="1" applyFont="1" applyBorder="1"/>
    <xf numFmtId="44" fontId="8" fillId="0" borderId="23" xfId="5" applyNumberFormat="1" applyFont="1" applyBorder="1"/>
    <xf numFmtId="0" fontId="8" fillId="0" borderId="0" xfId="5" applyFont="1"/>
    <xf numFmtId="0" fontId="8" fillId="0" borderId="24" xfId="5" applyFont="1" applyBorder="1" applyAlignment="1">
      <alignment horizontal="left"/>
    </xf>
    <xf numFmtId="183" fontId="8" fillId="0" borderId="0" xfId="5" applyNumberFormat="1" applyFont="1"/>
    <xf numFmtId="182" fontId="8" fillId="0" borderId="0" xfId="5" applyNumberFormat="1" applyFont="1"/>
    <xf numFmtId="0" fontId="8" fillId="0" borderId="24" xfId="5" applyFont="1" applyBorder="1"/>
    <xf numFmtId="182" fontId="8" fillId="0" borderId="25" xfId="5" applyNumberFormat="1" applyFont="1" applyBorder="1"/>
    <xf numFmtId="170" fontId="8" fillId="0" borderId="0" xfId="5" applyNumberFormat="1" applyFont="1"/>
    <xf numFmtId="0" fontId="8" fillId="0" borderId="25" xfId="5" applyFont="1" applyBorder="1"/>
    <xf numFmtId="167" fontId="8" fillId="0" borderId="0" xfId="1" applyNumberFormat="1" applyFont="1"/>
    <xf numFmtId="167" fontId="8" fillId="0" borderId="25" xfId="1" applyNumberFormat="1" applyFont="1" applyBorder="1"/>
    <xf numFmtId="0" fontId="8" fillId="0" borderId="26" xfId="5" applyFont="1" applyBorder="1" applyAlignment="1">
      <alignment horizontal="left"/>
    </xf>
    <xf numFmtId="0" fontId="8" fillId="0" borderId="13" xfId="5" applyFont="1" applyBorder="1"/>
    <xf numFmtId="183" fontId="8" fillId="0" borderId="13" xfId="5" applyNumberFormat="1" applyFont="1" applyBorder="1"/>
    <xf numFmtId="182" fontId="8" fillId="0" borderId="13" xfId="5" applyNumberFormat="1" applyFont="1" applyBorder="1"/>
    <xf numFmtId="0" fontId="8" fillId="0" borderId="26" xfId="5" applyFont="1" applyBorder="1"/>
    <xf numFmtId="167" fontId="8" fillId="0" borderId="13" xfId="1" applyNumberFormat="1" applyFont="1" applyBorder="1"/>
    <xf numFmtId="167" fontId="8" fillId="0" borderId="27" xfId="1" applyNumberFormat="1" applyFont="1" applyBorder="1"/>
    <xf numFmtId="0" fontId="8" fillId="0" borderId="0" xfId="5" applyFont="1" applyAlignment="1">
      <alignment horizontal="left"/>
    </xf>
    <xf numFmtId="0" fontId="5" fillId="0" borderId="0" xfId="5" applyAlignment="1">
      <alignment horizontal="left"/>
    </xf>
    <xf numFmtId="183" fontId="5" fillId="0" borderId="0" xfId="5" applyNumberFormat="1"/>
    <xf numFmtId="182" fontId="5" fillId="0" borderId="0" xfId="5" applyNumberFormat="1"/>
    <xf numFmtId="41" fontId="5" fillId="0" borderId="0" xfId="1" applyNumberFormat="1" applyFont="1" applyAlignment="1">
      <alignment horizontal="center" wrapText="1"/>
    </xf>
    <xf numFmtId="164" fontId="8" fillId="0" borderId="7" xfId="1" applyNumberFormat="1" applyFont="1" applyBorder="1" applyAlignment="1">
      <alignment horizontal="left"/>
    </xf>
    <xf numFmtId="164" fontId="8" fillId="0" borderId="7" xfId="1" applyNumberFormat="1" applyFont="1" applyBorder="1"/>
    <xf numFmtId="164" fontId="8" fillId="0" borderId="9" xfId="1" applyNumberFormat="1" applyFont="1" applyBorder="1"/>
    <xf numFmtId="164" fontId="8" fillId="0" borderId="0" xfId="1" applyNumberFormat="1" applyFont="1"/>
    <xf numFmtId="182" fontId="8" fillId="0" borderId="0" xfId="1" applyNumberFormat="1" applyFont="1"/>
    <xf numFmtId="182" fontId="8" fillId="0" borderId="10" xfId="1" applyNumberFormat="1" applyFont="1" applyBorder="1"/>
    <xf numFmtId="44" fontId="8" fillId="0" borderId="0" xfId="3" applyFont="1" applyFill="1" applyBorder="1"/>
    <xf numFmtId="175" fontId="8" fillId="0" borderId="0" xfId="2" applyNumberFormat="1" applyFont="1" applyFill="1" applyBorder="1"/>
    <xf numFmtId="175" fontId="8" fillId="0" borderId="8" xfId="2" applyNumberFormat="1" applyFont="1" applyFill="1" applyBorder="1"/>
    <xf numFmtId="164" fontId="5" fillId="0" borderId="4" xfId="1" applyNumberFormat="1" applyFont="1" applyBorder="1" applyAlignment="1">
      <alignment horizontal="left"/>
    </xf>
    <xf numFmtId="183" fontId="5" fillId="0" borderId="0" xfId="1" applyNumberFormat="1" applyFont="1"/>
    <xf numFmtId="183" fontId="7" fillId="0" borderId="0" xfId="1" applyNumberFormat="1" applyFont="1"/>
    <xf numFmtId="185" fontId="6" fillId="0" borderId="0" xfId="1" applyNumberFormat="1" applyFont="1" applyAlignment="1">
      <alignment horizontal="center"/>
    </xf>
    <xf numFmtId="186" fontId="5" fillId="0" borderId="0" xfId="1" applyNumberFormat="1" applyFont="1"/>
    <xf numFmtId="164" fontId="19" fillId="0" borderId="5" xfId="1" applyNumberFormat="1" applyFont="1" applyBorder="1" applyAlignment="1">
      <alignment horizontal="right"/>
    </xf>
    <xf numFmtId="185" fontId="5" fillId="0" borderId="0" xfId="1" applyNumberFormat="1" applyFont="1"/>
    <xf numFmtId="186" fontId="6" fillId="0" borderId="0" xfId="1" applyNumberFormat="1" applyFont="1"/>
    <xf numFmtId="167" fontId="5" fillId="0" borderId="0" xfId="1" applyNumberFormat="1" applyFont="1"/>
    <xf numFmtId="167" fontId="8" fillId="0" borderId="12" xfId="1" applyNumberFormat="1" applyFont="1" applyBorder="1"/>
    <xf numFmtId="164" fontId="7" fillId="0" borderId="0" xfId="1" applyNumberFormat="1" applyFont="1" applyAlignment="1">
      <alignment horizontal="center"/>
    </xf>
    <xf numFmtId="9" fontId="5" fillId="0" borderId="0" xfId="1" applyNumberFormat="1" applyFont="1" applyAlignment="1">
      <alignment horizontal="right"/>
    </xf>
    <xf numFmtId="166" fontId="5" fillId="0" borderId="0" xfId="1" applyNumberFormat="1" applyFont="1" applyAlignment="1">
      <alignment horizontal="right"/>
    </xf>
    <xf numFmtId="164" fontId="11" fillId="0" borderId="0" xfId="1" applyNumberFormat="1" applyFont="1" applyAlignment="1">
      <alignment horizontal="right"/>
    </xf>
    <xf numFmtId="41" fontId="5" fillId="0" borderId="0" xfId="1" applyNumberFormat="1" applyFont="1" applyAlignment="1">
      <alignment horizontal="right"/>
    </xf>
    <xf numFmtId="10" fontId="5" fillId="0" borderId="8" xfId="1" quotePrefix="1" applyNumberFormat="1" applyFont="1" applyBorder="1" applyAlignment="1">
      <alignment horizontal="center"/>
    </xf>
    <xf numFmtId="169" fontId="5" fillId="0" borderId="7" xfId="1" applyNumberFormat="1" applyFont="1" applyBorder="1" applyAlignment="1">
      <alignment horizontal="left" indent="2"/>
    </xf>
    <xf numFmtId="188" fontId="8" fillId="0" borderId="8" xfId="1" applyNumberFormat="1" applyFont="1" applyBorder="1" applyAlignment="1">
      <alignment horizontal="center"/>
    </xf>
    <xf numFmtId="169" fontId="5" fillId="0" borderId="9" xfId="1" applyNumberFormat="1" applyFont="1" applyBorder="1" applyAlignment="1">
      <alignment horizontal="left" indent="2"/>
    </xf>
    <xf numFmtId="170" fontId="5" fillId="0" borderId="10" xfId="1" applyNumberFormat="1" applyFont="1" applyBorder="1"/>
    <xf numFmtId="186" fontId="5" fillId="0" borderId="10" xfId="1" applyNumberFormat="1" applyFont="1" applyBorder="1"/>
    <xf numFmtId="41" fontId="5" fillId="0" borderId="10" xfId="1" applyNumberFormat="1" applyFont="1" applyBorder="1" applyAlignment="1">
      <alignment horizontal="right"/>
    </xf>
    <xf numFmtId="183" fontId="5" fillId="0" borderId="11" xfId="1" applyNumberFormat="1" applyFont="1" applyBorder="1" applyAlignment="1">
      <alignment horizontal="center"/>
    </xf>
    <xf numFmtId="168" fontId="5" fillId="0" borderId="0" xfId="1" applyNumberFormat="1" applyFont="1"/>
    <xf numFmtId="49" fontId="8" fillId="3" borderId="0" xfId="1" applyNumberFormat="1" applyFont="1" applyFill="1" applyAlignment="1">
      <alignment horizontal="center"/>
    </xf>
    <xf numFmtId="49" fontId="23" fillId="3" borderId="0" xfId="1" applyNumberFormat="1" applyFont="1" applyFill="1" applyAlignment="1">
      <alignment horizontal="center"/>
    </xf>
    <xf numFmtId="49" fontId="5" fillId="3" borderId="0" xfId="1" applyNumberFormat="1" applyFont="1" applyFill="1" applyAlignment="1">
      <alignment horizontal="center"/>
    </xf>
    <xf numFmtId="49" fontId="5" fillId="3" borderId="0" xfId="1" applyNumberFormat="1" applyFont="1" applyFill="1" applyAlignment="1">
      <alignment horizontal="left"/>
    </xf>
    <xf numFmtId="41" fontId="8" fillId="3" borderId="0" xfId="1" quotePrefix="1" applyNumberFormat="1" applyFont="1" applyFill="1"/>
    <xf numFmtId="166" fontId="8" fillId="3" borderId="0" xfId="1" applyNumberFormat="1" applyFont="1" applyFill="1"/>
    <xf numFmtId="170" fontId="5" fillId="0" borderId="0" xfId="9" applyNumberFormat="1" applyFont="1" applyFill="1" applyBorder="1"/>
    <xf numFmtId="0" fontId="22" fillId="0" borderId="0" xfId="0" applyFont="1"/>
    <xf numFmtId="9" fontId="22" fillId="3" borderId="0" xfId="7" applyFont="1" applyFill="1"/>
    <xf numFmtId="49" fontId="22" fillId="0" borderId="0" xfId="0" applyNumberFormat="1" applyFont="1"/>
    <xf numFmtId="9" fontId="0" fillId="3" borderId="0" xfId="7" applyFont="1" applyFill="1" applyAlignment="1">
      <alignment horizontal="right"/>
    </xf>
    <xf numFmtId="169" fontId="24" fillId="0" borderId="7" xfId="1" applyNumberFormat="1" applyFont="1" applyBorder="1"/>
    <xf numFmtId="166" fontId="3" fillId="6" borderId="0" xfId="1" applyNumberFormat="1" applyFont="1" applyFill="1" applyAlignment="1">
      <alignment horizontal="center"/>
    </xf>
    <xf numFmtId="164" fontId="5" fillId="6" borderId="8" xfId="1" applyNumberFormat="1" applyFont="1" applyFill="1" applyBorder="1" applyAlignment="1">
      <alignment horizontal="center"/>
    </xf>
    <xf numFmtId="166" fontId="5" fillId="6" borderId="8" xfId="1" applyNumberFormat="1" applyFont="1" applyFill="1" applyBorder="1" applyAlignment="1">
      <alignment horizontal="center"/>
    </xf>
    <xf numFmtId="41" fontId="6" fillId="6" borderId="0" xfId="1" applyNumberFormat="1" applyFont="1" applyFill="1" applyAlignment="1">
      <alignment horizontal="center"/>
    </xf>
    <xf numFmtId="9" fontId="7" fillId="6" borderId="8" xfId="1" quotePrefix="1" applyNumberFormat="1" applyFont="1" applyFill="1" applyBorder="1" applyAlignment="1">
      <alignment horizontal="center"/>
    </xf>
    <xf numFmtId="166" fontId="3" fillId="6" borderId="0" xfId="1" applyNumberFormat="1" applyFont="1" applyFill="1"/>
    <xf numFmtId="164" fontId="3" fillId="6" borderId="0" xfId="1" applyNumberFormat="1" applyFont="1" applyFill="1"/>
    <xf numFmtId="164" fontId="3" fillId="6" borderId="8" xfId="1" applyNumberFormat="1" applyFont="1" applyFill="1" applyBorder="1"/>
    <xf numFmtId="164" fontId="3" fillId="6" borderId="0" xfId="1" applyNumberFormat="1" applyFont="1" applyFill="1" applyAlignment="1">
      <alignment horizontal="center"/>
    </xf>
    <xf numFmtId="164" fontId="5" fillId="6" borderId="8" xfId="1" applyNumberFormat="1" applyFont="1" applyFill="1" applyBorder="1"/>
    <xf numFmtId="166" fontId="5" fillId="6" borderId="8" xfId="1" applyNumberFormat="1" applyFont="1" applyFill="1" applyBorder="1" applyAlignment="1">
      <alignment horizontal="right"/>
    </xf>
    <xf numFmtId="165" fontId="7" fillId="6" borderId="8" xfId="1" applyNumberFormat="1" applyFont="1" applyFill="1" applyBorder="1" applyAlignment="1">
      <alignment horizontal="left"/>
    </xf>
    <xf numFmtId="41" fontId="12" fillId="6" borderId="0" xfId="1" applyNumberFormat="1" applyFont="1" applyFill="1" applyAlignment="1">
      <alignment horizontal="center"/>
    </xf>
    <xf numFmtId="167" fontId="8" fillId="0" borderId="2" xfId="1" applyNumberFormat="1" applyFont="1" applyBorder="1"/>
    <xf numFmtId="167" fontId="8" fillId="0" borderId="3" xfId="1" applyNumberFormat="1" applyFont="1" applyBorder="1"/>
    <xf numFmtId="189" fontId="8" fillId="3" borderId="0" xfId="1" applyNumberFormat="1" applyFont="1" applyFill="1" applyAlignment="1">
      <alignment horizontal="right"/>
    </xf>
    <xf numFmtId="41" fontId="8" fillId="3" borderId="0" xfId="1" applyNumberFormat="1" applyFont="1" applyFill="1" applyAlignment="1">
      <alignment horizontal="center"/>
    </xf>
    <xf numFmtId="41" fontId="23" fillId="3" borderId="0" xfId="1" applyNumberFormat="1" applyFont="1" applyFill="1" applyAlignment="1">
      <alignment horizontal="right"/>
    </xf>
    <xf numFmtId="41" fontId="25" fillId="3" borderId="0" xfId="1" applyNumberFormat="1" applyFont="1" applyFill="1" applyAlignment="1">
      <alignment horizontal="right"/>
    </xf>
    <xf numFmtId="42" fontId="5" fillId="3" borderId="0" xfId="1" applyNumberFormat="1" applyFont="1" applyFill="1"/>
    <xf numFmtId="42" fontId="18" fillId="3" borderId="0" xfId="1" applyNumberFormat="1" applyFont="1" applyFill="1"/>
    <xf numFmtId="164" fontId="2" fillId="0" borderId="0" xfId="1" applyNumberFormat="1" applyFont="1" applyAlignment="1">
      <alignment horizontal="center"/>
    </xf>
    <xf numFmtId="49" fontId="4" fillId="0" borderId="0" xfId="1" applyNumberFormat="1" applyFont="1" applyAlignment="1">
      <alignment horizontal="center"/>
    </xf>
    <xf numFmtId="2" fontId="5" fillId="3" borderId="0" xfId="1" applyNumberFormat="1" applyFont="1" applyFill="1"/>
    <xf numFmtId="43" fontId="6" fillId="5" borderId="0" xfId="1" applyNumberFormat="1" applyFont="1" applyFill="1" applyAlignment="1">
      <alignment horizontal="center"/>
    </xf>
    <xf numFmtId="43" fontId="5" fillId="5" borderId="0" xfId="1" applyNumberFormat="1" applyFont="1" applyFill="1" applyAlignment="1">
      <alignment horizontal="center"/>
    </xf>
    <xf numFmtId="165" fontId="5" fillId="5" borderId="0" xfId="1" quotePrefix="1" applyNumberFormat="1" applyFont="1" applyFill="1" applyAlignment="1">
      <alignment horizontal="center"/>
    </xf>
    <xf numFmtId="165" fontId="5" fillId="5" borderId="0" xfId="1" applyNumberFormat="1" applyFont="1" applyFill="1" applyAlignment="1">
      <alignment horizontal="right"/>
    </xf>
    <xf numFmtId="166" fontId="5" fillId="5" borderId="0" xfId="1" applyNumberFormat="1" applyFont="1" applyFill="1"/>
    <xf numFmtId="165" fontId="7" fillId="5" borderId="0" xfId="1" applyNumberFormat="1" applyFont="1" applyFill="1"/>
    <xf numFmtId="165" fontId="6" fillId="5" borderId="0" xfId="1" applyNumberFormat="1" applyFont="1" applyFill="1" applyAlignment="1">
      <alignment horizontal="right"/>
    </xf>
    <xf numFmtId="165" fontId="5" fillId="5" borderId="0" xfId="1" applyNumberFormat="1" applyFont="1" applyFill="1"/>
    <xf numFmtId="165" fontId="6" fillId="5" borderId="0" xfId="1" applyNumberFormat="1" applyFont="1" applyFill="1"/>
    <xf numFmtId="164" fontId="5" fillId="5" borderId="0" xfId="1" applyNumberFormat="1" applyFont="1" applyFill="1"/>
    <xf numFmtId="167" fontId="8" fillId="5" borderId="3" xfId="1" applyNumberFormat="1" applyFont="1" applyFill="1" applyBorder="1"/>
    <xf numFmtId="164" fontId="3" fillId="5" borderId="0" xfId="1" applyNumberFormat="1" applyFont="1" applyFill="1" applyAlignment="1">
      <alignment horizontal="left"/>
    </xf>
    <xf numFmtId="164" fontId="8" fillId="5" borderId="0" xfId="1" applyNumberFormat="1" applyFont="1" applyFill="1"/>
    <xf numFmtId="164" fontId="8" fillId="5" borderId="0" xfId="1" applyNumberFormat="1" applyFont="1" applyFill="1" applyAlignment="1">
      <alignment horizontal="right"/>
    </xf>
    <xf numFmtId="164" fontId="5" fillId="5" borderId="0" xfId="1" applyNumberFormat="1" applyFont="1" applyFill="1" applyAlignment="1">
      <alignment horizontal="center"/>
    </xf>
    <xf numFmtId="169" fontId="5" fillId="0" borderId="7" xfId="1" applyNumberFormat="1" applyFont="1" applyBorder="1" applyAlignment="1">
      <alignment horizontal="left" indent="1"/>
    </xf>
    <xf numFmtId="187" fontId="5" fillId="8" borderId="0" xfId="1" applyNumberFormat="1" applyFont="1" applyFill="1"/>
    <xf numFmtId="176" fontId="8" fillId="0" borderId="0" xfId="10" applyNumberFormat="1" applyFont="1" applyFill="1" applyBorder="1"/>
    <xf numFmtId="165" fontId="3" fillId="5" borderId="0" xfId="1" applyNumberFormat="1" applyFont="1" applyFill="1" applyAlignment="1">
      <alignment horizontal="right"/>
    </xf>
    <xf numFmtId="170" fontId="7" fillId="0" borderId="0" xfId="1" applyNumberFormat="1" applyFont="1"/>
    <xf numFmtId="10" fontId="5" fillId="0" borderId="0" xfId="1" applyNumberFormat="1" applyFont="1"/>
    <xf numFmtId="10" fontId="5" fillId="7" borderId="0" xfId="1" applyNumberFormat="1" applyFont="1" applyFill="1"/>
    <xf numFmtId="183" fontId="5" fillId="0" borderId="10" xfId="1" applyNumberFormat="1" applyFont="1" applyBorder="1"/>
    <xf numFmtId="187" fontId="5" fillId="0" borderId="10" xfId="1" applyNumberFormat="1" applyFont="1" applyBorder="1"/>
    <xf numFmtId="43" fontId="6" fillId="0" borderId="0" xfId="1" applyNumberFormat="1" applyFont="1"/>
    <xf numFmtId="164" fontId="26" fillId="0" borderId="7" xfId="1" applyNumberFormat="1" applyFont="1" applyBorder="1"/>
    <xf numFmtId="173" fontId="5" fillId="0" borderId="0" xfId="2" applyNumberFormat="1" applyFont="1" applyFill="1" applyBorder="1"/>
    <xf numFmtId="173" fontId="5" fillId="0" borderId="8" xfId="2" applyNumberFormat="1" applyFont="1" applyFill="1" applyBorder="1"/>
    <xf numFmtId="177" fontId="5" fillId="0" borderId="0" xfId="1" applyNumberFormat="1" applyFont="1"/>
    <xf numFmtId="175" fontId="5" fillId="0" borderId="0" xfId="3" applyNumberFormat="1" applyFont="1" applyFill="1" applyBorder="1"/>
    <xf numFmtId="175" fontId="5" fillId="0" borderId="0" xfId="10" applyNumberFormat="1" applyFont="1" applyFill="1" applyBorder="1"/>
    <xf numFmtId="187" fontId="5" fillId="0" borderId="0" xfId="1" applyNumberFormat="1" applyFont="1"/>
    <xf numFmtId="164" fontId="27" fillId="0" borderId="0" xfId="1" applyNumberFormat="1" applyFont="1"/>
    <xf numFmtId="176" fontId="5" fillId="0" borderId="8" xfId="3" applyNumberFormat="1" applyFont="1" applyFill="1" applyBorder="1"/>
    <xf numFmtId="164" fontId="10" fillId="0" borderId="0" xfId="1" applyNumberFormat="1" applyFont="1"/>
    <xf numFmtId="166" fontId="5" fillId="0" borderId="0" xfId="1" applyNumberFormat="1" applyFont="1" applyAlignment="1">
      <alignment horizontal="center"/>
    </xf>
    <xf numFmtId="164" fontId="5" fillId="0" borderId="0" xfId="1" quotePrefix="1" applyNumberFormat="1" applyFont="1" applyAlignment="1">
      <alignment horizontal="center"/>
    </xf>
    <xf numFmtId="10" fontId="5" fillId="0" borderId="0" xfId="1" quotePrefix="1" applyNumberFormat="1" applyFont="1" applyAlignment="1">
      <alignment horizontal="center"/>
    </xf>
    <xf numFmtId="188" fontId="8" fillId="0" borderId="0" xfId="1" applyNumberFormat="1" applyFont="1" applyAlignment="1">
      <alignment horizontal="center"/>
    </xf>
    <xf numFmtId="183" fontId="5" fillId="0" borderId="0" xfId="1" applyNumberFormat="1" applyFont="1" applyAlignment="1">
      <alignment horizontal="center"/>
    </xf>
    <xf numFmtId="167" fontId="5" fillId="0" borderId="0" xfId="2" applyNumberFormat="1" applyFont="1" applyFill="1" applyBorder="1"/>
    <xf numFmtId="176" fontId="3" fillId="0" borderId="0" xfId="2" applyNumberFormat="1" applyFont="1" applyFill="1" applyBorder="1"/>
    <xf numFmtId="178" fontId="12" fillId="0" borderId="0" xfId="2" applyNumberFormat="1" applyFont="1" applyFill="1" applyBorder="1"/>
    <xf numFmtId="164" fontId="5" fillId="0" borderId="0" xfId="1" applyNumberFormat="1" applyFont="1" applyAlignment="1">
      <alignment horizontal="center" wrapText="1"/>
    </xf>
    <xf numFmtId="167" fontId="6" fillId="0" borderId="0" xfId="1" applyNumberFormat="1" applyFont="1"/>
    <xf numFmtId="165" fontId="3" fillId="0" borderId="0" xfId="1" applyNumberFormat="1" applyFont="1" applyAlignment="1">
      <alignment horizontal="right"/>
    </xf>
    <xf numFmtId="49" fontId="4" fillId="0" borderId="0" xfId="1" applyNumberFormat="1" applyFont="1"/>
    <xf numFmtId="9" fontId="7" fillId="0" borderId="0" xfId="1" quotePrefix="1" applyNumberFormat="1" applyFont="1" applyAlignment="1">
      <alignment horizontal="center"/>
    </xf>
    <xf numFmtId="165" fontId="7" fillId="0" borderId="0" xfId="1" applyNumberFormat="1" applyFont="1" applyAlignment="1">
      <alignment horizontal="left"/>
    </xf>
    <xf numFmtId="164" fontId="14" fillId="0" borderId="7" xfId="1" applyNumberFormat="1" applyFont="1" applyBorder="1"/>
    <xf numFmtId="10" fontId="3" fillId="0" borderId="0" xfId="9" applyNumberFormat="1" applyFont="1" applyFill="1" applyBorder="1"/>
    <xf numFmtId="165" fontId="6" fillId="0" borderId="0" xfId="1" applyNumberFormat="1" applyFont="1" applyAlignment="1">
      <alignment horizontal="right"/>
    </xf>
    <xf numFmtId="183" fontId="5" fillId="0" borderId="8" xfId="1" applyNumberFormat="1" applyFont="1" applyBorder="1" applyAlignment="1">
      <alignment horizontal="center"/>
    </xf>
    <xf numFmtId="168" fontId="5" fillId="0" borderId="0" xfId="1" applyNumberFormat="1" applyFont="1" applyAlignment="1">
      <alignment horizontal="left"/>
    </xf>
    <xf numFmtId="187" fontId="3" fillId="0" borderId="0" xfId="11" applyNumberFormat="1" applyFont="1" applyFill="1" applyBorder="1"/>
    <xf numFmtId="164" fontId="2" fillId="0" borderId="0" xfId="1" applyNumberFormat="1" applyFont="1"/>
    <xf numFmtId="43" fontId="17" fillId="3" borderId="0" xfId="1" applyNumberFormat="1" applyFont="1" applyFill="1" applyAlignment="1">
      <alignment wrapText="1"/>
    </xf>
    <xf numFmtId="189" fontId="8" fillId="3" borderId="0" xfId="1" applyNumberFormat="1" applyFont="1" applyFill="1"/>
    <xf numFmtId="164" fontId="8" fillId="3" borderId="0" xfId="1" applyNumberFormat="1" applyFont="1" applyFill="1" applyAlignment="1">
      <alignment horizontal="right"/>
    </xf>
    <xf numFmtId="164" fontId="23" fillId="3" borderId="0" xfId="1" applyNumberFormat="1" applyFont="1" applyFill="1" applyAlignment="1">
      <alignment horizontal="center"/>
    </xf>
    <xf numFmtId="164" fontId="23" fillId="3" borderId="0" xfId="1" applyNumberFormat="1" applyFont="1" applyFill="1"/>
    <xf numFmtId="164" fontId="23" fillId="3" borderId="0" xfId="1" applyNumberFormat="1" applyFont="1" applyFill="1" applyAlignment="1">
      <alignment horizontal="right"/>
    </xf>
    <xf numFmtId="43" fontId="6" fillId="0" borderId="7" xfId="1" quotePrefix="1" applyNumberFormat="1" applyFont="1" applyBorder="1" applyAlignment="1">
      <alignment horizontal="center"/>
    </xf>
    <xf numFmtId="43" fontId="6" fillId="0" borderId="0" xfId="1" quotePrefix="1" applyNumberFormat="1" applyFont="1" applyAlignment="1">
      <alignment horizontal="center"/>
    </xf>
    <xf numFmtId="43" fontId="6" fillId="0" borderId="8" xfId="1" quotePrefix="1" applyNumberFormat="1" applyFont="1" applyBorder="1" applyAlignment="1">
      <alignment horizontal="center"/>
    </xf>
    <xf numFmtId="164" fontId="7" fillId="0" borderId="7" xfId="1" quotePrefix="1" applyNumberFormat="1" applyFont="1" applyBorder="1" applyAlignment="1">
      <alignment horizontal="right"/>
    </xf>
    <xf numFmtId="164" fontId="7" fillId="0" borderId="8" xfId="1" quotePrefix="1" applyNumberFormat="1" applyFont="1" applyBorder="1" applyAlignment="1">
      <alignment horizontal="right"/>
    </xf>
    <xf numFmtId="164" fontId="5" fillId="5" borderId="24" xfId="1" applyNumberFormat="1" applyFont="1" applyFill="1" applyBorder="1" applyAlignment="1">
      <alignment horizontal="center"/>
    </xf>
    <xf numFmtId="164" fontId="5" fillId="5" borderId="25" xfId="1" applyNumberFormat="1" applyFont="1" applyFill="1" applyBorder="1" applyAlignment="1">
      <alignment horizontal="center"/>
    </xf>
    <xf numFmtId="42" fontId="5" fillId="3" borderId="0" xfId="1" applyNumberFormat="1" applyFont="1" applyFill="1" applyAlignment="1">
      <alignment horizontal="right"/>
    </xf>
    <xf numFmtId="167" fontId="5" fillId="0" borderId="7" xfId="1" applyNumberFormat="1" applyFont="1" applyBorder="1"/>
    <xf numFmtId="167" fontId="5" fillId="0" borderId="8" xfId="1" applyNumberFormat="1" applyFont="1" applyBorder="1"/>
    <xf numFmtId="167" fontId="5" fillId="7" borderId="7" xfId="1" applyNumberFormat="1" applyFont="1" applyFill="1" applyBorder="1"/>
    <xf numFmtId="165" fontId="5" fillId="5" borderId="24" xfId="1" applyNumberFormat="1" applyFont="1" applyFill="1" applyBorder="1"/>
    <xf numFmtId="167" fontId="5" fillId="5" borderId="25" xfId="1" applyNumberFormat="1" applyFont="1" applyFill="1" applyBorder="1"/>
    <xf numFmtId="165" fontId="5" fillId="0" borderId="7" xfId="1" quotePrefix="1" applyNumberFormat="1" applyFont="1" applyBorder="1"/>
    <xf numFmtId="165" fontId="5" fillId="0" borderId="8" xfId="1" applyNumberFormat="1" applyFont="1" applyBorder="1"/>
    <xf numFmtId="165" fontId="5" fillId="7" borderId="7" xfId="1" quotePrefix="1" applyNumberFormat="1" applyFont="1" applyFill="1" applyBorder="1"/>
    <xf numFmtId="165" fontId="5" fillId="5" borderId="25" xfId="1" applyNumberFormat="1" applyFont="1" applyFill="1" applyBorder="1"/>
    <xf numFmtId="41" fontId="5" fillId="3" borderId="0" xfId="1" quotePrefix="1" applyNumberFormat="1" applyFont="1" applyFill="1"/>
    <xf numFmtId="190" fontId="5" fillId="3" borderId="0" xfId="1" applyNumberFormat="1" applyFont="1" applyFill="1"/>
    <xf numFmtId="165" fontId="5" fillId="0" borderId="7" xfId="1" applyNumberFormat="1" applyFont="1" applyBorder="1"/>
    <xf numFmtId="165" fontId="6" fillId="0" borderId="7" xfId="1" applyNumberFormat="1" applyFont="1" applyBorder="1"/>
    <xf numFmtId="165" fontId="6" fillId="0" borderId="8" xfId="1" applyNumberFormat="1" applyFont="1" applyBorder="1"/>
    <xf numFmtId="165" fontId="6" fillId="5" borderId="24" xfId="1" applyNumberFormat="1" applyFont="1" applyFill="1" applyBorder="1"/>
    <xf numFmtId="165" fontId="6" fillId="5" borderId="25" xfId="1" applyNumberFormat="1" applyFont="1" applyFill="1" applyBorder="1"/>
    <xf numFmtId="164" fontId="5" fillId="0" borderId="0" xfId="1" applyNumberFormat="1" applyFont="1" applyAlignment="1">
      <alignment horizontal="left" indent="1"/>
    </xf>
    <xf numFmtId="167" fontId="3" fillId="3" borderId="0" xfId="1" applyNumberFormat="1" applyFont="1" applyFill="1"/>
    <xf numFmtId="165" fontId="3" fillId="3" borderId="0" xfId="1" applyNumberFormat="1" applyFont="1" applyFill="1"/>
    <xf numFmtId="42" fontId="8" fillId="3" borderId="0" xfId="1" quotePrefix="1" applyNumberFormat="1" applyFont="1" applyFill="1"/>
    <xf numFmtId="42" fontId="18" fillId="3" borderId="0" xfId="1" quotePrefix="1" applyNumberFormat="1" applyFont="1" applyFill="1"/>
    <xf numFmtId="167" fontId="8" fillId="5" borderId="32" xfId="1" applyNumberFormat="1" applyFont="1" applyFill="1" applyBorder="1"/>
    <xf numFmtId="167" fontId="8" fillId="5" borderId="33" xfId="1" applyNumberFormat="1" applyFont="1" applyFill="1" applyBorder="1"/>
    <xf numFmtId="167" fontId="8" fillId="5" borderId="34" xfId="1" applyNumberFormat="1" applyFont="1" applyFill="1" applyBorder="1"/>
    <xf numFmtId="167" fontId="8" fillId="3" borderId="2" xfId="1" applyNumberFormat="1" applyFont="1" applyFill="1" applyBorder="1"/>
    <xf numFmtId="167" fontId="18" fillId="3" borderId="0" xfId="1" applyNumberFormat="1" applyFont="1" applyFill="1"/>
    <xf numFmtId="9" fontId="3" fillId="0" borderId="0" xfId="1" applyNumberFormat="1" applyFont="1" applyAlignment="1">
      <alignment horizontal="left"/>
    </xf>
    <xf numFmtId="41" fontId="8" fillId="5" borderId="35" xfId="1" applyNumberFormat="1" applyFont="1" applyFill="1" applyBorder="1"/>
    <xf numFmtId="164" fontId="5" fillId="0" borderId="0" xfId="1" applyNumberFormat="1" applyFont="1" applyAlignment="1">
      <alignment horizontal="left" indent="2"/>
    </xf>
    <xf numFmtId="164" fontId="8" fillId="0" borderId="0" xfId="1" applyNumberFormat="1" applyFont="1" applyAlignment="1">
      <alignment horizontal="left"/>
    </xf>
    <xf numFmtId="41" fontId="8" fillId="0" borderId="0" xfId="1" applyNumberFormat="1" applyFont="1"/>
    <xf numFmtId="164" fontId="29" fillId="0" borderId="0" xfId="1" applyNumberFormat="1" applyFont="1"/>
    <xf numFmtId="42" fontId="5" fillId="0" borderId="0" xfId="1" applyNumberFormat="1" applyFont="1" applyAlignment="1">
      <alignment horizontal="right"/>
    </xf>
    <xf numFmtId="41" fontId="6" fillId="0" borderId="0" xfId="1" applyNumberFormat="1" applyFont="1" applyAlignment="1">
      <alignment horizontal="right"/>
    </xf>
    <xf numFmtId="41" fontId="30" fillId="0" borderId="0" xfId="1" applyNumberFormat="1" applyFont="1" applyAlignment="1">
      <alignment horizontal="right"/>
    </xf>
    <xf numFmtId="42" fontId="30" fillId="0" borderId="0" xfId="1" applyNumberFormat="1" applyFont="1" applyAlignment="1">
      <alignment horizontal="right"/>
    </xf>
    <xf numFmtId="164" fontId="7" fillId="0" borderId="7" xfId="1" applyNumberFormat="1" applyFont="1" applyBorder="1" applyAlignment="1">
      <alignment horizontal="left"/>
    </xf>
    <xf numFmtId="41" fontId="28" fillId="9" borderId="28" xfId="12" applyNumberFormat="1" applyProtection="1">
      <protection locked="0"/>
    </xf>
    <xf numFmtId="41" fontId="28" fillId="9" borderId="28" xfId="12" applyNumberFormat="1"/>
    <xf numFmtId="9" fontId="5" fillId="0" borderId="0" xfId="9" applyFont="1" applyFill="1" applyBorder="1"/>
    <xf numFmtId="9" fontId="5" fillId="0" borderId="0" xfId="9" applyFont="1" applyBorder="1"/>
    <xf numFmtId="164" fontId="5" fillId="0" borderId="7" xfId="1" applyNumberFormat="1" applyFont="1" applyBorder="1" applyAlignment="1">
      <alignment horizontal="left" indent="2"/>
    </xf>
    <xf numFmtId="41" fontId="5" fillId="0" borderId="33" xfId="1" applyNumberFormat="1" applyFont="1" applyBorder="1"/>
    <xf numFmtId="9" fontId="5" fillId="0" borderId="33" xfId="9" applyFont="1" applyBorder="1"/>
    <xf numFmtId="41" fontId="6" fillId="0" borderId="0" xfId="1" applyNumberFormat="1" applyFont="1"/>
    <xf numFmtId="164" fontId="31" fillId="0" borderId="0" xfId="1" applyNumberFormat="1" applyFont="1"/>
    <xf numFmtId="164" fontId="7" fillId="0" borderId="4" xfId="1" applyNumberFormat="1" applyFont="1" applyBorder="1" applyAlignment="1">
      <alignment horizontal="left"/>
    </xf>
    <xf numFmtId="44" fontId="3" fillId="0" borderId="0" xfId="1" applyNumberFormat="1" applyFont="1" applyAlignment="1" applyProtection="1">
      <alignment horizontal="right"/>
      <protection locked="0"/>
    </xf>
    <xf numFmtId="9" fontId="5" fillId="0" borderId="0" xfId="1" applyNumberFormat="1" applyFont="1" applyProtection="1">
      <protection locked="0"/>
    </xf>
    <xf numFmtId="43" fontId="6" fillId="0" borderId="7" xfId="1" applyNumberFormat="1" applyFont="1" applyBorder="1" applyAlignment="1">
      <alignment horizontal="center" wrapText="1"/>
    </xf>
    <xf numFmtId="41" fontId="6" fillId="0" borderId="8" xfId="1" applyNumberFormat="1" applyFont="1" applyBorder="1" applyAlignment="1">
      <alignment horizontal="center" wrapText="1"/>
    </xf>
    <xf numFmtId="164" fontId="7" fillId="3" borderId="0" xfId="1" applyNumberFormat="1" applyFont="1" applyFill="1" applyAlignment="1">
      <alignment horizontal="right"/>
    </xf>
    <xf numFmtId="164" fontId="7" fillId="3" borderId="0" xfId="1" applyNumberFormat="1" applyFont="1" applyFill="1" applyAlignment="1">
      <alignment wrapText="1"/>
    </xf>
    <xf numFmtId="0" fontId="5" fillId="3" borderId="0" xfId="1" applyFont="1" applyFill="1"/>
    <xf numFmtId="44" fontId="5" fillId="3" borderId="0" xfId="1" applyNumberFormat="1" applyFont="1" applyFill="1"/>
    <xf numFmtId="187" fontId="5" fillId="0" borderId="8" xfId="2" applyNumberFormat="1" applyFont="1" applyFill="1" applyBorder="1"/>
    <xf numFmtId="187" fontId="5" fillId="0" borderId="0" xfId="2" applyNumberFormat="1" applyFont="1" applyFill="1" applyBorder="1"/>
    <xf numFmtId="178" fontId="6" fillId="3" borderId="0" xfId="1" applyNumberFormat="1" applyFont="1" applyFill="1"/>
    <xf numFmtId="164" fontId="3" fillId="2" borderId="0" xfId="1" applyNumberFormat="1" applyFont="1" applyFill="1"/>
    <xf numFmtId="10" fontId="3" fillId="0" borderId="7" xfId="1" applyNumberFormat="1" applyFont="1" applyBorder="1"/>
    <xf numFmtId="176" fontId="3" fillId="0" borderId="8" xfId="3" applyNumberFormat="1" applyFont="1" applyFill="1" applyBorder="1"/>
    <xf numFmtId="178" fontId="5" fillId="3" borderId="5" xfId="1" applyNumberFormat="1" applyFont="1" applyFill="1" applyBorder="1"/>
    <xf numFmtId="10" fontId="3" fillId="0" borderId="7" xfId="1" applyNumberFormat="1" applyFont="1" applyBorder="1" applyAlignment="1">
      <alignment horizontal="center"/>
    </xf>
    <xf numFmtId="187" fontId="5" fillId="0" borderId="8" xfId="3" applyNumberFormat="1" applyFont="1" applyFill="1" applyBorder="1"/>
    <xf numFmtId="187" fontId="5" fillId="0" borderId="0" xfId="3" applyNumberFormat="1" applyFont="1" applyFill="1" applyBorder="1"/>
    <xf numFmtId="187" fontId="6" fillId="0" borderId="8" xfId="3" applyNumberFormat="1" applyFont="1" applyFill="1" applyBorder="1"/>
    <xf numFmtId="187" fontId="6" fillId="0" borderId="0" xfId="3" applyNumberFormat="1" applyFont="1" applyFill="1" applyBorder="1"/>
    <xf numFmtId="176" fontId="30" fillId="0" borderId="8" xfId="3" applyNumberFormat="1" applyFont="1" applyFill="1" applyBorder="1"/>
    <xf numFmtId="176" fontId="30" fillId="0" borderId="0" xfId="3" applyNumberFormat="1" applyFont="1" applyFill="1" applyBorder="1"/>
    <xf numFmtId="164" fontId="5" fillId="0" borderId="9" xfId="1" applyNumberFormat="1" applyFont="1" applyBorder="1" applyAlignment="1">
      <alignment horizontal="left"/>
    </xf>
    <xf numFmtId="10" fontId="3" fillId="0" borderId="9" xfId="1" applyNumberFormat="1" applyFont="1" applyBorder="1"/>
    <xf numFmtId="172" fontId="3" fillId="0" borderId="11" xfId="1" applyNumberFormat="1" applyFont="1" applyBorder="1"/>
    <xf numFmtId="172" fontId="5" fillId="0" borderId="0" xfId="1" applyNumberFormat="1" applyFont="1"/>
    <xf numFmtId="164" fontId="7" fillId="0" borderId="4" xfId="1" applyNumberFormat="1" applyFont="1" applyBorder="1"/>
    <xf numFmtId="41" fontId="6" fillId="0" borderId="7" xfId="1" applyNumberFormat="1" applyFont="1" applyBorder="1" applyAlignment="1">
      <alignment horizontal="center" wrapText="1"/>
    </xf>
    <xf numFmtId="41" fontId="6" fillId="0" borderId="41" xfId="1" applyNumberFormat="1" applyFont="1" applyBorder="1" applyAlignment="1">
      <alignment horizontal="center" wrapText="1"/>
    </xf>
    <xf numFmtId="176" fontId="28" fillId="9" borderId="39" xfId="12" applyNumberFormat="1" applyBorder="1" applyAlignment="1" applyProtection="1">
      <alignment horizontal="center"/>
      <protection locked="0"/>
    </xf>
    <xf numFmtId="167" fontId="5" fillId="0" borderId="0" xfId="2" applyNumberFormat="1" applyFont="1" applyFill="1" applyBorder="1" applyAlignment="1">
      <alignment horizontal="center"/>
    </xf>
    <xf numFmtId="167" fontId="5" fillId="0" borderId="8" xfId="2" applyNumberFormat="1" applyFont="1" applyFill="1" applyBorder="1" applyAlignment="1">
      <alignment horizontal="center"/>
    </xf>
    <xf numFmtId="168" fontId="5" fillId="3" borderId="0" xfId="1" applyNumberFormat="1" applyFont="1" applyFill="1"/>
    <xf numFmtId="165" fontId="6" fillId="0" borderId="0" xfId="3" applyNumberFormat="1" applyFont="1" applyFill="1" applyBorder="1" applyAlignment="1">
      <alignment horizontal="center"/>
    </xf>
    <xf numFmtId="165" fontId="6" fillId="0" borderId="8" xfId="3" applyNumberFormat="1" applyFont="1" applyFill="1" applyBorder="1" applyAlignment="1">
      <alignment horizontal="center"/>
    </xf>
    <xf numFmtId="164" fontId="3" fillId="0" borderId="0" xfId="1" applyNumberFormat="1" applyFont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7" fontId="30" fillId="0" borderId="0" xfId="2" applyNumberFormat="1" applyFont="1" applyFill="1" applyBorder="1" applyAlignment="1">
      <alignment horizontal="center"/>
    </xf>
    <xf numFmtId="167" fontId="30" fillId="0" borderId="8" xfId="2" applyNumberFormat="1" applyFont="1" applyFill="1" applyBorder="1" applyAlignment="1">
      <alignment horizontal="center"/>
    </xf>
    <xf numFmtId="3" fontId="32" fillId="0" borderId="0" xfId="0" applyNumberFormat="1" applyFont="1" applyAlignment="1">
      <alignment horizontal="center"/>
    </xf>
    <xf numFmtId="164" fontId="3" fillId="3" borderId="0" xfId="1" applyNumberFormat="1" applyFont="1" applyFill="1" applyAlignment="1">
      <alignment horizontal="center"/>
    </xf>
    <xf numFmtId="170" fontId="21" fillId="3" borderId="0" xfId="7" applyNumberFormat="1" applyFont="1" applyFill="1"/>
    <xf numFmtId="175" fontId="28" fillId="9" borderId="28" xfId="12" applyNumberFormat="1"/>
    <xf numFmtId="167" fontId="30" fillId="0" borderId="8" xfId="3" applyNumberFormat="1" applyFont="1" applyFill="1" applyBorder="1"/>
    <xf numFmtId="167" fontId="3" fillId="0" borderId="8" xfId="1" applyNumberFormat="1" applyFont="1" applyBorder="1"/>
    <xf numFmtId="164" fontId="33" fillId="0" borderId="0" xfId="1" applyNumberFormat="1" applyFont="1"/>
    <xf numFmtId="164" fontId="14" fillId="0" borderId="10" xfId="1" applyNumberFormat="1" applyFont="1" applyBorder="1"/>
    <xf numFmtId="164" fontId="5" fillId="0" borderId="5" xfId="1" applyNumberFormat="1" applyFont="1" applyBorder="1"/>
    <xf numFmtId="164" fontId="5" fillId="0" borderId="6" xfId="1" applyNumberFormat="1" applyFont="1" applyBorder="1"/>
    <xf numFmtId="41" fontId="6" fillId="0" borderId="8" xfId="1" applyNumberFormat="1" applyFont="1" applyBorder="1"/>
    <xf numFmtId="41" fontId="6" fillId="0" borderId="7" xfId="1" applyNumberFormat="1" applyFont="1" applyBorder="1"/>
    <xf numFmtId="0" fontId="5" fillId="0" borderId="0" xfId="1" applyFont="1" applyAlignment="1">
      <alignment horizontal="center"/>
    </xf>
    <xf numFmtId="164" fontId="8" fillId="3" borderId="0" xfId="1" applyNumberFormat="1" applyFont="1" applyFill="1" applyAlignment="1">
      <alignment horizontal="center"/>
    </xf>
    <xf numFmtId="10" fontId="5" fillId="0" borderId="0" xfId="9" applyNumberFormat="1" applyFont="1"/>
    <xf numFmtId="41" fontId="17" fillId="3" borderId="0" xfId="1" quotePrefix="1" applyNumberFormat="1" applyFont="1" applyFill="1"/>
    <xf numFmtId="168" fontId="8" fillId="0" borderId="0" xfId="1" applyNumberFormat="1" applyFont="1"/>
    <xf numFmtId="173" fontId="28" fillId="9" borderId="28" xfId="12" applyNumberFormat="1" applyProtection="1">
      <protection locked="0"/>
    </xf>
    <xf numFmtId="173" fontId="28" fillId="9" borderId="39" xfId="12" applyNumberFormat="1" applyBorder="1" applyProtection="1">
      <protection locked="0"/>
    </xf>
    <xf numFmtId="164" fontId="28" fillId="9" borderId="42" xfId="12" applyNumberFormat="1" applyBorder="1"/>
    <xf numFmtId="44" fontId="28" fillId="9" borderId="28" xfId="12" applyNumberFormat="1" applyProtection="1">
      <protection locked="0"/>
    </xf>
    <xf numFmtId="9" fontId="28" fillId="9" borderId="28" xfId="12" applyNumberFormat="1" applyProtection="1">
      <protection locked="0"/>
    </xf>
    <xf numFmtId="9" fontId="28" fillId="9" borderId="39" xfId="12" applyNumberFormat="1" applyBorder="1" applyProtection="1">
      <protection locked="0"/>
    </xf>
    <xf numFmtId="191" fontId="28" fillId="9" borderId="42" xfId="12" applyNumberFormat="1" applyBorder="1"/>
    <xf numFmtId="9" fontId="5" fillId="0" borderId="9" xfId="1" applyNumberFormat="1" applyFont="1" applyBorder="1"/>
    <xf numFmtId="9" fontId="28" fillId="9" borderId="43" xfId="12" applyNumberFormat="1" applyBorder="1"/>
    <xf numFmtId="0" fontId="22" fillId="0" borderId="0" xfId="0" applyFont="1" applyAlignment="1">
      <alignment horizontal="center"/>
    </xf>
    <xf numFmtId="37" fontId="5" fillId="0" borderId="0" xfId="1" applyNumberFormat="1" applyFont="1"/>
    <xf numFmtId="6" fontId="5" fillId="0" borderId="0" xfId="1" applyNumberFormat="1" applyFont="1"/>
    <xf numFmtId="44" fontId="5" fillId="0" borderId="0" xfId="1" applyNumberFormat="1" applyFont="1"/>
    <xf numFmtId="43" fontId="3" fillId="0" borderId="0" xfId="1" applyNumberFormat="1" applyFont="1" applyAlignment="1">
      <alignment horizontal="center"/>
    </xf>
    <xf numFmtId="41" fontId="5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right"/>
    </xf>
    <xf numFmtId="0" fontId="5" fillId="0" borderId="7" xfId="1" applyFont="1" applyBorder="1"/>
    <xf numFmtId="41" fontId="6" fillId="0" borderId="0" xfId="1" applyNumberFormat="1" applyFont="1" applyAlignment="1">
      <alignment horizontal="center" vertical="top" wrapText="1"/>
    </xf>
    <xf numFmtId="41" fontId="6" fillId="0" borderId="0" xfId="2" applyNumberFormat="1" applyFont="1" applyFill="1" applyBorder="1" applyAlignment="1">
      <alignment horizontal="center" vertical="top" wrapText="1"/>
    </xf>
    <xf numFmtId="41" fontId="6" fillId="0" borderId="7" xfId="1" applyNumberFormat="1" applyFont="1" applyBorder="1" applyAlignment="1">
      <alignment horizontal="center" vertical="top" wrapText="1"/>
    </xf>
    <xf numFmtId="41" fontId="6" fillId="0" borderId="8" xfId="2" applyNumberFormat="1" applyFont="1" applyFill="1" applyBorder="1" applyAlignment="1">
      <alignment horizontal="center" vertical="top" wrapText="1"/>
    </xf>
    <xf numFmtId="0" fontId="5" fillId="0" borderId="7" xfId="1" applyFont="1" applyBorder="1" applyAlignment="1">
      <alignment horizontal="left" indent="1"/>
    </xf>
    <xf numFmtId="42" fontId="5" fillId="0" borderId="0" xfId="3" applyNumberFormat="1" applyFont="1" applyFill="1" applyBorder="1"/>
    <xf numFmtId="175" fontId="5" fillId="0" borderId="8" xfId="3" applyNumberFormat="1" applyFont="1" applyFill="1" applyBorder="1"/>
    <xf numFmtId="44" fontId="6" fillId="0" borderId="0" xfId="2" applyNumberFormat="1" applyFont="1" applyFill="1" applyBorder="1"/>
    <xf numFmtId="42" fontId="6" fillId="0" borderId="0" xfId="2" applyNumberFormat="1" applyFont="1" applyFill="1" applyBorder="1"/>
    <xf numFmtId="43" fontId="6" fillId="0" borderId="0" xfId="2" applyFont="1" applyFill="1" applyBorder="1"/>
    <xf numFmtId="173" fontId="6" fillId="0" borderId="8" xfId="2" applyNumberFormat="1" applyFont="1" applyFill="1" applyBorder="1"/>
    <xf numFmtId="0" fontId="5" fillId="0" borderId="7" xfId="1" applyFont="1" applyBorder="1" applyAlignment="1">
      <alignment horizontal="left" indent="2"/>
    </xf>
    <xf numFmtId="42" fontId="5" fillId="0" borderId="0" xfId="2" applyNumberFormat="1" applyFont="1" applyFill="1" applyBorder="1"/>
    <xf numFmtId="175" fontId="5" fillId="0" borderId="8" xfId="2" applyNumberFormat="1" applyFont="1" applyFill="1" applyBorder="1"/>
    <xf numFmtId="42" fontId="5" fillId="0" borderId="8" xfId="2" applyNumberFormat="1" applyFont="1" applyFill="1" applyBorder="1"/>
    <xf numFmtId="44" fontId="6" fillId="0" borderId="0" xfId="3" applyFont="1" applyFill="1" applyBorder="1"/>
    <xf numFmtId="175" fontId="6" fillId="0" borderId="8" xfId="2" applyNumberFormat="1" applyFont="1" applyFill="1" applyBorder="1"/>
    <xf numFmtId="42" fontId="6" fillId="0" borderId="8" xfId="2" applyNumberFormat="1" applyFont="1" applyFill="1" applyBorder="1"/>
    <xf numFmtId="44" fontId="34" fillId="0" borderId="0" xfId="3" applyFont="1" applyFill="1" applyBorder="1"/>
    <xf numFmtId="164" fontId="8" fillId="0" borderId="7" xfId="1" applyNumberFormat="1" applyFont="1" applyBorder="1" applyAlignment="1">
      <alignment horizontal="left" indent="1"/>
    </xf>
    <xf numFmtId="44" fontId="8" fillId="0" borderId="8" xfId="3" applyFont="1" applyFill="1" applyBorder="1"/>
    <xf numFmtId="175" fontId="3" fillId="0" borderId="0" xfId="2" applyNumberFormat="1" applyFont="1" applyFill="1" applyBorder="1"/>
    <xf numFmtId="41" fontId="5" fillId="0" borderId="7" xfId="1" applyNumberFormat="1" applyFont="1" applyBorder="1"/>
    <xf numFmtId="42" fontId="6" fillId="0" borderId="0" xfId="1" applyNumberFormat="1" applyFont="1"/>
    <xf numFmtId="42" fontId="6" fillId="0" borderId="8" xfId="1" applyNumberFormat="1" applyFont="1" applyBorder="1"/>
    <xf numFmtId="41" fontId="30" fillId="0" borderId="0" xfId="1" applyNumberFormat="1" applyFont="1"/>
    <xf numFmtId="42" fontId="30" fillId="0" borderId="0" xfId="1" applyNumberFormat="1" applyFont="1"/>
    <xf numFmtId="41" fontId="30" fillId="0" borderId="7" xfId="1" applyNumberFormat="1" applyFont="1" applyBorder="1"/>
    <xf numFmtId="42" fontId="30" fillId="0" borderId="8" xfId="1" applyNumberFormat="1" applyFont="1" applyBorder="1"/>
    <xf numFmtId="42" fontId="0" fillId="3" borderId="0" xfId="0" applyNumberFormat="1" applyFill="1"/>
    <xf numFmtId="170" fontId="5" fillId="0" borderId="0" xfId="1" applyNumberFormat="1" applyFont="1" applyAlignment="1">
      <alignment horizontal="center"/>
    </xf>
    <xf numFmtId="173" fontId="3" fillId="0" borderId="0" xfId="2" applyNumberFormat="1" applyFont="1" applyFill="1" applyBorder="1"/>
    <xf numFmtId="9" fontId="3" fillId="0" borderId="8" xfId="1" applyNumberFormat="1" applyFont="1" applyBorder="1"/>
    <xf numFmtId="164" fontId="5" fillId="0" borderId="10" xfId="1" applyNumberFormat="1" applyFont="1" applyBorder="1" applyAlignment="1">
      <alignment horizontal="center" wrapText="1"/>
    </xf>
    <xf numFmtId="175" fontId="5" fillId="0" borderId="0" xfId="2" applyNumberFormat="1" applyFont="1" applyFill="1" applyBorder="1"/>
    <xf numFmtId="164" fontId="28" fillId="9" borderId="28" xfId="12" applyNumberFormat="1"/>
    <xf numFmtId="167" fontId="6" fillId="0" borderId="0" xfId="2" applyNumberFormat="1" applyFont="1" applyFill="1" applyBorder="1"/>
    <xf numFmtId="167" fontId="30" fillId="0" borderId="0" xfId="2" applyNumberFormat="1" applyFont="1" applyFill="1" applyBorder="1"/>
    <xf numFmtId="44" fontId="3" fillId="0" borderId="0" xfId="3" applyFont="1" applyFill="1" applyBorder="1"/>
    <xf numFmtId="164" fontId="3" fillId="0" borderId="0" xfId="1" applyNumberFormat="1" applyFont="1" applyAlignment="1">
      <alignment horizontal="right" wrapText="1"/>
    </xf>
    <xf numFmtId="10" fontId="3" fillId="0" borderId="0" xfId="2" applyNumberFormat="1" applyFont="1" applyFill="1" applyBorder="1" applyAlignment="1">
      <alignment horizontal="right" wrapText="1"/>
    </xf>
    <xf numFmtId="10" fontId="3" fillId="0" borderId="0" xfId="3" applyNumberFormat="1" applyFont="1" applyBorder="1"/>
    <xf numFmtId="175" fontId="3" fillId="0" borderId="0" xfId="3" applyNumberFormat="1" applyFont="1" applyFill="1" applyBorder="1"/>
    <xf numFmtId="44" fontId="3" fillId="0" borderId="0" xfId="3" applyFont="1" applyBorder="1"/>
    <xf numFmtId="43" fontId="3" fillId="0" borderId="0" xfId="3" applyNumberFormat="1" applyFont="1" applyBorder="1"/>
    <xf numFmtId="41" fontId="3" fillId="0" borderId="0" xfId="3" applyNumberFormat="1" applyFont="1" applyBorder="1"/>
    <xf numFmtId="10" fontId="3" fillId="0" borderId="0" xfId="2" applyNumberFormat="1" applyFont="1" applyBorder="1"/>
    <xf numFmtId="173" fontId="12" fillId="0" borderId="0" xfId="2" applyNumberFormat="1" applyFont="1" applyFill="1" applyBorder="1"/>
    <xf numFmtId="42" fontId="35" fillId="0" borderId="0" xfId="1" applyNumberFormat="1" applyFont="1"/>
    <xf numFmtId="41" fontId="12" fillId="0" borderId="0" xfId="1" applyNumberFormat="1" applyFont="1"/>
    <xf numFmtId="41" fontId="31" fillId="0" borderId="0" xfId="1" applyNumberFormat="1" applyFont="1"/>
    <xf numFmtId="41" fontId="7" fillId="0" borderId="7" xfId="1" applyNumberFormat="1" applyFont="1" applyBorder="1"/>
    <xf numFmtId="172" fontId="3" fillId="0" borderId="8" xfId="1" applyNumberFormat="1" applyFont="1" applyBorder="1"/>
    <xf numFmtId="9" fontId="5" fillId="0" borderId="9" xfId="1" applyNumberFormat="1" applyFont="1" applyBorder="1" applyProtection="1">
      <protection locked="0"/>
    </xf>
    <xf numFmtId="9" fontId="5" fillId="0" borderId="10" xfId="1" applyNumberFormat="1" applyFont="1" applyBorder="1" applyProtection="1">
      <protection locked="0"/>
    </xf>
    <xf numFmtId="164" fontId="3" fillId="0" borderId="11" xfId="1" applyNumberFormat="1" applyFont="1" applyBorder="1" applyAlignment="1">
      <alignment horizontal="left"/>
    </xf>
    <xf numFmtId="164" fontId="5" fillId="0" borderId="5" xfId="1" applyNumberFormat="1" applyFont="1" applyBorder="1" applyAlignment="1">
      <alignment horizontal="right"/>
    </xf>
    <xf numFmtId="164" fontId="7" fillId="0" borderId="0" xfId="1" applyNumberFormat="1" applyFont="1" applyAlignment="1">
      <alignment horizontal="right" wrapText="1"/>
    </xf>
    <xf numFmtId="164" fontId="5" fillId="0" borderId="0" xfId="1" applyNumberFormat="1" applyFont="1" applyAlignment="1">
      <alignment horizontal="right" vertical="center"/>
    </xf>
    <xf numFmtId="164" fontId="3" fillId="0" borderId="0" xfId="1" applyNumberFormat="1" applyFont="1" applyAlignment="1">
      <alignment horizontal="left" indent="1"/>
    </xf>
    <xf numFmtId="164" fontId="3" fillId="0" borderId="7" xfId="1" applyNumberFormat="1" applyFont="1" applyBorder="1" applyAlignment="1">
      <alignment horizontal="left" indent="2"/>
    </xf>
    <xf numFmtId="167" fontId="8" fillId="5" borderId="0" xfId="1" applyNumberFormat="1" applyFont="1" applyFill="1"/>
    <xf numFmtId="165" fontId="5" fillId="0" borderId="4" xfId="1" applyNumberFormat="1" applyFont="1" applyBorder="1"/>
    <xf numFmtId="167" fontId="5" fillId="5" borderId="0" xfId="1" applyNumberFormat="1" applyFont="1" applyFill="1"/>
    <xf numFmtId="167" fontId="5" fillId="3" borderId="2" xfId="1" applyNumberFormat="1" applyFont="1" applyFill="1" applyBorder="1"/>
    <xf numFmtId="165" fontId="5" fillId="0" borderId="5" xfId="1" applyNumberFormat="1" applyFont="1" applyBorder="1"/>
    <xf numFmtId="165" fontId="5" fillId="0" borderId="6" xfId="1" applyNumberFormat="1" applyFont="1" applyBorder="1"/>
    <xf numFmtId="165" fontId="8" fillId="5" borderId="0" xfId="1" applyNumberFormat="1" applyFont="1" applyFill="1"/>
    <xf numFmtId="164" fontId="36" fillId="0" borderId="0" xfId="1" applyNumberFormat="1" applyFont="1" applyAlignment="1">
      <alignment horizontal="left"/>
    </xf>
    <xf numFmtId="164" fontId="36" fillId="0" borderId="0" xfId="1" applyNumberFormat="1" applyFont="1" applyAlignment="1">
      <alignment horizontal="left" indent="1"/>
    </xf>
    <xf numFmtId="167" fontId="37" fillId="0" borderId="1" xfId="1" applyNumberFormat="1" applyFont="1" applyBorder="1"/>
    <xf numFmtId="167" fontId="38" fillId="0" borderId="2" xfId="1" applyNumberFormat="1" applyFont="1" applyBorder="1"/>
    <xf numFmtId="167" fontId="38" fillId="0" borderId="3" xfId="1" applyNumberFormat="1" applyFont="1" applyBorder="1"/>
    <xf numFmtId="164" fontId="5" fillId="2" borderId="0" xfId="1" applyNumberFormat="1" applyFont="1" applyFill="1" applyAlignment="1">
      <alignment horizontal="left" indent="2"/>
    </xf>
    <xf numFmtId="41" fontId="5" fillId="2" borderId="7" xfId="1" applyNumberFormat="1" applyFont="1" applyFill="1" applyBorder="1" applyAlignment="1">
      <alignment horizontal="right"/>
    </xf>
    <xf numFmtId="164" fontId="5" fillId="2" borderId="0" xfId="1" applyNumberFormat="1" applyFont="1" applyFill="1" applyAlignment="1">
      <alignment horizontal="right"/>
    </xf>
    <xf numFmtId="164" fontId="5" fillId="2" borderId="8" xfId="1" applyNumberFormat="1" applyFont="1" applyFill="1" applyBorder="1" applyAlignment="1">
      <alignment horizontal="right"/>
    </xf>
    <xf numFmtId="164" fontId="5" fillId="2" borderId="0" xfId="1" applyNumberFormat="1" applyFont="1" applyFill="1"/>
    <xf numFmtId="9" fontId="3" fillId="2" borderId="7" xfId="1" applyNumberFormat="1" applyFont="1" applyFill="1" applyBorder="1" applyAlignment="1">
      <alignment horizontal="left"/>
    </xf>
    <xf numFmtId="164" fontId="5" fillId="2" borderId="8" xfId="1" applyNumberFormat="1" applyFont="1" applyFill="1" applyBorder="1"/>
    <xf numFmtId="165" fontId="5" fillId="2" borderId="7" xfId="1" applyNumberFormat="1" applyFont="1" applyFill="1" applyBorder="1"/>
    <xf numFmtId="165" fontId="5" fillId="2" borderId="8" xfId="1" applyNumberFormat="1" applyFont="1" applyFill="1" applyBorder="1"/>
    <xf numFmtId="164" fontId="5" fillId="2" borderId="0" xfId="1" applyNumberFormat="1" applyFont="1" applyFill="1" applyAlignment="1">
      <alignment horizontal="left"/>
    </xf>
    <xf numFmtId="41" fontId="5" fillId="2" borderId="0" xfId="1" applyNumberFormat="1" applyFont="1" applyFill="1" applyAlignment="1">
      <alignment horizontal="right"/>
    </xf>
    <xf numFmtId="42" fontId="5" fillId="2" borderId="0" xfId="1" applyNumberFormat="1" applyFont="1" applyFill="1"/>
    <xf numFmtId="41" fontId="37" fillId="0" borderId="1" xfId="1" applyNumberFormat="1" applyFont="1" applyBorder="1" applyAlignment="1">
      <alignment horizontal="right"/>
    </xf>
    <xf numFmtId="41" fontId="38" fillId="0" borderId="2" xfId="1" applyNumberFormat="1" applyFont="1" applyBorder="1" applyAlignment="1">
      <alignment horizontal="right"/>
    </xf>
    <xf numFmtId="41" fontId="38" fillId="0" borderId="3" xfId="1" applyNumberFormat="1" applyFont="1" applyBorder="1" applyAlignment="1">
      <alignment horizontal="right"/>
    </xf>
    <xf numFmtId="41" fontId="37" fillId="0" borderId="37" xfId="1" applyNumberFormat="1" applyFont="1" applyBorder="1" applyAlignment="1">
      <alignment horizontal="right"/>
    </xf>
    <xf numFmtId="164" fontId="38" fillId="0" borderId="37" xfId="1" applyNumberFormat="1" applyFont="1" applyBorder="1" applyAlignment="1">
      <alignment horizontal="right"/>
    </xf>
    <xf numFmtId="164" fontId="38" fillId="0" borderId="38" xfId="1" applyNumberFormat="1" applyFont="1" applyBorder="1" applyAlignment="1">
      <alignment horizontal="right"/>
    </xf>
    <xf numFmtId="164" fontId="5" fillId="2" borderId="33" xfId="1" applyNumberFormat="1" applyFont="1" applyFill="1" applyBorder="1"/>
    <xf numFmtId="9" fontId="3" fillId="2" borderId="0" xfId="1" applyNumberFormat="1" applyFont="1" applyFill="1" applyAlignment="1">
      <alignment horizontal="left"/>
    </xf>
    <xf numFmtId="165" fontId="3" fillId="0" borderId="0" xfId="1" applyNumberFormat="1" applyFont="1" applyAlignment="1">
      <alignment horizontal="left"/>
    </xf>
    <xf numFmtId="164" fontId="37" fillId="0" borderId="2" xfId="1" applyNumberFormat="1" applyFont="1" applyBorder="1" applyAlignment="1">
      <alignment horizontal="left"/>
    </xf>
    <xf numFmtId="164" fontId="37" fillId="0" borderId="36" xfId="1" applyNumberFormat="1" applyFont="1" applyBorder="1" applyAlignment="1">
      <alignment horizontal="left"/>
    </xf>
    <xf numFmtId="177" fontId="28" fillId="9" borderId="40" xfId="12" applyNumberFormat="1" applyBorder="1" applyProtection="1">
      <protection locked="0"/>
    </xf>
    <xf numFmtId="177" fontId="28" fillId="9" borderId="40" xfId="12" applyNumberFormat="1" applyBorder="1" applyAlignment="1" applyProtection="1">
      <protection locked="0"/>
    </xf>
    <xf numFmtId="43" fontId="6" fillId="5" borderId="29" xfId="1" quotePrefix="1" applyNumberFormat="1" applyFont="1" applyFill="1" applyBorder="1" applyAlignment="1">
      <alignment horizontal="center"/>
    </xf>
    <xf numFmtId="43" fontId="6" fillId="5" borderId="30" xfId="1" quotePrefix="1" applyNumberFormat="1" applyFont="1" applyFill="1" applyBorder="1" applyAlignment="1">
      <alignment horizontal="center"/>
    </xf>
    <xf numFmtId="43" fontId="6" fillId="5" borderId="31" xfId="1" quotePrefix="1" applyNumberFormat="1" applyFont="1" applyFill="1" applyBorder="1" applyAlignment="1">
      <alignment horizontal="center"/>
    </xf>
    <xf numFmtId="43" fontId="6" fillId="0" borderId="0" xfId="1" applyNumberFormat="1" applyFont="1" applyAlignment="1">
      <alignment horizontal="right"/>
    </xf>
    <xf numFmtId="42" fontId="8" fillId="0" borderId="0" xfId="1" applyNumberFormat="1" applyFont="1"/>
    <xf numFmtId="41" fontId="8" fillId="0" borderId="7" xfId="1" applyNumberFormat="1" applyFont="1" applyBorder="1"/>
    <xf numFmtId="42" fontId="8" fillId="0" borderId="8" xfId="1" applyNumberFormat="1" applyFont="1" applyBorder="1"/>
    <xf numFmtId="193" fontId="5" fillId="0" borderId="0" xfId="1" applyNumberFormat="1" applyFont="1"/>
    <xf numFmtId="192" fontId="5" fillId="0" borderId="0" xfId="1" applyNumberFormat="1" applyFont="1"/>
    <xf numFmtId="164" fontId="10" fillId="0" borderId="0" xfId="1" applyNumberFormat="1" applyFont="1" applyAlignment="1">
      <alignment horizontal="right"/>
    </xf>
    <xf numFmtId="41" fontId="6" fillId="0" borderId="7" xfId="1" applyNumberFormat="1" applyFont="1" applyBorder="1" applyAlignment="1">
      <alignment horizontal="center"/>
    </xf>
    <xf numFmtId="41" fontId="6" fillId="0" borderId="8" xfId="1" applyNumberFormat="1" applyFont="1" applyBorder="1" applyAlignment="1">
      <alignment horizontal="center"/>
    </xf>
    <xf numFmtId="164" fontId="8" fillId="3" borderId="0" xfId="1" applyNumberFormat="1" applyFont="1" applyFill="1"/>
    <xf numFmtId="167" fontId="37" fillId="0" borderId="2" xfId="1" applyNumberFormat="1" applyFont="1" applyBorder="1"/>
    <xf numFmtId="165" fontId="5" fillId="0" borderId="10" xfId="1" applyNumberFormat="1" applyFont="1" applyBorder="1"/>
    <xf numFmtId="177" fontId="28" fillId="9" borderId="44" xfId="12" applyNumberFormat="1" applyBorder="1" applyProtection="1">
      <protection locked="0"/>
    </xf>
    <xf numFmtId="177" fontId="28" fillId="9" borderId="45" xfId="12" applyNumberFormat="1" applyBorder="1" applyProtection="1">
      <protection locked="0"/>
    </xf>
    <xf numFmtId="177" fontId="28" fillId="9" borderId="46" xfId="12" applyNumberFormat="1" applyBorder="1" applyProtection="1">
      <protection locked="0"/>
    </xf>
    <xf numFmtId="177" fontId="28" fillId="9" borderId="47" xfId="12" applyNumberFormat="1" applyBorder="1" applyProtection="1">
      <protection locked="0"/>
    </xf>
    <xf numFmtId="177" fontId="28" fillId="9" borderId="48" xfId="12" applyNumberFormat="1" applyBorder="1" applyProtection="1">
      <protection locked="0"/>
    </xf>
    <xf numFmtId="41" fontId="6" fillId="0" borderId="29" xfId="1" applyNumberFormat="1" applyFont="1" applyBorder="1" applyAlignment="1">
      <alignment horizontal="right" wrapText="1"/>
    </xf>
    <xf numFmtId="41" fontId="6" fillId="0" borderId="31" xfId="1" applyNumberFormat="1" applyFont="1" applyBorder="1" applyAlignment="1">
      <alignment horizontal="center" wrapText="1"/>
    </xf>
    <xf numFmtId="165" fontId="3" fillId="0" borderId="7" xfId="1" quotePrefix="1" applyNumberFormat="1" applyFont="1" applyBorder="1"/>
    <xf numFmtId="177" fontId="40" fillId="9" borderId="40" xfId="12" applyNumberFormat="1" applyFont="1" applyBorder="1" applyProtection="1">
      <protection locked="0"/>
    </xf>
    <xf numFmtId="167" fontId="3" fillId="0" borderId="7" xfId="1" applyNumberFormat="1" applyFont="1" applyBorder="1"/>
    <xf numFmtId="187" fontId="3" fillId="0" borderId="8" xfId="2" applyNumberFormat="1" applyFont="1" applyFill="1" applyBorder="1"/>
    <xf numFmtId="167" fontId="41" fillId="0" borderId="3" xfId="1" applyNumberFormat="1" applyFont="1" applyBorder="1"/>
    <xf numFmtId="41" fontId="5" fillId="0" borderId="7" xfId="1" applyNumberFormat="1" applyFont="1" applyBorder="1" applyAlignment="1">
      <alignment horizontal="right"/>
    </xf>
    <xf numFmtId="9" fontId="3" fillId="0" borderId="7" xfId="1" applyNumberFormat="1" applyFont="1" applyBorder="1" applyAlignment="1">
      <alignment horizontal="left"/>
    </xf>
    <xf numFmtId="187" fontId="3" fillId="0" borderId="0" xfId="2" applyNumberFormat="1" applyFont="1" applyFill="1" applyBorder="1"/>
    <xf numFmtId="187" fontId="5" fillId="0" borderId="0" xfId="11" applyNumberFormat="1" applyFont="1"/>
    <xf numFmtId="164" fontId="5" fillId="0" borderId="8" xfId="1" applyNumberFormat="1" applyFont="1" applyBorder="1" applyAlignment="1">
      <alignment horizontal="right"/>
    </xf>
    <xf numFmtId="175" fontId="5" fillId="0" borderId="0" xfId="10" applyNumberFormat="1" applyFont="1"/>
    <xf numFmtId="196" fontId="5" fillId="0" borderId="0" xfId="11" applyNumberFormat="1" applyFont="1"/>
    <xf numFmtId="164" fontId="42" fillId="0" borderId="2" xfId="1" applyNumberFormat="1" applyFont="1" applyBorder="1" applyAlignment="1">
      <alignment horizontal="left"/>
    </xf>
    <xf numFmtId="194" fontId="8" fillId="0" borderId="0" xfId="11" applyNumberFormat="1" applyFont="1" applyFill="1"/>
    <xf numFmtId="187" fontId="5" fillId="0" borderId="0" xfId="11" applyNumberFormat="1" applyFont="1" applyFill="1" applyBorder="1" applyAlignment="1"/>
    <xf numFmtId="187" fontId="5" fillId="0" borderId="0" xfId="11" applyNumberFormat="1" applyFont="1" applyFill="1"/>
    <xf numFmtId="197" fontId="28" fillId="9" borderId="40" xfId="12" applyNumberFormat="1" applyBorder="1" applyProtection="1">
      <protection locked="0"/>
    </xf>
    <xf numFmtId="43" fontId="6" fillId="10" borderId="7" xfId="1" quotePrefix="1" applyNumberFormat="1" applyFont="1" applyFill="1" applyBorder="1" applyAlignment="1">
      <alignment horizontal="center"/>
    </xf>
    <xf numFmtId="43" fontId="6" fillId="10" borderId="0" xfId="1" quotePrefix="1" applyNumberFormat="1" applyFont="1" applyFill="1" applyAlignment="1">
      <alignment horizontal="center"/>
    </xf>
    <xf numFmtId="43" fontId="6" fillId="10" borderId="8" xfId="1" quotePrefix="1" applyNumberFormat="1" applyFont="1" applyFill="1" applyBorder="1" applyAlignment="1">
      <alignment horizontal="center"/>
    </xf>
    <xf numFmtId="164" fontId="7" fillId="10" borderId="7" xfId="1" quotePrefix="1" applyNumberFormat="1" applyFont="1" applyFill="1" applyBorder="1" applyAlignment="1">
      <alignment horizontal="right"/>
    </xf>
    <xf numFmtId="164" fontId="5" fillId="10" borderId="0" xfId="1" applyNumberFormat="1" applyFont="1" applyFill="1" applyAlignment="1">
      <alignment horizontal="center"/>
    </xf>
    <xf numFmtId="164" fontId="7" fillId="10" borderId="8" xfId="1" quotePrefix="1" applyNumberFormat="1" applyFont="1" applyFill="1" applyBorder="1" applyAlignment="1">
      <alignment horizontal="right"/>
    </xf>
    <xf numFmtId="167" fontId="5" fillId="10" borderId="7" xfId="1" applyNumberFormat="1" applyFont="1" applyFill="1" applyBorder="1"/>
    <xf numFmtId="167" fontId="5" fillId="10" borderId="0" xfId="1" applyNumberFormat="1" applyFont="1" applyFill="1"/>
    <xf numFmtId="167" fontId="5" fillId="10" borderId="8" xfId="1" applyNumberFormat="1" applyFont="1" applyFill="1" applyBorder="1"/>
    <xf numFmtId="165" fontId="5" fillId="10" borderId="7" xfId="1" quotePrefix="1" applyNumberFormat="1" applyFont="1" applyFill="1" applyBorder="1"/>
    <xf numFmtId="165" fontId="5" fillId="10" borderId="0" xfId="1" applyNumberFormat="1" applyFont="1" applyFill="1"/>
    <xf numFmtId="165" fontId="5" fillId="10" borderId="8" xfId="1" applyNumberFormat="1" applyFont="1" applyFill="1" applyBorder="1"/>
    <xf numFmtId="165" fontId="5" fillId="10" borderId="7" xfId="1" applyNumberFormat="1" applyFont="1" applyFill="1" applyBorder="1"/>
    <xf numFmtId="165" fontId="6" fillId="10" borderId="7" xfId="1" applyNumberFormat="1" applyFont="1" applyFill="1" applyBorder="1"/>
    <xf numFmtId="165" fontId="6" fillId="10" borderId="0" xfId="1" applyNumberFormat="1" applyFont="1" applyFill="1"/>
    <xf numFmtId="165" fontId="6" fillId="10" borderId="8" xfId="1" applyNumberFormat="1" applyFont="1" applyFill="1" applyBorder="1"/>
    <xf numFmtId="167" fontId="37" fillId="10" borderId="1" xfId="1" applyNumberFormat="1" applyFont="1" applyFill="1" applyBorder="1"/>
    <xf numFmtId="167" fontId="38" fillId="10" borderId="2" xfId="1" applyNumberFormat="1" applyFont="1" applyFill="1" applyBorder="1"/>
    <xf numFmtId="167" fontId="38" fillId="10" borderId="3" xfId="1" applyNumberFormat="1" applyFont="1" applyFill="1" applyBorder="1"/>
    <xf numFmtId="165" fontId="5" fillId="10" borderId="4" xfId="1" applyNumberFormat="1" applyFont="1" applyFill="1" applyBorder="1"/>
    <xf numFmtId="165" fontId="5" fillId="10" borderId="5" xfId="1" applyNumberFormat="1" applyFont="1" applyFill="1" applyBorder="1"/>
    <xf numFmtId="165" fontId="5" fillId="10" borderId="6" xfId="1" applyNumberFormat="1" applyFont="1" applyFill="1" applyBorder="1"/>
    <xf numFmtId="165" fontId="5" fillId="10" borderId="10" xfId="1" applyNumberFormat="1" applyFont="1" applyFill="1" applyBorder="1"/>
    <xf numFmtId="9" fontId="3" fillId="10" borderId="7" xfId="1" applyNumberFormat="1" applyFont="1" applyFill="1" applyBorder="1" applyAlignment="1">
      <alignment horizontal="left"/>
    </xf>
    <xf numFmtId="164" fontId="5" fillId="10" borderId="0" xfId="1" applyNumberFormat="1" applyFont="1" applyFill="1"/>
    <xf numFmtId="164" fontId="5" fillId="10" borderId="8" xfId="1" applyNumberFormat="1" applyFont="1" applyFill="1" applyBorder="1"/>
    <xf numFmtId="41" fontId="37" fillId="10" borderId="1" xfId="1" applyNumberFormat="1" applyFont="1" applyFill="1" applyBorder="1" applyAlignment="1">
      <alignment horizontal="right"/>
    </xf>
    <xf numFmtId="41" fontId="38" fillId="10" borderId="2" xfId="1" applyNumberFormat="1" applyFont="1" applyFill="1" applyBorder="1" applyAlignment="1">
      <alignment horizontal="right"/>
    </xf>
    <xf numFmtId="41" fontId="38" fillId="10" borderId="3" xfId="1" applyNumberFormat="1" applyFont="1" applyFill="1" applyBorder="1" applyAlignment="1">
      <alignment horizontal="right"/>
    </xf>
    <xf numFmtId="41" fontId="5" fillId="10" borderId="7" xfId="1" applyNumberFormat="1" applyFont="1" applyFill="1" applyBorder="1" applyAlignment="1">
      <alignment horizontal="right"/>
    </xf>
    <xf numFmtId="164" fontId="5" fillId="10" borderId="0" xfId="1" applyNumberFormat="1" applyFont="1" applyFill="1" applyAlignment="1">
      <alignment horizontal="right"/>
    </xf>
    <xf numFmtId="164" fontId="5" fillId="10" borderId="8" xfId="1" applyNumberFormat="1" applyFont="1" applyFill="1" applyBorder="1" applyAlignment="1">
      <alignment horizontal="right"/>
    </xf>
    <xf numFmtId="195" fontId="5" fillId="0" borderId="0" xfId="11" applyNumberFormat="1" applyFont="1" applyBorder="1"/>
    <xf numFmtId="175" fontId="7" fillId="0" borderId="0" xfId="10" applyNumberFormat="1" applyFont="1"/>
    <xf numFmtId="43" fontId="17" fillId="11" borderId="0" xfId="1" applyNumberFormat="1" applyFont="1" applyFill="1" applyAlignment="1">
      <alignment wrapText="1"/>
    </xf>
    <xf numFmtId="189" fontId="8" fillId="11" borderId="0" xfId="1" applyNumberFormat="1" applyFont="1" applyFill="1"/>
    <xf numFmtId="189" fontId="8" fillId="11" borderId="0" xfId="1" applyNumberFormat="1" applyFont="1" applyFill="1" applyAlignment="1">
      <alignment horizontal="right"/>
    </xf>
    <xf numFmtId="164" fontId="8" fillId="11" borderId="0" xfId="1" applyNumberFormat="1" applyFont="1" applyFill="1" applyAlignment="1">
      <alignment horizontal="right"/>
    </xf>
    <xf numFmtId="164" fontId="23" fillId="11" borderId="0" xfId="1" applyNumberFormat="1" applyFont="1" applyFill="1" applyAlignment="1">
      <alignment horizontal="center"/>
    </xf>
    <xf numFmtId="164" fontId="23" fillId="11" borderId="0" xfId="1" applyNumberFormat="1" applyFont="1" applyFill="1"/>
    <xf numFmtId="41" fontId="23" fillId="11" borderId="0" xfId="1" applyNumberFormat="1" applyFont="1" applyFill="1" applyAlignment="1">
      <alignment horizontal="right"/>
    </xf>
    <xf numFmtId="164" fontId="23" fillId="11" borderId="0" xfId="1" applyNumberFormat="1" applyFont="1" applyFill="1" applyAlignment="1">
      <alignment horizontal="right"/>
    </xf>
    <xf numFmtId="41" fontId="25" fillId="11" borderId="0" xfId="1" applyNumberFormat="1" applyFont="1" applyFill="1" applyAlignment="1">
      <alignment horizontal="right"/>
    </xf>
    <xf numFmtId="164" fontId="5" fillId="11" borderId="0" xfId="1" applyNumberFormat="1" applyFont="1" applyFill="1"/>
    <xf numFmtId="164" fontId="5" fillId="11" borderId="0" xfId="1" applyNumberFormat="1" applyFont="1" applyFill="1" applyAlignment="1">
      <alignment horizontal="right"/>
    </xf>
    <xf numFmtId="164" fontId="5" fillId="11" borderId="0" xfId="1" applyNumberFormat="1" applyFont="1" applyFill="1" applyAlignment="1">
      <alignment horizontal="center"/>
    </xf>
    <xf numFmtId="42" fontId="5" fillId="11" borderId="0" xfId="1" applyNumberFormat="1" applyFont="1" applyFill="1" applyAlignment="1">
      <alignment horizontal="right"/>
    </xf>
    <xf numFmtId="42" fontId="5" fillId="11" borderId="0" xfId="1" applyNumberFormat="1" applyFont="1" applyFill="1"/>
    <xf numFmtId="166" fontId="5" fillId="11" borderId="0" xfId="1" applyNumberFormat="1" applyFont="1" applyFill="1"/>
    <xf numFmtId="42" fontId="5" fillId="11" borderId="0" xfId="1" quotePrefix="1" applyNumberFormat="1" applyFont="1" applyFill="1"/>
    <xf numFmtId="41" fontId="5" fillId="11" borderId="0" xfId="1" quotePrefix="1" applyNumberFormat="1" applyFont="1" applyFill="1"/>
    <xf numFmtId="190" fontId="5" fillId="11" borderId="0" xfId="1" applyNumberFormat="1" applyFont="1" applyFill="1"/>
    <xf numFmtId="178" fontId="5" fillId="11" borderId="0" xfId="1" applyNumberFormat="1" applyFont="1" applyFill="1"/>
    <xf numFmtId="2" fontId="5" fillId="11" borderId="0" xfId="1" applyNumberFormat="1" applyFont="1" applyFill="1"/>
    <xf numFmtId="42" fontId="6" fillId="11" borderId="0" xfId="1" quotePrefix="1" applyNumberFormat="1" applyFont="1" applyFill="1"/>
    <xf numFmtId="164" fontId="3" fillId="11" borderId="0" xfId="1" applyNumberFormat="1" applyFont="1" applyFill="1"/>
    <xf numFmtId="167" fontId="3" fillId="11" borderId="0" xfId="1" applyNumberFormat="1" applyFont="1" applyFill="1"/>
    <xf numFmtId="165" fontId="3" fillId="11" borderId="0" xfId="1" applyNumberFormat="1" applyFont="1" applyFill="1"/>
    <xf numFmtId="42" fontId="8" fillId="11" borderId="0" xfId="1" quotePrefix="1" applyNumberFormat="1" applyFont="1" applyFill="1"/>
    <xf numFmtId="42" fontId="18" fillId="11" borderId="0" xfId="1" quotePrefix="1" applyNumberFormat="1" applyFont="1" applyFill="1"/>
    <xf numFmtId="167" fontId="8" fillId="11" borderId="2" xfId="1" applyNumberFormat="1" applyFont="1" applyFill="1" applyBorder="1"/>
    <xf numFmtId="167" fontId="18" fillId="11" borderId="0" xfId="1" applyNumberFormat="1" applyFont="1" applyFill="1"/>
    <xf numFmtId="164" fontId="8" fillId="11" borderId="0" xfId="1" applyNumberFormat="1" applyFont="1" applyFill="1"/>
    <xf numFmtId="167" fontId="5" fillId="11" borderId="2" xfId="1" applyNumberFormat="1" applyFont="1" applyFill="1" applyBorder="1"/>
    <xf numFmtId="41" fontId="8" fillId="11" borderId="0" xfId="1" applyNumberFormat="1" applyFont="1" applyFill="1"/>
    <xf numFmtId="42" fontId="5" fillId="0" borderId="0" xfId="1" quotePrefix="1" applyNumberFormat="1" applyFont="1"/>
    <xf numFmtId="164" fontId="8" fillId="0" borderId="0" xfId="1" applyNumberFormat="1" applyFont="1" applyAlignment="1">
      <alignment horizontal="center"/>
    </xf>
    <xf numFmtId="166" fontId="8" fillId="0" borderId="0" xfId="1" applyNumberFormat="1" applyFont="1"/>
    <xf numFmtId="49" fontId="5" fillId="0" borderId="0" xfId="1" applyNumberFormat="1" applyFont="1" applyAlignment="1">
      <alignment horizontal="center"/>
    </xf>
    <xf numFmtId="41" fontId="8" fillId="11" borderId="0" xfId="1" quotePrefix="1" applyNumberFormat="1" applyFont="1" applyFill="1"/>
    <xf numFmtId="164" fontId="3" fillId="11" borderId="0" xfId="1" applyNumberFormat="1" applyFont="1" applyFill="1" applyAlignment="1">
      <alignment horizontal="center"/>
    </xf>
    <xf numFmtId="49" fontId="8" fillId="11" borderId="0" xfId="1" applyNumberFormat="1" applyFont="1" applyFill="1" applyAlignment="1">
      <alignment horizontal="center"/>
    </xf>
    <xf numFmtId="0" fontId="5" fillId="11" borderId="0" xfId="1" applyFont="1" applyFill="1" applyAlignment="1">
      <alignment horizontal="center"/>
    </xf>
    <xf numFmtId="164" fontId="8" fillId="11" borderId="0" xfId="1" applyNumberFormat="1" applyFont="1" applyFill="1" applyAlignment="1">
      <alignment horizontal="center"/>
    </xf>
    <xf numFmtId="41" fontId="17" fillId="11" borderId="0" xfId="1" quotePrefix="1" applyNumberFormat="1" applyFont="1" applyFill="1"/>
    <xf numFmtId="168" fontId="8" fillId="11" borderId="0" xfId="1" applyNumberFormat="1" applyFont="1" applyFill="1"/>
    <xf numFmtId="166" fontId="8" fillId="11" borderId="0" xfId="1" applyNumberFormat="1" applyFont="1" applyFill="1"/>
    <xf numFmtId="49" fontId="5" fillId="11" borderId="0" xfId="1" applyNumberFormat="1" applyFont="1" applyFill="1" applyAlignment="1">
      <alignment horizontal="center"/>
    </xf>
    <xf numFmtId="41" fontId="8" fillId="0" borderId="0" xfId="1" quotePrefix="1" applyNumberFormat="1" applyFont="1"/>
    <xf numFmtId="49" fontId="8" fillId="0" borderId="0" xfId="1" applyNumberFormat="1" applyFont="1" applyAlignment="1">
      <alignment horizontal="center"/>
    </xf>
    <xf numFmtId="164" fontId="5" fillId="11" borderId="0" xfId="1" applyNumberFormat="1" applyFont="1" applyFill="1" applyAlignment="1">
      <alignment horizontal="left"/>
    </xf>
    <xf numFmtId="10" fontId="5" fillId="0" borderId="0" xfId="9" applyNumberFormat="1" applyFont="1" applyFill="1"/>
    <xf numFmtId="42" fontId="0" fillId="11" borderId="0" xfId="0" applyNumberFormat="1" applyFill="1"/>
    <xf numFmtId="170" fontId="21" fillId="0" borderId="0" xfId="7" applyNumberFormat="1" applyFont="1" applyFill="1"/>
    <xf numFmtId="9" fontId="5" fillId="0" borderId="0" xfId="9" applyFont="1" applyFill="1"/>
    <xf numFmtId="9" fontId="21" fillId="0" borderId="0" xfId="9" applyFont="1" applyFill="1"/>
    <xf numFmtId="164" fontId="7" fillId="11" borderId="0" xfId="1" applyNumberFormat="1" applyFont="1" applyFill="1" applyAlignment="1">
      <alignment horizontal="right"/>
    </xf>
    <xf numFmtId="164" fontId="7" fillId="11" borderId="0" xfId="1" applyNumberFormat="1" applyFont="1" applyFill="1" applyAlignment="1">
      <alignment wrapText="1"/>
    </xf>
    <xf numFmtId="0" fontId="5" fillId="11" borderId="0" xfId="1" applyFont="1" applyFill="1"/>
    <xf numFmtId="44" fontId="5" fillId="11" borderId="0" xfId="1" applyNumberFormat="1" applyFont="1" applyFill="1"/>
    <xf numFmtId="178" fontId="6" fillId="11" borderId="0" xfId="1" applyNumberFormat="1" applyFont="1" applyFill="1"/>
    <xf numFmtId="178" fontId="5" fillId="11" borderId="5" xfId="1" applyNumberFormat="1" applyFont="1" applyFill="1" applyBorder="1"/>
    <xf numFmtId="44" fontId="3" fillId="11" borderId="0" xfId="1" applyNumberFormat="1" applyFont="1" applyFill="1"/>
    <xf numFmtId="44" fontId="5" fillId="11" borderId="0" xfId="10" applyFont="1" applyFill="1" applyBorder="1" applyAlignment="1">
      <alignment wrapText="1"/>
    </xf>
    <xf numFmtId="164" fontId="5" fillId="11" borderId="10" xfId="1" applyNumberFormat="1" applyFont="1" applyFill="1" applyBorder="1"/>
    <xf numFmtId="164" fontId="5" fillId="11" borderId="10" xfId="1" applyNumberFormat="1" applyFont="1" applyFill="1" applyBorder="1" applyAlignment="1">
      <alignment horizontal="left"/>
    </xf>
    <xf numFmtId="177" fontId="43" fillId="9" borderId="45" xfId="12" applyNumberFormat="1" applyFont="1" applyBorder="1" applyProtection="1">
      <protection locked="0"/>
    </xf>
    <xf numFmtId="177" fontId="43" fillId="9" borderId="47" xfId="12" applyNumberFormat="1" applyFont="1" applyBorder="1" applyProtection="1">
      <protection locked="0"/>
    </xf>
    <xf numFmtId="177" fontId="40" fillId="9" borderId="45" xfId="12" applyNumberFormat="1" applyFont="1" applyBorder="1" applyProtection="1">
      <protection locked="0"/>
    </xf>
    <xf numFmtId="187" fontId="5" fillId="0" borderId="0" xfId="11" applyNumberFormat="1" applyFont="1" applyBorder="1"/>
    <xf numFmtId="177" fontId="43" fillId="9" borderId="40" xfId="12" applyNumberFormat="1" applyFont="1" applyBorder="1" applyProtection="1">
      <protection locked="0"/>
    </xf>
    <xf numFmtId="43" fontId="12" fillId="0" borderId="0" xfId="1" quotePrefix="1" applyNumberFormat="1" applyFont="1" applyAlignment="1">
      <alignment horizontal="center"/>
    </xf>
    <xf numFmtId="167" fontId="3" fillId="0" borderId="0" xfId="1" applyNumberFormat="1" applyFont="1"/>
    <xf numFmtId="165" fontId="12" fillId="0" borderId="0" xfId="1" applyNumberFormat="1" applyFont="1"/>
    <xf numFmtId="177" fontId="43" fillId="9" borderId="49" xfId="12" applyNumberFormat="1" applyFont="1" applyBorder="1" applyProtection="1">
      <protection locked="0"/>
    </xf>
    <xf numFmtId="177" fontId="28" fillId="9" borderId="50" xfId="12" applyNumberFormat="1" applyBorder="1" applyProtection="1">
      <protection locked="0"/>
    </xf>
    <xf numFmtId="187" fontId="5" fillId="0" borderId="7" xfId="11" applyNumberFormat="1" applyFont="1" applyBorder="1"/>
    <xf numFmtId="177" fontId="43" fillId="9" borderId="44" xfId="12" applyNumberFormat="1" applyFont="1" applyBorder="1" applyProtection="1">
      <protection locked="0"/>
    </xf>
    <xf numFmtId="195" fontId="3" fillId="0" borderId="7" xfId="11" applyNumberFormat="1" applyFont="1" applyFill="1" applyBorder="1"/>
    <xf numFmtId="195" fontId="5" fillId="0" borderId="7" xfId="11" applyNumberFormat="1" applyFont="1" applyBorder="1"/>
    <xf numFmtId="175" fontId="5" fillId="12" borderId="0" xfId="3" applyNumberFormat="1" applyFont="1" applyFill="1" applyBorder="1"/>
    <xf numFmtId="176" fontId="43" fillId="9" borderId="39" xfId="12" applyNumberFormat="1" applyFont="1" applyBorder="1" applyAlignment="1" applyProtection="1">
      <alignment horizontal="center"/>
      <protection locked="0"/>
    </xf>
    <xf numFmtId="175" fontId="43" fillId="9" borderId="28" xfId="12" applyNumberFormat="1" applyFont="1"/>
    <xf numFmtId="41" fontId="6" fillId="12" borderId="7" xfId="1" applyNumberFormat="1" applyFont="1" applyFill="1" applyBorder="1" applyAlignment="1">
      <alignment horizontal="center" wrapText="1"/>
    </xf>
    <xf numFmtId="41" fontId="6" fillId="12" borderId="0" xfId="1" applyNumberFormat="1" applyFont="1" applyFill="1" applyAlignment="1">
      <alignment horizontal="center" wrapText="1"/>
    </xf>
    <xf numFmtId="41" fontId="6" fillId="12" borderId="8" xfId="1" applyNumberFormat="1" applyFont="1" applyFill="1" applyBorder="1" applyAlignment="1">
      <alignment horizontal="center" wrapText="1"/>
    </xf>
    <xf numFmtId="177" fontId="28" fillId="12" borderId="40" xfId="12" applyNumberFormat="1" applyFill="1" applyBorder="1" applyAlignment="1" applyProtection="1">
      <protection locked="0"/>
    </xf>
    <xf numFmtId="167" fontId="5" fillId="12" borderId="0" xfId="2" applyNumberFormat="1" applyFont="1" applyFill="1" applyBorder="1" applyAlignment="1">
      <alignment horizontal="center"/>
    </xf>
    <xf numFmtId="167" fontId="5" fillId="12" borderId="8" xfId="2" applyNumberFormat="1" applyFont="1" applyFill="1" applyBorder="1" applyAlignment="1">
      <alignment horizontal="center"/>
    </xf>
    <xf numFmtId="165" fontId="6" fillId="12" borderId="0" xfId="3" applyNumberFormat="1" applyFont="1" applyFill="1" applyBorder="1" applyAlignment="1">
      <alignment horizontal="center"/>
    </xf>
    <xf numFmtId="165" fontId="6" fillId="12" borderId="8" xfId="3" applyNumberFormat="1" applyFont="1" applyFill="1" applyBorder="1" applyAlignment="1">
      <alignment horizontal="center"/>
    </xf>
    <xf numFmtId="164" fontId="3" fillId="12" borderId="7" xfId="1" applyNumberFormat="1" applyFont="1" applyFill="1" applyBorder="1" applyAlignment="1">
      <alignment horizontal="center"/>
    </xf>
    <xf numFmtId="167" fontId="30" fillId="12" borderId="0" xfId="2" applyNumberFormat="1" applyFont="1" applyFill="1" applyBorder="1" applyAlignment="1">
      <alignment horizontal="center"/>
    </xf>
    <xf numFmtId="167" fontId="30" fillId="12" borderId="8" xfId="2" applyNumberFormat="1" applyFont="1" applyFill="1" applyBorder="1" applyAlignment="1">
      <alignment horizontal="center"/>
    </xf>
    <xf numFmtId="41" fontId="6" fillId="12" borderId="41" xfId="1" applyNumberFormat="1" applyFont="1" applyFill="1" applyBorder="1" applyAlignment="1">
      <alignment horizontal="center" wrapText="1"/>
    </xf>
    <xf numFmtId="177" fontId="43" fillId="7" borderId="45" xfId="12" applyNumberFormat="1" applyFont="1" applyFill="1" applyBorder="1" applyProtection="1">
      <protection locked="0"/>
    </xf>
    <xf numFmtId="176" fontId="43" fillId="7" borderId="39" xfId="12" applyNumberFormat="1" applyFont="1" applyFill="1" applyBorder="1" applyAlignment="1" applyProtection="1">
      <alignment horizontal="center"/>
      <protection locked="0"/>
    </xf>
    <xf numFmtId="173" fontId="40" fillId="7" borderId="28" xfId="12" applyNumberFormat="1" applyFont="1" applyFill="1" applyProtection="1">
      <protection locked="0"/>
    </xf>
    <xf numFmtId="173" fontId="40" fillId="7" borderId="39" xfId="12" applyNumberFormat="1" applyFont="1" applyFill="1" applyBorder="1" applyProtection="1">
      <protection locked="0"/>
    </xf>
    <xf numFmtId="167" fontId="37" fillId="13" borderId="1" xfId="1" applyNumberFormat="1" applyFont="1" applyFill="1" applyBorder="1"/>
    <xf numFmtId="167" fontId="5" fillId="13" borderId="7" xfId="1" applyNumberFormat="1" applyFont="1" applyFill="1" applyBorder="1"/>
    <xf numFmtId="165" fontId="5" fillId="13" borderId="7" xfId="1" quotePrefix="1" applyNumberFormat="1" applyFont="1" applyFill="1" applyBorder="1"/>
    <xf numFmtId="41" fontId="37" fillId="13" borderId="1" xfId="1" applyNumberFormat="1" applyFont="1" applyFill="1" applyBorder="1" applyAlignment="1">
      <alignment horizontal="right"/>
    </xf>
    <xf numFmtId="9" fontId="28" fillId="7" borderId="43" xfId="12" applyNumberFormat="1" applyFill="1" applyBorder="1"/>
    <xf numFmtId="175" fontId="28" fillId="7" borderId="28" xfId="12" applyNumberFormat="1" applyFill="1"/>
    <xf numFmtId="43" fontId="5" fillId="5" borderId="0" xfId="1" applyNumberFormat="1" applyFont="1" applyFill="1"/>
    <xf numFmtId="42" fontId="3" fillId="11" borderId="0" xfId="1" quotePrefix="1" applyNumberFormat="1" applyFont="1" applyFill="1"/>
    <xf numFmtId="10" fontId="5" fillId="11" borderId="0" xfId="9" applyNumberFormat="1" applyFont="1" applyFill="1" applyAlignment="1">
      <alignment horizontal="center"/>
    </xf>
    <xf numFmtId="198" fontId="5" fillId="11" borderId="0" xfId="1" applyNumberFormat="1" applyFont="1" applyFill="1"/>
    <xf numFmtId="164" fontId="5" fillId="12" borderId="10" xfId="1" applyNumberFormat="1" applyFont="1" applyFill="1" applyBorder="1"/>
    <xf numFmtId="164" fontId="7" fillId="12" borderId="0" xfId="1" applyNumberFormat="1" applyFont="1" applyFill="1" applyAlignment="1">
      <alignment wrapText="1"/>
    </xf>
    <xf numFmtId="44" fontId="3" fillId="12" borderId="0" xfId="1" applyNumberFormat="1" applyFont="1" applyFill="1"/>
    <xf numFmtId="178" fontId="5" fillId="12" borderId="0" xfId="1" applyNumberFormat="1" applyFont="1" applyFill="1"/>
    <xf numFmtId="164" fontId="5" fillId="12" borderId="0" xfId="1" applyNumberFormat="1" applyFont="1" applyFill="1"/>
    <xf numFmtId="178" fontId="5" fillId="12" borderId="5" xfId="1" applyNumberFormat="1" applyFont="1" applyFill="1" applyBorder="1"/>
    <xf numFmtId="44" fontId="5" fillId="12" borderId="0" xfId="1" applyNumberFormat="1" applyFont="1" applyFill="1"/>
    <xf numFmtId="43" fontId="6" fillId="12" borderId="7" xfId="1" quotePrefix="1" applyNumberFormat="1" applyFont="1" applyFill="1" applyBorder="1" applyAlignment="1">
      <alignment horizontal="center"/>
    </xf>
    <xf numFmtId="43" fontId="6" fillId="12" borderId="0" xfId="1" quotePrefix="1" applyNumberFormat="1" applyFont="1" applyFill="1" applyAlignment="1">
      <alignment horizontal="center"/>
    </xf>
    <xf numFmtId="43" fontId="6" fillId="12" borderId="8" xfId="1" quotePrefix="1" applyNumberFormat="1" applyFont="1" applyFill="1" applyBorder="1" applyAlignment="1">
      <alignment horizontal="center"/>
    </xf>
    <xf numFmtId="164" fontId="7" fillId="12" borderId="7" xfId="1" quotePrefix="1" applyNumberFormat="1" applyFont="1" applyFill="1" applyBorder="1" applyAlignment="1">
      <alignment horizontal="right"/>
    </xf>
    <xf numFmtId="164" fontId="5" fillId="12" borderId="0" xfId="1" applyNumberFormat="1" applyFont="1" applyFill="1" applyAlignment="1">
      <alignment horizontal="center"/>
    </xf>
    <xf numFmtId="164" fontId="7" fillId="12" borderId="8" xfId="1" quotePrefix="1" applyNumberFormat="1" applyFont="1" applyFill="1" applyBorder="1" applyAlignment="1">
      <alignment horizontal="right"/>
    </xf>
    <xf numFmtId="167" fontId="5" fillId="12" borderId="7" xfId="1" applyNumberFormat="1" applyFont="1" applyFill="1" applyBorder="1"/>
    <xf numFmtId="167" fontId="5" fillId="12" borderId="0" xfId="1" applyNumberFormat="1" applyFont="1" applyFill="1"/>
    <xf numFmtId="167" fontId="5" fillId="12" borderId="8" xfId="1" applyNumberFormat="1" applyFont="1" applyFill="1" applyBorder="1"/>
    <xf numFmtId="165" fontId="5" fillId="12" borderId="7" xfId="1" quotePrefix="1" applyNumberFormat="1" applyFont="1" applyFill="1" applyBorder="1"/>
    <xf numFmtId="165" fontId="5" fillId="12" borderId="0" xfId="1" applyNumberFormat="1" applyFont="1" applyFill="1"/>
    <xf numFmtId="165" fontId="5" fillId="12" borderId="8" xfId="1" applyNumberFormat="1" applyFont="1" applyFill="1" applyBorder="1"/>
    <xf numFmtId="165" fontId="5" fillId="12" borderId="7" xfId="1" applyNumberFormat="1" applyFont="1" applyFill="1" applyBorder="1"/>
    <xf numFmtId="165" fontId="6" fillId="12" borderId="7" xfId="1" applyNumberFormat="1" applyFont="1" applyFill="1" applyBorder="1"/>
    <xf numFmtId="165" fontId="6" fillId="12" borderId="0" xfId="1" applyNumberFormat="1" applyFont="1" applyFill="1"/>
    <xf numFmtId="165" fontId="6" fillId="12" borderId="8" xfId="1" applyNumberFormat="1" applyFont="1" applyFill="1" applyBorder="1"/>
    <xf numFmtId="167" fontId="37" fillId="12" borderId="1" xfId="1" applyNumberFormat="1" applyFont="1" applyFill="1" applyBorder="1"/>
    <xf numFmtId="167" fontId="38" fillId="12" borderId="2" xfId="1" applyNumberFormat="1" applyFont="1" applyFill="1" applyBorder="1"/>
    <xf numFmtId="167" fontId="38" fillId="12" borderId="3" xfId="1" applyNumberFormat="1" applyFont="1" applyFill="1" applyBorder="1"/>
    <xf numFmtId="165" fontId="5" fillId="12" borderId="4" xfId="1" applyNumberFormat="1" applyFont="1" applyFill="1" applyBorder="1"/>
    <xf numFmtId="165" fontId="5" fillId="12" borderId="5" xfId="1" applyNumberFormat="1" applyFont="1" applyFill="1" applyBorder="1"/>
    <xf numFmtId="165" fontId="5" fillId="12" borderId="6" xfId="1" applyNumberFormat="1" applyFont="1" applyFill="1" applyBorder="1"/>
    <xf numFmtId="165" fontId="5" fillId="12" borderId="10" xfId="1" applyNumberFormat="1" applyFont="1" applyFill="1" applyBorder="1"/>
    <xf numFmtId="9" fontId="3" fillId="12" borderId="7" xfId="1" applyNumberFormat="1" applyFont="1" applyFill="1" applyBorder="1" applyAlignment="1">
      <alignment horizontal="left"/>
    </xf>
    <xf numFmtId="164" fontId="5" fillId="12" borderId="8" xfId="1" applyNumberFormat="1" applyFont="1" applyFill="1" applyBorder="1"/>
    <xf numFmtId="41" fontId="37" fillId="12" borderId="1" xfId="1" applyNumberFormat="1" applyFont="1" applyFill="1" applyBorder="1" applyAlignment="1">
      <alignment horizontal="right"/>
    </xf>
    <xf numFmtId="41" fontId="38" fillId="12" borderId="2" xfId="1" applyNumberFormat="1" applyFont="1" applyFill="1" applyBorder="1" applyAlignment="1">
      <alignment horizontal="right"/>
    </xf>
    <xf numFmtId="41" fontId="38" fillId="12" borderId="3" xfId="1" applyNumberFormat="1" applyFont="1" applyFill="1" applyBorder="1" applyAlignment="1">
      <alignment horizontal="right"/>
    </xf>
    <xf numFmtId="41" fontId="5" fillId="12" borderId="7" xfId="1" applyNumberFormat="1" applyFont="1" applyFill="1" applyBorder="1" applyAlignment="1">
      <alignment horizontal="right"/>
    </xf>
    <xf numFmtId="164" fontId="5" fillId="12" borderId="0" xfId="1" applyNumberFormat="1" applyFont="1" applyFill="1" applyAlignment="1">
      <alignment horizontal="right"/>
    </xf>
    <xf numFmtId="164" fontId="5" fillId="12" borderId="8" xfId="1" applyNumberFormat="1" applyFont="1" applyFill="1" applyBorder="1" applyAlignment="1">
      <alignment horizontal="right"/>
    </xf>
    <xf numFmtId="43" fontId="6" fillId="12" borderId="7" xfId="1" applyNumberFormat="1" applyFont="1" applyFill="1" applyBorder="1" applyAlignment="1">
      <alignment horizontal="center" wrapText="1"/>
    </xf>
    <xf numFmtId="177" fontId="28" fillId="12" borderId="40" xfId="12" applyNumberFormat="1" applyFill="1" applyBorder="1" applyProtection="1">
      <protection locked="0"/>
    </xf>
    <xf numFmtId="176" fontId="5" fillId="12" borderId="8" xfId="3" applyNumberFormat="1" applyFont="1" applyFill="1" applyBorder="1"/>
    <xf numFmtId="187" fontId="5" fillId="12" borderId="8" xfId="2" applyNumberFormat="1" applyFont="1" applyFill="1" applyBorder="1"/>
    <xf numFmtId="177" fontId="43" fillId="12" borderId="40" xfId="12" applyNumberFormat="1" applyFont="1" applyFill="1" applyBorder="1" applyProtection="1">
      <protection locked="0"/>
    </xf>
    <xf numFmtId="164" fontId="5" fillId="12" borderId="7" xfId="1" applyNumberFormat="1" applyFont="1" applyFill="1" applyBorder="1"/>
    <xf numFmtId="187" fontId="5" fillId="12" borderId="7" xfId="11" applyNumberFormat="1" applyFont="1" applyFill="1" applyBorder="1"/>
    <xf numFmtId="164" fontId="3" fillId="12" borderId="7" xfId="1" applyNumberFormat="1" applyFont="1" applyFill="1" applyBorder="1"/>
    <xf numFmtId="41" fontId="6" fillId="12" borderId="8" xfId="1" applyNumberFormat="1" applyFont="1" applyFill="1" applyBorder="1" applyAlignment="1">
      <alignment horizontal="center"/>
    </xf>
    <xf numFmtId="187" fontId="5" fillId="12" borderId="8" xfId="3" applyNumberFormat="1" applyFont="1" applyFill="1" applyBorder="1"/>
    <xf numFmtId="187" fontId="6" fillId="12" borderId="8" xfId="3" applyNumberFormat="1" applyFont="1" applyFill="1" applyBorder="1"/>
    <xf numFmtId="176" fontId="30" fillId="12" borderId="8" xfId="3" applyNumberFormat="1" applyFont="1" applyFill="1" applyBorder="1"/>
    <xf numFmtId="43" fontId="6" fillId="12" borderId="0" xfId="1" applyNumberFormat="1" applyFont="1" applyFill="1" applyAlignment="1">
      <alignment horizontal="center" wrapText="1"/>
    </xf>
    <xf numFmtId="177" fontId="28" fillId="12" borderId="44" xfId="12" applyNumberFormat="1" applyFill="1" applyBorder="1" applyProtection="1">
      <protection locked="0"/>
    </xf>
    <xf numFmtId="10" fontId="3" fillId="12" borderId="7" xfId="1" applyNumberFormat="1" applyFont="1" applyFill="1" applyBorder="1"/>
    <xf numFmtId="176" fontId="3" fillId="12" borderId="8" xfId="3" applyNumberFormat="1" applyFont="1" applyFill="1" applyBorder="1"/>
    <xf numFmtId="10" fontId="3" fillId="12" borderId="7" xfId="1" applyNumberFormat="1" applyFont="1" applyFill="1" applyBorder="1" applyAlignment="1">
      <alignment horizontal="center"/>
    </xf>
    <xf numFmtId="9" fontId="28" fillId="9" borderId="42" xfId="9" applyFont="1" applyFill="1" applyBorder="1"/>
    <xf numFmtId="9" fontId="7" fillId="0" borderId="0" xfId="9" applyFont="1"/>
    <xf numFmtId="44" fontId="28" fillId="9" borderId="39" xfId="10" applyFont="1" applyFill="1" applyBorder="1" applyProtection="1">
      <protection locked="0"/>
    </xf>
    <xf numFmtId="41" fontId="5" fillId="0" borderId="9" xfId="1" applyNumberFormat="1" applyFont="1" applyBorder="1" applyAlignment="1">
      <alignment horizontal="right"/>
    </xf>
    <xf numFmtId="164" fontId="5" fillId="0" borderId="10" xfId="1" applyNumberFormat="1" applyFont="1" applyBorder="1" applyAlignment="1">
      <alignment horizontal="right"/>
    </xf>
    <xf numFmtId="164" fontId="5" fillId="0" borderId="11" xfId="1" applyNumberFormat="1" applyFont="1" applyBorder="1" applyAlignment="1">
      <alignment horizontal="right"/>
    </xf>
    <xf numFmtId="167" fontId="41" fillId="0" borderId="2" xfId="1" applyNumberFormat="1" applyFont="1" applyBorder="1"/>
    <xf numFmtId="165" fontId="3" fillId="0" borderId="5" xfId="1" applyNumberFormat="1" applyFont="1" applyBorder="1"/>
    <xf numFmtId="165" fontId="3" fillId="0" borderId="10" xfId="1" applyNumberFormat="1" applyFont="1" applyBorder="1"/>
    <xf numFmtId="41" fontId="41" fillId="0" borderId="2" xfId="1" applyNumberFormat="1" applyFont="1" applyBorder="1" applyAlignment="1">
      <alignment horizontal="right"/>
    </xf>
    <xf numFmtId="187" fontId="5" fillId="0" borderId="7" xfId="1" quotePrefix="1" applyNumberFormat="1" applyFont="1" applyBorder="1"/>
    <xf numFmtId="177" fontId="40" fillId="9" borderId="44" xfId="12" applyNumberFormat="1" applyFont="1" applyBorder="1" applyProtection="1">
      <protection locked="0"/>
    </xf>
    <xf numFmtId="43" fontId="12" fillId="12" borderId="0" xfId="1" quotePrefix="1" applyNumberFormat="1" applyFont="1" applyFill="1" applyAlignment="1">
      <alignment horizontal="center"/>
    </xf>
    <xf numFmtId="164" fontId="3" fillId="12" borderId="0" xfId="1" applyNumberFormat="1" applyFont="1" applyFill="1" applyAlignment="1">
      <alignment horizontal="center"/>
    </xf>
    <xf numFmtId="167" fontId="3" fillId="12" borderId="0" xfId="1" applyNumberFormat="1" applyFont="1" applyFill="1"/>
    <xf numFmtId="165" fontId="3" fillId="12" borderId="0" xfId="1" applyNumberFormat="1" applyFont="1" applyFill="1"/>
    <xf numFmtId="165" fontId="12" fillId="12" borderId="0" xfId="1" applyNumberFormat="1" applyFont="1" applyFill="1"/>
    <xf numFmtId="0" fontId="5" fillId="0" borderId="0" xfId="1" applyFont="1"/>
    <xf numFmtId="10" fontId="5" fillId="0" borderId="0" xfId="9" applyNumberFormat="1" applyFont="1" applyFill="1" applyAlignment="1">
      <alignment horizontal="center"/>
    </xf>
    <xf numFmtId="198" fontId="8" fillId="11" borderId="0" xfId="1" applyNumberFormat="1" applyFont="1" applyFill="1"/>
    <xf numFmtId="198" fontId="17" fillId="11" borderId="0" xfId="1" applyNumberFormat="1" applyFont="1" applyFill="1"/>
    <xf numFmtId="177" fontId="28" fillId="14" borderId="40" xfId="12" applyNumberFormat="1" applyFill="1" applyBorder="1" applyAlignment="1" applyProtection="1">
      <protection locked="0"/>
    </xf>
    <xf numFmtId="0" fontId="5" fillId="10" borderId="0" xfId="1" applyFont="1" applyFill="1"/>
    <xf numFmtId="178" fontId="5" fillId="10" borderId="0" xfId="1" applyNumberFormat="1" applyFont="1" applyFill="1"/>
    <xf numFmtId="164" fontId="5" fillId="10" borderId="0" xfId="1" applyNumberFormat="1" applyFont="1" applyFill="1" applyAlignment="1">
      <alignment horizontal="center" wrapText="1"/>
    </xf>
    <xf numFmtId="43" fontId="5" fillId="0" borderId="0" xfId="11" applyFont="1"/>
    <xf numFmtId="195" fontId="5" fillId="0" borderId="0" xfId="11" applyNumberFormat="1" applyFont="1"/>
    <xf numFmtId="176" fontId="43" fillId="14" borderId="39" xfId="12" applyNumberFormat="1" applyFont="1" applyFill="1" applyBorder="1" applyAlignment="1" applyProtection="1">
      <alignment horizontal="center"/>
      <protection locked="0"/>
    </xf>
    <xf numFmtId="175" fontId="3" fillId="0" borderId="0" xfId="10" applyNumberFormat="1" applyFont="1"/>
    <xf numFmtId="164" fontId="18" fillId="0" borderId="0" xfId="1" applyNumberFormat="1" applyFont="1" applyAlignment="1">
      <alignment horizontal="left"/>
    </xf>
    <xf numFmtId="194" fontId="18" fillId="0" borderId="0" xfId="11" applyNumberFormat="1" applyFont="1" applyFill="1"/>
    <xf numFmtId="187" fontId="3" fillId="0" borderId="0" xfId="11" applyNumberFormat="1" applyFont="1" applyFill="1"/>
    <xf numFmtId="187" fontId="3" fillId="0" borderId="0" xfId="11" applyNumberFormat="1" applyFont="1" applyFill="1" applyBorder="1" applyAlignment="1"/>
    <xf numFmtId="41" fontId="18" fillId="0" borderId="0" xfId="1" applyNumberFormat="1" applyFont="1"/>
    <xf numFmtId="196" fontId="3" fillId="0" borderId="0" xfId="11" applyNumberFormat="1" applyFont="1"/>
    <xf numFmtId="178" fontId="3" fillId="11" borderId="0" xfId="1" applyNumberFormat="1" applyFont="1" applyFill="1"/>
    <xf numFmtId="43" fontId="5" fillId="0" borderId="0" xfId="11" applyFont="1" applyFill="1" applyBorder="1"/>
    <xf numFmtId="187" fontId="5" fillId="12" borderId="7" xfId="1" quotePrefix="1" applyNumberFormat="1" applyFont="1" applyFill="1" applyBorder="1"/>
    <xf numFmtId="164" fontId="5" fillId="12" borderId="11" xfId="1" applyNumberFormat="1" applyFont="1" applyFill="1" applyBorder="1"/>
    <xf numFmtId="177" fontId="43" fillId="0" borderId="0" xfId="12" applyNumberFormat="1" applyFont="1" applyFill="1" applyBorder="1" applyProtection="1">
      <protection locked="0"/>
    </xf>
    <xf numFmtId="177" fontId="28" fillId="0" borderId="0" xfId="12" applyNumberFormat="1" applyFill="1" applyBorder="1" applyProtection="1">
      <protection locked="0"/>
    </xf>
    <xf numFmtId="177" fontId="28" fillId="0" borderId="7" xfId="12" applyNumberFormat="1" applyFill="1" applyBorder="1" applyProtection="1">
      <protection locked="0"/>
    </xf>
    <xf numFmtId="177" fontId="40" fillId="0" borderId="7" xfId="12" applyNumberFormat="1" applyFont="1" applyFill="1" applyBorder="1" applyProtection="1">
      <protection locked="0"/>
    </xf>
    <xf numFmtId="164" fontId="3" fillId="0" borderId="5" xfId="1" applyNumberFormat="1" applyFont="1" applyBorder="1"/>
    <xf numFmtId="195" fontId="5" fillId="0" borderId="5" xfId="11" applyNumberFormat="1" applyFont="1" applyBorder="1"/>
    <xf numFmtId="164" fontId="5" fillId="12" borderId="5" xfId="1" applyNumberFormat="1" applyFont="1" applyFill="1" applyBorder="1"/>
    <xf numFmtId="164" fontId="5" fillId="12" borderId="5" xfId="1" applyNumberFormat="1" applyFont="1" applyFill="1" applyBorder="1" applyAlignment="1">
      <alignment horizontal="right"/>
    </xf>
    <xf numFmtId="164" fontId="7" fillId="12" borderId="0" xfId="1" applyNumberFormat="1" applyFont="1" applyFill="1" applyAlignment="1">
      <alignment horizontal="right" wrapText="1"/>
    </xf>
    <xf numFmtId="164" fontId="7" fillId="12" borderId="0" xfId="1" applyNumberFormat="1" applyFont="1" applyFill="1" applyAlignment="1">
      <alignment horizontal="right"/>
    </xf>
    <xf numFmtId="170" fontId="5" fillId="12" borderId="0" xfId="1" applyNumberFormat="1" applyFont="1" applyFill="1"/>
    <xf numFmtId="9" fontId="5" fillId="12" borderId="0" xfId="1" applyNumberFormat="1" applyFont="1" applyFill="1"/>
    <xf numFmtId="177" fontId="43" fillId="8" borderId="45" xfId="12" applyNumberFormat="1" applyFont="1" applyFill="1" applyBorder="1" applyProtection="1">
      <protection locked="0"/>
    </xf>
    <xf numFmtId="177" fontId="43" fillId="5" borderId="45" xfId="12" applyNumberFormat="1" applyFont="1" applyFill="1" applyBorder="1" applyProtection="1">
      <protection locked="0"/>
    </xf>
    <xf numFmtId="44" fontId="18" fillId="0" borderId="0" xfId="1" applyNumberFormat="1" applyFont="1" applyAlignment="1" applyProtection="1">
      <alignment horizontal="right"/>
      <protection locked="0"/>
    </xf>
    <xf numFmtId="177" fontId="28" fillId="12" borderId="7" xfId="12" applyNumberFormat="1" applyFill="1" applyBorder="1" applyProtection="1">
      <protection locked="0"/>
    </xf>
    <xf numFmtId="199" fontId="28" fillId="9" borderId="46" xfId="12" applyNumberFormat="1" applyBorder="1" applyProtection="1">
      <protection locked="0"/>
    </xf>
    <xf numFmtId="9" fontId="5" fillId="0" borderId="33" xfId="9" applyFont="1" applyFill="1" applyBorder="1"/>
    <xf numFmtId="195" fontId="28" fillId="9" borderId="39" xfId="11" applyNumberFormat="1" applyFont="1" applyFill="1" applyBorder="1" applyAlignment="1" applyProtection="1">
      <alignment horizontal="center"/>
      <protection locked="0"/>
    </xf>
    <xf numFmtId="175" fontId="28" fillId="9" borderId="28" xfId="10" applyNumberFormat="1" applyFont="1" applyFill="1" applyBorder="1" applyProtection="1">
      <protection locked="0"/>
    </xf>
    <xf numFmtId="200" fontId="28" fillId="9" borderId="46" xfId="12" applyNumberFormat="1" applyBorder="1" applyProtection="1">
      <protection locked="0"/>
    </xf>
    <xf numFmtId="44" fontId="28" fillId="9" borderId="42" xfId="10" applyFont="1" applyFill="1" applyBorder="1"/>
    <xf numFmtId="195" fontId="2" fillId="0" borderId="0" xfId="11" applyNumberFormat="1" applyFont="1"/>
    <xf numFmtId="43" fontId="6" fillId="12" borderId="29" xfId="1" quotePrefix="1" applyNumberFormat="1" applyFont="1" applyFill="1" applyBorder="1" applyAlignment="1">
      <alignment horizontal="center"/>
    </xf>
    <xf numFmtId="43" fontId="6" fillId="12" borderId="30" xfId="1" quotePrefix="1" applyNumberFormat="1" applyFont="1" applyFill="1" applyBorder="1" applyAlignment="1">
      <alignment horizontal="center"/>
    </xf>
    <xf numFmtId="43" fontId="6" fillId="12" borderId="31" xfId="1" quotePrefix="1" applyNumberFormat="1" applyFont="1" applyFill="1" applyBorder="1" applyAlignment="1">
      <alignment horizontal="center"/>
    </xf>
    <xf numFmtId="164" fontId="5" fillId="12" borderId="24" xfId="1" applyNumberFormat="1" applyFont="1" applyFill="1" applyBorder="1" applyAlignment="1">
      <alignment horizontal="center"/>
    </xf>
    <xf numFmtId="164" fontId="5" fillId="12" borderId="25" xfId="1" applyNumberFormat="1" applyFont="1" applyFill="1" applyBorder="1" applyAlignment="1">
      <alignment horizontal="center"/>
    </xf>
    <xf numFmtId="165" fontId="5" fillId="12" borderId="24" xfId="1" applyNumberFormat="1" applyFont="1" applyFill="1" applyBorder="1"/>
    <xf numFmtId="167" fontId="5" fillId="12" borderId="25" xfId="1" applyNumberFormat="1" applyFont="1" applyFill="1" applyBorder="1"/>
    <xf numFmtId="165" fontId="5" fillId="12" borderId="25" xfId="1" applyNumberFormat="1" applyFont="1" applyFill="1" applyBorder="1"/>
    <xf numFmtId="165" fontId="6" fillId="12" borderId="24" xfId="1" applyNumberFormat="1" applyFont="1" applyFill="1" applyBorder="1"/>
    <xf numFmtId="165" fontId="6" fillId="12" borderId="25" xfId="1" applyNumberFormat="1" applyFont="1" applyFill="1" applyBorder="1"/>
    <xf numFmtId="43" fontId="5" fillId="12" borderId="0" xfId="1" applyNumberFormat="1" applyFont="1" applyFill="1"/>
    <xf numFmtId="167" fontId="8" fillId="12" borderId="32" xfId="1" applyNumberFormat="1" applyFont="1" applyFill="1" applyBorder="1"/>
    <xf numFmtId="167" fontId="8" fillId="12" borderId="33" xfId="1" applyNumberFormat="1" applyFont="1" applyFill="1" applyBorder="1"/>
    <xf numFmtId="167" fontId="8" fillId="12" borderId="34" xfId="1" applyNumberFormat="1" applyFont="1" applyFill="1" applyBorder="1"/>
    <xf numFmtId="165" fontId="8" fillId="12" borderId="0" xfId="1" applyNumberFormat="1" applyFont="1" applyFill="1"/>
    <xf numFmtId="167" fontId="8" fillId="12" borderId="0" xfId="1" applyNumberFormat="1" applyFont="1" applyFill="1"/>
    <xf numFmtId="41" fontId="8" fillId="12" borderId="35" xfId="1" applyNumberFormat="1" applyFont="1" applyFill="1" applyBorder="1"/>
    <xf numFmtId="41" fontId="37" fillId="7" borderId="1" xfId="1" applyNumberFormat="1" applyFont="1" applyFill="1" applyBorder="1" applyAlignment="1">
      <alignment horizontal="right"/>
    </xf>
    <xf numFmtId="187" fontId="5" fillId="7" borderId="8" xfId="2" applyNumberFormat="1" applyFont="1" applyFill="1" applyBorder="1"/>
    <xf numFmtId="164" fontId="5" fillId="0" borderId="0" xfId="1" applyNumberFormat="1" applyFont="1" applyAlignment="1">
      <alignment horizontal="right"/>
    </xf>
    <xf numFmtId="164" fontId="3" fillId="0" borderId="0" xfId="1" applyNumberFormat="1" applyFont="1" applyAlignment="1">
      <alignment horizontal="center"/>
    </xf>
    <xf numFmtId="164" fontId="10" fillId="0" borderId="0" xfId="1" applyNumberFormat="1" applyFont="1" applyAlignment="1">
      <alignment horizontal="right"/>
    </xf>
    <xf numFmtId="41" fontId="6" fillId="0" borderId="4" xfId="1" applyNumberFormat="1" applyFont="1" applyBorder="1" applyAlignment="1">
      <alignment horizontal="center"/>
    </xf>
    <xf numFmtId="41" fontId="6" fillId="0" borderId="6" xfId="1" applyNumberFormat="1" applyFont="1" applyBorder="1" applyAlignment="1">
      <alignment horizontal="center"/>
    </xf>
    <xf numFmtId="41" fontId="6" fillId="0" borderId="0" xfId="1" applyNumberFormat="1" applyFont="1" applyAlignment="1">
      <alignment horizontal="center"/>
    </xf>
    <xf numFmtId="41" fontId="6" fillId="0" borderId="7" xfId="1" applyNumberFormat="1" applyFont="1" applyBorder="1" applyAlignment="1">
      <alignment horizontal="center"/>
    </xf>
    <xf numFmtId="41" fontId="6" fillId="0" borderId="8" xfId="1" applyNumberFormat="1" applyFont="1" applyBorder="1" applyAlignment="1">
      <alignment horizontal="center"/>
    </xf>
    <xf numFmtId="41" fontId="6" fillId="12" borderId="4" xfId="1" applyNumberFormat="1" applyFont="1" applyFill="1" applyBorder="1" applyAlignment="1">
      <alignment horizontal="center"/>
    </xf>
    <xf numFmtId="41" fontId="6" fillId="12" borderId="6" xfId="1" applyNumberFormat="1" applyFont="1" applyFill="1" applyBorder="1" applyAlignment="1">
      <alignment horizontal="center"/>
    </xf>
    <xf numFmtId="41" fontId="12" fillId="0" borderId="4" xfId="1" applyNumberFormat="1" applyFont="1" applyBorder="1" applyAlignment="1">
      <alignment horizontal="center"/>
    </xf>
    <xf numFmtId="41" fontId="12" fillId="0" borderId="6" xfId="1" applyNumberFormat="1" applyFont="1" applyBorder="1" applyAlignment="1">
      <alignment horizontal="center"/>
    </xf>
    <xf numFmtId="43" fontId="17" fillId="12" borderId="4" xfId="1" applyNumberFormat="1" applyFont="1" applyFill="1" applyBorder="1" applyAlignment="1">
      <alignment horizontal="center" wrapText="1"/>
    </xf>
    <xf numFmtId="43" fontId="17" fillId="12" borderId="5" xfId="1" applyNumberFormat="1" applyFont="1" applyFill="1" applyBorder="1" applyAlignment="1">
      <alignment horizontal="center" wrapText="1"/>
    </xf>
    <xf numFmtId="43" fontId="17" fillId="12" borderId="6" xfId="1" applyNumberFormat="1" applyFont="1" applyFill="1" applyBorder="1" applyAlignment="1">
      <alignment horizontal="center" wrapText="1"/>
    </xf>
    <xf numFmtId="41" fontId="5" fillId="0" borderId="0" xfId="1" applyNumberFormat="1" applyFont="1" applyAlignment="1">
      <alignment horizontal="center"/>
    </xf>
    <xf numFmtId="43" fontId="17" fillId="0" borderId="4" xfId="1" applyNumberFormat="1" applyFont="1" applyBorder="1" applyAlignment="1">
      <alignment horizontal="center" wrapText="1"/>
    </xf>
    <xf numFmtId="43" fontId="17" fillId="0" borderId="5" xfId="1" applyNumberFormat="1" applyFont="1" applyBorder="1" applyAlignment="1">
      <alignment horizontal="center" wrapText="1"/>
    </xf>
    <xf numFmtId="43" fontId="17" fillId="0" borderId="6" xfId="1" applyNumberFormat="1" applyFont="1" applyBorder="1" applyAlignment="1">
      <alignment horizontal="center" wrapText="1"/>
    </xf>
    <xf numFmtId="41" fontId="17" fillId="12" borderId="4" xfId="1" applyNumberFormat="1" applyFont="1" applyFill="1" applyBorder="1" applyAlignment="1">
      <alignment horizontal="center"/>
    </xf>
    <xf numFmtId="41" fontId="17" fillId="12" borderId="5" xfId="1" applyNumberFormat="1" applyFont="1" applyFill="1" applyBorder="1" applyAlignment="1">
      <alignment horizontal="center"/>
    </xf>
    <xf numFmtId="41" fontId="17" fillId="12" borderId="6" xfId="1" applyNumberFormat="1" applyFont="1" applyFill="1" applyBorder="1" applyAlignment="1">
      <alignment horizontal="center"/>
    </xf>
    <xf numFmtId="164" fontId="8" fillId="11" borderId="0" xfId="1" applyNumberFormat="1" applyFont="1" applyFill="1"/>
    <xf numFmtId="164" fontId="8" fillId="11" borderId="0" xfId="1" applyNumberFormat="1" applyFont="1" applyFill="1" applyAlignment="1">
      <alignment horizontal="left"/>
    </xf>
    <xf numFmtId="41" fontId="17" fillId="0" borderId="4" xfId="1" applyNumberFormat="1" applyFont="1" applyBorder="1" applyAlignment="1">
      <alignment horizontal="center"/>
    </xf>
    <xf numFmtId="41" fontId="17" fillId="0" borderId="5" xfId="1" applyNumberFormat="1" applyFont="1" applyBorder="1" applyAlignment="1">
      <alignment horizontal="center"/>
    </xf>
    <xf numFmtId="41" fontId="17" fillId="0" borderId="6" xfId="1" applyNumberFormat="1" applyFont="1" applyBorder="1" applyAlignment="1">
      <alignment horizontal="center"/>
    </xf>
    <xf numFmtId="41" fontId="17" fillId="10" borderId="4" xfId="1" applyNumberFormat="1" applyFont="1" applyFill="1" applyBorder="1" applyAlignment="1">
      <alignment horizontal="center"/>
    </xf>
    <xf numFmtId="41" fontId="17" fillId="10" borderId="5" xfId="1" applyNumberFormat="1" applyFont="1" applyFill="1" applyBorder="1" applyAlignment="1">
      <alignment horizontal="center"/>
    </xf>
    <xf numFmtId="41" fontId="17" fillId="10" borderId="6" xfId="1" applyNumberFormat="1" applyFont="1" applyFill="1" applyBorder="1" applyAlignment="1">
      <alignment horizontal="center"/>
    </xf>
    <xf numFmtId="43" fontId="17" fillId="10" borderId="4" xfId="1" applyNumberFormat="1" applyFont="1" applyFill="1" applyBorder="1" applyAlignment="1">
      <alignment horizontal="center" wrapText="1"/>
    </xf>
    <xf numFmtId="43" fontId="17" fillId="10" borderId="5" xfId="1" applyNumberFormat="1" applyFont="1" applyFill="1" applyBorder="1" applyAlignment="1">
      <alignment horizontal="center" wrapText="1"/>
    </xf>
    <xf numFmtId="43" fontId="17" fillId="10" borderId="6" xfId="1" applyNumberFormat="1" applyFont="1" applyFill="1" applyBorder="1" applyAlignment="1">
      <alignment horizontal="center" wrapText="1"/>
    </xf>
    <xf numFmtId="41" fontId="17" fillId="13" borderId="4" xfId="1" applyNumberFormat="1" applyFont="1" applyFill="1" applyBorder="1" applyAlignment="1">
      <alignment horizontal="center"/>
    </xf>
    <xf numFmtId="41" fontId="17" fillId="13" borderId="5" xfId="1" applyNumberFormat="1" applyFont="1" applyFill="1" applyBorder="1" applyAlignment="1">
      <alignment horizontal="center"/>
    </xf>
    <xf numFmtId="41" fontId="17" fillId="13" borderId="6" xfId="1" applyNumberFormat="1" applyFont="1" applyFill="1" applyBorder="1" applyAlignment="1">
      <alignment horizontal="center"/>
    </xf>
    <xf numFmtId="41" fontId="6" fillId="7" borderId="4" xfId="1" applyNumberFormat="1" applyFont="1" applyFill="1" applyBorder="1" applyAlignment="1">
      <alignment horizontal="center"/>
    </xf>
    <xf numFmtId="41" fontId="6" fillId="7" borderId="6" xfId="1" applyNumberFormat="1" applyFont="1" applyFill="1" applyBorder="1" applyAlignment="1">
      <alignment horizontal="center"/>
    </xf>
    <xf numFmtId="164" fontId="8" fillId="3" borderId="0" xfId="1" applyNumberFormat="1" applyFont="1" applyFill="1"/>
    <xf numFmtId="164" fontId="8" fillId="3" borderId="0" xfId="1" applyNumberFormat="1" applyFont="1" applyFill="1" applyAlignment="1">
      <alignment horizontal="left"/>
    </xf>
    <xf numFmtId="164" fontId="5" fillId="0" borderId="0" xfId="1" applyNumberFormat="1" applyFont="1"/>
    <xf numFmtId="164" fontId="5" fillId="0" borderId="4" xfId="1" applyNumberFormat="1" applyFont="1" applyBorder="1"/>
    <xf numFmtId="164" fontId="5" fillId="0" borderId="5" xfId="1" applyNumberFormat="1" applyFont="1" applyBorder="1"/>
    <xf numFmtId="164" fontId="5" fillId="0" borderId="6" xfId="1" applyNumberFormat="1" applyFont="1" applyBorder="1"/>
    <xf numFmtId="164" fontId="5" fillId="0" borderId="2" xfId="1" applyNumberFormat="1" applyFont="1" applyBorder="1"/>
    <xf numFmtId="164" fontId="5" fillId="0" borderId="3" xfId="1" applyNumberFormat="1" applyFont="1" applyBorder="1"/>
    <xf numFmtId="164" fontId="2" fillId="0" borderId="0" xfId="1" applyNumberFormat="1" applyFont="1" applyAlignment="1">
      <alignment horizontal="center"/>
    </xf>
    <xf numFmtId="49" fontId="4" fillId="0" borderId="0" xfId="1" applyNumberFormat="1" applyFont="1" applyAlignment="1">
      <alignment horizontal="center"/>
    </xf>
    <xf numFmtId="41" fontId="17" fillId="3" borderId="0" xfId="1" applyNumberFormat="1" applyFont="1" applyFill="1" applyAlignment="1">
      <alignment horizontal="center"/>
    </xf>
    <xf numFmtId="43" fontId="6" fillId="0" borderId="0" xfId="1" applyNumberFormat="1" applyFont="1"/>
    <xf numFmtId="43" fontId="6" fillId="0" borderId="8" xfId="1" applyNumberFormat="1" applyFont="1" applyBorder="1"/>
    <xf numFmtId="0" fontId="8" fillId="0" borderId="13" xfId="5" applyFont="1" applyBorder="1"/>
  </cellXfs>
  <cellStyles count="13">
    <cellStyle name="Comma" xfId="11" builtinId="3"/>
    <cellStyle name="Comma 2" xfId="2" xr:uid="{00000000-0005-0000-0000-000001000000}"/>
    <cellStyle name="Currency" xfId="10" builtinId="4"/>
    <cellStyle name="Currency 2" xfId="3" xr:uid="{00000000-0005-0000-0000-000003000000}"/>
    <cellStyle name="Currency 3" xfId="4" xr:uid="{00000000-0005-0000-0000-000004000000}"/>
    <cellStyle name="Input" xfId="12" builtinId="20"/>
    <cellStyle name="Normal" xfId="0" builtinId="0"/>
    <cellStyle name="Normal 2" xfId="5" xr:uid="{00000000-0005-0000-0000-000007000000}"/>
    <cellStyle name="Normal 3" xfId="6" xr:uid="{00000000-0005-0000-0000-000008000000}"/>
    <cellStyle name="Normal_STDS97" xfId="1" xr:uid="{00000000-0005-0000-0000-000009000000}"/>
    <cellStyle name="Percent" xfId="9" builtinId="5"/>
    <cellStyle name="Percent 2" xfId="7" xr:uid="{00000000-0005-0000-0000-00000B000000}"/>
    <cellStyle name="Percent 3" xfId="8" xr:uid="{00000000-0005-0000-0000-00000C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2DDB-27CB-491D-8077-3EA91BC0D9F5}">
  <dimension ref="A1:AP280"/>
  <sheetViews>
    <sheetView tabSelected="1" workbookViewId="0">
      <selection activeCell="C79" sqref="C79"/>
    </sheetView>
  </sheetViews>
  <sheetFormatPr defaultColWidth="10.7109375" defaultRowHeight="15" outlineLevelCol="1"/>
  <cols>
    <col min="1" max="1" width="43.28515625" style="2" customWidth="1"/>
    <col min="2" max="2" width="15.28515625" style="2" customWidth="1"/>
    <col min="3" max="3" width="13.28515625" style="2" customWidth="1"/>
    <col min="4" max="5" width="12.28515625" style="2" customWidth="1"/>
    <col min="6" max="6" width="9.7109375" style="2" customWidth="1"/>
    <col min="7" max="8" width="12.28515625" style="2" customWidth="1"/>
    <col min="9" max="9" width="9.7109375" style="2" customWidth="1"/>
    <col min="10" max="10" width="12.28515625" style="2" customWidth="1"/>
    <col min="11" max="11" width="15" style="2" customWidth="1"/>
    <col min="12" max="12" width="9.7109375" style="2" customWidth="1"/>
    <col min="13" max="14" width="12.28515625" style="2" customWidth="1"/>
    <col min="15" max="15" width="9.7109375" style="2" customWidth="1"/>
    <col min="16" max="16" width="12.28515625" style="2" customWidth="1"/>
    <col min="17" max="17" width="13.28515625" style="2" customWidth="1"/>
    <col min="18" max="18" width="9.7109375" style="2" customWidth="1"/>
    <col min="19" max="19" width="12.28515625" style="2" customWidth="1"/>
    <col min="20" max="21" width="1.7109375" style="2" customWidth="1"/>
    <col min="22" max="22" width="10.7109375" style="2"/>
    <col min="23" max="23" width="13" style="2" customWidth="1"/>
    <col min="24" max="24" width="12.7109375" style="2" customWidth="1"/>
    <col min="25" max="26" width="1.7109375" style="2" customWidth="1"/>
    <col min="27" max="27" width="4.7109375" style="2" customWidth="1" outlineLevel="1"/>
    <col min="28" max="28" width="7.7109375" style="2" customWidth="1" outlineLevel="1"/>
    <col min="29" max="29" width="12.28515625" style="2" customWidth="1" outlineLevel="1"/>
    <col min="30" max="30" width="15.28515625" style="2" customWidth="1" outlineLevel="1"/>
    <col min="31" max="31" width="12.28515625" style="2" customWidth="1" outlineLevel="1"/>
    <col min="32" max="33" width="12.42578125" style="2" customWidth="1" outlineLevel="1"/>
    <col min="34" max="34" width="11.7109375" style="2" bestFit="1" customWidth="1" outlineLevel="1"/>
    <col min="35" max="35" width="12.28515625" style="2" bestFit="1" customWidth="1" outlineLevel="1"/>
    <col min="36" max="36" width="10.7109375" style="2" outlineLevel="1"/>
    <col min="37" max="37" width="11.28515625" customWidth="1" outlineLevel="1"/>
    <col min="38" max="38" width="11.28515625" customWidth="1"/>
    <col min="39" max="39" width="10.7109375" style="2"/>
    <col min="40" max="40" width="11" style="2" customWidth="1"/>
    <col min="41" max="41" width="11.28515625" style="2" bestFit="1" customWidth="1"/>
    <col min="42" max="42" width="10.7109375" style="2"/>
    <col min="43" max="245" width="8.7109375" style="2" customWidth="1"/>
    <col min="246" max="16384" width="10.7109375" style="2"/>
  </cols>
  <sheetData>
    <row r="1" spans="1:38" ht="19.5">
      <c r="A1" s="239" t="s">
        <v>364</v>
      </c>
      <c r="B1" s="824"/>
      <c r="C1" s="297"/>
      <c r="D1" s="297"/>
      <c r="E1" s="297"/>
      <c r="F1" s="297"/>
      <c r="G1" s="297"/>
      <c r="H1" s="297"/>
      <c r="AA1" s="603"/>
      <c r="AB1" s="604"/>
      <c r="AC1" s="605"/>
      <c r="AD1" s="605"/>
      <c r="AE1" s="606"/>
      <c r="AF1" s="606"/>
      <c r="AG1" s="605"/>
      <c r="AH1" s="606"/>
      <c r="AI1" s="605"/>
      <c r="AJ1" s="606"/>
      <c r="AK1" s="2"/>
      <c r="AL1" s="2"/>
    </row>
    <row r="2" spans="1:38" ht="15.75">
      <c r="A2" s="240" t="s">
        <v>471</v>
      </c>
      <c r="B2" s="288"/>
      <c r="C2" s="288"/>
      <c r="D2" s="288"/>
      <c r="E2" s="288"/>
      <c r="F2" s="288"/>
      <c r="G2" s="288"/>
      <c r="H2" s="288"/>
      <c r="AA2" s="607"/>
      <c r="AB2" s="608"/>
      <c r="AC2" s="609"/>
      <c r="AD2" s="609"/>
      <c r="AE2" s="610"/>
      <c r="AF2" s="606"/>
      <c r="AG2" s="609"/>
      <c r="AH2" s="610"/>
      <c r="AI2" s="611"/>
      <c r="AJ2" s="610"/>
      <c r="AK2" s="2"/>
      <c r="AL2" s="2"/>
    </row>
    <row r="3" spans="1:38" ht="19.899999999999999" customHeight="1" thickBot="1">
      <c r="A3" s="1" t="s">
        <v>7</v>
      </c>
      <c r="B3" s="860" t="s">
        <v>316</v>
      </c>
      <c r="C3" s="861"/>
      <c r="D3" s="862"/>
      <c r="E3" s="860" t="s">
        <v>408</v>
      </c>
      <c r="F3" s="861"/>
      <c r="G3" s="862"/>
      <c r="H3" s="868" t="s">
        <v>318</v>
      </c>
      <c r="I3" s="869"/>
      <c r="J3" s="870"/>
      <c r="K3" s="868" t="s">
        <v>319</v>
      </c>
      <c r="L3" s="869"/>
      <c r="M3" s="870"/>
      <c r="N3" s="868" t="s">
        <v>317</v>
      </c>
      <c r="O3" s="869"/>
      <c r="P3" s="870"/>
      <c r="Q3" s="863" t="s">
        <v>321</v>
      </c>
      <c r="R3" s="864"/>
      <c r="S3" s="865"/>
      <c r="AA3" s="612"/>
      <c r="AB3" s="612"/>
      <c r="AC3" s="612"/>
      <c r="AD3" s="612"/>
      <c r="AE3" s="612"/>
      <c r="AF3" s="612"/>
      <c r="AG3" s="612"/>
      <c r="AH3" s="612"/>
      <c r="AI3" s="612"/>
      <c r="AJ3" s="612"/>
      <c r="AK3" s="2"/>
      <c r="AL3" s="2"/>
    </row>
    <row r="4" spans="1:38" s="4" customFormat="1">
      <c r="A4" s="5"/>
      <c r="B4" s="304" t="s">
        <v>467</v>
      </c>
      <c r="C4" s="716" t="s">
        <v>468</v>
      </c>
      <c r="D4" s="306" t="s">
        <v>438</v>
      </c>
      <c r="E4" s="304" t="s">
        <v>467</v>
      </c>
      <c r="F4" s="716" t="s">
        <v>468</v>
      </c>
      <c r="G4" s="306" t="s">
        <v>438</v>
      </c>
      <c r="H4" s="304" t="s">
        <v>467</v>
      </c>
      <c r="I4" s="305" t="s">
        <v>468</v>
      </c>
      <c r="J4" s="306" t="s">
        <v>438</v>
      </c>
      <c r="K4" s="304" t="s">
        <v>467</v>
      </c>
      <c r="L4" s="305" t="s">
        <v>468</v>
      </c>
      <c r="M4" s="306" t="s">
        <v>438</v>
      </c>
      <c r="N4" s="304" t="s">
        <v>467</v>
      </c>
      <c r="O4" s="305" t="s">
        <v>468</v>
      </c>
      <c r="P4" s="306" t="s">
        <v>438</v>
      </c>
      <c r="Q4" s="715" t="s">
        <v>467</v>
      </c>
      <c r="R4" s="716" t="s">
        <v>468</v>
      </c>
      <c r="S4" s="717" t="str">
        <f>+D4</f>
        <v>22 Standard</v>
      </c>
      <c r="V4" s="825"/>
      <c r="W4" s="826"/>
      <c r="X4" s="827"/>
      <c r="AA4" s="613"/>
      <c r="AB4" s="613"/>
      <c r="AC4" s="613"/>
      <c r="AD4" s="613"/>
      <c r="AE4" s="613"/>
      <c r="AF4" s="613"/>
      <c r="AG4" s="613"/>
      <c r="AH4" s="613"/>
      <c r="AI4" s="613"/>
      <c r="AJ4" s="613"/>
    </row>
    <row r="5" spans="1:38" s="4" customFormat="1" ht="12.75">
      <c r="B5" s="307"/>
      <c r="C5" s="719" t="s">
        <v>469</v>
      </c>
      <c r="D5" s="308"/>
      <c r="E5" s="307"/>
      <c r="F5" s="719" t="s">
        <v>469</v>
      </c>
      <c r="G5" s="308"/>
      <c r="H5" s="307"/>
      <c r="I5" s="111" t="s">
        <v>459</v>
      </c>
      <c r="J5" s="308"/>
      <c r="K5" s="307"/>
      <c r="L5" s="111" t="s">
        <v>458</v>
      </c>
      <c r="M5" s="308"/>
      <c r="N5" s="307"/>
      <c r="O5" s="111" t="s">
        <v>459</v>
      </c>
      <c r="P5" s="308"/>
      <c r="Q5" s="718"/>
      <c r="R5" s="719" t="s">
        <v>447</v>
      </c>
      <c r="S5" s="720"/>
      <c r="V5" s="828"/>
      <c r="W5" s="719"/>
      <c r="X5" s="829"/>
      <c r="AA5" s="614"/>
      <c r="AB5" s="612"/>
      <c r="AC5" s="615"/>
      <c r="AD5" s="613"/>
      <c r="AE5" s="613"/>
      <c r="AF5" s="613"/>
      <c r="AG5" s="615"/>
      <c r="AH5" s="613"/>
      <c r="AI5" s="615"/>
      <c r="AJ5" s="613"/>
    </row>
    <row r="6" spans="1:38">
      <c r="A6" s="6" t="s">
        <v>223</v>
      </c>
      <c r="B6" s="312">
        <f>E119</f>
        <v>0.21293143609355947</v>
      </c>
      <c r="C6" s="722">
        <v>0.26100000000000001</v>
      </c>
      <c r="D6" s="313">
        <v>0.16395289918884523</v>
      </c>
      <c r="E6" s="312">
        <f>G119</f>
        <v>0.21706425615300204</v>
      </c>
      <c r="F6" s="722">
        <v>0.25900000000000001</v>
      </c>
      <c r="G6" s="313">
        <v>0.1888436477955624</v>
      </c>
      <c r="H6" s="312">
        <f>+I119</f>
        <v>0.52154785328691788</v>
      </c>
      <c r="I6" s="190">
        <v>0.43690000000000001</v>
      </c>
      <c r="J6" s="313">
        <v>0.41938749418874949</v>
      </c>
      <c r="K6" s="312">
        <f>K119</f>
        <v>0.21490000000000001</v>
      </c>
      <c r="L6" s="190">
        <v>0.1827</v>
      </c>
      <c r="M6" s="313">
        <v>0.15362762099952701</v>
      </c>
      <c r="N6" s="312">
        <f>+M100</f>
        <v>0</v>
      </c>
      <c r="O6" s="190">
        <v>0.43099999999999999</v>
      </c>
      <c r="P6" s="313">
        <v>0.80389422361692242</v>
      </c>
      <c r="Q6" s="721">
        <f>+O98</f>
        <v>0.30469739368998627</v>
      </c>
      <c r="R6" s="722">
        <v>0.15968840601565604</v>
      </c>
      <c r="S6" s="723">
        <v>0.19086145404663921</v>
      </c>
      <c r="V6" s="830"/>
      <c r="W6" s="725"/>
      <c r="X6" s="831"/>
      <c r="AA6" s="614"/>
      <c r="AB6" s="612"/>
      <c r="AC6" s="616"/>
      <c r="AD6" s="612"/>
      <c r="AE6" s="612"/>
      <c r="AF6" s="612"/>
      <c r="AG6" s="616"/>
      <c r="AH6" s="612"/>
      <c r="AI6" s="616"/>
      <c r="AJ6" s="612"/>
    </row>
    <row r="7" spans="1:38">
      <c r="A7" s="500" t="s">
        <v>362</v>
      </c>
      <c r="B7" s="317">
        <f>$C97*D97</f>
        <v>0</v>
      </c>
      <c r="C7" s="725"/>
      <c r="D7" s="318">
        <v>0</v>
      </c>
      <c r="E7" s="317">
        <f>$C97*F97</f>
        <v>0</v>
      </c>
      <c r="F7" s="725"/>
      <c r="G7" s="318">
        <v>0</v>
      </c>
      <c r="H7" s="317">
        <f>$C97*I97</f>
        <v>0</v>
      </c>
      <c r="I7" s="10"/>
      <c r="J7" s="318">
        <v>0</v>
      </c>
      <c r="K7" s="317">
        <f>$C97*J97</f>
        <v>0</v>
      </c>
      <c r="L7" s="10"/>
      <c r="M7" s="318">
        <v>9.4857323033265009E-2</v>
      </c>
      <c r="N7" s="317">
        <f>$C97*O97</f>
        <v>0</v>
      </c>
      <c r="O7" s="10"/>
      <c r="P7" s="318">
        <v>0</v>
      </c>
      <c r="Q7" s="724"/>
      <c r="R7" s="725"/>
      <c r="S7" s="726"/>
      <c r="V7" s="830"/>
      <c r="W7" s="725"/>
      <c r="X7" s="832"/>
      <c r="AA7" s="614"/>
      <c r="AB7" s="617"/>
      <c r="AC7" s="618"/>
      <c r="AD7" s="619"/>
      <c r="AE7" s="620"/>
      <c r="AF7" s="621"/>
      <c r="AG7" s="616"/>
      <c r="AH7" s="620"/>
      <c r="AI7" s="618"/>
      <c r="AJ7" s="622"/>
    </row>
    <row r="8" spans="1:38">
      <c r="A8" s="6" t="s">
        <v>373</v>
      </c>
      <c r="B8" s="317">
        <f>E120+E121</f>
        <v>5.0440016944589605E-2</v>
      </c>
      <c r="C8" s="725">
        <v>6.6699999999999995E-2</v>
      </c>
      <c r="D8" s="318">
        <v>3.8078000000000001E-2</v>
      </c>
      <c r="E8" s="317">
        <f>G120+G121</f>
        <v>6.4046066333728974E-2</v>
      </c>
      <c r="F8" s="725">
        <v>6.5199999999999994E-2</v>
      </c>
      <c r="G8" s="318">
        <v>6.0015662025301911E-2</v>
      </c>
      <c r="H8" s="773">
        <f>+I120+I121</f>
        <v>7.623404470006559E-2</v>
      </c>
      <c r="I8" s="10">
        <f>0.5149-I6</f>
        <v>7.8000000000000014E-2</v>
      </c>
      <c r="J8" s="318">
        <v>5.6384154242212922E-2</v>
      </c>
      <c r="K8" s="773">
        <f>K120+K121</f>
        <v>0.21818379970086005</v>
      </c>
      <c r="L8" s="10">
        <f>0.2569-L6</f>
        <v>7.4200000000000016E-2</v>
      </c>
      <c r="M8" s="318">
        <v>0.15903358032476744</v>
      </c>
      <c r="N8" s="773">
        <f>+M120+M121</f>
        <v>8.7444564600094657E-2</v>
      </c>
      <c r="O8" s="10">
        <f>0.5164-O6</f>
        <v>8.5399999999999976E-2</v>
      </c>
      <c r="P8" s="318">
        <v>5.6384154242212922E-2</v>
      </c>
      <c r="Q8" s="800">
        <f>+O120+O121</f>
        <v>0.10145692348727328</v>
      </c>
      <c r="R8" s="725">
        <v>7.2759576655744868E-2</v>
      </c>
      <c r="S8" s="726">
        <v>8.7415456104252401E-2</v>
      </c>
      <c r="V8" s="830"/>
      <c r="W8" s="725"/>
      <c r="X8" s="832"/>
      <c r="AA8" s="614"/>
      <c r="AB8" s="617"/>
      <c r="AC8" s="618"/>
      <c r="AD8" s="619"/>
      <c r="AE8" s="620"/>
      <c r="AF8" s="621"/>
      <c r="AG8" s="616"/>
      <c r="AH8" s="620"/>
      <c r="AI8" s="618"/>
      <c r="AJ8" s="622"/>
    </row>
    <row r="9" spans="1:38">
      <c r="A9" s="6" t="s">
        <v>8</v>
      </c>
      <c r="B9" s="317">
        <f>E164</f>
        <v>8.3887563938112655E-3</v>
      </c>
      <c r="C9" s="725">
        <v>1.9E-3</v>
      </c>
      <c r="D9" s="318">
        <v>5.9095494151563841E-3</v>
      </c>
      <c r="E9" s="317">
        <f>G164</f>
        <v>1.0531406624414931E-2</v>
      </c>
      <c r="F9" s="725">
        <v>1.9E-3</v>
      </c>
      <c r="G9" s="318">
        <v>9.231472184193807E-3</v>
      </c>
      <c r="H9" s="317">
        <f>J164</f>
        <v>6.2124710208151572E-2</v>
      </c>
      <c r="I9" s="10">
        <v>8.8000000000000005E-3</v>
      </c>
      <c r="J9" s="318">
        <v>4.3221874010885529E-2</v>
      </c>
      <c r="K9" s="317">
        <f>K164</f>
        <v>1.8513163642029169E-2</v>
      </c>
      <c r="L9" s="10">
        <v>1.17E-2</v>
      </c>
      <c r="M9" s="318">
        <v>1.0135435073031706E-2</v>
      </c>
      <c r="N9" s="317">
        <f>+M164</f>
        <v>8.8229436819687642E-3</v>
      </c>
      <c r="O9" s="10">
        <v>8.8000000000000005E-3</v>
      </c>
      <c r="P9" s="318">
        <v>6.73866203685338E-3</v>
      </c>
      <c r="Q9" s="724">
        <f>+O164</f>
        <v>1.1271450568643378E-2</v>
      </c>
      <c r="R9" s="725">
        <v>6.5255939569252705E-3</v>
      </c>
      <c r="S9" s="726">
        <v>8.9969294974531992E-3</v>
      </c>
      <c r="V9" s="830"/>
      <c r="W9" s="725"/>
      <c r="X9" s="832"/>
      <c r="AA9" s="614"/>
      <c r="AB9" s="617"/>
      <c r="AC9" s="618"/>
      <c r="AD9" s="619"/>
      <c r="AE9" s="620"/>
      <c r="AF9" s="621"/>
      <c r="AG9" s="616"/>
      <c r="AH9" s="620"/>
      <c r="AI9" s="618"/>
      <c r="AJ9" s="622"/>
    </row>
    <row r="10" spans="1:38">
      <c r="A10" s="2" t="s">
        <v>9</v>
      </c>
      <c r="B10" s="323">
        <f>E165</f>
        <v>1.7786260629958667E-3</v>
      </c>
      <c r="C10" s="725">
        <v>4.0000000000000001E-3</v>
      </c>
      <c r="D10" s="318">
        <v>1.3242333138821752E-3</v>
      </c>
      <c r="E10" s="317">
        <f>G165</f>
        <v>1.8200370075918751E-3</v>
      </c>
      <c r="F10" s="725">
        <v>4.1000000000000003E-3</v>
      </c>
      <c r="G10" s="318">
        <v>1.5337500367519363E-3</v>
      </c>
      <c r="H10" s="317">
        <f>J165</f>
        <v>2.3681914495824504E-4</v>
      </c>
      <c r="I10" s="10">
        <v>3.8E-3</v>
      </c>
      <c r="J10" s="318">
        <v>2.942740697515945E-4</v>
      </c>
      <c r="K10" s="317">
        <f>K165</f>
        <v>1.248747351364826E-3</v>
      </c>
      <c r="L10" s="10">
        <v>1.1000000000000001E-3</v>
      </c>
      <c r="M10" s="318">
        <v>1.124759091389829E-3</v>
      </c>
      <c r="N10" s="317">
        <f>+M165</f>
        <v>3.8181211547562706E-3</v>
      </c>
      <c r="O10" s="10">
        <v>3.8E-3</v>
      </c>
      <c r="P10" s="318">
        <v>1.3537383392442878E-3</v>
      </c>
      <c r="Q10" s="724">
        <f>+O165</f>
        <v>3.3852574329813153E-3</v>
      </c>
      <c r="R10" s="725">
        <v>1.1625954512427511E-3</v>
      </c>
      <c r="S10" s="726">
        <v>3.8428258683328191E-3</v>
      </c>
      <c r="V10" s="830"/>
      <c r="W10" s="725"/>
      <c r="X10" s="832"/>
      <c r="AA10" s="614"/>
      <c r="AB10" s="617"/>
      <c r="AC10" s="618"/>
      <c r="AD10" s="619"/>
      <c r="AE10" s="620"/>
      <c r="AF10" s="621"/>
      <c r="AG10" s="618"/>
      <c r="AH10" s="620"/>
      <c r="AI10" s="618"/>
      <c r="AJ10" s="622"/>
    </row>
    <row r="11" spans="1:38">
      <c r="A11" s="6" t="s">
        <v>10</v>
      </c>
      <c r="B11" s="323">
        <f>$H$180</f>
        <v>1.6297262059973925E-2</v>
      </c>
      <c r="C11" s="725">
        <v>1.6000000000000001E-3</v>
      </c>
      <c r="D11" s="318">
        <v>6.0000000000000001E-3</v>
      </c>
      <c r="E11" s="323">
        <f>$H$180</f>
        <v>1.6297262059973925E-2</v>
      </c>
      <c r="F11" s="725">
        <v>1.6000000000000001E-3</v>
      </c>
      <c r="G11" s="318">
        <v>3.1413612565445027E-3</v>
      </c>
      <c r="H11" s="323">
        <f>$H$180</f>
        <v>1.6297262059973925E-2</v>
      </c>
      <c r="I11" s="10">
        <v>9.4000000000000004E-3</v>
      </c>
      <c r="J11" s="318">
        <v>3.1413612565445027E-3</v>
      </c>
      <c r="K11" s="323">
        <f>$H$180</f>
        <v>1.6297262059973925E-2</v>
      </c>
      <c r="L11" s="10">
        <v>7.6E-3</v>
      </c>
      <c r="M11" s="318">
        <v>8.670520231213872E-3</v>
      </c>
      <c r="N11" s="323">
        <f>$H$180</f>
        <v>1.6297262059973925E-2</v>
      </c>
      <c r="O11" s="10">
        <v>9.4000000000000004E-3</v>
      </c>
      <c r="P11" s="318">
        <v>3.1413612565445027E-3</v>
      </c>
      <c r="Q11" s="727">
        <f>$H$180</f>
        <v>1.6297262059973925E-2</v>
      </c>
      <c r="R11" s="725">
        <v>1.6241103327255528E-2</v>
      </c>
      <c r="S11" s="726">
        <v>3.1413612565445027E-3</v>
      </c>
      <c r="V11" s="830"/>
      <c r="W11" s="725"/>
      <c r="X11" s="832"/>
      <c r="AA11" s="614"/>
      <c r="AB11" s="617"/>
      <c r="AC11" s="618"/>
      <c r="AD11" s="612"/>
      <c r="AE11" s="620"/>
      <c r="AF11" s="621"/>
      <c r="AG11" s="618"/>
      <c r="AH11" s="620"/>
      <c r="AI11" s="618"/>
      <c r="AJ11" s="622"/>
    </row>
    <row r="12" spans="1:38">
      <c r="A12" s="6" t="s">
        <v>11</v>
      </c>
      <c r="B12" s="323">
        <f>$H$183</f>
        <v>1.3037809647979139E-3</v>
      </c>
      <c r="C12" s="725">
        <v>0</v>
      </c>
      <c r="D12" s="318">
        <v>2E-3</v>
      </c>
      <c r="E12" s="323">
        <f>$H$183</f>
        <v>1.3037809647979139E-3</v>
      </c>
      <c r="F12" s="725">
        <v>0</v>
      </c>
      <c r="G12" s="318">
        <v>2.6178010471204186E-4</v>
      </c>
      <c r="H12" s="323">
        <f>$H$183</f>
        <v>1.3037809647979139E-3</v>
      </c>
      <c r="I12" s="10">
        <v>2.9999999999999997E-4</v>
      </c>
      <c r="J12" s="318">
        <v>2.6178010471204186E-4</v>
      </c>
      <c r="K12" s="323">
        <f>$H$183</f>
        <v>1.3037809647979139E-3</v>
      </c>
      <c r="L12" s="10">
        <v>2.0000000000000001E-4</v>
      </c>
      <c r="M12" s="318">
        <v>4.3352601156069364E-4</v>
      </c>
      <c r="N12" s="323">
        <f>$H$183</f>
        <v>1.3037809647979139E-3</v>
      </c>
      <c r="O12" s="10">
        <v>2.9999999999999997E-4</v>
      </c>
      <c r="P12" s="318">
        <v>2.6178010471204186E-4</v>
      </c>
      <c r="Q12" s="727">
        <f>$H$183</f>
        <v>1.3037809647979139E-3</v>
      </c>
      <c r="R12" s="725">
        <v>5.3366327132144272E-4</v>
      </c>
      <c r="S12" s="726">
        <v>2.6178010471204186E-4</v>
      </c>
      <c r="V12" s="830"/>
      <c r="W12" s="725"/>
      <c r="X12" s="832"/>
      <c r="AA12" s="614"/>
      <c r="AB12" s="617"/>
      <c r="AC12" s="618"/>
      <c r="AD12" s="612"/>
      <c r="AE12" s="620"/>
      <c r="AF12" s="621"/>
      <c r="AG12" s="618"/>
      <c r="AH12" s="620"/>
      <c r="AI12" s="618"/>
      <c r="AJ12" s="622"/>
    </row>
    <row r="13" spans="1:38" ht="16.5">
      <c r="A13" s="6" t="s">
        <v>12</v>
      </c>
      <c r="B13" s="324">
        <f>$H$186</f>
        <v>2.2816166883963495E-2</v>
      </c>
      <c r="C13" s="729">
        <v>5.0000000000000001E-3</v>
      </c>
      <c r="D13" s="325">
        <v>6.0000000000000001E-3</v>
      </c>
      <c r="E13" s="324">
        <f>$H$186</f>
        <v>2.2816166883963495E-2</v>
      </c>
      <c r="F13" s="729">
        <v>5.1999999999999998E-3</v>
      </c>
      <c r="G13" s="325">
        <v>3.9267015706806281E-3</v>
      </c>
      <c r="H13" s="324">
        <f>$H$186</f>
        <v>2.2816166883963495E-2</v>
      </c>
      <c r="I13" s="14">
        <v>1.34E-2</v>
      </c>
      <c r="J13" s="325">
        <v>3.9267015706806281E-3</v>
      </c>
      <c r="K13" s="324">
        <f>$H$186</f>
        <v>2.2816166883963495E-2</v>
      </c>
      <c r="L13" s="14">
        <v>3.5000000000000001E-3</v>
      </c>
      <c r="M13" s="325">
        <v>5.7803468208092491E-3</v>
      </c>
      <c r="N13" s="324">
        <f>$H$186</f>
        <v>2.2816166883963495E-2</v>
      </c>
      <c r="O13" s="14">
        <v>1.34E-2</v>
      </c>
      <c r="P13" s="325">
        <v>3.9267015706806281E-3</v>
      </c>
      <c r="Q13" s="728">
        <f>$H$186</f>
        <v>2.2816166883963495E-2</v>
      </c>
      <c r="R13" s="729">
        <v>5.9964108961792087E-3</v>
      </c>
      <c r="S13" s="730">
        <v>3.9267015706806281E-3</v>
      </c>
      <c r="V13" s="833"/>
      <c r="W13" s="729"/>
      <c r="X13" s="834"/>
      <c r="AA13" s="614"/>
      <c r="AB13" s="617"/>
      <c r="AC13" s="623"/>
      <c r="AD13" s="612"/>
      <c r="AE13" s="620"/>
      <c r="AF13" s="621"/>
      <c r="AG13" s="623"/>
      <c r="AH13" s="620"/>
      <c r="AI13" s="623"/>
      <c r="AJ13" s="622"/>
    </row>
    <row r="14" spans="1:38">
      <c r="A14" s="328" t="s">
        <v>224</v>
      </c>
      <c r="B14" s="10">
        <f t="shared" ref="B14:R14" si="0">SUM(B6:B13)</f>
        <v>0.3139560454036916</v>
      </c>
      <c r="C14" s="725">
        <f t="shared" si="0"/>
        <v>0.3402</v>
      </c>
      <c r="D14" s="318">
        <f>SUM(D6:D13)</f>
        <v>0.22326468191788382</v>
      </c>
      <c r="E14" s="10">
        <f t="shared" si="0"/>
        <v>0.33387897602747318</v>
      </c>
      <c r="F14" s="725">
        <f t="shared" si="0"/>
        <v>0.33699999999999997</v>
      </c>
      <c r="G14" s="318">
        <f>SUM(G6:G13)</f>
        <v>0.26695437497374724</v>
      </c>
      <c r="H14" s="10">
        <f t="shared" si="0"/>
        <v>0.70056063724882855</v>
      </c>
      <c r="I14" s="10">
        <f t="shared" si="0"/>
        <v>0.55059999999999998</v>
      </c>
      <c r="J14" s="318">
        <f t="shared" si="0"/>
        <v>0.52661763944353668</v>
      </c>
      <c r="K14" s="10">
        <f t="shared" si="0"/>
        <v>0.49326292060298943</v>
      </c>
      <c r="L14" s="10">
        <f t="shared" si="0"/>
        <v>0.28099999999999997</v>
      </c>
      <c r="M14" s="318">
        <v>0.43366311158556486</v>
      </c>
      <c r="N14" s="10">
        <f t="shared" ref="N14" si="1">SUM(N6:N13)</f>
        <v>0.14050283934555502</v>
      </c>
      <c r="O14" s="10">
        <f t="shared" si="0"/>
        <v>0.55209999999999992</v>
      </c>
      <c r="P14" s="318">
        <f t="shared" si="0"/>
        <v>0.87570062116717007</v>
      </c>
      <c r="Q14" s="725">
        <f t="shared" si="0"/>
        <v>0.46122823508761962</v>
      </c>
      <c r="R14" s="725">
        <f t="shared" si="0"/>
        <v>0.26290734957432504</v>
      </c>
      <c r="S14" s="726">
        <v>0.33373538534456215</v>
      </c>
      <c r="V14" s="830"/>
      <c r="W14" s="725"/>
      <c r="X14" s="832"/>
      <c r="AA14" s="614"/>
      <c r="AB14" s="617"/>
      <c r="AC14" s="618"/>
      <c r="AD14" s="612"/>
      <c r="AE14" s="612"/>
      <c r="AF14" s="612"/>
      <c r="AG14" s="618"/>
      <c r="AH14" s="612"/>
      <c r="AI14" s="618"/>
      <c r="AJ14" s="622"/>
    </row>
    <row r="15" spans="1:38" ht="7.15" customHeight="1">
      <c r="A15" s="514"/>
      <c r="B15" s="323"/>
      <c r="C15" s="725"/>
      <c r="D15" s="318"/>
      <c r="E15" s="323"/>
      <c r="F15" s="725"/>
      <c r="G15" s="318"/>
      <c r="H15" s="323"/>
      <c r="I15" s="10"/>
      <c r="J15" s="318"/>
      <c r="K15" s="323"/>
      <c r="L15" s="10"/>
      <c r="M15" s="318"/>
      <c r="N15" s="323"/>
      <c r="O15" s="10"/>
      <c r="P15" s="318"/>
      <c r="Q15" s="727"/>
      <c r="R15" s="725"/>
      <c r="S15" s="726"/>
      <c r="V15" s="830"/>
      <c r="W15" s="725"/>
      <c r="X15" s="832"/>
      <c r="AA15" s="614"/>
      <c r="AB15" s="617"/>
      <c r="AC15" s="618"/>
      <c r="AD15" s="612"/>
      <c r="AE15" s="612"/>
      <c r="AF15" s="612"/>
      <c r="AG15" s="618"/>
      <c r="AH15" s="612"/>
      <c r="AI15" s="618"/>
      <c r="AJ15" s="622"/>
    </row>
    <row r="16" spans="1:38">
      <c r="A16" s="6" t="s">
        <v>14</v>
      </c>
      <c r="B16" s="323">
        <f>$D$217/$B$64/1000</f>
        <v>4.8558141177292929E-2</v>
      </c>
      <c r="C16" s="725">
        <v>1.6500000000000001E-2</v>
      </c>
      <c r="D16" s="318">
        <v>3.5940794790209792E-2</v>
      </c>
      <c r="E16" s="323">
        <f>$D$217/$B$64/1000</f>
        <v>4.8558141177292929E-2</v>
      </c>
      <c r="F16" s="725">
        <v>1.6500000000000001E-2</v>
      </c>
      <c r="G16" s="318">
        <v>1.666317390070662E-2</v>
      </c>
      <c r="H16" s="323">
        <f>$D$217/$B$64/1000</f>
        <v>4.8558141177292929E-2</v>
      </c>
      <c r="I16" s="10">
        <v>2.8299999999999999E-2</v>
      </c>
      <c r="J16" s="318">
        <v>1.666317390070662E-2</v>
      </c>
      <c r="K16" s="323">
        <f>$D$217/$B$64/1000</f>
        <v>4.8558141177292929E-2</v>
      </c>
      <c r="L16" s="10">
        <v>9.4999999999999998E-3</v>
      </c>
      <c r="M16" s="318">
        <v>1.1741675249605885E-2</v>
      </c>
      <c r="N16" s="323">
        <f>$D$217/$B$64/1000</f>
        <v>4.8558141177292929E-2</v>
      </c>
      <c r="O16" s="10">
        <v>2.8299999999999999E-2</v>
      </c>
      <c r="P16" s="318">
        <v>1.666317390070662E-2</v>
      </c>
      <c r="Q16" s="727">
        <f>$D$217/$B$64/1000</f>
        <v>4.8558141177292929E-2</v>
      </c>
      <c r="R16" s="725">
        <v>1.3727222625885965E-2</v>
      </c>
      <c r="S16" s="726">
        <v>1.666317390070662E-2</v>
      </c>
      <c r="V16" s="830"/>
      <c r="W16" s="835"/>
      <c r="X16" s="832"/>
      <c r="AA16" s="614"/>
      <c r="AB16" s="617"/>
      <c r="AC16" s="618"/>
      <c r="AD16" s="612"/>
      <c r="AE16" s="620"/>
      <c r="AF16" s="621"/>
      <c r="AG16" s="618"/>
      <c r="AH16" s="620"/>
      <c r="AI16" s="618"/>
      <c r="AJ16" s="622"/>
    </row>
    <row r="17" spans="1:36">
      <c r="A17" s="6" t="s">
        <v>15</v>
      </c>
      <c r="B17" s="323">
        <f>$G$217/$B$64/1000</f>
        <v>1.5673025641025642E-2</v>
      </c>
      <c r="C17" s="725">
        <v>7.0000000000000001E-3</v>
      </c>
      <c r="D17" s="318">
        <v>1.13712E-2</v>
      </c>
      <c r="E17" s="323">
        <f>$G$217/$B$64/1000</f>
        <v>1.5673025641025642E-2</v>
      </c>
      <c r="F17" s="725">
        <v>7.0000000000000001E-3</v>
      </c>
      <c r="G17" s="318">
        <v>4.0701570680628275E-3</v>
      </c>
      <c r="H17" s="323">
        <f>$G$217/$B$64/1000</f>
        <v>1.5673025641025642E-2</v>
      </c>
      <c r="I17" s="10">
        <v>7.1999999999999998E-3</v>
      </c>
      <c r="J17" s="318">
        <v>4.0701570680628275E-3</v>
      </c>
      <c r="K17" s="323">
        <f>$G$217/$B$64/1000</f>
        <v>1.5673025641025642E-2</v>
      </c>
      <c r="L17" s="10">
        <v>5.0000000000000001E-3</v>
      </c>
      <c r="M17" s="318">
        <v>4.1080924855491328E-3</v>
      </c>
      <c r="N17" s="323">
        <f>$G$217/$B$64/1000</f>
        <v>1.5673025641025642E-2</v>
      </c>
      <c r="O17" s="10">
        <v>7.1999999999999998E-3</v>
      </c>
      <c r="P17" s="318">
        <v>4.0701570680628275E-3</v>
      </c>
      <c r="Q17" s="727">
        <f>$G$217/$B$64/1000</f>
        <v>1.5673025641025642E-2</v>
      </c>
      <c r="R17" s="725">
        <v>1.6693747172449721E-3</v>
      </c>
      <c r="S17" s="726">
        <v>4.0701570680628275E-3</v>
      </c>
      <c r="V17" s="830"/>
      <c r="W17" s="725"/>
      <c r="X17" s="832"/>
      <c r="AA17" s="614"/>
      <c r="AB17" s="617"/>
      <c r="AC17" s="618"/>
      <c r="AD17" s="612"/>
      <c r="AE17" s="620"/>
      <c r="AF17" s="621"/>
      <c r="AG17" s="618"/>
      <c r="AH17" s="620"/>
      <c r="AI17" s="618"/>
      <c r="AJ17" s="622"/>
    </row>
    <row r="18" spans="1:36">
      <c r="A18" s="6" t="s">
        <v>16</v>
      </c>
      <c r="B18" s="323">
        <f>$J$217/$B$64/1000</f>
        <v>2.0872241943801575E-2</v>
      </c>
      <c r="C18" s="725">
        <v>1.14E-2</v>
      </c>
      <c r="D18" s="318">
        <v>1.4188877003496501E-2</v>
      </c>
      <c r="E18" s="323">
        <f>$J$217/$B$64/1000</f>
        <v>2.0872241943801575E-2</v>
      </c>
      <c r="F18" s="725">
        <v>1.14E-2</v>
      </c>
      <c r="G18" s="318">
        <v>7.3786377251675011E-3</v>
      </c>
      <c r="H18" s="323">
        <f>$J$217/$B$64/1000</f>
        <v>2.0872241943801575E-2</v>
      </c>
      <c r="I18" s="10">
        <v>7.1000000000000004E-3</v>
      </c>
      <c r="J18" s="318">
        <v>7.3786377251675011E-3</v>
      </c>
      <c r="K18" s="323">
        <f>$J$217/$B$64/1000</f>
        <v>2.0872241943801575E-2</v>
      </c>
      <c r="L18" s="10">
        <v>1.11E-2</v>
      </c>
      <c r="M18" s="318">
        <v>7.259843652712092E-3</v>
      </c>
      <c r="N18" s="323">
        <f>$J$217/$B$64/1000</f>
        <v>2.0872241943801575E-2</v>
      </c>
      <c r="O18" s="10">
        <v>7.1000000000000004E-3</v>
      </c>
      <c r="P18" s="318">
        <v>7.3786377251675011E-3</v>
      </c>
      <c r="Q18" s="727">
        <f>$J$217/$B$64/1000</f>
        <v>2.0872241943801575E-2</v>
      </c>
      <c r="R18" s="725">
        <v>5.663317933180703E-3</v>
      </c>
      <c r="S18" s="726">
        <v>7.3786377251675011E-3</v>
      </c>
      <c r="V18" s="830"/>
      <c r="W18" s="725"/>
      <c r="X18" s="832"/>
      <c r="AA18" s="614"/>
      <c r="AB18" s="617"/>
      <c r="AC18" s="618"/>
      <c r="AD18" s="612"/>
      <c r="AE18" s="620"/>
      <c r="AF18" s="621"/>
      <c r="AG18" s="618"/>
      <c r="AH18" s="620"/>
      <c r="AI18" s="618"/>
      <c r="AJ18" s="622"/>
    </row>
    <row r="19" spans="1:36">
      <c r="A19" s="2" t="s">
        <v>17</v>
      </c>
      <c r="B19" s="323">
        <f>$E$243</f>
        <v>5.4291551499348108E-3</v>
      </c>
      <c r="C19" s="725">
        <v>3.5000000000000003E-2</v>
      </c>
      <c r="D19" s="318">
        <v>0</v>
      </c>
      <c r="E19" s="323">
        <f>$E$243</f>
        <v>5.4291551499348108E-3</v>
      </c>
      <c r="F19" s="725">
        <v>3.5000000000000001E-3</v>
      </c>
      <c r="G19" s="318">
        <v>4.055497382198953E-3</v>
      </c>
      <c r="H19" s="323">
        <f>$E$243</f>
        <v>5.4291551499348108E-3</v>
      </c>
      <c r="I19" s="10">
        <v>2E-3</v>
      </c>
      <c r="J19" s="318">
        <v>4.055497382198953E-3</v>
      </c>
      <c r="K19" s="323">
        <f>$E$243</f>
        <v>5.4291551499348108E-3</v>
      </c>
      <c r="L19" s="10">
        <v>7.3000000000000001E-3</v>
      </c>
      <c r="M19" s="318">
        <v>2.4498520231213874E-3</v>
      </c>
      <c r="N19" s="323">
        <f>$E$243</f>
        <v>5.4291551499348108E-3</v>
      </c>
      <c r="O19" s="10">
        <v>2E-3</v>
      </c>
      <c r="P19" s="318">
        <v>4.055497382198953E-3</v>
      </c>
      <c r="Q19" s="727">
        <f>$E$243</f>
        <v>5.4291551499348108E-3</v>
      </c>
      <c r="R19" s="725">
        <v>2.3710733038125658E-3</v>
      </c>
      <c r="S19" s="726">
        <v>4.055497382198953E-3</v>
      </c>
      <c r="V19" s="830"/>
      <c r="W19" s="725"/>
      <c r="X19" s="832"/>
      <c r="AA19" s="614"/>
      <c r="AB19" s="617"/>
      <c r="AC19" s="618"/>
      <c r="AD19" s="612"/>
      <c r="AE19" s="620"/>
      <c r="AF19" s="621"/>
      <c r="AG19" s="618"/>
      <c r="AH19" s="620"/>
      <c r="AI19" s="618"/>
      <c r="AJ19" s="622"/>
    </row>
    <row r="20" spans="1:36">
      <c r="A20" s="2" t="s">
        <v>19</v>
      </c>
      <c r="B20" s="323">
        <f>$E$244</f>
        <v>7.3063885267275093E-3</v>
      </c>
      <c r="C20" s="725">
        <v>5.3E-3</v>
      </c>
      <c r="D20" s="318">
        <v>1.0390480000000001E-2</v>
      </c>
      <c r="E20" s="323">
        <f>$E$244</f>
        <v>7.3063885267275093E-3</v>
      </c>
      <c r="F20" s="725">
        <v>5.3E-3</v>
      </c>
      <c r="G20" s="318">
        <v>2.9340314136125658E-3</v>
      </c>
      <c r="H20" s="323">
        <f>$E$244</f>
        <v>7.3063885267275093E-3</v>
      </c>
      <c r="I20" s="10">
        <v>3.8E-3</v>
      </c>
      <c r="J20" s="318">
        <v>2.9340314136125658E-3</v>
      </c>
      <c r="K20" s="323">
        <f>$E$244</f>
        <v>7.3063885267275093E-3</v>
      </c>
      <c r="L20" s="10">
        <v>5.7999999999999996E-3</v>
      </c>
      <c r="M20" s="318">
        <v>6.3670520231213876E-2</v>
      </c>
      <c r="N20" s="323">
        <f>$E$244</f>
        <v>7.3063885267275093E-3</v>
      </c>
      <c r="O20" s="10">
        <v>3.8E-3</v>
      </c>
      <c r="P20" s="318">
        <v>2.9340314136125658E-3</v>
      </c>
      <c r="Q20" s="727">
        <f>$E$244</f>
        <v>7.3063885267275093E-3</v>
      </c>
      <c r="R20" s="725">
        <v>6.4182394472396251E-2</v>
      </c>
      <c r="S20" s="726">
        <v>2.9340314136125658E-3</v>
      </c>
      <c r="V20" s="830"/>
      <c r="W20" s="725"/>
      <c r="X20" s="832"/>
      <c r="AA20" s="614"/>
      <c r="AB20" s="617"/>
      <c r="AC20" s="618"/>
      <c r="AD20" s="612"/>
      <c r="AE20" s="620"/>
      <c r="AF20" s="621"/>
      <c r="AG20" s="618"/>
      <c r="AH20" s="620"/>
      <c r="AI20" s="618"/>
      <c r="AJ20" s="622"/>
    </row>
    <row r="21" spans="1:36" ht="16.5">
      <c r="A21" s="2" t="s">
        <v>18</v>
      </c>
      <c r="B21" s="324">
        <f>$E$245</f>
        <v>2.5893089960886569E-2</v>
      </c>
      <c r="C21" s="729">
        <v>1.6799999999999999E-2</v>
      </c>
      <c r="D21" s="325">
        <v>3.7630079999999996E-2</v>
      </c>
      <c r="E21" s="324">
        <f>$E$245</f>
        <v>2.5893089960886569E-2</v>
      </c>
      <c r="F21" s="729">
        <v>1.6799999999999999E-2</v>
      </c>
      <c r="G21" s="325">
        <v>1.4736125654450262E-2</v>
      </c>
      <c r="H21" s="324">
        <f>$E$245</f>
        <v>2.5893089960886569E-2</v>
      </c>
      <c r="I21" s="14">
        <v>1.35E-2</v>
      </c>
      <c r="J21" s="325">
        <v>1.4736125654450262E-2</v>
      </c>
      <c r="K21" s="324">
        <f>$E$245</f>
        <v>2.5893089960886569E-2</v>
      </c>
      <c r="L21" s="14">
        <v>3.7000000000000002E-3</v>
      </c>
      <c r="M21" s="325">
        <v>1.4046242774566474E-2</v>
      </c>
      <c r="N21" s="324">
        <f>$E$245</f>
        <v>2.5893089960886569E-2</v>
      </c>
      <c r="O21" s="14">
        <v>1.35E-2</v>
      </c>
      <c r="P21" s="325">
        <v>1.4736125654450262E-2</v>
      </c>
      <c r="Q21" s="728">
        <f>$E$245</f>
        <v>2.5893089960886569E-2</v>
      </c>
      <c r="R21" s="729">
        <v>1.5675971649095871E-2</v>
      </c>
      <c r="S21" s="730">
        <v>1.4736125654450262E-2</v>
      </c>
      <c r="V21" s="833"/>
      <c r="W21" s="729"/>
      <c r="X21" s="834"/>
      <c r="AA21" s="614"/>
      <c r="AB21" s="617"/>
      <c r="AC21" s="623"/>
      <c r="AD21" s="612"/>
      <c r="AE21" s="620"/>
      <c r="AF21" s="621"/>
      <c r="AG21" s="623"/>
      <c r="AH21" s="620"/>
      <c r="AI21" s="623"/>
      <c r="AJ21" s="622"/>
    </row>
    <row r="22" spans="1:36" ht="16.5">
      <c r="A22" s="328" t="s">
        <v>225</v>
      </c>
      <c r="B22" s="323">
        <f t="shared" ref="B22:K22" si="2">SUM(B16:B21)</f>
        <v>0.12373204239966903</v>
      </c>
      <c r="C22" s="725">
        <f t="shared" si="2"/>
        <v>9.1999999999999998E-2</v>
      </c>
      <c r="D22" s="318">
        <f>SUM(D16:D21)</f>
        <v>0.10952143179370628</v>
      </c>
      <c r="E22" s="323">
        <f t="shared" si="2"/>
        <v>0.12373204239966903</v>
      </c>
      <c r="F22" s="725">
        <f t="shared" si="2"/>
        <v>6.0499999999999998E-2</v>
      </c>
      <c r="G22" s="318">
        <f>SUM(G16:G21)</f>
        <v>4.9837623144198727E-2</v>
      </c>
      <c r="H22" s="323">
        <f t="shared" si="2"/>
        <v>0.12373204239966903</v>
      </c>
      <c r="I22" s="10">
        <f t="shared" ref="I22:J22" si="3">SUM(I16:I21)</f>
        <v>6.1899999999999997E-2</v>
      </c>
      <c r="J22" s="318">
        <f t="shared" si="3"/>
        <v>4.9837623144198727E-2</v>
      </c>
      <c r="K22" s="323">
        <f t="shared" si="2"/>
        <v>0.12373204239966903</v>
      </c>
      <c r="L22" s="10">
        <f t="shared" ref="L22:R22" si="4">SUM(L16:L21)</f>
        <v>4.24E-2</v>
      </c>
      <c r="M22" s="318">
        <v>0.10327622641676884</v>
      </c>
      <c r="N22" s="323">
        <f t="shared" ref="N22" si="5">SUM(N16:N21)</f>
        <v>0.12373204239966903</v>
      </c>
      <c r="O22" s="10">
        <f t="shared" si="4"/>
        <v>6.1899999999999997E-2</v>
      </c>
      <c r="P22" s="318">
        <f t="shared" si="4"/>
        <v>4.9837623144198727E-2</v>
      </c>
      <c r="Q22" s="727">
        <f t="shared" si="4"/>
        <v>0.12373204239966903</v>
      </c>
      <c r="R22" s="725">
        <f t="shared" si="4"/>
        <v>0.10328935470161633</v>
      </c>
      <c r="S22" s="726">
        <v>0.10327622641676884</v>
      </c>
      <c r="V22" s="830"/>
      <c r="W22" s="725"/>
      <c r="X22" s="832"/>
      <c r="AA22" s="624"/>
      <c r="AB22" s="625"/>
      <c r="AC22" s="623"/>
      <c r="AD22" s="626"/>
      <c r="AE22" s="612"/>
      <c r="AF22" s="612"/>
      <c r="AG22" s="623"/>
      <c r="AH22" s="612"/>
      <c r="AI22" s="623"/>
      <c r="AJ22" s="612"/>
    </row>
    <row r="23" spans="1:36">
      <c r="A23" s="509"/>
      <c r="B23" s="323"/>
      <c r="C23" s="725"/>
      <c r="D23" s="318"/>
      <c r="E23" s="323"/>
      <c r="F23" s="725"/>
      <c r="G23" s="318"/>
      <c r="H23" s="323"/>
      <c r="I23" s="10"/>
      <c r="J23" s="318"/>
      <c r="K23" s="323"/>
      <c r="L23" s="10"/>
      <c r="M23" s="318"/>
      <c r="N23" s="323"/>
      <c r="O23" s="10"/>
      <c r="P23" s="318"/>
      <c r="Q23" s="727"/>
      <c r="R23" s="725"/>
      <c r="S23" s="726"/>
      <c r="V23" s="830"/>
      <c r="W23" s="725"/>
      <c r="X23" s="832"/>
      <c r="AA23" s="866"/>
      <c r="AB23" s="866"/>
      <c r="AC23" s="627"/>
      <c r="AD23" s="626"/>
      <c r="AE23" s="612"/>
      <c r="AF23" s="612"/>
      <c r="AG23" s="627"/>
      <c r="AH23" s="612"/>
      <c r="AI23" s="628"/>
      <c r="AJ23" s="612"/>
    </row>
    <row r="24" spans="1:36" ht="15.75" thickBot="1">
      <c r="A24" s="526" t="s">
        <v>365</v>
      </c>
      <c r="B24" s="502">
        <f t="shared" ref="B24:P24" si="6">B14+B22</f>
        <v>0.43768808780336066</v>
      </c>
      <c r="C24" s="732">
        <f t="shared" si="6"/>
        <v>0.43220000000000003</v>
      </c>
      <c r="D24" s="504">
        <f t="shared" si="6"/>
        <v>0.33278611371159011</v>
      </c>
      <c r="E24" s="502">
        <f t="shared" si="6"/>
        <v>0.45761101842714225</v>
      </c>
      <c r="F24" s="732">
        <f t="shared" si="6"/>
        <v>0.39749999999999996</v>
      </c>
      <c r="G24" s="504">
        <f t="shared" si="6"/>
        <v>0.31679199811794595</v>
      </c>
      <c r="H24" s="502">
        <f t="shared" si="6"/>
        <v>0.82429267964849762</v>
      </c>
      <c r="I24" s="503">
        <f t="shared" si="6"/>
        <v>0.61249999999999993</v>
      </c>
      <c r="J24" s="504">
        <f t="shared" si="6"/>
        <v>0.57645526258773538</v>
      </c>
      <c r="K24" s="502">
        <f t="shared" si="6"/>
        <v>0.61699496300265844</v>
      </c>
      <c r="L24" s="503">
        <f t="shared" si="6"/>
        <v>0.32339999999999997</v>
      </c>
      <c r="M24" s="504">
        <f t="shared" si="6"/>
        <v>0.53693933800233373</v>
      </c>
      <c r="N24" s="502">
        <f t="shared" si="6"/>
        <v>0.26423488174522403</v>
      </c>
      <c r="O24" s="503">
        <f t="shared" si="6"/>
        <v>0.61399999999999988</v>
      </c>
      <c r="P24" s="504">
        <f t="shared" si="6"/>
        <v>0.92553824431136877</v>
      </c>
      <c r="Q24" s="731">
        <f>Q14+Q22</f>
        <v>0.58496027748728863</v>
      </c>
      <c r="R24" s="732">
        <f t="shared" ref="R24:S24" si="7">R14+R22</f>
        <v>0.36619670427594136</v>
      </c>
      <c r="S24" s="733">
        <f t="shared" si="7"/>
        <v>0.43701161176133096</v>
      </c>
      <c r="V24" s="836"/>
      <c r="W24" s="837"/>
      <c r="X24" s="838"/>
      <c r="AA24" s="866"/>
      <c r="AB24" s="866"/>
      <c r="AC24" s="629"/>
      <c r="AD24" s="630"/>
      <c r="AE24" s="612"/>
      <c r="AF24" s="612"/>
      <c r="AG24" s="629"/>
      <c r="AH24" s="612"/>
      <c r="AI24" s="629"/>
      <c r="AJ24" s="612"/>
    </row>
    <row r="25" spans="1:36">
      <c r="A25" s="501" t="s">
        <v>368</v>
      </c>
      <c r="B25" s="494">
        <f>-B7</f>
        <v>0</v>
      </c>
      <c r="C25" s="735"/>
      <c r="D25" s="498">
        <v>0</v>
      </c>
      <c r="E25" s="494">
        <f>-E7</f>
        <v>0</v>
      </c>
      <c r="F25" s="735"/>
      <c r="G25" s="498">
        <v>0</v>
      </c>
      <c r="H25" s="494">
        <f>-H7</f>
        <v>0</v>
      </c>
      <c r="I25" s="497"/>
      <c r="J25" s="498">
        <v>0</v>
      </c>
      <c r="K25" s="494">
        <f>-K7</f>
        <v>0</v>
      </c>
      <c r="L25" s="497"/>
      <c r="M25" s="498">
        <v>0</v>
      </c>
      <c r="N25" s="494">
        <f>-N7</f>
        <v>0</v>
      </c>
      <c r="O25" s="497"/>
      <c r="P25" s="498"/>
      <c r="Q25" s="734">
        <f>-Q7</f>
        <v>0</v>
      </c>
      <c r="R25" s="735"/>
      <c r="S25" s="736">
        <v>0</v>
      </c>
      <c r="V25" s="839"/>
      <c r="W25" s="840"/>
      <c r="X25" s="840"/>
      <c r="AA25" s="631"/>
      <c r="AB25" s="631"/>
      <c r="AC25" s="629"/>
      <c r="AD25" s="630"/>
      <c r="AE25" s="612"/>
      <c r="AF25" s="612"/>
      <c r="AG25" s="629"/>
      <c r="AH25" s="612"/>
      <c r="AI25" s="629"/>
      <c r="AJ25" s="612"/>
    </row>
    <row r="26" spans="1:36">
      <c r="A26" s="328" t="s">
        <v>367</v>
      </c>
      <c r="B26" s="323">
        <v>0</v>
      </c>
      <c r="C26" s="737">
        <v>-7.9184631924661131E-2</v>
      </c>
      <c r="D26" s="318">
        <v>0</v>
      </c>
      <c r="E26" s="323">
        <v>0</v>
      </c>
      <c r="F26" s="737">
        <v>0</v>
      </c>
      <c r="G26" s="318">
        <v>0</v>
      </c>
      <c r="H26" s="323">
        <v>0</v>
      </c>
      <c r="I26" s="544">
        <v>0</v>
      </c>
      <c r="J26" s="318">
        <v>0</v>
      </c>
      <c r="K26" s="323">
        <v>0</v>
      </c>
      <c r="L26" s="544">
        <v>0</v>
      </c>
      <c r="M26" s="318">
        <v>0</v>
      </c>
      <c r="N26" s="323">
        <v>0</v>
      </c>
      <c r="O26" s="544">
        <v>0</v>
      </c>
      <c r="P26" s="318">
        <v>0</v>
      </c>
      <c r="Q26" s="727">
        <v>0</v>
      </c>
      <c r="R26" s="737">
        <f t="shared" ref="R26" si="8">IF(R9+R10+R11+R12+R13+R22&gt;0.0498,0.0498-R9-R10-R11-R12-R13-R22,0)</f>
        <v>-8.3948721604540533E-2</v>
      </c>
      <c r="S26" s="726">
        <v>0</v>
      </c>
      <c r="V26" s="839"/>
      <c r="W26" s="722"/>
      <c r="X26" s="722"/>
      <c r="AA26" s="612"/>
      <c r="AB26" s="612"/>
      <c r="AC26" s="632"/>
      <c r="AD26" s="625"/>
      <c r="AE26" s="612"/>
      <c r="AF26" s="612"/>
      <c r="AG26" s="632"/>
      <c r="AH26" s="612"/>
      <c r="AI26" s="632"/>
      <c r="AJ26" s="612"/>
    </row>
    <row r="27" spans="1:36" ht="15.75" thickBot="1">
      <c r="A27" s="526" t="s">
        <v>366</v>
      </c>
      <c r="B27" s="502">
        <f t="shared" ref="B27:S27" si="9">SUM(B24:B26)</f>
        <v>0.43768808780336066</v>
      </c>
      <c r="C27" s="732">
        <f t="shared" si="9"/>
        <v>0.3530153680753389</v>
      </c>
      <c r="D27" s="504">
        <f t="shared" si="9"/>
        <v>0.33278611371159011</v>
      </c>
      <c r="E27" s="502">
        <f t="shared" si="9"/>
        <v>0.45761101842714225</v>
      </c>
      <c r="F27" s="732">
        <f t="shared" si="9"/>
        <v>0.39749999999999996</v>
      </c>
      <c r="G27" s="504">
        <f t="shared" si="9"/>
        <v>0.31679199811794595</v>
      </c>
      <c r="H27" s="502">
        <f t="shared" si="9"/>
        <v>0.82429267964849762</v>
      </c>
      <c r="I27" s="503">
        <f t="shared" si="9"/>
        <v>0.61249999999999993</v>
      </c>
      <c r="J27" s="504">
        <f t="shared" si="9"/>
        <v>0.57645526258773538</v>
      </c>
      <c r="K27" s="502">
        <f t="shared" si="9"/>
        <v>0.61699496300265844</v>
      </c>
      <c r="L27" s="503">
        <f t="shared" si="9"/>
        <v>0.32339999999999997</v>
      </c>
      <c r="M27" s="504">
        <f t="shared" si="9"/>
        <v>0.53693933800233373</v>
      </c>
      <c r="N27" s="502">
        <f t="shared" si="9"/>
        <v>0.26423488174522403</v>
      </c>
      <c r="O27" s="503">
        <f t="shared" si="9"/>
        <v>0.61399999999999988</v>
      </c>
      <c r="P27" s="504">
        <f t="shared" si="9"/>
        <v>0.92553824431136877</v>
      </c>
      <c r="Q27" s="731">
        <f t="shared" si="9"/>
        <v>0.58496027748728863</v>
      </c>
      <c r="R27" s="732">
        <f t="shared" si="9"/>
        <v>0.28224798267140083</v>
      </c>
      <c r="S27" s="733">
        <f t="shared" si="9"/>
        <v>0.43701161176133096</v>
      </c>
      <c r="V27" s="836"/>
      <c r="W27" s="837"/>
      <c r="X27" s="838"/>
      <c r="AA27" s="866"/>
      <c r="AB27" s="866"/>
      <c r="AC27" s="629"/>
      <c r="AD27" s="630"/>
      <c r="AE27" s="612"/>
      <c r="AF27" s="612"/>
      <c r="AG27" s="629"/>
      <c r="AH27" s="612"/>
      <c r="AI27" s="629"/>
      <c r="AJ27" s="612"/>
    </row>
    <row r="28" spans="1:36" ht="15.75" thickBot="1">
      <c r="A28" s="509"/>
      <c r="B28" s="558"/>
      <c r="C28" s="712"/>
      <c r="D28" s="25"/>
      <c r="E28" s="558"/>
      <c r="F28" s="712"/>
      <c r="G28" s="25"/>
      <c r="H28" s="558"/>
      <c r="J28" s="25"/>
      <c r="K28" s="558"/>
      <c r="M28" s="25"/>
      <c r="N28" s="558"/>
      <c r="P28" s="25"/>
      <c r="Q28" s="738"/>
      <c r="R28" s="712"/>
      <c r="S28" s="739"/>
      <c r="V28" s="712"/>
      <c r="W28" s="712"/>
      <c r="X28" s="712"/>
      <c r="AA28" s="866"/>
      <c r="AB28" s="866"/>
      <c r="AC28" s="629"/>
      <c r="AD28" s="624"/>
      <c r="AE28" s="612"/>
      <c r="AF28" s="612"/>
      <c r="AG28" s="629"/>
      <c r="AH28" s="612"/>
      <c r="AI28" s="629"/>
      <c r="AJ28" s="612"/>
    </row>
    <row r="29" spans="1:36" ht="15.75" thickBot="1">
      <c r="A29" s="526" t="s">
        <v>392</v>
      </c>
      <c r="B29" s="842">
        <f>+B79*0.5</f>
        <v>5250</v>
      </c>
      <c r="C29" s="741">
        <v>15431</v>
      </c>
      <c r="D29" s="519">
        <v>3000</v>
      </c>
      <c r="E29" s="842">
        <f>+B79*0.5</f>
        <v>5250</v>
      </c>
      <c r="F29" s="741">
        <v>9412</v>
      </c>
      <c r="G29" s="519">
        <v>25500</v>
      </c>
      <c r="H29" s="517">
        <f>+B81</f>
        <v>3000</v>
      </c>
      <c r="I29" s="518">
        <v>198</v>
      </c>
      <c r="J29" s="519">
        <v>300</v>
      </c>
      <c r="K29" s="517">
        <f>+B82</f>
        <v>90</v>
      </c>
      <c r="L29" s="518">
        <v>160</v>
      </c>
      <c r="M29" s="519">
        <v>1000</v>
      </c>
      <c r="N29" s="517">
        <f>+B80</f>
        <v>0</v>
      </c>
      <c r="O29" s="518">
        <v>827</v>
      </c>
      <c r="P29" s="519">
        <v>5000</v>
      </c>
      <c r="Q29" s="740">
        <f>+B84</f>
        <v>0</v>
      </c>
      <c r="R29" s="741">
        <v>3647.15</v>
      </c>
      <c r="S29" s="742">
        <v>1300</v>
      </c>
      <c r="V29" s="841"/>
      <c r="W29" s="712"/>
      <c r="X29" s="712"/>
      <c r="AA29" s="867"/>
      <c r="AB29" s="867"/>
      <c r="AC29" s="633"/>
      <c r="AD29" s="624"/>
      <c r="AE29" s="612"/>
      <c r="AF29" s="612"/>
      <c r="AG29" s="631"/>
      <c r="AH29" s="612"/>
      <c r="AI29" s="631"/>
      <c r="AJ29" s="612"/>
    </row>
    <row r="30" spans="1:36">
      <c r="A30" s="505"/>
      <c r="B30" s="557"/>
      <c r="C30" s="4"/>
      <c r="D30" s="561"/>
      <c r="E30" s="557"/>
      <c r="F30" s="4"/>
      <c r="G30" s="561"/>
      <c r="H30" s="557"/>
      <c r="I30" s="4"/>
      <c r="J30" s="561"/>
      <c r="K30" s="766"/>
      <c r="L30" s="767"/>
      <c r="M30" s="768"/>
      <c r="N30" s="766"/>
      <c r="O30" s="767"/>
      <c r="P30" s="768"/>
      <c r="Q30" s="557"/>
      <c r="R30" s="4"/>
      <c r="S30" s="561"/>
      <c r="AA30" s="341"/>
      <c r="AB30" s="341"/>
      <c r="AC30" s="342"/>
      <c r="AD30" s="1"/>
      <c r="AG30" s="176"/>
      <c r="AI30" s="176"/>
    </row>
    <row r="31" spans="1:36">
      <c r="A31" s="564"/>
      <c r="B31" s="502"/>
      <c r="C31" s="543"/>
      <c r="D31" s="556"/>
      <c r="E31" s="502"/>
      <c r="F31" s="543"/>
      <c r="G31" s="504"/>
      <c r="H31" s="502"/>
      <c r="I31" s="543"/>
      <c r="J31" s="556"/>
      <c r="K31" s="502"/>
      <c r="L31" s="543"/>
      <c r="M31" s="556"/>
      <c r="N31" s="502"/>
      <c r="O31" s="543"/>
      <c r="P31" s="504"/>
      <c r="Q31" s="502"/>
      <c r="R31" s="543"/>
      <c r="S31" s="556"/>
      <c r="AA31" s="341"/>
      <c r="AB31" s="341"/>
      <c r="AC31" s="342"/>
      <c r="AD31" s="1"/>
      <c r="AG31" s="176"/>
      <c r="AI31" s="176"/>
    </row>
    <row r="32" spans="1:36">
      <c r="A32" s="505"/>
      <c r="B32" s="515"/>
      <c r="C32" s="507"/>
      <c r="D32" s="507"/>
      <c r="E32" s="509"/>
      <c r="F32" s="509"/>
      <c r="G32" s="509"/>
      <c r="H32" s="516"/>
      <c r="I32" s="509"/>
      <c r="J32" s="509"/>
      <c r="K32" s="509"/>
      <c r="L32" s="509"/>
      <c r="M32" s="509"/>
      <c r="N32" s="509"/>
      <c r="O32" s="509"/>
      <c r="P32" s="509"/>
      <c r="Q32" s="509"/>
      <c r="R32" s="509"/>
      <c r="S32" s="509"/>
      <c r="AA32" s="341"/>
      <c r="AB32" s="341"/>
      <c r="AC32" s="342"/>
      <c r="AD32" s="1"/>
      <c r="AG32" s="176"/>
      <c r="AI32" s="176"/>
    </row>
    <row r="33" spans="1:35">
      <c r="A33" s="505"/>
      <c r="B33" s="515"/>
      <c r="C33" s="507"/>
      <c r="D33" s="507"/>
      <c r="E33" s="509"/>
      <c r="F33" s="509"/>
      <c r="G33" s="509"/>
      <c r="H33" s="516"/>
      <c r="I33" s="509"/>
      <c r="J33" s="509"/>
      <c r="K33" s="509"/>
      <c r="L33" s="509"/>
      <c r="M33" s="509"/>
      <c r="N33" s="509"/>
      <c r="O33" s="509"/>
      <c r="P33" s="509"/>
      <c r="Q33" s="509"/>
      <c r="R33" s="509"/>
      <c r="S33" s="509"/>
      <c r="AA33" s="341"/>
      <c r="AB33" s="341"/>
      <c r="AC33" s="342"/>
      <c r="AD33" s="1"/>
      <c r="AG33" s="176"/>
      <c r="AI33" s="176"/>
    </row>
    <row r="34" spans="1:35" ht="16.899999999999999" customHeight="1">
      <c r="A34" s="340"/>
      <c r="B34" s="860" t="s">
        <v>322</v>
      </c>
      <c r="C34" s="861"/>
      <c r="D34" s="862"/>
      <c r="E34" s="860" t="s">
        <v>323</v>
      </c>
      <c r="F34" s="861"/>
      <c r="G34" s="862"/>
      <c r="H34" s="860" t="s">
        <v>400</v>
      </c>
      <c r="I34" s="861"/>
      <c r="J34" s="862"/>
      <c r="K34" s="863" t="s">
        <v>325</v>
      </c>
      <c r="L34" s="864"/>
      <c r="M34" s="865"/>
      <c r="N34" s="860" t="s">
        <v>449</v>
      </c>
      <c r="O34" s="861"/>
      <c r="P34" s="862"/>
      <c r="Q34" s="856" t="s">
        <v>407</v>
      </c>
      <c r="R34" s="857"/>
      <c r="S34" s="858"/>
      <c r="AA34" s="341"/>
      <c r="AB34" s="341"/>
      <c r="AC34" s="342"/>
      <c r="AD34" s="1"/>
      <c r="AG34" s="176"/>
      <c r="AI34" s="176"/>
    </row>
    <row r="35" spans="1:35" ht="15" customHeight="1">
      <c r="A35" s="340"/>
      <c r="B35" s="304" t="s">
        <v>467</v>
      </c>
      <c r="C35" s="305" t="s">
        <v>442</v>
      </c>
      <c r="D35" s="306" t="s">
        <v>438</v>
      </c>
      <c r="E35" s="304" t="s">
        <v>467</v>
      </c>
      <c r="F35" s="716" t="s">
        <v>468</v>
      </c>
      <c r="G35" s="306" t="s">
        <v>438</v>
      </c>
      <c r="H35" s="304" t="s">
        <v>448</v>
      </c>
      <c r="I35" s="305" t="s">
        <v>446</v>
      </c>
      <c r="J35" s="306" t="str">
        <f>+D4</f>
        <v>22 Standard</v>
      </c>
      <c r="K35" s="715" t="str">
        <f>+B4</f>
        <v>24 Standard</v>
      </c>
      <c r="L35" s="716" t="s">
        <v>402</v>
      </c>
      <c r="M35" s="717" t="str">
        <f>+D4</f>
        <v>22 Standard</v>
      </c>
      <c r="N35" s="304" t="str">
        <f>+B4</f>
        <v>24 Standard</v>
      </c>
      <c r="O35" s="305" t="s">
        <v>451</v>
      </c>
      <c r="P35" s="306" t="s">
        <v>452</v>
      </c>
      <c r="Q35" s="715" t="str">
        <f>+B4</f>
        <v>24 Standard</v>
      </c>
      <c r="R35" s="716" t="s">
        <v>402</v>
      </c>
      <c r="S35" s="717" t="str">
        <f>+D4</f>
        <v>22 Standard</v>
      </c>
      <c r="AA35" s="341"/>
      <c r="AB35" s="341"/>
      <c r="AC35" s="342"/>
      <c r="AD35" s="1"/>
      <c r="AG35" s="176"/>
      <c r="AI35" s="176"/>
    </row>
    <row r="36" spans="1:35">
      <c r="A36" s="340"/>
      <c r="B36" s="307"/>
      <c r="C36" s="111" t="s">
        <v>457</v>
      </c>
      <c r="D36" s="308"/>
      <c r="E36" s="307"/>
      <c r="F36" s="719" t="s">
        <v>470</v>
      </c>
      <c r="G36" s="308"/>
      <c r="H36" s="307"/>
      <c r="I36" s="111" t="s">
        <v>447</v>
      </c>
      <c r="J36" s="308"/>
      <c r="K36" s="718"/>
      <c r="L36" s="719" t="s">
        <v>401</v>
      </c>
      <c r="M36" s="720"/>
      <c r="N36" s="307"/>
      <c r="O36" s="111"/>
      <c r="P36" s="308"/>
      <c r="Q36" s="718"/>
      <c r="R36" s="719"/>
      <c r="S36" s="720"/>
      <c r="AA36" s="341"/>
      <c r="AB36" s="341"/>
      <c r="AC36" s="342"/>
      <c r="AD36" s="1"/>
      <c r="AG36" s="176"/>
      <c r="AI36" s="176"/>
    </row>
    <row r="37" spans="1:35">
      <c r="A37" s="6" t="s">
        <v>223</v>
      </c>
      <c r="B37" s="312">
        <f>E152</f>
        <v>0.34423291139240503</v>
      </c>
      <c r="C37" s="190">
        <v>0.34210000000000002</v>
      </c>
      <c r="D37" s="313">
        <v>0.21326582278481013</v>
      </c>
      <c r="E37" s="314">
        <f>G152</f>
        <v>0.63341570595150953</v>
      </c>
      <c r="F37" s="722">
        <v>0.57289999999999996</v>
      </c>
      <c r="G37" s="313">
        <v>0.51387049217579917</v>
      </c>
      <c r="H37" s="312">
        <f>I152</f>
        <v>0.46844430140382232</v>
      </c>
      <c r="I37" s="190">
        <v>0.3911</v>
      </c>
      <c r="J37" s="313">
        <v>0</v>
      </c>
      <c r="K37" s="721"/>
      <c r="L37" s="722">
        <v>0</v>
      </c>
      <c r="M37" s="723">
        <v>1.8829093264248706</v>
      </c>
      <c r="N37" s="312">
        <f>+M152</f>
        <v>0.28401991288114498</v>
      </c>
      <c r="O37" s="190">
        <v>0</v>
      </c>
      <c r="P37" s="313">
        <v>0</v>
      </c>
      <c r="Q37" s="721"/>
      <c r="R37" s="722">
        <v>0</v>
      </c>
      <c r="S37" s="723">
        <v>0</v>
      </c>
      <c r="AA37" s="341"/>
      <c r="AB37" s="341"/>
      <c r="AC37" s="342"/>
      <c r="AD37" s="1"/>
      <c r="AG37" s="176"/>
      <c r="AI37" s="176"/>
    </row>
    <row r="38" spans="1:35">
      <c r="A38" s="500" t="s">
        <v>362</v>
      </c>
      <c r="B38" s="317">
        <f>$C137*D137</f>
        <v>0</v>
      </c>
      <c r="C38" s="10"/>
      <c r="D38" s="318">
        <v>0</v>
      </c>
      <c r="E38" s="317">
        <f>$C134*F134</f>
        <v>0</v>
      </c>
      <c r="F38" s="725"/>
      <c r="G38" s="318">
        <v>0</v>
      </c>
      <c r="H38" s="317">
        <f>$C129*H129</f>
        <v>0</v>
      </c>
      <c r="I38" s="10"/>
      <c r="J38" s="318">
        <v>0</v>
      </c>
      <c r="K38" s="724"/>
      <c r="L38" s="725"/>
      <c r="M38" s="726">
        <v>0.16177979274611401</v>
      </c>
      <c r="N38" s="317">
        <v>0</v>
      </c>
      <c r="O38" s="10"/>
      <c r="P38" s="318">
        <v>0</v>
      </c>
      <c r="Q38" s="724"/>
      <c r="R38" s="725"/>
      <c r="S38" s="726">
        <v>0</v>
      </c>
      <c r="AA38" s="341"/>
      <c r="AB38" s="341"/>
      <c r="AC38" s="342"/>
      <c r="AD38" s="1"/>
      <c r="AG38" s="176"/>
      <c r="AI38" s="176"/>
    </row>
    <row r="39" spans="1:35">
      <c r="A39" s="6" t="s">
        <v>373</v>
      </c>
      <c r="B39" s="317">
        <f>E153+E154</f>
        <v>6.7817591691009427E-2</v>
      </c>
      <c r="C39" s="10">
        <f>0.4041-C37</f>
        <v>6.2E-2</v>
      </c>
      <c r="D39" s="318">
        <v>6.7925472249269717E-2</v>
      </c>
      <c r="E39" s="317">
        <f>G153+G154</f>
        <v>5.3814952345038192E-2</v>
      </c>
      <c r="F39" s="725">
        <v>4.9599999999999998E-2</v>
      </c>
      <c r="G39" s="318">
        <v>4.2530519676702988E-2</v>
      </c>
      <c r="H39" s="317">
        <f>I153+I154</f>
        <v>6.5721368654694298E-3</v>
      </c>
      <c r="I39" s="10">
        <v>5.8396523545234764E-3</v>
      </c>
      <c r="J39" s="318">
        <v>0</v>
      </c>
      <c r="K39" s="724"/>
      <c r="L39" s="725">
        <v>0</v>
      </c>
      <c r="M39" s="726">
        <v>4.2578634824999996E-2</v>
      </c>
      <c r="N39" s="317">
        <f>+M153+M154</f>
        <v>0.78698195395146242</v>
      </c>
      <c r="O39" s="10">
        <v>0</v>
      </c>
      <c r="P39" s="318">
        <v>0</v>
      </c>
      <c r="Q39" s="724"/>
      <c r="R39" s="725">
        <v>0</v>
      </c>
      <c r="S39" s="726">
        <v>0</v>
      </c>
      <c r="AA39" s="341"/>
      <c r="AB39" s="341"/>
      <c r="AC39" s="342"/>
      <c r="AD39" s="1"/>
      <c r="AG39" s="176"/>
      <c r="AI39" s="176"/>
    </row>
    <row r="40" spans="1:35">
      <c r="A40" s="6" t="s">
        <v>8</v>
      </c>
      <c r="B40" s="317">
        <f>E171</f>
        <v>1.2078140214216162E-2</v>
      </c>
      <c r="C40" s="10">
        <v>0.01</v>
      </c>
      <c r="D40" s="318">
        <v>9.6417790461842366E-3</v>
      </c>
      <c r="E40" s="317">
        <f>G171</f>
        <v>1.3849729745716969E-2</v>
      </c>
      <c r="F40" s="725">
        <v>1.67E-2</v>
      </c>
      <c r="G40" s="318">
        <v>5.8784926413087768E-3</v>
      </c>
      <c r="H40" s="317">
        <f>I171</f>
        <v>9.6111165164667403E-3</v>
      </c>
      <c r="I40" s="10">
        <v>1.7771323504375363E-2</v>
      </c>
      <c r="J40" s="318">
        <v>0</v>
      </c>
      <c r="K40" s="724"/>
      <c r="L40" s="725">
        <v>0</v>
      </c>
      <c r="M40" s="726">
        <v>1.0135435073031706E-2</v>
      </c>
      <c r="N40" s="317">
        <f>M171</f>
        <v>4.6127878033602986E-2</v>
      </c>
      <c r="O40" s="10">
        <v>0</v>
      </c>
      <c r="P40" s="318">
        <v>0</v>
      </c>
      <c r="Q40" s="724"/>
      <c r="R40" s="725">
        <v>0</v>
      </c>
      <c r="S40" s="726">
        <v>0</v>
      </c>
      <c r="AA40" s="341"/>
      <c r="AB40" s="341"/>
      <c r="AC40" s="342"/>
      <c r="AD40" s="1"/>
      <c r="AG40" s="176"/>
      <c r="AI40" s="176"/>
    </row>
    <row r="41" spans="1:35">
      <c r="A41" s="2" t="s">
        <v>9</v>
      </c>
      <c r="B41" s="317">
        <f>E172</f>
        <v>1.5830980201233364E-3</v>
      </c>
      <c r="C41" s="10">
        <v>2E-3</v>
      </c>
      <c r="D41" s="318">
        <v>1.7836722906349686E-3</v>
      </c>
      <c r="E41" s="317">
        <f>G172</f>
        <v>2.7058420768542547E-3</v>
      </c>
      <c r="F41" s="725">
        <v>1.1000000000000001E-3</v>
      </c>
      <c r="G41" s="318">
        <v>1.2263425733000934E-3</v>
      </c>
      <c r="H41" s="317">
        <f>I172</f>
        <v>1.3457382417243625E-3</v>
      </c>
      <c r="I41" s="10">
        <v>3.6105204467295447E-3</v>
      </c>
      <c r="J41" s="318">
        <v>0</v>
      </c>
      <c r="K41" s="724"/>
      <c r="L41" s="725">
        <v>0</v>
      </c>
      <c r="M41" s="726">
        <v>1.124759091389829E-3</v>
      </c>
      <c r="N41" s="317">
        <f>M172</f>
        <v>2.0507934038581205E-3</v>
      </c>
      <c r="O41" s="10">
        <v>0</v>
      </c>
      <c r="P41" s="318">
        <v>0</v>
      </c>
      <c r="Q41" s="724"/>
      <c r="R41" s="725">
        <v>0</v>
      </c>
      <c r="S41" s="726">
        <v>0</v>
      </c>
      <c r="AA41" s="341"/>
      <c r="AB41" s="341"/>
      <c r="AC41" s="342"/>
      <c r="AD41" s="1"/>
      <c r="AG41" s="176"/>
      <c r="AI41" s="176"/>
    </row>
    <row r="42" spans="1:35">
      <c r="A42" s="6" t="s">
        <v>10</v>
      </c>
      <c r="B42" s="323">
        <f>$H$180</f>
        <v>1.6297262059973925E-2</v>
      </c>
      <c r="C42" s="10">
        <v>3.5999999999999999E-3</v>
      </c>
      <c r="D42" s="318">
        <v>3.1413612565445027E-3</v>
      </c>
      <c r="E42" s="323">
        <f>$H$180</f>
        <v>1.6297262059973925E-2</v>
      </c>
      <c r="F42" s="725">
        <v>3.5999999999999999E-3</v>
      </c>
      <c r="G42" s="318">
        <v>3.1413612565445027E-3</v>
      </c>
      <c r="H42" s="323">
        <f>$H$180</f>
        <v>1.6297262059973925E-2</v>
      </c>
      <c r="I42" s="10">
        <v>5.9485597058122515E-3</v>
      </c>
      <c r="J42" s="318">
        <v>0</v>
      </c>
      <c r="K42" s="727"/>
      <c r="L42" s="725">
        <v>0</v>
      </c>
      <c r="M42" s="726">
        <v>8.670520231213872E-3</v>
      </c>
      <c r="N42" s="323">
        <f>$H$180</f>
        <v>1.6297262059973925E-2</v>
      </c>
      <c r="O42" s="10">
        <v>0</v>
      </c>
      <c r="P42" s="318">
        <v>0</v>
      </c>
      <c r="Q42" s="727"/>
      <c r="R42" s="725">
        <v>0</v>
      </c>
      <c r="S42" s="726">
        <v>0</v>
      </c>
      <c r="AA42" s="341"/>
      <c r="AB42" s="341"/>
      <c r="AC42" s="342"/>
      <c r="AD42" s="1"/>
      <c r="AG42" s="176"/>
      <c r="AI42" s="176"/>
    </row>
    <row r="43" spans="1:35">
      <c r="A43" s="6" t="s">
        <v>11</v>
      </c>
      <c r="B43" s="323">
        <f>$H$183</f>
        <v>1.3037809647979139E-3</v>
      </c>
      <c r="C43" s="10">
        <v>2.0000000000000001E-4</v>
      </c>
      <c r="D43" s="318">
        <v>2.6178010471204186E-4</v>
      </c>
      <c r="E43" s="323">
        <f>$H$183</f>
        <v>1.3037809647979139E-3</v>
      </c>
      <c r="F43" s="725">
        <v>0</v>
      </c>
      <c r="G43" s="318">
        <v>2.6178010471204186E-4</v>
      </c>
      <c r="H43" s="323">
        <f>$H$183</f>
        <v>1.3037809647979139E-3</v>
      </c>
      <c r="I43" s="10">
        <v>9.9144080493036879E-4</v>
      </c>
      <c r="J43" s="318">
        <v>0</v>
      </c>
      <c r="K43" s="727"/>
      <c r="L43" s="725">
        <v>0</v>
      </c>
      <c r="M43" s="726">
        <v>4.3352601156069364E-4</v>
      </c>
      <c r="N43" s="323">
        <f>$H$183</f>
        <v>1.3037809647979139E-3</v>
      </c>
      <c r="O43" s="10">
        <v>0</v>
      </c>
      <c r="P43" s="318">
        <v>0</v>
      </c>
      <c r="Q43" s="727"/>
      <c r="R43" s="725">
        <v>0</v>
      </c>
      <c r="S43" s="726">
        <v>0</v>
      </c>
      <c r="AA43" s="341"/>
      <c r="AB43" s="341"/>
      <c r="AC43" s="342"/>
      <c r="AD43" s="1"/>
      <c r="AG43" s="176"/>
      <c r="AI43" s="176"/>
    </row>
    <row r="44" spans="1:35" ht="16.5">
      <c r="A44" s="6" t="s">
        <v>12</v>
      </c>
      <c r="B44" s="324">
        <f>$H$186</f>
        <v>2.2816166883963495E-2</v>
      </c>
      <c r="C44" s="14">
        <v>1.2500000000000001E-2</v>
      </c>
      <c r="D44" s="325">
        <v>3.9267015706806281E-3</v>
      </c>
      <c r="E44" s="324">
        <f>$H$186</f>
        <v>2.2816166883963495E-2</v>
      </c>
      <c r="F44" s="729">
        <v>1.2E-2</v>
      </c>
      <c r="G44" s="325">
        <v>3.9267015706806281E-3</v>
      </c>
      <c r="H44" s="324">
        <f>$H$186</f>
        <v>2.2816166883963495E-2</v>
      </c>
      <c r="I44" s="14">
        <v>9.2202407300214506E-3</v>
      </c>
      <c r="J44" s="325">
        <v>0</v>
      </c>
      <c r="K44" s="728"/>
      <c r="L44" s="729">
        <v>0</v>
      </c>
      <c r="M44" s="730">
        <v>5.7803468208092491E-3</v>
      </c>
      <c r="N44" s="324">
        <f>$H$186</f>
        <v>2.2816166883963495E-2</v>
      </c>
      <c r="O44" s="14">
        <v>0</v>
      </c>
      <c r="P44" s="325">
        <v>0</v>
      </c>
      <c r="Q44" s="728"/>
      <c r="R44" s="729">
        <v>0</v>
      </c>
      <c r="S44" s="730">
        <v>0</v>
      </c>
      <c r="AA44" s="341"/>
      <c r="AB44" s="341"/>
      <c r="AC44" s="342"/>
      <c r="AD44" s="1"/>
      <c r="AG44" s="176"/>
      <c r="AI44" s="176"/>
    </row>
    <row r="45" spans="1:35">
      <c r="A45" s="328" t="s">
        <v>224</v>
      </c>
      <c r="B45" s="10">
        <f t="shared" ref="B45:S45" si="10">SUM(B37:B44)</f>
        <v>0.46612895122648934</v>
      </c>
      <c r="C45" s="10">
        <f t="shared" si="10"/>
        <v>0.43240000000000001</v>
      </c>
      <c r="D45" s="318">
        <f>SUM(D37:D44)</f>
        <v>0.2999465893028363</v>
      </c>
      <c r="E45" s="10">
        <f t="shared" si="10"/>
        <v>0.74420344002785421</v>
      </c>
      <c r="F45" s="725">
        <f t="shared" si="10"/>
        <v>0.65590000000000004</v>
      </c>
      <c r="G45" s="318">
        <f>SUM(G37:G44)</f>
        <v>0.57083568999904821</v>
      </c>
      <c r="H45" s="10">
        <f t="shared" si="10"/>
        <v>0.52639050293621814</v>
      </c>
      <c r="I45" s="10">
        <f t="shared" si="10"/>
        <v>0.43448173754639252</v>
      </c>
      <c r="J45" s="318">
        <f>SUM(J37:J44)</f>
        <v>0</v>
      </c>
      <c r="K45" s="725"/>
      <c r="L45" s="725">
        <f t="shared" si="10"/>
        <v>0</v>
      </c>
      <c r="M45" s="726">
        <v>2.1134123412239898</v>
      </c>
      <c r="N45" s="10">
        <f>SUM(N37:N44)</f>
        <v>1.1595977481788038</v>
      </c>
      <c r="O45" s="10">
        <f t="shared" si="10"/>
        <v>0</v>
      </c>
      <c r="P45" s="318">
        <f t="shared" si="10"/>
        <v>0</v>
      </c>
      <c r="Q45" s="725"/>
      <c r="R45" s="725">
        <f t="shared" si="10"/>
        <v>0</v>
      </c>
      <c r="S45" s="726">
        <f t="shared" si="10"/>
        <v>0</v>
      </c>
      <c r="AA45" s="341"/>
      <c r="AB45" s="341"/>
      <c r="AC45" s="342"/>
      <c r="AD45" s="1"/>
      <c r="AG45" s="176"/>
      <c r="AI45" s="176"/>
    </row>
    <row r="46" spans="1:35">
      <c r="A46" s="514"/>
      <c r="B46" s="323"/>
      <c r="C46" s="10"/>
      <c r="D46" s="513"/>
      <c r="E46" s="323"/>
      <c r="F46" s="725"/>
      <c r="G46" s="513"/>
      <c r="H46" s="323"/>
      <c r="I46" s="10"/>
      <c r="J46" s="318"/>
      <c r="K46" s="727"/>
      <c r="L46" s="725"/>
      <c r="M46" s="726"/>
      <c r="N46" s="323"/>
      <c r="O46" s="10"/>
      <c r="P46" s="318"/>
      <c r="Q46" s="727"/>
      <c r="R46" s="725"/>
      <c r="S46" s="726"/>
      <c r="AA46" s="341"/>
      <c r="AB46" s="341"/>
      <c r="AC46" s="342"/>
      <c r="AD46" s="1"/>
      <c r="AG46" s="176"/>
      <c r="AI46" s="176"/>
    </row>
    <row r="47" spans="1:35">
      <c r="A47" s="6" t="s">
        <v>14</v>
      </c>
      <c r="B47" s="323">
        <f>$D$217/$B$64/1000</f>
        <v>4.8558141177292929E-2</v>
      </c>
      <c r="C47" s="10">
        <v>1.72E-2</v>
      </c>
      <c r="D47" s="318">
        <v>1.666317390070662E-2</v>
      </c>
      <c r="E47" s="323">
        <f>$D$217/$B$64/1000</f>
        <v>4.8558141177292929E-2</v>
      </c>
      <c r="F47" s="725">
        <v>2.53E-2</v>
      </c>
      <c r="G47" s="318">
        <v>1.666317390070662E-2</v>
      </c>
      <c r="H47" s="323">
        <f>$D$217/$B$64/1000</f>
        <v>4.8558141177292929E-2</v>
      </c>
      <c r="I47" s="10">
        <v>2.662671098777623E-2</v>
      </c>
      <c r="J47" s="318">
        <v>0</v>
      </c>
      <c r="K47" s="727"/>
      <c r="L47" s="725">
        <v>0</v>
      </c>
      <c r="M47" s="726">
        <v>1.1741675249605885E-2</v>
      </c>
      <c r="N47" s="323">
        <f>$D$217/$B$64/1000</f>
        <v>4.8558141177292929E-2</v>
      </c>
      <c r="O47" s="10">
        <v>0</v>
      </c>
      <c r="P47" s="318">
        <v>0</v>
      </c>
      <c r="Q47" s="727"/>
      <c r="R47" s="725">
        <v>0</v>
      </c>
      <c r="S47" s="726">
        <v>0</v>
      </c>
      <c r="AA47" s="341"/>
      <c r="AB47" s="341"/>
      <c r="AC47" s="342"/>
      <c r="AD47" s="1"/>
      <c r="AG47" s="176"/>
      <c r="AI47" s="176"/>
    </row>
    <row r="48" spans="1:35">
      <c r="A48" s="6" t="s">
        <v>15</v>
      </c>
      <c r="B48" s="323">
        <f>$G$217/$B$64/1000</f>
        <v>1.5673025641025642E-2</v>
      </c>
      <c r="C48" s="10">
        <v>6.4000000000000003E-3</v>
      </c>
      <c r="D48" s="318">
        <v>4.0701570680628275E-3</v>
      </c>
      <c r="E48" s="323">
        <f>$G$217/$B$64/1000</f>
        <v>1.5673025641025642E-2</v>
      </c>
      <c r="F48" s="725">
        <v>1.01E-2</v>
      </c>
      <c r="G48" s="318">
        <v>4.0701570680628275E-3</v>
      </c>
      <c r="H48" s="323">
        <f>$G$217/$B$64/1000</f>
        <v>1.5673025641025642E-2</v>
      </c>
      <c r="I48" s="10">
        <v>7.6324227927406464E-3</v>
      </c>
      <c r="J48" s="318">
        <v>0</v>
      </c>
      <c r="K48" s="727"/>
      <c r="L48" s="725">
        <v>0</v>
      </c>
      <c r="M48" s="726">
        <v>4.1080924855491328E-3</v>
      </c>
      <c r="N48" s="323">
        <f>$G$217/$B$64/1000</f>
        <v>1.5673025641025642E-2</v>
      </c>
      <c r="O48" s="10">
        <v>0</v>
      </c>
      <c r="P48" s="318">
        <v>0</v>
      </c>
      <c r="Q48" s="727"/>
      <c r="R48" s="725">
        <v>0</v>
      </c>
      <c r="S48" s="726">
        <v>0</v>
      </c>
      <c r="AA48" s="341"/>
      <c r="AB48" s="341"/>
      <c r="AC48" s="342"/>
      <c r="AD48" s="1"/>
      <c r="AG48" s="176"/>
      <c r="AI48" s="176"/>
    </row>
    <row r="49" spans="1:35">
      <c r="A49" s="6" t="s">
        <v>16</v>
      </c>
      <c r="B49" s="323">
        <f>$J$217/$B$64/1000</f>
        <v>2.0872241943801575E-2</v>
      </c>
      <c r="C49" s="10">
        <v>8.3999999999999995E-3</v>
      </c>
      <c r="D49" s="318">
        <v>7.3786377251675011E-3</v>
      </c>
      <c r="E49" s="323">
        <f>$J$217/$B$64/1000</f>
        <v>2.0872241943801575E-2</v>
      </c>
      <c r="F49" s="725">
        <v>1.2E-2</v>
      </c>
      <c r="G49" s="318">
        <v>7.3786377251675011E-3</v>
      </c>
      <c r="H49" s="323">
        <f>$J$217/$B$64/1000</f>
        <v>2.0872241943801575E-2</v>
      </c>
      <c r="I49" s="10">
        <v>1.1265424427117027E-2</v>
      </c>
      <c r="J49" s="318">
        <v>0</v>
      </c>
      <c r="K49" s="727"/>
      <c r="L49" s="725">
        <v>0</v>
      </c>
      <c r="M49" s="726">
        <v>7.259843652712092E-3</v>
      </c>
      <c r="N49" s="323">
        <f>$J$217/$B$64/1000</f>
        <v>2.0872241943801575E-2</v>
      </c>
      <c r="O49" s="10">
        <v>0</v>
      </c>
      <c r="P49" s="318">
        <v>0</v>
      </c>
      <c r="Q49" s="727"/>
      <c r="R49" s="725">
        <v>0</v>
      </c>
      <c r="S49" s="726">
        <v>0</v>
      </c>
      <c r="AA49" s="341"/>
      <c r="AB49" s="341"/>
      <c r="AC49" s="342"/>
      <c r="AD49" s="1"/>
      <c r="AG49" s="176"/>
      <c r="AI49" s="176"/>
    </row>
    <row r="50" spans="1:35">
      <c r="A50" s="2" t="s">
        <v>17</v>
      </c>
      <c r="B50" s="323">
        <f>$E$243</f>
        <v>5.4291551499348108E-3</v>
      </c>
      <c r="C50" s="10">
        <v>7.7999999999999996E-3</v>
      </c>
      <c r="D50" s="318">
        <v>4.055497382198953E-3</v>
      </c>
      <c r="E50" s="323">
        <f>$E$243</f>
        <v>5.4291551499348108E-3</v>
      </c>
      <c r="F50" s="725">
        <v>0</v>
      </c>
      <c r="G50" s="318">
        <v>4.055497382198953E-3</v>
      </c>
      <c r="H50" s="323">
        <f>$E$243</f>
        <v>5.4291551499348108E-3</v>
      </c>
      <c r="I50" s="10">
        <v>6.4561314651503292E-3</v>
      </c>
      <c r="J50" s="318">
        <v>0</v>
      </c>
      <c r="K50" s="727"/>
      <c r="L50" s="725">
        <v>0</v>
      </c>
      <c r="M50" s="726">
        <v>2.4498520231213874E-3</v>
      </c>
      <c r="N50" s="323">
        <f>$E$243</f>
        <v>5.4291551499348108E-3</v>
      </c>
      <c r="O50" s="10">
        <v>0</v>
      </c>
      <c r="P50" s="318">
        <v>0</v>
      </c>
      <c r="Q50" s="727"/>
      <c r="R50" s="725">
        <v>0</v>
      </c>
      <c r="S50" s="726">
        <v>0</v>
      </c>
      <c r="AA50" s="341"/>
      <c r="AB50" s="341"/>
      <c r="AC50" s="342"/>
      <c r="AD50" s="1"/>
      <c r="AG50" s="176"/>
      <c r="AI50" s="176"/>
    </row>
    <row r="51" spans="1:35">
      <c r="A51" s="2" t="s">
        <v>19</v>
      </c>
      <c r="B51" s="323">
        <f>$E$244</f>
        <v>7.3063885267275093E-3</v>
      </c>
      <c r="C51" s="10">
        <v>5.7999999999999996E-3</v>
      </c>
      <c r="D51" s="318">
        <v>2.9340314136125658E-3</v>
      </c>
      <c r="E51" s="323">
        <f>$E$244</f>
        <v>7.3063885267275093E-3</v>
      </c>
      <c r="F51" s="725">
        <v>7.6E-3</v>
      </c>
      <c r="G51" s="318">
        <v>2.9340314136125658E-3</v>
      </c>
      <c r="H51" s="323">
        <f>$E$244</f>
        <v>7.3063885267275093E-3</v>
      </c>
      <c r="I51" s="10">
        <v>5.0242985801355168E-3</v>
      </c>
      <c r="J51" s="318">
        <v>0</v>
      </c>
      <c r="K51" s="727"/>
      <c r="L51" s="725">
        <v>0</v>
      </c>
      <c r="M51" s="726">
        <v>6.3670520231213876E-2</v>
      </c>
      <c r="N51" s="323">
        <f>$E$244</f>
        <v>7.3063885267275093E-3</v>
      </c>
      <c r="O51" s="10">
        <v>0</v>
      </c>
      <c r="P51" s="318">
        <v>0</v>
      </c>
      <c r="Q51" s="727"/>
      <c r="R51" s="725">
        <v>0</v>
      </c>
      <c r="S51" s="726">
        <v>0</v>
      </c>
      <c r="AA51" s="341"/>
      <c r="AB51" s="341"/>
      <c r="AC51" s="342"/>
      <c r="AD51" s="1"/>
      <c r="AG51" s="176"/>
      <c r="AI51" s="176"/>
    </row>
    <row r="52" spans="1:35" ht="16.5">
      <c r="A52" s="2" t="s">
        <v>18</v>
      </c>
      <c r="B52" s="324">
        <f>$E$245</f>
        <v>2.5893089960886569E-2</v>
      </c>
      <c r="C52" s="14">
        <v>2.9100000000000001E-2</v>
      </c>
      <c r="D52" s="325">
        <v>1.4736125654450262E-2</v>
      </c>
      <c r="E52" s="324">
        <f>$E$245</f>
        <v>2.5893089960886569E-2</v>
      </c>
      <c r="F52" s="729">
        <v>2.5000000000000001E-2</v>
      </c>
      <c r="G52" s="325">
        <v>1.4736125654450262E-2</v>
      </c>
      <c r="H52" s="324">
        <f>$E$245</f>
        <v>2.5893089960886569E-2</v>
      </c>
      <c r="I52" s="14">
        <v>1.7794204773741017E-2</v>
      </c>
      <c r="J52" s="325">
        <v>0</v>
      </c>
      <c r="K52" s="728"/>
      <c r="L52" s="729">
        <v>0</v>
      </c>
      <c r="M52" s="730">
        <v>1.4046242774566474E-2</v>
      </c>
      <c r="N52" s="324">
        <f>$E$245</f>
        <v>2.5893089960886569E-2</v>
      </c>
      <c r="O52" s="14">
        <v>0</v>
      </c>
      <c r="P52" s="325">
        <v>0</v>
      </c>
      <c r="Q52" s="728"/>
      <c r="R52" s="729">
        <v>0</v>
      </c>
      <c r="S52" s="730">
        <v>0</v>
      </c>
      <c r="AA52" s="341"/>
      <c r="AB52" s="341"/>
      <c r="AC52" s="342"/>
      <c r="AD52" s="1"/>
      <c r="AG52" s="176"/>
      <c r="AI52" s="176"/>
    </row>
    <row r="53" spans="1:35">
      <c r="A53" s="328" t="s">
        <v>225</v>
      </c>
      <c r="B53" s="323">
        <f t="shared" ref="B53:L53" si="11">SUM(B47:B52)</f>
        <v>0.12373204239966903</v>
      </c>
      <c r="C53" s="10">
        <f t="shared" si="11"/>
        <v>7.4700000000000003E-2</v>
      </c>
      <c r="D53" s="318">
        <f>SUM(D47:D52)</f>
        <v>4.9837623144198727E-2</v>
      </c>
      <c r="E53" s="323">
        <f t="shared" si="11"/>
        <v>0.12373204239966903</v>
      </c>
      <c r="F53" s="725">
        <f t="shared" si="11"/>
        <v>0.08</v>
      </c>
      <c r="G53" s="318">
        <f>SUM(G47:G52)</f>
        <v>4.9837623144198727E-2</v>
      </c>
      <c r="H53" s="323">
        <f>SUM(H47:H52)</f>
        <v>0.12373204239966903</v>
      </c>
      <c r="I53" s="10">
        <f t="shared" ref="I53" si="12">SUM(I47:I52)</f>
        <v>7.4799193026660771E-2</v>
      </c>
      <c r="J53" s="10">
        <f>SUM(J47:J52)</f>
        <v>0</v>
      </c>
      <c r="K53" s="727"/>
      <c r="L53" s="725">
        <f t="shared" si="11"/>
        <v>0</v>
      </c>
      <c r="M53" s="726">
        <v>0.10327622641676884</v>
      </c>
      <c r="N53" s="323">
        <f>SUM(N47:N52)</f>
        <v>0.12373204239966903</v>
      </c>
      <c r="O53" s="10">
        <f t="shared" ref="O53:P53" si="13">SUM(O47:O52)</f>
        <v>0</v>
      </c>
      <c r="P53" s="318">
        <f t="shared" si="13"/>
        <v>0</v>
      </c>
      <c r="Q53" s="727"/>
      <c r="R53" s="725">
        <f t="shared" ref="R53:S53" si="14">SUM(R47:R52)</f>
        <v>0</v>
      </c>
      <c r="S53" s="726">
        <f t="shared" si="14"/>
        <v>0</v>
      </c>
      <c r="AA53" s="341"/>
      <c r="AB53" s="341"/>
      <c r="AC53" s="342"/>
      <c r="AD53" s="1"/>
      <c r="AG53" s="176"/>
      <c r="AI53" s="176"/>
    </row>
    <row r="54" spans="1:35">
      <c r="A54" s="509"/>
      <c r="B54" s="323"/>
      <c r="C54" s="10"/>
      <c r="D54" s="513"/>
      <c r="E54" s="323"/>
      <c r="F54" s="725"/>
      <c r="G54" s="513"/>
      <c r="H54" s="323"/>
      <c r="I54" s="10"/>
      <c r="J54" s="318"/>
      <c r="K54" s="727"/>
      <c r="L54" s="725"/>
      <c r="M54" s="726"/>
      <c r="N54" s="323"/>
      <c r="O54" s="10"/>
      <c r="P54" s="318"/>
      <c r="Q54" s="727"/>
      <c r="R54" s="725"/>
      <c r="S54" s="726"/>
      <c r="AA54" s="341"/>
      <c r="AB54" s="341"/>
      <c r="AC54" s="342"/>
      <c r="AD54" s="1"/>
      <c r="AG54" s="176"/>
      <c r="AI54" s="176"/>
    </row>
    <row r="55" spans="1:35">
      <c r="A55" s="526" t="s">
        <v>365</v>
      </c>
      <c r="B55" s="502">
        <f t="shared" ref="B55:P55" si="15">B45+B53</f>
        <v>0.5898609936261584</v>
      </c>
      <c r="C55" s="503">
        <f t="shared" si="15"/>
        <v>0.5071</v>
      </c>
      <c r="D55" s="504">
        <f t="shared" si="15"/>
        <v>0.349784212447035</v>
      </c>
      <c r="E55" s="502">
        <f t="shared" si="15"/>
        <v>0.86793548242752327</v>
      </c>
      <c r="F55" s="732">
        <f t="shared" si="15"/>
        <v>0.7359</v>
      </c>
      <c r="G55" s="504">
        <f t="shared" si="15"/>
        <v>0.62067331314324692</v>
      </c>
      <c r="H55" s="502">
        <f t="shared" si="15"/>
        <v>0.6501225453358872</v>
      </c>
      <c r="I55" s="503">
        <f t="shared" si="15"/>
        <v>0.50928093057305324</v>
      </c>
      <c r="J55" s="504">
        <f t="shared" si="15"/>
        <v>0</v>
      </c>
      <c r="K55" s="731">
        <f t="shared" si="15"/>
        <v>0</v>
      </c>
      <c r="L55" s="732">
        <f t="shared" si="15"/>
        <v>0</v>
      </c>
      <c r="M55" s="733">
        <f t="shared" si="15"/>
        <v>2.2166885676407588</v>
      </c>
      <c r="N55" s="502">
        <f>N45+N53</f>
        <v>1.2833297905784729</v>
      </c>
      <c r="O55" s="503">
        <f t="shared" si="15"/>
        <v>0</v>
      </c>
      <c r="P55" s="504">
        <f t="shared" si="15"/>
        <v>0</v>
      </c>
      <c r="Q55" s="731">
        <f>Q45+Q53</f>
        <v>0</v>
      </c>
      <c r="R55" s="732">
        <f t="shared" ref="R55:S55" si="16">R45+R53</f>
        <v>0</v>
      </c>
      <c r="S55" s="733">
        <f t="shared" si="16"/>
        <v>0</v>
      </c>
      <c r="AA55" s="341"/>
      <c r="AB55" s="341"/>
      <c r="AC55" s="342"/>
      <c r="AD55" s="1"/>
      <c r="AG55" s="176"/>
      <c r="AI55" s="176"/>
    </row>
    <row r="56" spans="1:35">
      <c r="A56" s="501" t="s">
        <v>368</v>
      </c>
      <c r="B56" s="494">
        <f>-B38</f>
        <v>0</v>
      </c>
      <c r="C56" s="497">
        <f>-C38</f>
        <v>0</v>
      </c>
      <c r="D56" s="498">
        <v>0</v>
      </c>
      <c r="E56" s="494">
        <f>-E38</f>
        <v>0</v>
      </c>
      <c r="F56" s="735"/>
      <c r="G56" s="498">
        <v>0</v>
      </c>
      <c r="H56" s="497">
        <f>-H38</f>
        <v>0</v>
      </c>
      <c r="I56" s="497"/>
      <c r="J56" s="498">
        <v>0</v>
      </c>
      <c r="K56" s="734">
        <f>-K38</f>
        <v>0</v>
      </c>
      <c r="L56" s="735"/>
      <c r="M56" s="736">
        <v>-7.4705958549222806E-3</v>
      </c>
      <c r="N56" s="494">
        <f>-N38</f>
        <v>0</v>
      </c>
      <c r="O56" s="497"/>
      <c r="P56" s="498">
        <v>0</v>
      </c>
      <c r="Q56" s="734">
        <f>-Q38</f>
        <v>0</v>
      </c>
      <c r="R56" s="735"/>
      <c r="S56" s="736"/>
      <c r="AA56" s="341"/>
      <c r="AB56" s="341"/>
      <c r="AC56" s="342"/>
      <c r="AD56" s="1"/>
      <c r="AG56" s="176"/>
      <c r="AI56" s="176"/>
    </row>
    <row r="57" spans="1:35">
      <c r="A57" s="328" t="s">
        <v>367</v>
      </c>
      <c r="B57" s="323">
        <v>0</v>
      </c>
      <c r="C57" s="544">
        <v>0</v>
      </c>
      <c r="D57" s="318">
        <v>0</v>
      </c>
      <c r="E57" s="323">
        <v>0</v>
      </c>
      <c r="F57" s="737">
        <v>0</v>
      </c>
      <c r="G57" s="318">
        <v>0</v>
      </c>
      <c r="H57" s="323">
        <v>0</v>
      </c>
      <c r="I57" s="544">
        <v>0</v>
      </c>
      <c r="J57" s="318">
        <v>0</v>
      </c>
      <c r="K57" s="727">
        <f t="shared" ref="K57:S57" si="17">IF(K40+K41+K42+K43+K44+K53&gt;0.0498,0.0498-K40-K41-K42-K43-K44-K53,0)</f>
        <v>0</v>
      </c>
      <c r="L57" s="737">
        <f t="shared" si="17"/>
        <v>0</v>
      </c>
      <c r="M57" s="726">
        <f t="shared" si="17"/>
        <v>-7.9620813644774191E-2</v>
      </c>
      <c r="N57" s="323">
        <v>0</v>
      </c>
      <c r="O57" s="544">
        <v>0</v>
      </c>
      <c r="P57" s="318">
        <f t="shared" si="17"/>
        <v>0</v>
      </c>
      <c r="Q57" s="727">
        <f t="shared" si="17"/>
        <v>0</v>
      </c>
      <c r="R57" s="737">
        <v>0</v>
      </c>
      <c r="S57" s="726">
        <f t="shared" si="17"/>
        <v>0</v>
      </c>
      <c r="AA57" s="341"/>
      <c r="AB57" s="341"/>
      <c r="AC57" s="342"/>
      <c r="AD57" s="1"/>
      <c r="AG57" s="176"/>
      <c r="AI57" s="176"/>
    </row>
    <row r="58" spans="1:35">
      <c r="A58" s="526" t="s">
        <v>366</v>
      </c>
      <c r="B58" s="502">
        <f t="shared" ref="B58:S58" si="18">SUM(B55:B57)</f>
        <v>0.5898609936261584</v>
      </c>
      <c r="C58" s="503">
        <f t="shared" si="18"/>
        <v>0.5071</v>
      </c>
      <c r="D58" s="504">
        <f t="shared" si="18"/>
        <v>0.349784212447035</v>
      </c>
      <c r="E58" s="502">
        <f t="shared" si="18"/>
        <v>0.86793548242752327</v>
      </c>
      <c r="F58" s="732">
        <f t="shared" si="18"/>
        <v>0.7359</v>
      </c>
      <c r="G58" s="504">
        <f>SUM(G55:G57)</f>
        <v>0.62067331314324692</v>
      </c>
      <c r="H58" s="502">
        <f t="shared" si="18"/>
        <v>0.6501225453358872</v>
      </c>
      <c r="I58" s="503">
        <f t="shared" ref="I58:J58" si="19">SUM(I55:I57)</f>
        <v>0.50928093057305324</v>
      </c>
      <c r="J58" s="504">
        <f t="shared" si="19"/>
        <v>0</v>
      </c>
      <c r="K58" s="731">
        <f t="shared" si="18"/>
        <v>0</v>
      </c>
      <c r="L58" s="732">
        <f t="shared" si="18"/>
        <v>0</v>
      </c>
      <c r="M58" s="733">
        <f t="shared" si="18"/>
        <v>2.1295971581410624</v>
      </c>
      <c r="N58" s="502">
        <f t="shared" si="18"/>
        <v>1.2833297905784729</v>
      </c>
      <c r="O58" s="503">
        <f t="shared" ref="O58" si="20">SUM(O55:O57)</f>
        <v>0</v>
      </c>
      <c r="P58" s="504">
        <f t="shared" si="18"/>
        <v>0</v>
      </c>
      <c r="Q58" s="731">
        <f t="shared" si="18"/>
        <v>0</v>
      </c>
      <c r="R58" s="732">
        <f t="shared" si="18"/>
        <v>0</v>
      </c>
      <c r="S58" s="733">
        <f t="shared" si="18"/>
        <v>0</v>
      </c>
      <c r="AA58" s="341"/>
      <c r="AB58" s="341"/>
      <c r="AC58" s="342"/>
      <c r="AD58" s="1"/>
      <c r="AG58" s="176"/>
      <c r="AI58" s="176"/>
    </row>
    <row r="59" spans="1:35">
      <c r="A59" s="509"/>
      <c r="B59" s="558"/>
      <c r="D59" s="511"/>
      <c r="E59" s="558"/>
      <c r="F59" s="712"/>
      <c r="G59" s="511"/>
      <c r="H59" s="558"/>
      <c r="J59" s="25"/>
      <c r="K59" s="738"/>
      <c r="L59" s="712"/>
      <c r="M59" s="739"/>
      <c r="N59" s="558"/>
      <c r="P59" s="25"/>
      <c r="Q59" s="738"/>
      <c r="R59" s="712"/>
      <c r="S59" s="739"/>
      <c r="AA59" s="341"/>
      <c r="AB59" s="341"/>
      <c r="AC59" s="342"/>
      <c r="AD59" s="1"/>
      <c r="AG59" s="176"/>
      <c r="AI59" s="176"/>
    </row>
    <row r="60" spans="1:35">
      <c r="A60" s="526" t="s">
        <v>392</v>
      </c>
      <c r="B60" s="842">
        <f>+B85</f>
        <v>450</v>
      </c>
      <c r="C60" s="518">
        <v>123</v>
      </c>
      <c r="D60" s="519">
        <v>1100</v>
      </c>
      <c r="E60" s="842">
        <f>+B86</f>
        <v>1300</v>
      </c>
      <c r="F60" s="741">
        <v>979</v>
      </c>
      <c r="G60" s="519">
        <v>1700</v>
      </c>
      <c r="H60" s="517">
        <f>+B90</f>
        <v>0</v>
      </c>
      <c r="I60" s="518">
        <v>4813</v>
      </c>
      <c r="J60" s="519">
        <v>0</v>
      </c>
      <c r="K60" s="740">
        <f>+B88</f>
        <v>0</v>
      </c>
      <c r="L60" s="741">
        <v>0</v>
      </c>
      <c r="M60" s="742">
        <v>100</v>
      </c>
      <c r="N60" s="517">
        <f>+B83</f>
        <v>0</v>
      </c>
      <c r="O60" s="518">
        <v>0</v>
      </c>
      <c r="P60" s="519">
        <v>0</v>
      </c>
      <c r="Q60" s="740">
        <v>0</v>
      </c>
      <c r="R60" s="741">
        <v>0</v>
      </c>
      <c r="S60" s="742">
        <v>0</v>
      </c>
      <c r="AA60" s="341"/>
      <c r="AB60" s="341"/>
      <c r="AC60" s="342"/>
      <c r="AD60" s="1"/>
      <c r="AG60" s="176"/>
      <c r="AI60" s="176"/>
    </row>
    <row r="61" spans="1:35">
      <c r="A61" s="505"/>
      <c r="B61" s="506"/>
      <c r="C61" s="507"/>
      <c r="D61" s="508"/>
      <c r="E61" s="557"/>
      <c r="F61" s="4"/>
      <c r="G61" s="508"/>
      <c r="H61" s="557"/>
      <c r="I61" s="4"/>
      <c r="J61" s="561"/>
      <c r="K61" s="557"/>
      <c r="L61" s="4"/>
      <c r="M61" s="561"/>
      <c r="N61" s="557"/>
      <c r="O61" s="4"/>
      <c r="P61" s="561"/>
      <c r="Q61" s="557"/>
      <c r="R61" s="4"/>
      <c r="S61" s="561"/>
      <c r="AA61" s="341"/>
      <c r="AB61" s="341"/>
      <c r="AC61" s="342"/>
      <c r="AD61" s="1"/>
      <c r="AG61" s="176"/>
      <c r="AI61" s="176"/>
    </row>
    <row r="62" spans="1:35">
      <c r="A62" s="564"/>
      <c r="B62" s="502"/>
      <c r="C62" s="543"/>
      <c r="D62" s="504"/>
      <c r="E62" s="502"/>
      <c r="F62" s="543"/>
      <c r="G62" s="556"/>
      <c r="H62" s="502"/>
      <c r="I62" s="543"/>
      <c r="J62" s="504"/>
      <c r="K62" s="502"/>
      <c r="L62" s="543"/>
      <c r="M62" s="556"/>
      <c r="N62" s="502"/>
      <c r="O62" s="543"/>
      <c r="P62" s="504"/>
      <c r="Q62" s="502"/>
      <c r="R62" s="543"/>
      <c r="S62" s="504"/>
      <c r="AA62" s="341"/>
      <c r="AB62" s="341"/>
      <c r="AC62" s="342"/>
      <c r="AD62" s="1"/>
      <c r="AG62" s="176"/>
      <c r="AI62" s="176"/>
    </row>
    <row r="63" spans="1:35" ht="15.75" thickBot="1">
      <c r="A63" s="523"/>
      <c r="B63" s="524"/>
      <c r="C63" s="509"/>
      <c r="D63" s="509"/>
      <c r="E63" s="525"/>
      <c r="H63" s="525"/>
      <c r="K63" s="338"/>
      <c r="N63" s="338"/>
      <c r="Q63" s="338"/>
      <c r="AA63" s="341"/>
      <c r="AB63" s="341"/>
      <c r="AC63" s="342"/>
      <c r="AD63" s="1"/>
      <c r="AG63" s="176"/>
      <c r="AI63" s="176"/>
    </row>
    <row r="64" spans="1:35" ht="15.75" thickBot="1">
      <c r="A64" s="527" t="s">
        <v>391</v>
      </c>
      <c r="B64" s="520">
        <f>B29+E29+H29+K29+N29+Q29+B60+E60+H60+K60+N60+Q60</f>
        <v>15340</v>
      </c>
      <c r="C64" s="521">
        <f>C29+F29+I29+L29+O29+R29+C60+F60+I60+L60+O60+R60</f>
        <v>35590.15</v>
      </c>
      <c r="D64" s="522">
        <f>D29+G29+J29+M29+P29+S29+D60+G60+J60+M60+P60+S60</f>
        <v>39000</v>
      </c>
      <c r="H64" s="52"/>
      <c r="AA64" s="341"/>
      <c r="AB64" s="341"/>
      <c r="AC64" s="342"/>
      <c r="AD64" s="1"/>
      <c r="AG64" s="176"/>
      <c r="AI64" s="176"/>
    </row>
    <row r="65" spans="1:35">
      <c r="A65" s="340"/>
      <c r="B65" s="196"/>
      <c r="C65" s="4"/>
      <c r="D65" s="4"/>
      <c r="H65" s="52"/>
      <c r="K65" s="562"/>
      <c r="O65" s="2" t="s">
        <v>7</v>
      </c>
      <c r="AG65" s="176"/>
      <c r="AI65" s="176"/>
    </row>
    <row r="66" spans="1:35" ht="16.5">
      <c r="A66" s="6"/>
      <c r="B66" s="26" t="s">
        <v>229</v>
      </c>
      <c r="C66" s="26" t="s">
        <v>230</v>
      </c>
      <c r="D66" s="26" t="s">
        <v>231</v>
      </c>
      <c r="H66" s="52"/>
      <c r="I66" s="560"/>
      <c r="K66" s="562"/>
      <c r="V66" s="1"/>
      <c r="W66" s="791"/>
      <c r="X66" s="1"/>
      <c r="Y66" s="1"/>
      <c r="Z66" s="1"/>
      <c r="AA66" s="792"/>
      <c r="AB66" s="792"/>
      <c r="AC66" s="793"/>
      <c r="AD66" s="794"/>
      <c r="AE66" s="795"/>
      <c r="AG66" s="176"/>
      <c r="AI66" s="176"/>
    </row>
    <row r="67" spans="1:35">
      <c r="A67" s="343" t="s">
        <v>232</v>
      </c>
      <c r="B67" s="859" t="s">
        <v>233</v>
      </c>
      <c r="C67" s="859"/>
      <c r="D67" s="859"/>
      <c r="H67" s="52"/>
      <c r="I67" s="560"/>
      <c r="J67" s="83"/>
      <c r="K67" s="602"/>
      <c r="V67" s="1"/>
      <c r="W67" s="791"/>
      <c r="X67" s="1"/>
      <c r="Y67" s="1"/>
      <c r="Z67" s="1"/>
      <c r="AA67" s="792"/>
      <c r="AB67" s="792"/>
      <c r="AC67" s="793"/>
      <c r="AD67" s="794"/>
      <c r="AE67" s="795"/>
      <c r="AG67" s="176"/>
      <c r="AI67" s="176"/>
    </row>
    <row r="68" spans="1:35">
      <c r="A68" s="328" t="s">
        <v>234</v>
      </c>
      <c r="B68" s="344">
        <f>SUM(C68:D68)</f>
        <v>0</v>
      </c>
      <c r="C68" s="344">
        <f>W14*$V$29</f>
        <v>0</v>
      </c>
      <c r="D68" s="344">
        <f>W22*$V$29</f>
        <v>0</v>
      </c>
      <c r="H68" s="52"/>
      <c r="I68" s="560"/>
      <c r="K68" s="562"/>
      <c r="V68" s="1"/>
      <c r="W68" s="791"/>
      <c r="X68" s="1"/>
      <c r="Y68" s="1"/>
      <c r="Z68" s="1"/>
      <c r="AA68" s="792"/>
      <c r="AB68" s="792"/>
      <c r="AC68" s="793"/>
      <c r="AD68" s="794"/>
      <c r="AE68" s="795"/>
      <c r="AG68" s="176"/>
      <c r="AI68" s="176"/>
    </row>
    <row r="69" spans="1:35">
      <c r="A69" s="328" t="s">
        <v>235</v>
      </c>
      <c r="B69" s="196">
        <f>SUM(C69:D69)</f>
        <v>0</v>
      </c>
      <c r="C69" s="196">
        <f>X14*$V$29</f>
        <v>0</v>
      </c>
      <c r="D69" s="196">
        <f>X22*$V$29</f>
        <v>0</v>
      </c>
      <c r="J69" s="176"/>
      <c r="K69" s="176"/>
      <c r="V69" s="1"/>
      <c r="W69" s="791"/>
      <c r="X69" s="1"/>
      <c r="Y69" s="1"/>
      <c r="Z69" s="1"/>
      <c r="AA69" s="792"/>
      <c r="AB69" s="792"/>
      <c r="AC69" s="793"/>
      <c r="AD69" s="794"/>
      <c r="AE69" s="795"/>
      <c r="AG69" s="176"/>
      <c r="AI69" s="176"/>
    </row>
    <row r="70" spans="1:35" ht="16.5">
      <c r="A70" s="328" t="s">
        <v>236</v>
      </c>
      <c r="B70" s="345">
        <f>SUM(C70:D70)</f>
        <v>0</v>
      </c>
      <c r="C70" s="345">
        <v>0</v>
      </c>
      <c r="D70" s="345">
        <v>0</v>
      </c>
      <c r="V70" s="1"/>
      <c r="W70" s="791"/>
      <c r="X70" s="1"/>
      <c r="Y70" s="1"/>
      <c r="Z70" s="1"/>
      <c r="AA70" s="792"/>
      <c r="AB70" s="792"/>
      <c r="AC70" s="793"/>
      <c r="AD70" s="794"/>
      <c r="AE70" s="795"/>
      <c r="AG70" s="176"/>
      <c r="AI70" s="176"/>
    </row>
    <row r="71" spans="1:35">
      <c r="A71" s="340" t="s">
        <v>64</v>
      </c>
      <c r="B71" s="344">
        <f>SUM(B68:B70)</f>
        <v>0</v>
      </c>
      <c r="C71" s="344">
        <f>SUM(C68:C70)</f>
        <v>0</v>
      </c>
      <c r="D71" s="344">
        <f>SUM(D68:D70)</f>
        <v>0</v>
      </c>
      <c r="V71" s="1"/>
      <c r="W71" s="791"/>
      <c r="X71" s="1"/>
      <c r="Y71" s="1"/>
      <c r="Z71" s="1"/>
      <c r="AA71" s="792"/>
      <c r="AB71" s="792"/>
      <c r="AC71" s="793"/>
      <c r="AD71" s="794"/>
      <c r="AE71" s="795"/>
      <c r="AG71" s="176"/>
      <c r="AI71" s="176"/>
    </row>
    <row r="72" spans="1:35" ht="16.5">
      <c r="A72" s="340" t="s">
        <v>237</v>
      </c>
      <c r="B72" s="346">
        <f>SUM(C72:D72)</f>
        <v>0</v>
      </c>
      <c r="C72" s="346">
        <v>0</v>
      </c>
      <c r="D72" s="346">
        <f>-V20*V29</f>
        <v>0</v>
      </c>
      <c r="V72" s="1"/>
      <c r="W72" s="791"/>
      <c r="X72" s="1"/>
      <c r="Y72" s="1"/>
      <c r="Z72" s="1"/>
      <c r="AA72" s="792"/>
      <c r="AB72" s="792"/>
      <c r="AC72" s="793"/>
      <c r="AD72" s="794"/>
      <c r="AE72" s="795"/>
      <c r="AG72" s="176"/>
      <c r="AI72" s="176"/>
    </row>
    <row r="73" spans="1:35" ht="16.5">
      <c r="A73" s="340" t="s">
        <v>238</v>
      </c>
      <c r="B73" s="347">
        <f>SUM(B71:B72)</f>
        <v>0</v>
      </c>
      <c r="C73" s="347">
        <f>SUM(C71:C72)</f>
        <v>0</v>
      </c>
      <c r="D73" s="347">
        <f>SUM(D71:D72)</f>
        <v>0</v>
      </c>
      <c r="J73" s="764"/>
      <c r="K73" s="83"/>
      <c r="V73" s="1"/>
      <c r="W73" s="791"/>
      <c r="X73" s="1"/>
      <c r="Y73" s="1"/>
      <c r="Z73" s="1"/>
      <c r="AA73" s="792"/>
      <c r="AB73" s="792"/>
      <c r="AC73" s="796"/>
      <c r="AD73" s="1"/>
      <c r="AE73" s="795"/>
      <c r="AG73" s="176"/>
      <c r="AI73" s="176"/>
    </row>
    <row r="74" spans="1:35">
      <c r="V74" s="1"/>
      <c r="W74" s="791"/>
      <c r="X74" s="1"/>
      <c r="Y74" s="1"/>
      <c r="Z74" s="1"/>
      <c r="AA74" s="792"/>
      <c r="AB74" s="792"/>
      <c r="AC74" s="796"/>
      <c r="AD74" s="1"/>
      <c r="AE74" s="1"/>
      <c r="AG74" s="342"/>
      <c r="AI74" s="342"/>
    </row>
    <row r="75" spans="1:35">
      <c r="V75" s="1"/>
      <c r="W75" s="791"/>
      <c r="X75" s="797"/>
      <c r="Y75" s="1"/>
      <c r="Z75" s="1"/>
      <c r="AA75" s="792"/>
      <c r="AB75" s="792"/>
      <c r="AC75" s="796"/>
      <c r="AD75" s="1"/>
      <c r="AE75" s="1"/>
      <c r="AG75" s="342"/>
      <c r="AI75" s="342"/>
    </row>
    <row r="76" spans="1:35">
      <c r="V76" s="1"/>
      <c r="W76" s="791"/>
      <c r="X76" s="1"/>
      <c r="Y76" s="1"/>
      <c r="Z76" s="1"/>
      <c r="AA76" s="1"/>
      <c r="AB76" s="1"/>
      <c r="AC76" s="1"/>
      <c r="AD76" s="1"/>
      <c r="AE76" s="1"/>
      <c r="AG76" s="342"/>
      <c r="AI76" s="342"/>
    </row>
    <row r="77" spans="1:35">
      <c r="A77" s="1"/>
      <c r="B77" s="111" t="s">
        <v>356</v>
      </c>
      <c r="C77" s="111" t="s">
        <v>297</v>
      </c>
      <c r="D77" s="1"/>
      <c r="E77" s="1"/>
      <c r="F77" s="1"/>
      <c r="G77" s="1"/>
      <c r="H77" s="1"/>
    </row>
    <row r="78" spans="1:35" ht="16.5">
      <c r="A78" s="348" t="s">
        <v>239</v>
      </c>
      <c r="B78" s="305" t="s">
        <v>357</v>
      </c>
      <c r="C78" s="3" t="s">
        <v>394</v>
      </c>
      <c r="D78" s="3" t="s">
        <v>240</v>
      </c>
      <c r="E78" s="3" t="s">
        <v>241</v>
      </c>
      <c r="J78" s="176"/>
      <c r="AA78" s="6"/>
      <c r="AB78" s="6"/>
    </row>
    <row r="79" spans="1:35">
      <c r="A79" s="112" t="s">
        <v>327</v>
      </c>
      <c r="B79" s="822">
        <v>10500</v>
      </c>
      <c r="C79" s="818">
        <v>80</v>
      </c>
      <c r="D79" s="65">
        <f>IF(C79&lt;&gt;0,B79/C79,0)</f>
        <v>131.25</v>
      </c>
      <c r="E79" s="351">
        <f>IF($D$91&lt;&gt;0,D79/$D$91,0)</f>
        <v>0.65190397350993379</v>
      </c>
      <c r="G79" s="1"/>
      <c r="AA79" s="6"/>
      <c r="AB79" s="6"/>
    </row>
    <row r="80" spans="1:35">
      <c r="A80" s="112" t="s">
        <v>328</v>
      </c>
      <c r="B80" s="822"/>
      <c r="C80" s="818">
        <f>350</f>
        <v>350</v>
      </c>
      <c r="D80" s="65">
        <f>IF(C80&lt;&gt;0,B80/C80,0)</f>
        <v>0</v>
      </c>
      <c r="E80" s="351">
        <f>IF($D$91&lt;&gt;0,D80/$D$91,0)</f>
        <v>0</v>
      </c>
      <c r="G80" s="1"/>
      <c r="J80" s="9"/>
      <c r="AA80" s="6"/>
      <c r="AB80" s="6"/>
    </row>
    <row r="81" spans="1:42">
      <c r="A81" s="112" t="s">
        <v>329</v>
      </c>
      <c r="B81" s="822">
        <v>3000</v>
      </c>
      <c r="C81" s="818">
        <v>150</v>
      </c>
      <c r="D81" s="65">
        <f t="shared" ref="D81:D89" si="21">IF(C81&lt;&gt;0,B81/C81,0)</f>
        <v>20</v>
      </c>
      <c r="E81" s="351">
        <f>IF($D$91&lt;&gt;0,D81/$D$91,0)</f>
        <v>9.9337748344370855E-2</v>
      </c>
      <c r="AA81" s="6"/>
      <c r="AB81" s="6"/>
    </row>
    <row r="82" spans="1:42">
      <c r="A82" s="112" t="s">
        <v>330</v>
      </c>
      <c r="B82" s="822">
        <v>90</v>
      </c>
      <c r="C82" s="818">
        <v>80</v>
      </c>
      <c r="D82" s="65">
        <f t="shared" si="21"/>
        <v>1.125</v>
      </c>
      <c r="E82" s="351">
        <f>IF($D$91&lt;&gt;0,D82/$D$91,0)</f>
        <v>5.5877483443708608E-3</v>
      </c>
      <c r="AA82" s="6"/>
      <c r="AB82" s="6"/>
    </row>
    <row r="83" spans="1:42">
      <c r="A83" s="112" t="s">
        <v>449</v>
      </c>
      <c r="B83" s="822"/>
      <c r="C83" s="818">
        <f>350</f>
        <v>350</v>
      </c>
      <c r="D83" s="65">
        <f t="shared" si="21"/>
        <v>0</v>
      </c>
      <c r="E83" s="351">
        <f>IF($D$91&lt;&gt;0,D83/$D$91,0)</f>
        <v>0</v>
      </c>
      <c r="AA83" s="6"/>
      <c r="AB83" s="6"/>
    </row>
    <row r="84" spans="1:42">
      <c r="A84" s="112" t="s">
        <v>332</v>
      </c>
      <c r="B84" s="822"/>
      <c r="C84" s="818">
        <f>350</f>
        <v>350</v>
      </c>
      <c r="D84" s="65">
        <f t="shared" si="21"/>
        <v>0</v>
      </c>
      <c r="E84" s="351">
        <f t="shared" ref="E84:E89" si="22">IF($D$91&lt;&gt;0,D84/$D$91,0)</f>
        <v>0</v>
      </c>
      <c r="AA84" s="6"/>
      <c r="AB84" s="6"/>
    </row>
    <row r="85" spans="1:42">
      <c r="A85" s="112" t="s">
        <v>370</v>
      </c>
      <c r="B85" s="822">
        <v>450</v>
      </c>
      <c r="C85" s="818">
        <v>80</v>
      </c>
      <c r="D85" s="65">
        <f t="shared" si="21"/>
        <v>5.625</v>
      </c>
      <c r="E85" s="351">
        <f t="shared" si="22"/>
        <v>2.7938741721854302E-2</v>
      </c>
      <c r="AA85" s="6"/>
      <c r="AB85" s="6"/>
    </row>
    <row r="86" spans="1:42">
      <c r="A86" s="112" t="s">
        <v>333</v>
      </c>
      <c r="B86" s="822">
        <v>1300</v>
      </c>
      <c r="C86" s="818">
        <v>30</v>
      </c>
      <c r="D86" s="65">
        <f t="shared" si="21"/>
        <v>43.333333333333336</v>
      </c>
      <c r="E86" s="351">
        <f t="shared" si="22"/>
        <v>0.21523178807947019</v>
      </c>
      <c r="AA86" s="6"/>
      <c r="AB86" s="6"/>
    </row>
    <row r="87" spans="1:42">
      <c r="A87" s="112" t="s">
        <v>334</v>
      </c>
      <c r="B87" s="822">
        <v>0</v>
      </c>
      <c r="C87" s="818">
        <f>350</f>
        <v>350</v>
      </c>
      <c r="D87" s="65">
        <f t="shared" si="21"/>
        <v>0</v>
      </c>
      <c r="E87" s="351">
        <f t="shared" si="22"/>
        <v>0</v>
      </c>
      <c r="AA87" s="6"/>
      <c r="AB87" s="6"/>
    </row>
    <row r="88" spans="1:42">
      <c r="A88" s="112" t="s">
        <v>335</v>
      </c>
      <c r="B88" s="822">
        <v>0</v>
      </c>
      <c r="C88" s="818">
        <f>350</f>
        <v>350</v>
      </c>
      <c r="D88" s="65">
        <f t="shared" si="21"/>
        <v>0</v>
      </c>
      <c r="E88" s="351">
        <f t="shared" si="22"/>
        <v>0</v>
      </c>
      <c r="AA88" s="6"/>
      <c r="AB88" s="6"/>
    </row>
    <row r="89" spans="1:42">
      <c r="A89" s="112" t="s">
        <v>326</v>
      </c>
      <c r="B89" s="822">
        <v>0</v>
      </c>
      <c r="C89" s="818">
        <f>350</f>
        <v>350</v>
      </c>
      <c r="D89" s="65">
        <f t="shared" si="21"/>
        <v>0</v>
      </c>
      <c r="E89" s="351">
        <f t="shared" si="22"/>
        <v>0</v>
      </c>
      <c r="AA89" s="6"/>
      <c r="AB89" s="6"/>
    </row>
    <row r="90" spans="1:42">
      <c r="A90" s="112" t="s">
        <v>400</v>
      </c>
      <c r="B90" s="822">
        <v>0</v>
      </c>
      <c r="C90" s="818">
        <f>350</f>
        <v>350</v>
      </c>
      <c r="D90" s="65">
        <f>IF(C90&lt;&gt;0,B90/C90,0)</f>
        <v>0</v>
      </c>
      <c r="E90" s="351">
        <f>IF($D$91&lt;&gt;0,D90/$D$91,0)</f>
        <v>0</v>
      </c>
      <c r="H90" s="2" t="s">
        <v>7</v>
      </c>
      <c r="AA90" s="6"/>
      <c r="AB90" s="6"/>
    </row>
    <row r="91" spans="1:42" ht="15.75" thickBot="1">
      <c r="A91" s="353" t="s">
        <v>229</v>
      </c>
      <c r="B91" s="354">
        <f>SUM(B79:B90)</f>
        <v>15340</v>
      </c>
      <c r="C91" s="354">
        <f>B91/D91</f>
        <v>76.192052980132445</v>
      </c>
      <c r="D91" s="354">
        <f>SUM(D79:D90)</f>
        <v>201.33333333333334</v>
      </c>
      <c r="E91" s="819">
        <f>IF($D$91&lt;&gt;0,D91/$D$91,0)</f>
        <v>1</v>
      </c>
      <c r="AA91" s="6"/>
      <c r="AB91" s="6"/>
    </row>
    <row r="92" spans="1:42">
      <c r="A92" s="23"/>
      <c r="B92" s="799"/>
      <c r="C92" s="351"/>
      <c r="D92" s="351"/>
      <c r="E92" s="1"/>
      <c r="F92" s="357"/>
      <c r="G92" s="1"/>
      <c r="H92" s="1"/>
      <c r="L92" s="85"/>
      <c r="AA92" s="6"/>
      <c r="AB92" s="6"/>
    </row>
    <row r="93" spans="1:42">
      <c r="A93" s="358" t="s">
        <v>242</v>
      </c>
      <c r="B93" s="406"/>
      <c r="C93" s="406"/>
      <c r="D93" s="406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07"/>
      <c r="AA93" s="6"/>
      <c r="AB93" s="6"/>
    </row>
    <row r="94" spans="1:42">
      <c r="A94" s="30"/>
      <c r="B94" s="816"/>
      <c r="C94" s="359"/>
      <c r="D94" s="360"/>
      <c r="E94" s="360"/>
      <c r="F94" s="1"/>
      <c r="G94" s="8"/>
      <c r="H94" s="1"/>
      <c r="I94" s="8"/>
      <c r="J94" s="1"/>
      <c r="K94" s="70"/>
      <c r="O94" s="25"/>
      <c r="Q94" s="601"/>
      <c r="AA94" s="6"/>
      <c r="AB94" s="6"/>
    </row>
    <row r="95" spans="1:42" ht="15.75" thickBot="1">
      <c r="A95" s="30"/>
      <c r="B95" s="1"/>
      <c r="C95" s="1"/>
      <c r="D95" s="847" t="s">
        <v>327</v>
      </c>
      <c r="E95" s="848"/>
      <c r="F95" s="847" t="s">
        <v>410</v>
      </c>
      <c r="G95" s="848"/>
      <c r="H95" s="847" t="s">
        <v>329</v>
      </c>
      <c r="I95" s="848"/>
      <c r="J95" s="847" t="s">
        <v>330</v>
      </c>
      <c r="K95" s="848"/>
      <c r="L95" s="847" t="s">
        <v>328</v>
      </c>
      <c r="M95" s="848"/>
      <c r="N95" s="852" t="s">
        <v>332</v>
      </c>
      <c r="O95" s="853"/>
      <c r="AA95" s="6"/>
      <c r="AB95" s="664"/>
      <c r="AC95" s="663"/>
      <c r="AD95" s="663"/>
      <c r="AE95" s="708"/>
      <c r="AF95" s="708"/>
      <c r="AG95" s="663"/>
      <c r="AH95" s="663"/>
      <c r="AI95" s="663"/>
      <c r="AJ95" s="663"/>
      <c r="AK95" s="708"/>
      <c r="AL95" s="708" t="s">
        <v>425</v>
      </c>
      <c r="AM95" s="663"/>
      <c r="AN95" s="663" t="s">
        <v>445</v>
      </c>
      <c r="AO95" s="663"/>
      <c r="AP95" s="663" t="s">
        <v>426</v>
      </c>
    </row>
    <row r="96" spans="1:42" ht="30">
      <c r="A96" s="30" t="s">
        <v>243</v>
      </c>
      <c r="B96" s="550" t="s">
        <v>27</v>
      </c>
      <c r="C96" s="551" t="s">
        <v>396</v>
      </c>
      <c r="D96" s="48" t="s">
        <v>244</v>
      </c>
      <c r="E96" s="362" t="s">
        <v>245</v>
      </c>
      <c r="F96" s="48" t="s">
        <v>244</v>
      </c>
      <c r="G96" s="362" t="s">
        <v>245</v>
      </c>
      <c r="H96" s="48" t="s">
        <v>244</v>
      </c>
      <c r="I96" s="362" t="s">
        <v>245</v>
      </c>
      <c r="J96" s="361" t="s">
        <v>244</v>
      </c>
      <c r="K96" s="362" t="s">
        <v>245</v>
      </c>
      <c r="L96" s="48" t="s">
        <v>244</v>
      </c>
      <c r="M96" s="362" t="s">
        <v>245</v>
      </c>
      <c r="N96" s="758" t="s">
        <v>244</v>
      </c>
      <c r="O96" s="684" t="s">
        <v>245</v>
      </c>
      <c r="P96" s="72"/>
      <c r="Q96" s="72"/>
      <c r="AA96" s="111"/>
      <c r="AB96" s="655"/>
      <c r="AC96" s="612"/>
      <c r="AD96" s="612"/>
      <c r="AE96" s="709"/>
      <c r="AF96" s="709"/>
      <c r="AG96" s="656"/>
      <c r="AH96" s="656"/>
      <c r="AI96" s="656"/>
      <c r="AJ96" s="656"/>
      <c r="AK96" s="709"/>
      <c r="AL96" s="709" t="s">
        <v>248</v>
      </c>
      <c r="AM96" s="656" t="s">
        <v>247</v>
      </c>
      <c r="AN96" s="656" t="s">
        <v>248</v>
      </c>
      <c r="AO96" s="656" t="s">
        <v>247</v>
      </c>
      <c r="AP96" s="656" t="s">
        <v>248</v>
      </c>
    </row>
    <row r="97" spans="1:42">
      <c r="A97" s="112" t="s">
        <v>336</v>
      </c>
      <c r="B97" s="815">
        <f>0.1829+0.032-C97</f>
        <v>0.21490000000000001</v>
      </c>
      <c r="C97" s="547">
        <v>0</v>
      </c>
      <c r="D97" s="528">
        <f>1251371/1262940</f>
        <v>0.99083962816919247</v>
      </c>
      <c r="E97" s="275">
        <f t="shared" ref="E97:E116" si="23">$B97*D97</f>
        <v>0.21293143609355947</v>
      </c>
      <c r="F97" s="528">
        <f>3608216/3572240</f>
        <v>1.010070991870647</v>
      </c>
      <c r="G97" s="275">
        <f t="shared" ref="G97:G116" si="24">$B97*F97</f>
        <v>0.21706425615300204</v>
      </c>
      <c r="H97" s="528">
        <v>0</v>
      </c>
      <c r="I97" s="275">
        <f t="shared" ref="I97:I116" si="25">$B97*H97</f>
        <v>0</v>
      </c>
      <c r="J97" s="528">
        <v>1</v>
      </c>
      <c r="K97" s="275">
        <f t="shared" ref="K97:K116" si="26">$B97*J97</f>
        <v>0.21490000000000001</v>
      </c>
      <c r="L97" s="528">
        <v>0</v>
      </c>
      <c r="M97" s="275">
        <f t="shared" ref="M97:M116" si="27">$B97*L97</f>
        <v>0</v>
      </c>
      <c r="N97" s="747">
        <v>0</v>
      </c>
      <c r="O97" s="748">
        <f t="shared" ref="O97:O116" si="28">$B97*N97</f>
        <v>0</v>
      </c>
      <c r="P97" s="63"/>
      <c r="Q97" s="63"/>
      <c r="AB97" s="657"/>
      <c r="AC97" s="612"/>
      <c r="AD97" s="614"/>
      <c r="AE97" s="714"/>
      <c r="AF97" s="711"/>
      <c r="AG97" s="658"/>
      <c r="AH97" s="621"/>
      <c r="AI97" s="658"/>
      <c r="AJ97" s="621"/>
      <c r="AK97" s="710"/>
      <c r="AL97" s="711">
        <f>K97/B97*1000</f>
        <v>1000</v>
      </c>
      <c r="AM97" s="661"/>
      <c r="AN97" s="621"/>
      <c r="AO97" s="661"/>
      <c r="AP97" s="621"/>
    </row>
    <row r="98" spans="1:42">
      <c r="A98" s="112" t="s">
        <v>460</v>
      </c>
      <c r="B98" s="665">
        <f>0.27228+0.032-C98</f>
        <v>0.30427999999999999</v>
      </c>
      <c r="C98" s="547">
        <v>0</v>
      </c>
      <c r="D98" s="545">
        <v>0</v>
      </c>
      <c r="E98" s="367">
        <f t="shared" si="23"/>
        <v>0</v>
      </c>
      <c r="F98" s="545">
        <v>0</v>
      </c>
      <c r="G98" s="367">
        <f t="shared" si="24"/>
        <v>0</v>
      </c>
      <c r="H98" s="545">
        <v>0</v>
      </c>
      <c r="I98" s="367">
        <f t="shared" si="25"/>
        <v>0</v>
      </c>
      <c r="J98" s="545">
        <v>0</v>
      </c>
      <c r="K98" s="367">
        <f t="shared" si="26"/>
        <v>0</v>
      </c>
      <c r="L98" s="545">
        <v>0</v>
      </c>
      <c r="M98" s="367">
        <f t="shared" si="27"/>
        <v>0</v>
      </c>
      <c r="N98" s="759">
        <f>262800/262440</f>
        <v>1.0013717421124828</v>
      </c>
      <c r="O98" s="749">
        <f t="shared" si="28"/>
        <v>0.30469739368998627</v>
      </c>
      <c r="P98" s="368"/>
      <c r="Q98" s="368"/>
      <c r="AB98" s="657"/>
      <c r="AC98" s="612"/>
      <c r="AD98" s="614"/>
      <c r="AE98" s="714"/>
      <c r="AF98" s="711"/>
      <c r="AG98" s="661"/>
      <c r="AH98" s="798"/>
      <c r="AI98" s="658"/>
      <c r="AJ98" s="621"/>
      <c r="AK98" s="710"/>
      <c r="AL98" s="711"/>
      <c r="AM98" s="661"/>
      <c r="AN98" s="621"/>
      <c r="AO98" s="658">
        <f>+B98*1000</f>
        <v>304.27999999999997</v>
      </c>
      <c r="AP98" s="621">
        <f>O98/B98*1000</f>
        <v>1001.3717421124828</v>
      </c>
    </row>
    <row r="99" spans="1:42">
      <c r="A99" s="112" t="s">
        <v>338</v>
      </c>
      <c r="B99" s="814">
        <f>0.465+0.032-C99</f>
        <v>0.497</v>
      </c>
      <c r="C99" s="547">
        <v>0</v>
      </c>
      <c r="D99" s="545">
        <v>0</v>
      </c>
      <c r="E99" s="367">
        <f t="shared" si="23"/>
        <v>0</v>
      </c>
      <c r="F99" s="545">
        <v>0</v>
      </c>
      <c r="G99" s="367">
        <f t="shared" si="24"/>
        <v>0</v>
      </c>
      <c r="H99" s="545">
        <f>208000/198210</f>
        <v>1.0493920589274002</v>
      </c>
      <c r="I99" s="367">
        <f t="shared" si="25"/>
        <v>0.52154785328691788</v>
      </c>
      <c r="J99" s="545">
        <v>0</v>
      </c>
      <c r="K99" s="367">
        <f t="shared" si="26"/>
        <v>0</v>
      </c>
      <c r="L99" s="545">
        <v>0</v>
      </c>
      <c r="M99" s="367">
        <f t="shared" si="27"/>
        <v>0</v>
      </c>
      <c r="N99" s="759">
        <v>0</v>
      </c>
      <c r="O99" s="749">
        <f t="shared" si="28"/>
        <v>0</v>
      </c>
      <c r="P99" s="368"/>
      <c r="Q99" s="368"/>
      <c r="AB99" s="657"/>
      <c r="AC99" s="612"/>
      <c r="AD99" s="614"/>
      <c r="AE99" s="714"/>
      <c r="AF99" s="711"/>
      <c r="AG99" s="661"/>
      <c r="AH99" s="798"/>
      <c r="AI99" s="658"/>
      <c r="AJ99" s="621"/>
      <c r="AK99" s="710"/>
      <c r="AL99" s="711"/>
      <c r="AM99" s="661" t="s">
        <v>7</v>
      </c>
      <c r="AN99" s="621" t="s">
        <v>7</v>
      </c>
      <c r="AO99" s="661"/>
      <c r="AP99" s="621"/>
    </row>
    <row r="100" spans="1:42">
      <c r="A100" s="112" t="s">
        <v>441</v>
      </c>
      <c r="B100" s="665">
        <f>0.973+0.032-C100</f>
        <v>1.0049999999999999</v>
      </c>
      <c r="C100" s="547">
        <v>0</v>
      </c>
      <c r="D100" s="545">
        <v>0</v>
      </c>
      <c r="E100" s="367">
        <f t="shared" si="23"/>
        <v>0</v>
      </c>
      <c r="F100" s="545">
        <v>0</v>
      </c>
      <c r="G100" s="367">
        <f t="shared" si="24"/>
        <v>0</v>
      </c>
      <c r="H100" s="545">
        <v>0</v>
      </c>
      <c r="I100" s="367">
        <f t="shared" si="25"/>
        <v>0</v>
      </c>
      <c r="J100" s="774">
        <v>0</v>
      </c>
      <c r="K100" s="367">
        <f t="shared" si="26"/>
        <v>0</v>
      </c>
      <c r="L100" s="545">
        <v>0</v>
      </c>
      <c r="M100" s="367">
        <f t="shared" si="27"/>
        <v>0</v>
      </c>
      <c r="N100" s="759">
        <v>0</v>
      </c>
      <c r="O100" s="749">
        <f t="shared" si="28"/>
        <v>0</v>
      </c>
      <c r="P100" s="368"/>
      <c r="Q100" s="368"/>
      <c r="AB100" s="657"/>
      <c r="AC100" s="612"/>
      <c r="AD100" s="614"/>
      <c r="AE100" s="714"/>
      <c r="AF100" s="711"/>
      <c r="AG100" s="661"/>
      <c r="AH100" s="798"/>
      <c r="AI100" s="661"/>
      <c r="AJ100" s="621"/>
      <c r="AK100" s="710"/>
      <c r="AL100" s="711"/>
      <c r="AM100" s="658">
        <f>+B102*1000</f>
        <v>377.8</v>
      </c>
      <c r="AN100" s="621">
        <f>M100/B100*1000</f>
        <v>0</v>
      </c>
      <c r="AO100" s="661"/>
      <c r="AP100" s="621"/>
    </row>
    <row r="101" spans="1:42" ht="16.5">
      <c r="A101" s="112" t="s">
        <v>453</v>
      </c>
      <c r="B101" s="814">
        <f>306.29/1000</f>
        <v>0.30629000000000001</v>
      </c>
      <c r="C101" s="547"/>
      <c r="D101" s="545">
        <v>0</v>
      </c>
      <c r="E101" s="367">
        <f t="shared" si="23"/>
        <v>0</v>
      </c>
      <c r="F101" s="528">
        <v>0</v>
      </c>
      <c r="G101" s="367">
        <f t="shared" si="24"/>
        <v>0</v>
      </c>
      <c r="H101" s="545">
        <v>0</v>
      </c>
      <c r="I101" s="367">
        <f>$B101*H101</f>
        <v>0</v>
      </c>
      <c r="J101" s="774">
        <v>0</v>
      </c>
      <c r="K101" s="367">
        <f t="shared" si="26"/>
        <v>0</v>
      </c>
      <c r="L101" s="545">
        <v>0</v>
      </c>
      <c r="M101" s="367">
        <f t="shared" si="27"/>
        <v>0</v>
      </c>
      <c r="N101" s="747">
        <v>0</v>
      </c>
      <c r="O101" s="749">
        <f t="shared" si="28"/>
        <v>0</v>
      </c>
      <c r="P101" s="72"/>
      <c r="Q101" s="601"/>
      <c r="AA101" s="111"/>
      <c r="AB101" s="649"/>
      <c r="AC101" s="612"/>
      <c r="AD101" s="612"/>
      <c r="AE101" s="662"/>
      <c r="AF101" s="656"/>
      <c r="AG101" s="612"/>
      <c r="AH101" s="621"/>
      <c r="AI101" s="612"/>
      <c r="AJ101" s="621"/>
      <c r="AK101" s="2"/>
      <c r="AL101" s="2"/>
    </row>
    <row r="102" spans="1:42">
      <c r="A102" s="112" t="s">
        <v>455</v>
      </c>
      <c r="B102" s="815">
        <f>0.3458+0.032-C102</f>
        <v>0.37780000000000002</v>
      </c>
      <c r="C102" s="547">
        <v>0</v>
      </c>
      <c r="D102" s="545">
        <v>0</v>
      </c>
      <c r="E102" s="367">
        <f t="shared" si="23"/>
        <v>0</v>
      </c>
      <c r="F102" s="545">
        <v>0</v>
      </c>
      <c r="G102" s="367">
        <f t="shared" si="24"/>
        <v>0</v>
      </c>
      <c r="H102" s="545">
        <v>0</v>
      </c>
      <c r="I102" s="367">
        <f t="shared" si="25"/>
        <v>0</v>
      </c>
      <c r="J102" s="545">
        <v>0</v>
      </c>
      <c r="K102" s="367">
        <f t="shared" si="26"/>
        <v>0</v>
      </c>
      <c r="L102" s="545">
        <f>429020/422600</f>
        <v>1.0151916706105064</v>
      </c>
      <c r="M102" s="367">
        <f t="shared" si="27"/>
        <v>0.38353941315664936</v>
      </c>
      <c r="N102" s="759">
        <v>0</v>
      </c>
      <c r="O102" s="749">
        <f t="shared" si="28"/>
        <v>0</v>
      </c>
      <c r="P102" s="368"/>
      <c r="Q102" s="368"/>
      <c r="AB102" s="657"/>
      <c r="AC102" s="612"/>
      <c r="AD102" s="614"/>
      <c r="AE102" s="714"/>
      <c r="AF102" s="711"/>
      <c r="AG102" s="661"/>
      <c r="AH102" s="798"/>
      <c r="AI102" s="661"/>
      <c r="AJ102" s="621"/>
      <c r="AK102" s="710"/>
      <c r="AL102" s="711"/>
      <c r="AM102" s="661"/>
      <c r="AN102" s="621"/>
      <c r="AO102" s="661"/>
      <c r="AP102" s="621"/>
    </row>
    <row r="103" spans="1:42">
      <c r="A103" s="112" t="s">
        <v>340</v>
      </c>
      <c r="B103" s="667">
        <v>0</v>
      </c>
      <c r="C103" s="547">
        <v>0</v>
      </c>
      <c r="D103" s="545">
        <v>0</v>
      </c>
      <c r="E103" s="367">
        <f t="shared" si="23"/>
        <v>0</v>
      </c>
      <c r="F103" s="545">
        <v>0</v>
      </c>
      <c r="G103" s="367">
        <f t="shared" si="24"/>
        <v>0</v>
      </c>
      <c r="H103" s="545">
        <v>0</v>
      </c>
      <c r="I103" s="367">
        <f t="shared" si="25"/>
        <v>0</v>
      </c>
      <c r="J103" s="545">
        <v>0</v>
      </c>
      <c r="K103" s="367">
        <f t="shared" si="26"/>
        <v>0</v>
      </c>
      <c r="L103" s="545">
        <v>0</v>
      </c>
      <c r="M103" s="367">
        <f t="shared" si="27"/>
        <v>0</v>
      </c>
      <c r="N103" s="759">
        <v>0</v>
      </c>
      <c r="O103" s="749">
        <f t="shared" si="28"/>
        <v>0</v>
      </c>
      <c r="P103" s="368"/>
      <c r="Q103" s="368"/>
      <c r="AB103" s="657"/>
      <c r="AC103" s="612"/>
      <c r="AD103" s="614"/>
      <c r="AE103" s="714"/>
      <c r="AF103" s="711"/>
      <c r="AG103" s="661"/>
      <c r="AH103" s="798"/>
      <c r="AI103" s="661"/>
      <c r="AJ103" s="621"/>
      <c r="AK103" s="710"/>
      <c r="AL103" s="711"/>
      <c r="AM103" s="661"/>
      <c r="AN103" s="621"/>
      <c r="AO103" s="661"/>
      <c r="AP103" s="621"/>
    </row>
    <row r="104" spans="1:42">
      <c r="A104" s="112" t="s">
        <v>454</v>
      </c>
      <c r="B104" s="694">
        <v>0.63639999999999997</v>
      </c>
      <c r="C104" s="547">
        <v>0</v>
      </c>
      <c r="D104" s="545">
        <v>0</v>
      </c>
      <c r="E104" s="367">
        <f t="shared" si="23"/>
        <v>0</v>
      </c>
      <c r="F104" s="545">
        <v>0</v>
      </c>
      <c r="G104" s="367">
        <f t="shared" si="24"/>
        <v>0</v>
      </c>
      <c r="H104" s="545">
        <v>0</v>
      </c>
      <c r="I104" s="367">
        <f t="shared" si="25"/>
        <v>0</v>
      </c>
      <c r="J104" s="545">
        <v>0</v>
      </c>
      <c r="K104" s="367">
        <f t="shared" si="26"/>
        <v>0</v>
      </c>
      <c r="L104" s="545">
        <v>0</v>
      </c>
      <c r="M104" s="367">
        <f t="shared" si="27"/>
        <v>0</v>
      </c>
      <c r="N104" s="759">
        <v>0</v>
      </c>
      <c r="O104" s="749">
        <f t="shared" si="28"/>
        <v>0</v>
      </c>
      <c r="P104" s="368"/>
      <c r="Q104" s="368"/>
      <c r="AB104" s="657"/>
      <c r="AC104" s="612"/>
      <c r="AD104" s="614"/>
      <c r="AE104" s="714"/>
      <c r="AF104" s="711"/>
      <c r="AG104" s="661"/>
      <c r="AH104" s="798"/>
      <c r="AI104" s="661"/>
      <c r="AJ104" s="621"/>
      <c r="AK104" s="710"/>
      <c r="AL104" s="711"/>
      <c r="AM104" s="661"/>
      <c r="AN104" s="621"/>
      <c r="AO104" s="661"/>
      <c r="AP104" s="621"/>
    </row>
    <row r="105" spans="1:42">
      <c r="A105" s="112" t="s">
        <v>450</v>
      </c>
      <c r="B105" s="694">
        <v>0.63639999999999997</v>
      </c>
      <c r="C105" s="547">
        <v>0</v>
      </c>
      <c r="D105" s="528">
        <v>0</v>
      </c>
      <c r="E105" s="367">
        <f>$B105*D105</f>
        <v>0</v>
      </c>
      <c r="F105" s="528">
        <v>0</v>
      </c>
      <c r="G105" s="367">
        <f>$B105*F105</f>
        <v>0</v>
      </c>
      <c r="H105" s="528">
        <v>0</v>
      </c>
      <c r="I105" s="367">
        <f>$B105*H105</f>
        <v>0</v>
      </c>
      <c r="J105" s="553">
        <v>0</v>
      </c>
      <c r="K105" s="367">
        <f>$B105*J105</f>
        <v>0</v>
      </c>
      <c r="L105" s="528">
        <v>0</v>
      </c>
      <c r="M105" s="367">
        <f>$B105*L105</f>
        <v>0</v>
      </c>
      <c r="N105" s="747">
        <v>0</v>
      </c>
      <c r="O105" s="749">
        <f>$B105*N105</f>
        <v>0</v>
      </c>
      <c r="P105" s="368"/>
      <c r="Q105" s="368"/>
      <c r="R105" s="111"/>
      <c r="S105" s="111"/>
      <c r="T105" s="111"/>
      <c r="U105" s="111"/>
      <c r="V105" s="111"/>
      <c r="W105" s="111"/>
      <c r="X105" s="111"/>
      <c r="Y105" s="111"/>
      <c r="AB105" s="657"/>
      <c r="AC105" s="612"/>
      <c r="AD105" s="614"/>
      <c r="AE105" s="712"/>
      <c r="AF105" s="712"/>
      <c r="AG105" s="658"/>
      <c r="AH105" s="612"/>
      <c r="AI105" s="612"/>
      <c r="AJ105" s="612"/>
      <c r="AK105" s="712"/>
      <c r="AL105" s="712"/>
      <c r="AM105" s="612"/>
      <c r="AN105" s="612"/>
      <c r="AO105" s="612"/>
      <c r="AP105" s="612"/>
    </row>
    <row r="106" spans="1:42">
      <c r="A106" s="112" t="s">
        <v>397</v>
      </c>
      <c r="B106" s="665">
        <f>1.9036-C106</f>
        <v>1.9036</v>
      </c>
      <c r="C106" s="547">
        <v>0</v>
      </c>
      <c r="D106" s="545">
        <v>0</v>
      </c>
      <c r="E106" s="367">
        <f t="shared" si="23"/>
        <v>0</v>
      </c>
      <c r="F106" s="545">
        <v>0</v>
      </c>
      <c r="G106" s="367">
        <f t="shared" si="24"/>
        <v>0</v>
      </c>
      <c r="H106" s="545">
        <v>0</v>
      </c>
      <c r="I106" s="367">
        <f t="shared" si="25"/>
        <v>0</v>
      </c>
      <c r="J106" s="545">
        <v>0</v>
      </c>
      <c r="K106" s="367">
        <f t="shared" si="26"/>
        <v>0</v>
      </c>
      <c r="L106" s="545">
        <v>0</v>
      </c>
      <c r="M106" s="367">
        <f t="shared" si="27"/>
        <v>0</v>
      </c>
      <c r="N106" s="759">
        <v>0</v>
      </c>
      <c r="O106" s="749">
        <f t="shared" si="28"/>
        <v>0</v>
      </c>
      <c r="P106" s="368"/>
      <c r="Q106" s="368"/>
      <c r="AB106" s="657"/>
      <c r="AC106" s="612"/>
      <c r="AD106" s="614"/>
      <c r="AE106" s="714"/>
      <c r="AF106" s="711"/>
      <c r="AG106" s="661"/>
      <c r="AH106" s="798"/>
      <c r="AI106" s="661"/>
      <c r="AJ106" s="621"/>
      <c r="AK106" s="710"/>
      <c r="AL106" s="711"/>
      <c r="AM106" s="661"/>
      <c r="AN106" s="621"/>
      <c r="AO106" s="661"/>
      <c r="AP106" s="621"/>
    </row>
    <row r="107" spans="1:42">
      <c r="A107" s="112" t="s">
        <v>345</v>
      </c>
      <c r="B107" s="815">
        <f>337.81/1000</f>
        <v>0.33781</v>
      </c>
      <c r="C107" s="547">
        <v>0</v>
      </c>
      <c r="D107" s="545">
        <v>0</v>
      </c>
      <c r="E107" s="367">
        <f t="shared" si="23"/>
        <v>0</v>
      </c>
      <c r="F107" s="545">
        <v>0</v>
      </c>
      <c r="G107" s="367">
        <f t="shared" si="24"/>
        <v>0</v>
      </c>
      <c r="H107" s="545">
        <v>0</v>
      </c>
      <c r="I107" s="367">
        <f t="shared" si="25"/>
        <v>0</v>
      </c>
      <c r="J107" s="545">
        <v>0</v>
      </c>
      <c r="K107" s="367">
        <f t="shared" si="26"/>
        <v>0</v>
      </c>
      <c r="L107" s="545">
        <v>0</v>
      </c>
      <c r="M107" s="367">
        <f t="shared" si="27"/>
        <v>0</v>
      </c>
      <c r="N107" s="759">
        <v>0</v>
      </c>
      <c r="O107" s="749">
        <f t="shared" si="28"/>
        <v>0</v>
      </c>
      <c r="P107" s="368"/>
      <c r="Q107" s="368"/>
      <c r="AB107" s="657"/>
      <c r="AC107" s="612"/>
      <c r="AD107" s="614"/>
      <c r="AE107" s="714"/>
      <c r="AF107" s="711"/>
      <c r="AG107" s="661"/>
      <c r="AH107" s="798"/>
      <c r="AI107" s="661"/>
      <c r="AJ107" s="621"/>
      <c r="AK107" s="710"/>
      <c r="AL107" s="711"/>
      <c r="AM107" s="661"/>
      <c r="AN107" s="621"/>
      <c r="AO107" s="661"/>
      <c r="AP107" s="621"/>
    </row>
    <row r="108" spans="1:42">
      <c r="A108" s="112" t="s">
        <v>403</v>
      </c>
      <c r="B108" s="694">
        <v>1.4510000000000001</v>
      </c>
      <c r="C108" s="547">
        <v>0</v>
      </c>
      <c r="D108" s="528">
        <f>36955/1262940</f>
        <v>2.9261089204554454E-2</v>
      </c>
      <c r="E108" s="367">
        <f t="shared" si="23"/>
        <v>4.2457840435808511E-2</v>
      </c>
      <c r="F108" s="528">
        <f>134560/3572240</f>
        <v>3.7668241775468611E-2</v>
      </c>
      <c r="G108" s="367">
        <f t="shared" si="24"/>
        <v>5.4656618816204955E-2</v>
      </c>
      <c r="H108" s="528">
        <f>7110/198210</f>
        <v>3.5871045860451034E-2</v>
      </c>
      <c r="I108" s="367">
        <f t="shared" si="25"/>
        <v>5.2048887543514451E-2</v>
      </c>
      <c r="J108" s="553">
        <v>0</v>
      </c>
      <c r="K108" s="367">
        <f t="shared" si="26"/>
        <v>0</v>
      </c>
      <c r="L108" s="528">
        <f>17363/422600</f>
        <v>4.1086133459536205E-2</v>
      </c>
      <c r="M108" s="367">
        <f t="shared" si="27"/>
        <v>5.9615979649787036E-2</v>
      </c>
      <c r="N108" s="747">
        <f>10645/262440</f>
        <v>4.0561652187166591E-2</v>
      </c>
      <c r="O108" s="749">
        <f t="shared" si="28"/>
        <v>5.8854957323578726E-2</v>
      </c>
      <c r="P108" s="368"/>
      <c r="Q108" s="368"/>
      <c r="AB108" s="657"/>
      <c r="AC108" s="612"/>
      <c r="AD108" s="614"/>
      <c r="AE108" s="714"/>
      <c r="AF108" s="711"/>
      <c r="AG108" s="658"/>
      <c r="AH108" s="621"/>
      <c r="AI108" s="658"/>
      <c r="AJ108" s="621"/>
      <c r="AK108" s="710"/>
      <c r="AL108" s="711" t="s">
        <v>7</v>
      </c>
      <c r="AM108" s="658">
        <f t="shared" ref="AM108:AM111" si="29">+B109*1000</f>
        <v>1200</v>
      </c>
      <c r="AN108" s="621">
        <f t="shared" ref="AN108:AN116" si="30">M108/B108*1000</f>
        <v>41.086133459536207</v>
      </c>
      <c r="AO108" s="658">
        <f t="shared" ref="AO108:AO116" si="31">+B108*1000</f>
        <v>1451</v>
      </c>
      <c r="AP108" s="621">
        <f t="shared" ref="AP108:AP116" si="32">O108/B108*1000</f>
        <v>40.561652187166594</v>
      </c>
    </row>
    <row r="109" spans="1:42">
      <c r="A109" s="112" t="s">
        <v>346</v>
      </c>
      <c r="B109" s="694">
        <v>1.2</v>
      </c>
      <c r="C109" s="547">
        <v>0</v>
      </c>
      <c r="D109" s="528">
        <v>0</v>
      </c>
      <c r="E109" s="367">
        <f t="shared" si="23"/>
        <v>0</v>
      </c>
      <c r="F109" s="528">
        <f>15443/3572240</f>
        <v>4.3230578012675522E-3</v>
      </c>
      <c r="G109" s="367">
        <f t="shared" si="24"/>
        <v>5.1876693615210629E-3</v>
      </c>
      <c r="H109" s="528">
        <v>0</v>
      </c>
      <c r="I109" s="367">
        <f t="shared" si="25"/>
        <v>0</v>
      </c>
      <c r="J109" s="553">
        <v>0</v>
      </c>
      <c r="K109" s="367">
        <f t="shared" si="26"/>
        <v>0</v>
      </c>
      <c r="L109" s="528">
        <f t="shared" ref="L109:L111" si="33">+H109</f>
        <v>0</v>
      </c>
      <c r="M109" s="367">
        <f t="shared" si="27"/>
        <v>0</v>
      </c>
      <c r="N109" s="747">
        <f>1190/262440</f>
        <v>4.5343697607072089E-3</v>
      </c>
      <c r="O109" s="749">
        <f t="shared" si="28"/>
        <v>5.4412437128486509E-3</v>
      </c>
      <c r="P109" s="368"/>
      <c r="Q109" s="368"/>
      <c r="AB109" s="657"/>
      <c r="AC109" s="612"/>
      <c r="AD109" s="614"/>
      <c r="AE109" s="714"/>
      <c r="AF109" s="711"/>
      <c r="AG109" s="658"/>
      <c r="AH109" s="621"/>
      <c r="AI109" s="658"/>
      <c r="AJ109" s="621"/>
      <c r="AK109" s="710"/>
      <c r="AL109" s="711" t="s">
        <v>7</v>
      </c>
      <c r="AM109" s="658">
        <f t="shared" si="29"/>
        <v>3920</v>
      </c>
      <c r="AN109" s="621">
        <f t="shared" si="30"/>
        <v>0</v>
      </c>
      <c r="AO109" s="658">
        <f t="shared" si="31"/>
        <v>1200</v>
      </c>
      <c r="AP109" s="621">
        <f t="shared" si="32"/>
        <v>4.5343697607072091</v>
      </c>
    </row>
    <row r="110" spans="1:42">
      <c r="A110" s="112" t="s">
        <v>347</v>
      </c>
      <c r="B110" s="694">
        <v>3.92</v>
      </c>
      <c r="C110" s="547">
        <v>0</v>
      </c>
      <c r="D110" s="528">
        <f>335/1262940</f>
        <v>2.6525408966380034E-4</v>
      </c>
      <c r="E110" s="367">
        <f t="shared" si="23"/>
        <v>1.0397960314820973E-3</v>
      </c>
      <c r="F110" s="528">
        <f>2650/3572240</f>
        <v>7.4183145589322105E-4</v>
      </c>
      <c r="G110" s="367">
        <f t="shared" si="24"/>
        <v>2.9079793071014265E-3</v>
      </c>
      <c r="H110" s="528">
        <f>127/198210</f>
        <v>6.4073457444124913E-4</v>
      </c>
      <c r="I110" s="367">
        <f t="shared" si="25"/>
        <v>2.5116795318096967E-3</v>
      </c>
      <c r="J110" s="553">
        <v>0</v>
      </c>
      <c r="K110" s="367">
        <f t="shared" si="26"/>
        <v>0</v>
      </c>
      <c r="L110" s="528">
        <f>330/422600</f>
        <v>7.808802650260293E-4</v>
      </c>
      <c r="M110" s="367">
        <f t="shared" si="27"/>
        <v>3.0610506389020346E-3</v>
      </c>
      <c r="N110" s="747">
        <f>320/262440</f>
        <v>1.2193263222069807E-3</v>
      </c>
      <c r="O110" s="749">
        <f t="shared" si="28"/>
        <v>4.7797591830513637E-3</v>
      </c>
      <c r="P110" s="368"/>
      <c r="Q110" s="368"/>
      <c r="R110" s="111"/>
      <c r="S110" s="111"/>
      <c r="T110" s="111"/>
      <c r="U110" s="111"/>
      <c r="V110" s="111"/>
      <c r="W110" s="111"/>
      <c r="X110" s="111"/>
      <c r="Y110" s="111"/>
      <c r="AB110" s="657"/>
      <c r="AC110" s="612"/>
      <c r="AD110" s="614"/>
      <c r="AE110" s="714"/>
      <c r="AF110" s="711"/>
      <c r="AG110" s="658"/>
      <c r="AH110" s="621"/>
      <c r="AI110" s="658"/>
      <c r="AJ110" s="621"/>
      <c r="AK110" s="710"/>
      <c r="AL110" s="711" t="s">
        <v>7</v>
      </c>
      <c r="AM110" s="658">
        <f t="shared" si="29"/>
        <v>2080</v>
      </c>
      <c r="AN110" s="621">
        <f t="shared" si="30"/>
        <v>0.78088026502602925</v>
      </c>
      <c r="AO110" s="658">
        <f t="shared" si="31"/>
        <v>3920</v>
      </c>
      <c r="AP110" s="621">
        <f t="shared" si="32"/>
        <v>1.2193263222069808</v>
      </c>
    </row>
    <row r="111" spans="1:42">
      <c r="A111" s="112" t="s">
        <v>348</v>
      </c>
      <c r="B111" s="694">
        <v>2.08</v>
      </c>
      <c r="C111" s="547">
        <v>0</v>
      </c>
      <c r="D111" s="528">
        <v>0</v>
      </c>
      <c r="E111" s="367">
        <f t="shared" si="23"/>
        <v>0</v>
      </c>
      <c r="F111" s="528">
        <f>2222/3572240</f>
        <v>6.2201867735650455E-4</v>
      </c>
      <c r="G111" s="367">
        <f t="shared" si="24"/>
        <v>1.2937988489015294E-3</v>
      </c>
      <c r="H111" s="528">
        <v>0</v>
      </c>
      <c r="I111" s="367">
        <f t="shared" si="25"/>
        <v>0</v>
      </c>
      <c r="J111" s="553">
        <v>0</v>
      </c>
      <c r="K111" s="367">
        <f t="shared" si="26"/>
        <v>0</v>
      </c>
      <c r="L111" s="528">
        <f t="shared" si="33"/>
        <v>0</v>
      </c>
      <c r="M111" s="367">
        <f t="shared" si="27"/>
        <v>0</v>
      </c>
      <c r="N111" s="747">
        <f>542/262440</f>
        <v>2.0652339582380736E-3</v>
      </c>
      <c r="O111" s="749">
        <f t="shared" si="28"/>
        <v>4.2956866331351935E-3</v>
      </c>
      <c r="P111" s="368"/>
      <c r="Q111" s="368"/>
      <c r="R111" s="111"/>
      <c r="S111" s="111"/>
      <c r="T111" s="111"/>
      <c r="U111" s="111"/>
      <c r="V111" s="111"/>
      <c r="W111" s="111"/>
      <c r="X111" s="111"/>
      <c r="Y111" s="111"/>
      <c r="AB111" s="657"/>
      <c r="AC111" s="612"/>
      <c r="AD111" s="614"/>
      <c r="AE111" s="714"/>
      <c r="AF111" s="711"/>
      <c r="AG111" s="658"/>
      <c r="AH111" s="621"/>
      <c r="AI111" s="658"/>
      <c r="AJ111" s="621"/>
      <c r="AK111" s="710"/>
      <c r="AL111" s="711" t="s">
        <v>427</v>
      </c>
      <c r="AM111" s="658">
        <f t="shared" si="29"/>
        <v>2470</v>
      </c>
      <c r="AN111" s="621">
        <f t="shared" si="30"/>
        <v>0</v>
      </c>
      <c r="AO111" s="658">
        <f t="shared" si="31"/>
        <v>2080</v>
      </c>
      <c r="AP111" s="621">
        <f t="shared" si="32"/>
        <v>2.0652339582380734</v>
      </c>
    </row>
    <row r="112" spans="1:42">
      <c r="A112" s="112" t="s">
        <v>405</v>
      </c>
      <c r="B112" s="694">
        <v>2.4700000000000002</v>
      </c>
      <c r="C112" s="547">
        <v>0</v>
      </c>
      <c r="D112" s="528">
        <f>923/1262940</f>
        <v>7.3083440226772453E-4</v>
      </c>
      <c r="E112" s="367">
        <f t="shared" si="23"/>
        <v>1.8051609736012798E-3</v>
      </c>
      <c r="F112" s="528">
        <v>0</v>
      </c>
      <c r="G112" s="367">
        <f t="shared" si="24"/>
        <v>0</v>
      </c>
      <c r="H112" s="528">
        <f>170/198210</f>
        <v>8.5767620200797136E-4</v>
      </c>
      <c r="I112" s="367">
        <f t="shared" si="25"/>
        <v>2.1184602189596893E-3</v>
      </c>
      <c r="J112" s="528">
        <v>0</v>
      </c>
      <c r="K112" s="367">
        <f t="shared" si="26"/>
        <v>0</v>
      </c>
      <c r="L112" s="528">
        <f>108/422600</f>
        <v>2.5556081400851868E-4</v>
      </c>
      <c r="M112" s="367">
        <f t="shared" si="27"/>
        <v>6.3123521060104123E-4</v>
      </c>
      <c r="N112" s="747">
        <v>0</v>
      </c>
      <c r="O112" s="749">
        <f t="shared" si="28"/>
        <v>0</v>
      </c>
      <c r="P112" s="368"/>
      <c r="Q112" s="368"/>
      <c r="R112" s="111"/>
      <c r="S112" s="111"/>
      <c r="T112" s="111"/>
      <c r="U112" s="111"/>
      <c r="V112" s="111"/>
      <c r="W112" s="111"/>
      <c r="X112" s="111"/>
      <c r="Y112" s="111"/>
      <c r="AB112" s="657"/>
      <c r="AC112" s="612"/>
      <c r="AD112" s="614"/>
      <c r="AE112" s="714"/>
      <c r="AF112" s="711"/>
      <c r="AG112" s="658"/>
      <c r="AH112" s="621"/>
      <c r="AI112" s="658"/>
      <c r="AJ112" s="621"/>
      <c r="AK112" s="714"/>
      <c r="AL112" s="711"/>
      <c r="AM112" s="658"/>
      <c r="AN112" s="621">
        <f t="shared" si="30"/>
        <v>0.25556081400851871</v>
      </c>
      <c r="AO112" s="658"/>
      <c r="AP112" s="621">
        <f t="shared" si="32"/>
        <v>0</v>
      </c>
    </row>
    <row r="113" spans="1:42">
      <c r="A113" s="112" t="s">
        <v>409</v>
      </c>
      <c r="B113" s="694">
        <v>2.04</v>
      </c>
      <c r="C113" s="547">
        <v>0</v>
      </c>
      <c r="D113" s="528">
        <f>2700/1262940</f>
        <v>2.1378687823649578E-3</v>
      </c>
      <c r="E113" s="367">
        <f t="shared" si="23"/>
        <v>4.3612523160245142E-3</v>
      </c>
      <c r="F113" s="528">
        <v>0</v>
      </c>
      <c r="G113" s="367">
        <f t="shared" si="24"/>
        <v>0</v>
      </c>
      <c r="H113" s="528">
        <f>1900/198210</f>
        <v>9.5857928459714449E-3</v>
      </c>
      <c r="I113" s="367">
        <f t="shared" si="25"/>
        <v>1.9555017405781749E-2</v>
      </c>
      <c r="J113" s="528">
        <v>0</v>
      </c>
      <c r="K113" s="367">
        <f t="shared" si="26"/>
        <v>0</v>
      </c>
      <c r="L113" s="528">
        <f>5000/422600</f>
        <v>1.1831519167061051E-2</v>
      </c>
      <c r="M113" s="367">
        <f t="shared" si="27"/>
        <v>2.4136299100804545E-2</v>
      </c>
      <c r="N113" s="747">
        <v>0</v>
      </c>
      <c r="O113" s="749">
        <f t="shared" si="28"/>
        <v>0</v>
      </c>
      <c r="P113" s="368"/>
      <c r="Q113" s="368"/>
      <c r="AB113" s="657"/>
      <c r="AC113" s="612"/>
      <c r="AD113" s="614"/>
      <c r="AE113" s="714"/>
      <c r="AF113" s="711"/>
      <c r="AG113" s="658"/>
      <c r="AH113" s="621"/>
      <c r="AI113" s="658"/>
      <c r="AJ113" s="621"/>
      <c r="AK113" s="714"/>
      <c r="AL113" s="711"/>
      <c r="AM113" s="658"/>
      <c r="AN113" s="621">
        <f t="shared" si="30"/>
        <v>11.831519167061051</v>
      </c>
      <c r="AO113" s="658"/>
      <c r="AP113" s="621">
        <f t="shared" si="32"/>
        <v>0</v>
      </c>
    </row>
    <row r="114" spans="1:42">
      <c r="A114" s="112" t="s">
        <v>406</v>
      </c>
      <c r="B114" s="694">
        <v>3.92</v>
      </c>
      <c r="C114" s="547">
        <v>0</v>
      </c>
      <c r="D114" s="528">
        <f>250/1262940</f>
        <v>1.9795081318194055E-4</v>
      </c>
      <c r="E114" s="367">
        <f t="shared" si="23"/>
        <v>7.7596718767320696E-4</v>
      </c>
      <c r="F114" s="528">
        <v>0</v>
      </c>
      <c r="G114" s="367">
        <f t="shared" si="24"/>
        <v>0</v>
      </c>
      <c r="H114" s="528">
        <v>0</v>
      </c>
      <c r="I114" s="367">
        <f t="shared" si="25"/>
        <v>0</v>
      </c>
      <c r="J114" s="528">
        <v>0</v>
      </c>
      <c r="K114" s="367">
        <f t="shared" si="26"/>
        <v>0</v>
      </c>
      <c r="L114" s="528">
        <v>0</v>
      </c>
      <c r="M114" s="367">
        <f t="shared" si="27"/>
        <v>0</v>
      </c>
      <c r="N114" s="747">
        <v>0</v>
      </c>
      <c r="O114" s="749">
        <f t="shared" si="28"/>
        <v>0</v>
      </c>
      <c r="P114" s="368"/>
      <c r="Q114" s="368"/>
      <c r="AB114" s="657"/>
      <c r="AC114" s="612"/>
      <c r="AD114" s="614"/>
      <c r="AE114" s="714"/>
      <c r="AF114" s="711"/>
      <c r="AG114" s="658"/>
      <c r="AH114" s="621"/>
      <c r="AI114" s="658"/>
      <c r="AJ114" s="621"/>
      <c r="AK114" s="714"/>
      <c r="AL114" s="711"/>
      <c r="AM114" s="658"/>
      <c r="AN114" s="621"/>
      <c r="AO114" s="658"/>
      <c r="AP114" s="621"/>
    </row>
    <row r="115" spans="1:42">
      <c r="A115" s="112" t="s">
        <v>411</v>
      </c>
      <c r="B115" s="694">
        <v>15.83</v>
      </c>
      <c r="C115" s="547">
        <v>0</v>
      </c>
      <c r="D115" s="528">
        <v>0</v>
      </c>
      <c r="E115" s="367">
        <f t="shared" si="23"/>
        <v>0</v>
      </c>
      <c r="F115" s="528">
        <v>0</v>
      </c>
      <c r="G115" s="367">
        <f t="shared" si="24"/>
        <v>0</v>
      </c>
      <c r="H115" s="528">
        <v>0</v>
      </c>
      <c r="I115" s="367">
        <f t="shared" si="25"/>
        <v>0</v>
      </c>
      <c r="J115" s="528">
        <v>1.2500000000000001E-2</v>
      </c>
      <c r="K115" s="367">
        <f>$B115*J115</f>
        <v>0.19787500000000002</v>
      </c>
      <c r="L115" s="528">
        <v>0</v>
      </c>
      <c r="M115" s="367">
        <f t="shared" si="27"/>
        <v>0</v>
      </c>
      <c r="N115" s="747">
        <v>0</v>
      </c>
      <c r="O115" s="749">
        <f t="shared" si="28"/>
        <v>0</v>
      </c>
      <c r="P115" s="368"/>
      <c r="Q115" s="368"/>
      <c r="AB115" s="657"/>
      <c r="AC115" s="612"/>
      <c r="AD115" s="614"/>
      <c r="AE115" s="714"/>
      <c r="AF115" s="711"/>
      <c r="AG115" s="658"/>
      <c r="AH115" s="621"/>
      <c r="AI115" s="658"/>
      <c r="AJ115" s="621"/>
      <c r="AK115" s="710"/>
      <c r="AL115" s="711">
        <f>K115/B115*1000</f>
        <v>12.5</v>
      </c>
      <c r="AM115" s="658"/>
      <c r="AN115" s="621">
        <f t="shared" si="30"/>
        <v>0</v>
      </c>
      <c r="AO115" s="658"/>
      <c r="AP115" s="621">
        <f t="shared" si="32"/>
        <v>0</v>
      </c>
    </row>
    <row r="116" spans="1:42">
      <c r="A116" s="112" t="s">
        <v>355</v>
      </c>
      <c r="B116" s="694">
        <v>11.85</v>
      </c>
      <c r="C116" s="547">
        <v>0</v>
      </c>
      <c r="D116" s="528">
        <v>0</v>
      </c>
      <c r="E116" s="367">
        <f t="shared" si="23"/>
        <v>0</v>
      </c>
      <c r="F116" s="528">
        <v>0</v>
      </c>
      <c r="G116" s="367">
        <f t="shared" si="24"/>
        <v>0</v>
      </c>
      <c r="H116" s="528">
        <v>0</v>
      </c>
      <c r="I116" s="367">
        <f t="shared" si="25"/>
        <v>0</v>
      </c>
      <c r="J116" s="528">
        <f>275/160460</f>
        <v>1.713822759566247E-3</v>
      </c>
      <c r="K116" s="367">
        <f t="shared" si="26"/>
        <v>2.0308799700860025E-2</v>
      </c>
      <c r="L116" s="528">
        <v>0</v>
      </c>
      <c r="M116" s="367">
        <f t="shared" si="27"/>
        <v>0</v>
      </c>
      <c r="N116" s="747">
        <f>622/262440</f>
        <v>2.3700655387898185E-3</v>
      </c>
      <c r="O116" s="749">
        <f t="shared" si="28"/>
        <v>2.8085276634659349E-2</v>
      </c>
      <c r="P116" s="368"/>
      <c r="Q116" s="368"/>
      <c r="AB116" s="657"/>
      <c r="AC116" s="612"/>
      <c r="AD116" s="614"/>
      <c r="AE116" s="714"/>
      <c r="AF116" s="711"/>
      <c r="AG116" s="658"/>
      <c r="AH116" s="621"/>
      <c r="AI116" s="658"/>
      <c r="AJ116" s="621"/>
      <c r="AK116" s="710"/>
      <c r="AL116" s="711"/>
      <c r="AM116" s="658"/>
      <c r="AN116" s="621">
        <f t="shared" si="30"/>
        <v>0</v>
      </c>
      <c r="AO116" s="658">
        <f t="shared" si="31"/>
        <v>11850</v>
      </c>
      <c r="AP116" s="621">
        <f t="shared" si="32"/>
        <v>2.3700655387898184</v>
      </c>
    </row>
    <row r="117" spans="1:42">
      <c r="A117" s="112"/>
      <c r="B117" s="802"/>
      <c r="C117" s="803"/>
      <c r="D117" s="804"/>
      <c r="E117" s="367"/>
      <c r="F117" s="804"/>
      <c r="G117" s="367"/>
      <c r="H117" s="804"/>
      <c r="I117" s="367"/>
      <c r="J117" s="805"/>
      <c r="K117" s="367"/>
      <c r="L117" s="804"/>
      <c r="M117" s="367"/>
      <c r="N117" s="804"/>
      <c r="O117" s="367"/>
      <c r="P117" s="368"/>
      <c r="Q117" s="368"/>
      <c r="R117" s="111"/>
      <c r="S117" s="111"/>
      <c r="T117" s="111"/>
      <c r="U117" s="111"/>
      <c r="V117" s="111"/>
      <c r="W117" s="111"/>
      <c r="X117" s="111"/>
      <c r="Y117" s="111"/>
      <c r="AB117" s="780"/>
      <c r="AD117" s="111"/>
      <c r="AG117" s="427"/>
      <c r="AK117" s="2"/>
      <c r="AL117" s="2"/>
    </row>
    <row r="118" spans="1:42">
      <c r="A118" s="23" t="s">
        <v>249</v>
      </c>
      <c r="D118" s="33"/>
      <c r="E118" s="541" t="s">
        <v>250</v>
      </c>
      <c r="F118" s="33"/>
      <c r="G118" s="541" t="s">
        <v>250</v>
      </c>
      <c r="H118" s="33"/>
      <c r="I118" s="541" t="s">
        <v>250</v>
      </c>
      <c r="J118" s="33"/>
      <c r="K118" s="541" t="s">
        <v>250</v>
      </c>
      <c r="L118" s="33"/>
      <c r="M118" s="541" t="s">
        <v>250</v>
      </c>
      <c r="N118" s="753"/>
      <c r="O118" s="754" t="s">
        <v>250</v>
      </c>
      <c r="P118" s="368"/>
      <c r="Q118" s="368"/>
      <c r="R118" s="111"/>
      <c r="S118" s="111"/>
      <c r="T118" s="111"/>
      <c r="U118" s="111"/>
      <c r="V118" s="111"/>
      <c r="W118" s="111"/>
      <c r="X118" s="111"/>
      <c r="Y118" s="111"/>
      <c r="AB118" s="657"/>
      <c r="AC118" s="612"/>
      <c r="AD118" s="614"/>
      <c r="AE118" s="712"/>
      <c r="AF118" s="712"/>
      <c r="AG118" s="658"/>
      <c r="AH118" s="612"/>
      <c r="AI118" s="612"/>
      <c r="AJ118" s="612"/>
      <c r="AK118" s="712"/>
      <c r="AL118" s="712"/>
      <c r="AM118" s="612"/>
      <c r="AN118" s="612"/>
      <c r="AO118" s="612"/>
      <c r="AP118" s="612"/>
    </row>
    <row r="119" spans="1:42" ht="12.75">
      <c r="A119" s="112" t="s">
        <v>363</v>
      </c>
      <c r="C119" s="668"/>
      <c r="D119" s="33"/>
      <c r="E119" s="275">
        <f>SUM(E97:E107)</f>
        <v>0.21293143609355947</v>
      </c>
      <c r="F119" s="33"/>
      <c r="G119" s="275">
        <f>SUM(G97:G107)</f>
        <v>0.21706425615300204</v>
      </c>
      <c r="H119" s="33"/>
      <c r="I119" s="275">
        <f>SUM(I97:I107)</f>
        <v>0.52154785328691788</v>
      </c>
      <c r="J119" s="33"/>
      <c r="K119" s="275">
        <f>SUM(K97:K107)</f>
        <v>0.21490000000000001</v>
      </c>
      <c r="L119" s="33"/>
      <c r="M119" s="275">
        <f>SUM(M97:M107)</f>
        <v>0.38353941315664936</v>
      </c>
      <c r="N119" s="753"/>
      <c r="O119" s="748">
        <f>SUM(O97:O107)</f>
        <v>0.30469739368998627</v>
      </c>
      <c r="P119" s="368"/>
      <c r="Q119" s="368"/>
      <c r="R119" s="111"/>
      <c r="S119" s="111"/>
      <c r="T119" s="111"/>
      <c r="U119" s="111"/>
      <c r="V119" s="111"/>
      <c r="W119" s="111"/>
      <c r="X119" s="111"/>
      <c r="Y119" s="111"/>
      <c r="AB119" s="657"/>
      <c r="AC119" s="612"/>
      <c r="AD119" s="614"/>
      <c r="AE119" s="712"/>
      <c r="AF119" s="712"/>
      <c r="AG119" s="658"/>
      <c r="AH119" s="612"/>
      <c r="AI119" s="612"/>
      <c r="AJ119" s="612"/>
      <c r="AK119" s="712"/>
      <c r="AL119" s="712"/>
      <c r="AM119" s="612"/>
      <c r="AN119" s="612"/>
      <c r="AO119" s="612"/>
      <c r="AP119" s="612"/>
    </row>
    <row r="120" spans="1:42" ht="12.75">
      <c r="A120" s="112" t="s">
        <v>36</v>
      </c>
      <c r="D120" s="33"/>
      <c r="E120" s="375">
        <f>SUM(E108:E108)</f>
        <v>4.2457840435808511E-2</v>
      </c>
      <c r="F120" s="33"/>
      <c r="G120" s="375">
        <f>SUM(G108:G108)</f>
        <v>5.4656618816204955E-2</v>
      </c>
      <c r="H120" s="33"/>
      <c r="I120" s="375">
        <f>SUM(I108:I108)</f>
        <v>5.2048887543514451E-2</v>
      </c>
      <c r="J120" s="33"/>
      <c r="K120" s="375">
        <f>SUM(K108:K108)</f>
        <v>0</v>
      </c>
      <c r="L120" s="33"/>
      <c r="M120" s="375">
        <f>SUM(M108:M108)</f>
        <v>5.9615979649787036E-2</v>
      </c>
      <c r="N120" s="753"/>
      <c r="O120" s="755">
        <f>SUM(O108:O108)</f>
        <v>5.8854957323578726E-2</v>
      </c>
      <c r="AB120" s="612"/>
      <c r="AC120" s="612"/>
      <c r="AD120" s="612"/>
      <c r="AE120" s="712"/>
      <c r="AF120" s="713"/>
      <c r="AG120" s="658"/>
      <c r="AH120" s="660"/>
      <c r="AI120" s="621"/>
      <c r="AJ120" s="621"/>
      <c r="AK120" s="712"/>
      <c r="AL120" s="713">
        <f>SUM(AL97:AL115)</f>
        <v>1012.5</v>
      </c>
      <c r="AM120" s="612"/>
      <c r="AN120" s="660">
        <f>SUM(AN97:AN116)</f>
        <v>53.954093705631806</v>
      </c>
      <c r="AO120" s="612"/>
      <c r="AP120" s="660">
        <f>SUM(AP97:AP116)</f>
        <v>1052.1223898795913</v>
      </c>
    </row>
    <row r="121" spans="1:42" ht="16.5">
      <c r="A121" s="112" t="s">
        <v>147</v>
      </c>
      <c r="D121" s="33"/>
      <c r="E121" s="377">
        <f>SUM(E109:E116)</f>
        <v>7.9821765087810977E-3</v>
      </c>
      <c r="F121" s="33"/>
      <c r="G121" s="377">
        <f>SUM(G109:G116)</f>
        <v>9.3894475175240188E-3</v>
      </c>
      <c r="H121" s="33"/>
      <c r="I121" s="377">
        <f>SUM(I109:I116)</f>
        <v>2.4185157156551135E-2</v>
      </c>
      <c r="J121" s="33"/>
      <c r="K121" s="377">
        <f>SUM(K109:K116)</f>
        <v>0.21818379970086005</v>
      </c>
      <c r="L121" s="33"/>
      <c r="M121" s="377">
        <f>SUM(M109:M116)</f>
        <v>2.7828584950307621E-2</v>
      </c>
      <c r="N121" s="753"/>
      <c r="O121" s="756">
        <f>SUM(O109:O116)</f>
        <v>4.2601966163694556E-2</v>
      </c>
      <c r="P121" s="26"/>
      <c r="Q121" s="26"/>
    </row>
    <row r="122" spans="1:42" ht="16.5">
      <c r="A122" s="353" t="s">
        <v>251</v>
      </c>
      <c r="D122" s="33"/>
      <c r="E122" s="379">
        <f>SUM(E119:E121)</f>
        <v>0.26337145303814907</v>
      </c>
      <c r="F122" s="33"/>
      <c r="G122" s="379">
        <f>SUM(G119:G121)</f>
        <v>0.28111032248673101</v>
      </c>
      <c r="H122" s="33"/>
      <c r="I122" s="379">
        <f>SUM(I119:I121)</f>
        <v>0.59778189798698345</v>
      </c>
      <c r="J122" s="33"/>
      <c r="K122" s="379">
        <f>SUM(K119:K121)</f>
        <v>0.43308379970086008</v>
      </c>
      <c r="L122" s="33"/>
      <c r="M122" s="379">
        <f>SUM(M119:M121)</f>
        <v>0.470983977756744</v>
      </c>
      <c r="N122" s="753"/>
      <c r="O122" s="757">
        <f>SUM(O119:O121)</f>
        <v>0.40615431717725953</v>
      </c>
      <c r="P122" s="63"/>
      <c r="Q122" s="63"/>
    </row>
    <row r="123" spans="1:42">
      <c r="A123" s="491" t="s">
        <v>389</v>
      </c>
      <c r="B123" s="1"/>
      <c r="C123" s="1"/>
      <c r="D123" s="371"/>
      <c r="E123" s="484"/>
      <c r="F123" s="371"/>
      <c r="G123" s="484"/>
      <c r="H123" s="371"/>
      <c r="I123" s="484"/>
      <c r="J123" s="371"/>
      <c r="K123" s="484"/>
      <c r="L123" s="371"/>
      <c r="M123" s="484"/>
      <c r="N123" s="371"/>
      <c r="O123" s="484"/>
      <c r="P123" s="376"/>
      <c r="Q123" s="376"/>
      <c r="V123" s="579"/>
    </row>
    <row r="124" spans="1:42" ht="16.5">
      <c r="A124" s="492" t="s">
        <v>390</v>
      </c>
      <c r="B124" s="359"/>
      <c r="C124" s="359"/>
      <c r="D124" s="485"/>
      <c r="E124" s="486"/>
      <c r="F124" s="59"/>
      <c r="G124" s="487"/>
      <c r="H124" s="59"/>
      <c r="I124" s="487"/>
      <c r="J124" s="59"/>
      <c r="K124" s="487"/>
      <c r="L124" s="59"/>
      <c r="M124" s="487"/>
      <c r="N124" s="59"/>
      <c r="O124" s="487"/>
      <c r="P124" s="378"/>
      <c r="Q124" s="378"/>
      <c r="V124" s="579"/>
    </row>
    <row r="125" spans="1:42" ht="17.25" thickBot="1">
      <c r="A125" s="30"/>
      <c r="B125" s="1"/>
      <c r="C125" s="1"/>
      <c r="D125" s="847" t="s">
        <v>322</v>
      </c>
      <c r="E125" s="848"/>
      <c r="F125" s="847" t="s">
        <v>464</v>
      </c>
      <c r="G125" s="848"/>
      <c r="H125" s="847" t="s">
        <v>400</v>
      </c>
      <c r="I125" s="848"/>
      <c r="J125" s="852" t="s">
        <v>335</v>
      </c>
      <c r="K125" s="853"/>
      <c r="L125" s="847" t="s">
        <v>449</v>
      </c>
      <c r="M125" s="848"/>
      <c r="N125" s="854" t="s">
        <v>465</v>
      </c>
      <c r="O125" s="855"/>
      <c r="P125" s="380"/>
      <c r="Q125" s="380"/>
      <c r="AB125" s="663"/>
      <c r="AC125" s="663"/>
      <c r="AD125" s="663"/>
      <c r="AE125" s="663"/>
      <c r="AF125" s="663"/>
      <c r="AG125" s="663"/>
      <c r="AH125" s="663"/>
      <c r="AI125" s="663"/>
      <c r="AJ125" s="663"/>
    </row>
    <row r="126" spans="1:42" ht="30">
      <c r="A126" s="30" t="s">
        <v>243</v>
      </c>
      <c r="B126" s="550" t="s">
        <v>27</v>
      </c>
      <c r="C126" s="551" t="s">
        <v>396</v>
      </c>
      <c r="D126" s="48" t="s">
        <v>244</v>
      </c>
      <c r="E126" s="362" t="s">
        <v>245</v>
      </c>
      <c r="F126" s="361" t="s">
        <v>244</v>
      </c>
      <c r="G126" s="362" t="s">
        <v>245</v>
      </c>
      <c r="H126" s="361" t="s">
        <v>244</v>
      </c>
      <c r="I126" s="362" t="s">
        <v>245</v>
      </c>
      <c r="J126" s="746" t="s">
        <v>244</v>
      </c>
      <c r="K126" s="684" t="s">
        <v>245</v>
      </c>
      <c r="L126" s="361" t="s">
        <v>244</v>
      </c>
      <c r="M126" s="362" t="s">
        <v>245</v>
      </c>
      <c r="N126" s="746" t="s">
        <v>244</v>
      </c>
      <c r="O126" s="684" t="s">
        <v>245</v>
      </c>
      <c r="AB126" s="655"/>
      <c r="AC126" s="612"/>
      <c r="AD126" s="612"/>
      <c r="AE126" s="656"/>
      <c r="AF126" s="656"/>
      <c r="AG126" s="656"/>
      <c r="AH126" s="656"/>
      <c r="AI126" s="656"/>
      <c r="AJ126" s="656"/>
      <c r="AK126" s="2"/>
      <c r="AL126" s="2"/>
    </row>
    <row r="127" spans="1:42">
      <c r="A127" s="112" t="s">
        <v>336</v>
      </c>
      <c r="B127" s="815">
        <f>0.1985+0.032-C127</f>
        <v>0.23050000000000001</v>
      </c>
      <c r="C127" s="547">
        <v>0</v>
      </c>
      <c r="D127" s="545">
        <v>0</v>
      </c>
      <c r="E127" s="275">
        <f t="shared" ref="E127:E149" si="34">$B127*D127</f>
        <v>0</v>
      </c>
      <c r="F127" s="528">
        <v>0</v>
      </c>
      <c r="G127" s="275">
        <f t="shared" ref="G127:G149" si="35">$B127*F127</f>
        <v>0</v>
      </c>
      <c r="H127" s="528">
        <v>0</v>
      </c>
      <c r="I127" s="275">
        <f t="shared" ref="I127:I149" si="36">$B127*H127</f>
        <v>0</v>
      </c>
      <c r="J127" s="747">
        <v>0</v>
      </c>
      <c r="K127" s="748">
        <f t="shared" ref="K127:K146" si="37">$B127*J127</f>
        <v>0</v>
      </c>
      <c r="L127" s="528">
        <v>0</v>
      </c>
      <c r="M127" s="275">
        <f t="shared" ref="M127:M149" si="38">$B127*L127</f>
        <v>0</v>
      </c>
      <c r="N127" s="747">
        <v>0</v>
      </c>
      <c r="O127" s="748">
        <f t="shared" ref="O127:O146" si="39">$B127*N127</f>
        <v>0</v>
      </c>
      <c r="AA127" s="6"/>
      <c r="AB127" s="655"/>
      <c r="AC127" s="612"/>
      <c r="AD127" s="612"/>
      <c r="AE127" s="656"/>
      <c r="AF127" s="656"/>
      <c r="AG127" s="612"/>
      <c r="AH127" s="612"/>
      <c r="AI127" s="612"/>
      <c r="AJ127" s="612"/>
      <c r="AK127" s="2"/>
      <c r="AL127" s="2"/>
    </row>
    <row r="128" spans="1:42">
      <c r="A128" s="112" t="s">
        <v>460</v>
      </c>
      <c r="B128" s="665">
        <f>0.27228+0.032-C128</f>
        <v>0.30427999999999999</v>
      </c>
      <c r="C128" s="547">
        <v>0</v>
      </c>
      <c r="D128" s="545">
        <v>0</v>
      </c>
      <c r="E128" s="367">
        <f t="shared" si="34"/>
        <v>0</v>
      </c>
      <c r="F128" s="528">
        <v>0</v>
      </c>
      <c r="G128" s="367">
        <f t="shared" si="35"/>
        <v>0</v>
      </c>
      <c r="H128" s="528">
        <v>0</v>
      </c>
      <c r="I128" s="367">
        <f t="shared" si="36"/>
        <v>0</v>
      </c>
      <c r="J128" s="747">
        <v>0</v>
      </c>
      <c r="K128" s="749">
        <f t="shared" si="37"/>
        <v>0</v>
      </c>
      <c r="L128" s="528">
        <v>0.93341630367143746</v>
      </c>
      <c r="M128" s="367">
        <f t="shared" si="38"/>
        <v>0.28401991288114498</v>
      </c>
      <c r="N128" s="747">
        <v>0</v>
      </c>
      <c r="O128" s="749">
        <f t="shared" si="39"/>
        <v>0</v>
      </c>
      <c r="AA128" s="6"/>
      <c r="AB128" s="649"/>
      <c r="AC128" s="612"/>
      <c r="AD128" s="612"/>
      <c r="AE128" s="612"/>
      <c r="AF128" s="612"/>
      <c r="AG128" s="612"/>
      <c r="AH128" s="612"/>
      <c r="AI128" s="612"/>
      <c r="AJ128" s="612"/>
      <c r="AK128" s="2"/>
      <c r="AL128" s="2"/>
    </row>
    <row r="129" spans="1:42" ht="16.5">
      <c r="A129" s="112" t="s">
        <v>338</v>
      </c>
      <c r="B129" s="814">
        <f>0.465+0.032-C129</f>
        <v>0.497</v>
      </c>
      <c r="C129" s="547">
        <v>0</v>
      </c>
      <c r="D129" s="545">
        <v>0</v>
      </c>
      <c r="E129" s="367">
        <f t="shared" si="34"/>
        <v>0</v>
      </c>
      <c r="F129" s="528">
        <v>0</v>
      </c>
      <c r="G129" s="367">
        <f t="shared" si="35"/>
        <v>0</v>
      </c>
      <c r="H129" s="528">
        <f>1460298/1734550</f>
        <v>0.84188867429592684</v>
      </c>
      <c r="I129" s="367">
        <f>$B129*H129</f>
        <v>0.41841867112507564</v>
      </c>
      <c r="J129" s="747">
        <v>0</v>
      </c>
      <c r="K129" s="749">
        <f t="shared" si="37"/>
        <v>0</v>
      </c>
      <c r="L129" s="528">
        <v>0</v>
      </c>
      <c r="M129" s="367">
        <f t="shared" si="38"/>
        <v>0</v>
      </c>
      <c r="N129" s="747">
        <v>0</v>
      </c>
      <c r="O129" s="749">
        <f t="shared" si="39"/>
        <v>0</v>
      </c>
      <c r="P129" s="72"/>
      <c r="Q129" s="601"/>
      <c r="AA129" s="111"/>
      <c r="AB129" s="649"/>
      <c r="AC129" s="612"/>
      <c r="AD129" s="612"/>
      <c r="AE129" s="662"/>
      <c r="AF129" s="656"/>
      <c r="AG129" s="612"/>
      <c r="AH129" s="621"/>
      <c r="AI129" s="612"/>
      <c r="AJ129" s="621"/>
      <c r="AK129" s="2"/>
      <c r="AL129" s="2"/>
    </row>
    <row r="130" spans="1:42">
      <c r="A130" s="112" t="s">
        <v>441</v>
      </c>
      <c r="B130" s="665">
        <f>0.973+0.032-C130</f>
        <v>1.0049999999999999</v>
      </c>
      <c r="C130" s="547">
        <v>0</v>
      </c>
      <c r="D130" s="545">
        <v>0</v>
      </c>
      <c r="E130" s="367">
        <f t="shared" si="34"/>
        <v>0</v>
      </c>
      <c r="F130" s="545">
        <v>0</v>
      </c>
      <c r="G130" s="367">
        <f t="shared" si="35"/>
        <v>0</v>
      </c>
      <c r="H130" s="545">
        <v>0</v>
      </c>
      <c r="I130" s="367">
        <f t="shared" ref="I130" si="40">$B130*H130</f>
        <v>0</v>
      </c>
      <c r="J130" s="747">
        <v>0</v>
      </c>
      <c r="K130" s="749">
        <f t="shared" si="37"/>
        <v>0</v>
      </c>
      <c r="L130" s="545">
        <v>0</v>
      </c>
      <c r="M130" s="367">
        <f t="shared" si="38"/>
        <v>0</v>
      </c>
      <c r="N130" s="759">
        <v>0</v>
      </c>
      <c r="O130" s="749">
        <f t="shared" si="39"/>
        <v>0</v>
      </c>
      <c r="P130" s="368"/>
      <c r="Q130" s="368"/>
      <c r="AB130" s="657"/>
      <c r="AC130" s="612"/>
      <c r="AD130" s="614"/>
      <c r="AE130" s="714"/>
      <c r="AF130" s="711"/>
      <c r="AG130" s="661"/>
      <c r="AH130" s="798"/>
      <c r="AI130" s="661"/>
      <c r="AJ130" s="621"/>
      <c r="AK130" s="710"/>
      <c r="AL130" s="711"/>
      <c r="AM130" s="658">
        <f>+B132*1000</f>
        <v>356.8</v>
      </c>
      <c r="AN130" s="621">
        <f>M130/B130*1000</f>
        <v>0</v>
      </c>
      <c r="AO130" s="661"/>
      <c r="AP130" s="621"/>
    </row>
    <row r="131" spans="1:42" ht="16.5">
      <c r="A131" s="112" t="s">
        <v>453</v>
      </c>
      <c r="B131" s="814">
        <f>306.29/1000</f>
        <v>0.30629000000000001</v>
      </c>
      <c r="C131" s="547"/>
      <c r="D131" s="545">
        <v>0</v>
      </c>
      <c r="E131" s="367">
        <f t="shared" si="34"/>
        <v>0</v>
      </c>
      <c r="F131" s="528">
        <v>0</v>
      </c>
      <c r="G131" s="367">
        <f t="shared" si="35"/>
        <v>0</v>
      </c>
      <c r="H131" s="528">
        <f>283300/1734550</f>
        <v>0.16332766423568074</v>
      </c>
      <c r="I131" s="367">
        <f>$B131*H131</f>
        <v>5.0025630278746652E-2</v>
      </c>
      <c r="J131" s="747">
        <v>0</v>
      </c>
      <c r="K131" s="749">
        <f t="shared" si="37"/>
        <v>0</v>
      </c>
      <c r="L131" s="528">
        <v>0</v>
      </c>
      <c r="M131" s="367">
        <f t="shared" si="38"/>
        <v>0</v>
      </c>
      <c r="N131" s="747">
        <v>0</v>
      </c>
      <c r="O131" s="749">
        <f t="shared" si="39"/>
        <v>0</v>
      </c>
      <c r="P131" s="72"/>
      <c r="Q131" s="601"/>
      <c r="AA131" s="111"/>
      <c r="AB131" s="649"/>
      <c r="AC131" s="612"/>
      <c r="AD131" s="612"/>
      <c r="AE131" s="662"/>
      <c r="AF131" s="656"/>
      <c r="AG131" s="612"/>
      <c r="AH131" s="621"/>
      <c r="AI131" s="612"/>
      <c r="AJ131" s="621"/>
      <c r="AK131" s="2"/>
      <c r="AL131" s="2"/>
    </row>
    <row r="132" spans="1:42">
      <c r="A132" s="112" t="s">
        <v>339</v>
      </c>
      <c r="B132" s="815">
        <f>0.3248+0.032-C132</f>
        <v>0.35680000000000001</v>
      </c>
      <c r="C132" s="547">
        <v>0</v>
      </c>
      <c r="D132" s="545">
        <v>0</v>
      </c>
      <c r="E132" s="367">
        <f t="shared" si="34"/>
        <v>0</v>
      </c>
      <c r="F132" s="528">
        <v>0</v>
      </c>
      <c r="G132" s="367">
        <f t="shared" si="35"/>
        <v>0</v>
      </c>
      <c r="H132" s="528">
        <v>0</v>
      </c>
      <c r="I132" s="367">
        <f t="shared" si="36"/>
        <v>0</v>
      </c>
      <c r="J132" s="747">
        <v>0</v>
      </c>
      <c r="K132" s="749">
        <f t="shared" si="37"/>
        <v>0</v>
      </c>
      <c r="L132" s="528">
        <v>0</v>
      </c>
      <c r="M132" s="367">
        <f t="shared" si="38"/>
        <v>0</v>
      </c>
      <c r="N132" s="747">
        <v>0</v>
      </c>
      <c r="O132" s="749">
        <f t="shared" si="39"/>
        <v>0</v>
      </c>
      <c r="P132" s="63"/>
      <c r="Q132" s="601"/>
      <c r="AB132" s="657"/>
      <c r="AC132" s="612"/>
      <c r="AD132" s="614"/>
      <c r="AE132" s="662"/>
      <c r="AF132" s="621"/>
      <c r="AG132" s="612"/>
      <c r="AH132" s="621"/>
      <c r="AI132" s="612"/>
      <c r="AJ132" s="621"/>
      <c r="AK132" s="2"/>
      <c r="AL132" s="2"/>
    </row>
    <row r="133" spans="1:42">
      <c r="A133" s="112" t="s">
        <v>340</v>
      </c>
      <c r="B133" s="667">
        <v>0</v>
      </c>
      <c r="C133" s="547">
        <v>0</v>
      </c>
      <c r="D133" s="545">
        <v>0</v>
      </c>
      <c r="E133" s="367">
        <f t="shared" si="34"/>
        <v>0</v>
      </c>
      <c r="F133" s="528">
        <v>0</v>
      </c>
      <c r="G133" s="367">
        <f t="shared" si="35"/>
        <v>0</v>
      </c>
      <c r="H133" s="528">
        <v>0</v>
      </c>
      <c r="I133" s="367">
        <f t="shared" si="36"/>
        <v>0</v>
      </c>
      <c r="J133" s="747">
        <v>0</v>
      </c>
      <c r="K133" s="749">
        <f t="shared" si="37"/>
        <v>0</v>
      </c>
      <c r="L133" s="528">
        <v>0</v>
      </c>
      <c r="M133" s="367">
        <f t="shared" si="38"/>
        <v>0</v>
      </c>
      <c r="N133" s="747">
        <v>0</v>
      </c>
      <c r="O133" s="749">
        <f t="shared" si="39"/>
        <v>0</v>
      </c>
      <c r="P133" s="368"/>
      <c r="AB133" s="657"/>
      <c r="AC133" s="612"/>
      <c r="AD133" s="614"/>
      <c r="AE133" s="662"/>
      <c r="AF133" s="621"/>
      <c r="AG133" s="612"/>
      <c r="AH133" s="621"/>
      <c r="AI133" s="612"/>
      <c r="AJ133" s="621"/>
      <c r="AK133" s="2"/>
      <c r="AL133" s="2"/>
    </row>
    <row r="134" spans="1:42">
      <c r="A134" s="112" t="s">
        <v>454</v>
      </c>
      <c r="B134" s="694">
        <v>0.63639999999999997</v>
      </c>
      <c r="C134" s="547">
        <v>0</v>
      </c>
      <c r="D134" s="545">
        <v>0</v>
      </c>
      <c r="E134" s="367">
        <f t="shared" si="34"/>
        <v>0</v>
      </c>
      <c r="F134" s="528">
        <f>1346088/1352430</f>
        <v>0.99531066302877047</v>
      </c>
      <c r="G134" s="843">
        <f>$B134*F134</f>
        <v>0.63341570595150953</v>
      </c>
      <c r="H134" s="528">
        <v>0</v>
      </c>
      <c r="I134" s="367">
        <f t="shared" si="36"/>
        <v>0</v>
      </c>
      <c r="J134" s="747">
        <v>0</v>
      </c>
      <c r="K134" s="749">
        <f t="shared" si="37"/>
        <v>0</v>
      </c>
      <c r="L134" s="528">
        <v>0</v>
      </c>
      <c r="M134" s="367">
        <f t="shared" si="38"/>
        <v>0</v>
      </c>
      <c r="N134" s="747">
        <v>0</v>
      </c>
      <c r="O134" s="749">
        <f t="shared" si="39"/>
        <v>0</v>
      </c>
      <c r="P134" s="368"/>
      <c r="AB134" s="657"/>
      <c r="AC134" s="612"/>
      <c r="AD134" s="614"/>
      <c r="AE134" s="662"/>
      <c r="AF134" s="621"/>
      <c r="AG134" s="612"/>
      <c r="AH134" s="621"/>
      <c r="AI134" s="612"/>
      <c r="AJ134" s="621"/>
      <c r="AK134" s="2"/>
      <c r="AL134" s="2"/>
    </row>
    <row r="135" spans="1:42">
      <c r="A135" s="112" t="s">
        <v>450</v>
      </c>
      <c r="B135" s="694">
        <v>0.63639999999999997</v>
      </c>
      <c r="C135" s="547">
        <v>0</v>
      </c>
      <c r="D135" s="528">
        <v>0</v>
      </c>
      <c r="E135" s="367">
        <f>$B135*D135</f>
        <v>0</v>
      </c>
      <c r="F135" s="528">
        <v>0</v>
      </c>
      <c r="G135" s="367">
        <f>$B135*F135</f>
        <v>0</v>
      </c>
      <c r="H135" s="528">
        <v>0</v>
      </c>
      <c r="I135" s="367">
        <f>$B135*H135</f>
        <v>0</v>
      </c>
      <c r="J135" s="747">
        <v>0</v>
      </c>
      <c r="K135" s="749">
        <f>$B135*J135</f>
        <v>0</v>
      </c>
      <c r="L135" s="528">
        <v>0</v>
      </c>
      <c r="M135" s="367">
        <f>$B135*L135</f>
        <v>0</v>
      </c>
      <c r="N135" s="747">
        <v>0</v>
      </c>
      <c r="O135" s="749">
        <f>$B135*N135</f>
        <v>0</v>
      </c>
      <c r="P135" s="368"/>
      <c r="Q135" s="368"/>
      <c r="R135" s="111"/>
      <c r="S135" s="111"/>
      <c r="T135" s="111"/>
      <c r="U135" s="111"/>
      <c r="V135" s="111"/>
      <c r="W135" s="111"/>
      <c r="X135" s="111"/>
      <c r="Y135" s="111"/>
      <c r="AB135" s="657"/>
      <c r="AC135" s="612"/>
      <c r="AD135" s="614"/>
      <c r="AE135" s="712"/>
      <c r="AF135" s="712"/>
      <c r="AG135" s="658"/>
      <c r="AH135" s="612"/>
      <c r="AI135" s="612"/>
      <c r="AJ135" s="612"/>
      <c r="AK135" s="712"/>
      <c r="AL135" s="712"/>
      <c r="AM135" s="612"/>
      <c r="AN135" s="612"/>
      <c r="AO135" s="612"/>
      <c r="AP135" s="612"/>
    </row>
    <row r="136" spans="1:42">
      <c r="A136" s="112" t="s">
        <v>344</v>
      </c>
      <c r="B136" s="665">
        <f>1.9036-C136</f>
        <v>1.9036</v>
      </c>
      <c r="C136" s="547">
        <v>0</v>
      </c>
      <c r="D136" s="545">
        <v>0</v>
      </c>
      <c r="E136" s="367">
        <f t="shared" si="34"/>
        <v>0</v>
      </c>
      <c r="F136" s="528">
        <v>0</v>
      </c>
      <c r="G136" s="367">
        <f t="shared" si="35"/>
        <v>0</v>
      </c>
      <c r="H136" s="528">
        <v>0</v>
      </c>
      <c r="I136" s="367">
        <f t="shared" si="36"/>
        <v>0</v>
      </c>
      <c r="J136" s="747">
        <v>0.99740932642487057</v>
      </c>
      <c r="K136" s="749">
        <f t="shared" si="37"/>
        <v>1.8986683937823836</v>
      </c>
      <c r="L136" s="528">
        <v>0</v>
      </c>
      <c r="M136" s="367">
        <f t="shared" si="38"/>
        <v>0</v>
      </c>
      <c r="N136" s="747">
        <v>0</v>
      </c>
      <c r="O136" s="749">
        <f t="shared" si="39"/>
        <v>0</v>
      </c>
      <c r="P136" s="368"/>
      <c r="Q136" s="368"/>
      <c r="AB136" s="657"/>
      <c r="AC136" s="612"/>
      <c r="AD136" s="614"/>
      <c r="AE136" s="662"/>
      <c r="AF136" s="621"/>
      <c r="AG136" s="612"/>
      <c r="AH136" s="621"/>
      <c r="AI136" s="612"/>
      <c r="AJ136" s="621"/>
      <c r="AK136" s="2"/>
      <c r="AL136" s="2"/>
    </row>
    <row r="137" spans="1:42">
      <c r="A137" s="112" t="s">
        <v>345</v>
      </c>
      <c r="B137" s="815">
        <f>0.30793+0.032-C137</f>
        <v>0.33992999999999995</v>
      </c>
      <c r="C137" s="547">
        <v>0</v>
      </c>
      <c r="D137" s="545">
        <f>124800/123240</f>
        <v>1.0126582278481013</v>
      </c>
      <c r="E137" s="367">
        <f t="shared" si="34"/>
        <v>0.34423291139240503</v>
      </c>
      <c r="F137" s="528">
        <v>0</v>
      </c>
      <c r="G137" s="367">
        <f t="shared" si="35"/>
        <v>0</v>
      </c>
      <c r="H137" s="528">
        <v>0</v>
      </c>
      <c r="I137" s="367">
        <f t="shared" si="36"/>
        <v>0</v>
      </c>
      <c r="J137" s="747">
        <v>0</v>
      </c>
      <c r="K137" s="749">
        <f t="shared" si="37"/>
        <v>0</v>
      </c>
      <c r="L137" s="528">
        <v>0</v>
      </c>
      <c r="M137" s="367">
        <f t="shared" si="38"/>
        <v>0</v>
      </c>
      <c r="N137" s="747">
        <v>0</v>
      </c>
      <c r="O137" s="749">
        <f t="shared" si="39"/>
        <v>0</v>
      </c>
      <c r="P137" s="368"/>
      <c r="Q137" s="368"/>
      <c r="AB137" s="657"/>
      <c r="AC137" s="612"/>
      <c r="AD137" s="614"/>
      <c r="AE137" s="662"/>
      <c r="AF137" s="621"/>
      <c r="AG137" s="612"/>
      <c r="AH137" s="621"/>
      <c r="AI137" s="612"/>
      <c r="AJ137" s="621"/>
      <c r="AK137" s="2"/>
      <c r="AL137" s="2"/>
    </row>
    <row r="138" spans="1:42" s="1" customFormat="1">
      <c r="A138" s="112" t="s">
        <v>456</v>
      </c>
      <c r="B138" s="694">
        <v>1.4510000000000001</v>
      </c>
      <c r="C138" s="547">
        <v>0</v>
      </c>
      <c r="D138" s="545">
        <f>4800/123240</f>
        <v>3.8948393378773129E-2</v>
      </c>
      <c r="E138" s="367">
        <f t="shared" si="34"/>
        <v>5.6514118792599814E-2</v>
      </c>
      <c r="F138" s="528">
        <f>37166/1352430</f>
        <v>2.7480904741835066E-2</v>
      </c>
      <c r="G138" s="367">
        <f t="shared" si="35"/>
        <v>3.9874792780402686E-2</v>
      </c>
      <c r="H138" s="528">
        <v>0</v>
      </c>
      <c r="I138" s="367">
        <f t="shared" si="36"/>
        <v>0</v>
      </c>
      <c r="J138" s="747">
        <v>3.2819999999999995E-2</v>
      </c>
      <c r="K138" s="749">
        <f t="shared" si="37"/>
        <v>4.7621819999999995E-2</v>
      </c>
      <c r="L138" s="528">
        <v>0</v>
      </c>
      <c r="M138" s="367">
        <f t="shared" si="38"/>
        <v>0</v>
      </c>
      <c r="N138" s="747">
        <v>0</v>
      </c>
      <c r="O138" s="749">
        <f t="shared" si="39"/>
        <v>0</v>
      </c>
      <c r="P138" s="559"/>
      <c r="Q138" s="559"/>
      <c r="AB138" s="657"/>
      <c r="AC138" s="624"/>
      <c r="AD138" s="639"/>
      <c r="AE138" s="662"/>
      <c r="AF138" s="621"/>
      <c r="AG138" s="612"/>
      <c r="AH138" s="621"/>
      <c r="AI138" s="612"/>
      <c r="AJ138" s="621"/>
    </row>
    <row r="139" spans="1:42">
      <c r="A139" s="112" t="s">
        <v>346</v>
      </c>
      <c r="B139" s="694">
        <v>1.2</v>
      </c>
      <c r="C139" s="547">
        <v>0</v>
      </c>
      <c r="D139" s="545">
        <f>640/123240</f>
        <v>5.19311911716975E-3</v>
      </c>
      <c r="E139" s="367">
        <f t="shared" si="34"/>
        <v>6.2317429406037001E-3</v>
      </c>
      <c r="F139" s="528">
        <v>0</v>
      </c>
      <c r="G139" s="367">
        <f t="shared" si="35"/>
        <v>0</v>
      </c>
      <c r="H139" s="528">
        <v>0</v>
      </c>
      <c r="I139" s="367">
        <f t="shared" si="36"/>
        <v>0</v>
      </c>
      <c r="J139" s="747">
        <v>0</v>
      </c>
      <c r="K139" s="749">
        <f t="shared" si="37"/>
        <v>0</v>
      </c>
      <c r="L139" s="528">
        <v>0</v>
      </c>
      <c r="M139" s="367">
        <f t="shared" si="38"/>
        <v>0</v>
      </c>
      <c r="N139" s="747">
        <v>0</v>
      </c>
      <c r="O139" s="749">
        <f t="shared" si="39"/>
        <v>0</v>
      </c>
      <c r="P139" s="368"/>
      <c r="Q139" s="368"/>
      <c r="AB139" s="657"/>
      <c r="AC139" s="612"/>
      <c r="AD139" s="614"/>
      <c r="AE139" s="662"/>
      <c r="AF139" s="621"/>
      <c r="AG139" s="612"/>
      <c r="AH139" s="621"/>
      <c r="AI139" s="612"/>
      <c r="AJ139" s="621"/>
      <c r="AK139" s="2"/>
      <c r="AL139" s="2"/>
    </row>
    <row r="140" spans="1:42">
      <c r="A140" s="112" t="s">
        <v>347</v>
      </c>
      <c r="B140" s="694">
        <v>3.92</v>
      </c>
      <c r="C140" s="547">
        <v>0</v>
      </c>
      <c r="D140" s="545">
        <f>117/123240</f>
        <v>9.493670886075949E-4</v>
      </c>
      <c r="E140" s="367">
        <f t="shared" si="34"/>
        <v>3.7215189873417718E-3</v>
      </c>
      <c r="F140" s="528">
        <f>1003/1352430</f>
        <v>7.4162803250445489E-4</v>
      </c>
      <c r="G140" s="367">
        <f t="shared" si="35"/>
        <v>2.9071818874174633E-3</v>
      </c>
      <c r="H140" s="528">
        <v>0</v>
      </c>
      <c r="I140" s="367">
        <f t="shared" si="36"/>
        <v>0</v>
      </c>
      <c r="J140" s="747">
        <v>2.7375000000000001E-4</v>
      </c>
      <c r="K140" s="749">
        <f t="shared" si="37"/>
        <v>1.0731E-3</v>
      </c>
      <c r="L140" s="528">
        <v>0</v>
      </c>
      <c r="M140" s="367">
        <f t="shared" si="38"/>
        <v>0</v>
      </c>
      <c r="N140" s="747">
        <v>0</v>
      </c>
      <c r="O140" s="749">
        <f t="shared" si="39"/>
        <v>0</v>
      </c>
      <c r="P140" s="368"/>
      <c r="Q140" s="368"/>
      <c r="AB140" s="657"/>
      <c r="AC140" s="612"/>
      <c r="AD140" s="614"/>
      <c r="AE140" s="662"/>
      <c r="AF140" s="621"/>
      <c r="AG140" s="612"/>
      <c r="AH140" s="621"/>
      <c r="AI140" s="612"/>
      <c r="AJ140" s="621"/>
      <c r="AK140" s="2"/>
      <c r="AL140" s="2"/>
    </row>
    <row r="141" spans="1:42">
      <c r="A141" s="112" t="s">
        <v>348</v>
      </c>
      <c r="B141" s="694">
        <v>2.08</v>
      </c>
      <c r="C141" s="547">
        <v>0</v>
      </c>
      <c r="D141" s="545">
        <f>80/123240</f>
        <v>6.4913988964621875E-4</v>
      </c>
      <c r="E141" s="367">
        <f t="shared" si="34"/>
        <v>1.350210970464135E-3</v>
      </c>
      <c r="F141" s="528">
        <f>286/1352430</f>
        <v>2.1147120368521845E-4</v>
      </c>
      <c r="G141" s="367">
        <f t="shared" si="35"/>
        <v>4.3986010366525442E-4</v>
      </c>
      <c r="H141" s="528">
        <v>0</v>
      </c>
      <c r="I141" s="367">
        <f t="shared" si="36"/>
        <v>0</v>
      </c>
      <c r="J141" s="747">
        <v>0</v>
      </c>
      <c r="K141" s="749">
        <f t="shared" si="37"/>
        <v>0</v>
      </c>
      <c r="L141" s="528">
        <v>0</v>
      </c>
      <c r="M141" s="367">
        <f t="shared" si="38"/>
        <v>0</v>
      </c>
      <c r="N141" s="747">
        <v>0</v>
      </c>
      <c r="O141" s="749">
        <f t="shared" si="39"/>
        <v>0</v>
      </c>
      <c r="P141" s="368"/>
      <c r="Q141" s="368"/>
      <c r="AB141" s="657"/>
      <c r="AC141" s="612"/>
      <c r="AD141" s="614"/>
      <c r="AE141" s="662"/>
      <c r="AF141" s="621"/>
      <c r="AG141" s="612"/>
      <c r="AH141" s="621"/>
      <c r="AI141" s="612"/>
      <c r="AJ141" s="621"/>
      <c r="AK141" s="2"/>
      <c r="AL141" s="2"/>
    </row>
    <row r="142" spans="1:42">
      <c r="A142" s="112" t="s">
        <v>405</v>
      </c>
      <c r="B142" s="694">
        <v>2.4700000000000002</v>
      </c>
      <c r="C142" s="547">
        <v>0</v>
      </c>
      <c r="D142" s="545">
        <v>0</v>
      </c>
      <c r="E142" s="367">
        <f t="shared" si="34"/>
        <v>0</v>
      </c>
      <c r="F142" s="528">
        <f>867/1352430</f>
        <v>6.4106829928351188E-4</v>
      </c>
      <c r="G142" s="367">
        <f t="shared" si="35"/>
        <v>1.5834386992302745E-3</v>
      </c>
      <c r="H142" s="528">
        <v>0</v>
      </c>
      <c r="I142" s="367">
        <f t="shared" si="36"/>
        <v>0</v>
      </c>
      <c r="J142" s="747">
        <v>1.8374999999999999E-4</v>
      </c>
      <c r="K142" s="749">
        <f t="shared" si="37"/>
        <v>4.5386250000000003E-4</v>
      </c>
      <c r="L142" s="528">
        <v>0</v>
      </c>
      <c r="M142" s="367">
        <f t="shared" si="38"/>
        <v>0</v>
      </c>
      <c r="N142" s="747">
        <v>0</v>
      </c>
      <c r="O142" s="749">
        <f t="shared" si="39"/>
        <v>0</v>
      </c>
      <c r="P142" s="368"/>
      <c r="Q142" s="368"/>
      <c r="AB142" s="657"/>
      <c r="AC142" s="612"/>
      <c r="AD142" s="614"/>
      <c r="AE142" s="662"/>
      <c r="AF142" s="621"/>
      <c r="AG142" s="612"/>
      <c r="AH142" s="621"/>
      <c r="AI142" s="612"/>
      <c r="AJ142" s="621"/>
      <c r="AK142" s="2"/>
      <c r="AL142" s="2"/>
    </row>
    <row r="143" spans="1:42">
      <c r="A143" s="112" t="s">
        <v>409</v>
      </c>
      <c r="B143" s="694">
        <v>2.04</v>
      </c>
      <c r="C143" s="547">
        <v>0</v>
      </c>
      <c r="D143" s="528">
        <v>0</v>
      </c>
      <c r="E143" s="367">
        <f t="shared" si="34"/>
        <v>0</v>
      </c>
      <c r="F143" s="528">
        <f>4430/1352430</f>
        <v>3.2755854277116006E-3</v>
      </c>
      <c r="G143" s="367">
        <f t="shared" si="35"/>
        <v>6.6821942725316654E-3</v>
      </c>
      <c r="H143" s="528">
        <v>0</v>
      </c>
      <c r="I143" s="367">
        <f t="shared" si="36"/>
        <v>0</v>
      </c>
      <c r="J143" s="747">
        <v>4.2187500000000003E-3</v>
      </c>
      <c r="K143" s="749">
        <f t="shared" si="37"/>
        <v>8.6062500000000011E-3</v>
      </c>
      <c r="L143" s="528">
        <v>0</v>
      </c>
      <c r="M143" s="367">
        <f t="shared" si="38"/>
        <v>0</v>
      </c>
      <c r="N143" s="747">
        <v>0</v>
      </c>
      <c r="O143" s="749">
        <f t="shared" si="39"/>
        <v>0</v>
      </c>
      <c r="P143" s="368"/>
      <c r="Q143" s="368"/>
      <c r="AB143" s="657"/>
      <c r="AC143" s="612"/>
      <c r="AD143" s="614"/>
      <c r="AE143" s="662"/>
      <c r="AF143" s="621"/>
      <c r="AG143" s="612"/>
      <c r="AH143" s="621"/>
      <c r="AI143" s="612"/>
      <c r="AJ143" s="621"/>
      <c r="AK143" s="2"/>
      <c r="AL143" s="2"/>
    </row>
    <row r="144" spans="1:42">
      <c r="A144" s="112" t="s">
        <v>406</v>
      </c>
      <c r="B144" s="694">
        <v>3.92</v>
      </c>
      <c r="C144" s="547">
        <v>0</v>
      </c>
      <c r="D144" s="528">
        <v>0</v>
      </c>
      <c r="E144" s="367">
        <f t="shared" si="34"/>
        <v>0</v>
      </c>
      <c r="F144" s="528">
        <f>803/1352430</f>
        <v>5.9374607188542104E-4</v>
      </c>
      <c r="G144" s="367">
        <f t="shared" si="35"/>
        <v>2.3274846017908505E-3</v>
      </c>
      <c r="H144" s="528">
        <v>0</v>
      </c>
      <c r="I144" s="367">
        <f t="shared" si="36"/>
        <v>0</v>
      </c>
      <c r="J144" s="747">
        <v>0</v>
      </c>
      <c r="K144" s="749">
        <f t="shared" si="37"/>
        <v>0</v>
      </c>
      <c r="L144" s="528">
        <v>0</v>
      </c>
      <c r="M144" s="367">
        <f t="shared" si="38"/>
        <v>0</v>
      </c>
      <c r="N144" s="747">
        <v>0</v>
      </c>
      <c r="O144" s="749">
        <f t="shared" si="39"/>
        <v>0</v>
      </c>
      <c r="P144" s="368"/>
      <c r="Q144" s="368"/>
      <c r="AB144" s="657"/>
      <c r="AC144" s="612"/>
      <c r="AD144" s="614"/>
      <c r="AE144" s="662"/>
      <c r="AF144" s="621"/>
      <c r="AG144" s="612"/>
      <c r="AH144" s="621"/>
      <c r="AI144" s="612"/>
      <c r="AJ144" s="621"/>
      <c r="AK144" s="2"/>
      <c r="AL144" s="2"/>
    </row>
    <row r="145" spans="1:38">
      <c r="A145" s="112" t="s">
        <v>411</v>
      </c>
      <c r="B145" s="694">
        <v>15.83</v>
      </c>
      <c r="C145" s="547">
        <v>0</v>
      </c>
      <c r="D145" s="676">
        <v>0</v>
      </c>
      <c r="E145" s="367">
        <f t="shared" si="34"/>
        <v>0</v>
      </c>
      <c r="F145" s="528">
        <v>0</v>
      </c>
      <c r="G145" s="367">
        <f t="shared" si="35"/>
        <v>0</v>
      </c>
      <c r="H145" s="528">
        <v>0</v>
      </c>
      <c r="I145" s="367">
        <f t="shared" si="36"/>
        <v>0</v>
      </c>
      <c r="J145" s="747">
        <v>0</v>
      </c>
      <c r="K145" s="749">
        <f t="shared" si="37"/>
        <v>0</v>
      </c>
      <c r="L145" s="528">
        <v>0</v>
      </c>
      <c r="M145" s="367">
        <f t="shared" si="38"/>
        <v>0</v>
      </c>
      <c r="N145" s="747">
        <v>0</v>
      </c>
      <c r="O145" s="749">
        <f t="shared" si="39"/>
        <v>0</v>
      </c>
      <c r="P145" s="368"/>
      <c r="Q145" s="368"/>
      <c r="R145" s="111"/>
      <c r="S145" s="111"/>
      <c r="T145" s="111"/>
      <c r="U145" s="111"/>
      <c r="V145" s="111"/>
      <c r="W145" s="111"/>
      <c r="X145" s="111"/>
      <c r="Y145" s="111"/>
      <c r="AB145" s="657"/>
      <c r="AC145" s="612"/>
      <c r="AD145" s="614"/>
      <c r="AE145" s="662"/>
      <c r="AF145" s="621"/>
      <c r="AG145" s="612"/>
      <c r="AH145" s="621"/>
      <c r="AI145" s="612"/>
      <c r="AJ145" s="621"/>
      <c r="AK145" s="2"/>
      <c r="AL145" s="2"/>
    </row>
    <row r="146" spans="1:38">
      <c r="A146" s="112" t="s">
        <v>355</v>
      </c>
      <c r="B146" s="694">
        <v>11.85</v>
      </c>
      <c r="C146" s="547">
        <v>0</v>
      </c>
      <c r="D146" s="545">
        <v>0</v>
      </c>
      <c r="E146" s="367">
        <f t="shared" si="34"/>
        <v>0</v>
      </c>
      <c r="F146" s="528">
        <v>0</v>
      </c>
      <c r="G146" s="367">
        <f t="shared" si="35"/>
        <v>0</v>
      </c>
      <c r="H146" s="528">
        <f>962/1734550</f>
        <v>5.5461070594678733E-4</v>
      </c>
      <c r="I146" s="367">
        <f t="shared" si="36"/>
        <v>6.5721368654694298E-3</v>
      </c>
      <c r="J146" s="747">
        <v>0</v>
      </c>
      <c r="K146" s="749">
        <f t="shared" si="37"/>
        <v>0</v>
      </c>
      <c r="L146" s="528">
        <v>0</v>
      </c>
      <c r="M146" s="367">
        <f t="shared" si="38"/>
        <v>0</v>
      </c>
      <c r="N146" s="747">
        <v>0</v>
      </c>
      <c r="O146" s="749">
        <f t="shared" si="39"/>
        <v>0</v>
      </c>
      <c r="P146" s="368"/>
      <c r="Q146" s="368"/>
      <c r="R146" s="111"/>
      <c r="S146" s="111"/>
      <c r="T146" s="111"/>
      <c r="U146" s="111"/>
      <c r="V146" s="111"/>
      <c r="W146" s="111"/>
      <c r="X146" s="111"/>
      <c r="Y146" s="111"/>
      <c r="AB146" s="657"/>
      <c r="AC146" s="612"/>
      <c r="AD146" s="614"/>
      <c r="AE146" s="662"/>
      <c r="AF146" s="621"/>
      <c r="AG146" s="612"/>
      <c r="AH146" s="612"/>
      <c r="AI146" s="612"/>
      <c r="AJ146" s="621"/>
      <c r="AK146" s="2"/>
      <c r="AL146" s="2"/>
    </row>
    <row r="147" spans="1:38">
      <c r="A147" s="112" t="s">
        <v>462</v>
      </c>
      <c r="B147" s="694">
        <v>3.08</v>
      </c>
      <c r="C147" s="547">
        <v>0</v>
      </c>
      <c r="D147" s="545">
        <v>0</v>
      </c>
      <c r="E147" s="367">
        <f t="shared" si="34"/>
        <v>0</v>
      </c>
      <c r="F147" s="528">
        <v>0</v>
      </c>
      <c r="G147" s="367">
        <f t="shared" si="35"/>
        <v>0</v>
      </c>
      <c r="H147" s="528"/>
      <c r="I147" s="367">
        <f t="shared" si="36"/>
        <v>0</v>
      </c>
      <c r="J147" s="817"/>
      <c r="K147" s="749"/>
      <c r="L147" s="528">
        <v>3.4691972619788423E-2</v>
      </c>
      <c r="M147" s="367">
        <f t="shared" si="38"/>
        <v>0.10685127566894835</v>
      </c>
      <c r="N147" s="817"/>
      <c r="O147" s="749"/>
      <c r="P147" s="368"/>
      <c r="Q147" s="368"/>
      <c r="R147" s="111"/>
      <c r="S147" s="111"/>
      <c r="T147" s="111"/>
      <c r="U147" s="111"/>
      <c r="V147" s="111"/>
      <c r="W147" s="111"/>
      <c r="X147" s="111"/>
      <c r="Y147" s="111"/>
      <c r="AB147" s="657"/>
      <c r="AC147" s="612"/>
      <c r="AD147" s="614"/>
      <c r="AE147" s="662"/>
      <c r="AF147" s="621"/>
      <c r="AG147" s="612"/>
      <c r="AH147" s="612"/>
      <c r="AI147" s="612"/>
      <c r="AJ147" s="621"/>
      <c r="AK147" s="2"/>
      <c r="AL147" s="2"/>
    </row>
    <row r="148" spans="1:38">
      <c r="A148" s="112" t="s">
        <v>463</v>
      </c>
      <c r="B148" s="694">
        <v>3.47</v>
      </c>
      <c r="C148" s="547">
        <v>0</v>
      </c>
      <c r="D148" s="545">
        <v>0</v>
      </c>
      <c r="E148" s="367">
        <f t="shared" si="34"/>
        <v>0</v>
      </c>
      <c r="F148" s="528">
        <v>0</v>
      </c>
      <c r="G148" s="367">
        <f t="shared" si="35"/>
        <v>0</v>
      </c>
      <c r="H148" s="528"/>
      <c r="I148" s="367">
        <f t="shared" si="36"/>
        <v>0</v>
      </c>
      <c r="J148" s="817"/>
      <c r="K148" s="749"/>
      <c r="L148" s="528">
        <v>3.0647168637212195E-2</v>
      </c>
      <c r="M148" s="367">
        <f t="shared" si="38"/>
        <v>0.10634567517112632</v>
      </c>
      <c r="N148" s="817"/>
      <c r="O148" s="749"/>
      <c r="P148" s="368"/>
      <c r="Q148" s="368"/>
      <c r="R148" s="111"/>
      <c r="S148" s="111"/>
      <c r="T148" s="111"/>
      <c r="U148" s="111"/>
      <c r="V148" s="111"/>
      <c r="W148" s="111"/>
      <c r="X148" s="111"/>
      <c r="Y148" s="111"/>
      <c r="AB148" s="657"/>
      <c r="AC148" s="612"/>
      <c r="AD148" s="614"/>
      <c r="AE148" s="662"/>
      <c r="AF148" s="621"/>
      <c r="AG148" s="612"/>
      <c r="AH148" s="612"/>
      <c r="AI148" s="612"/>
      <c r="AJ148" s="621"/>
      <c r="AK148" s="2"/>
      <c r="AL148" s="2"/>
    </row>
    <row r="149" spans="1:38" ht="15.75" thickBot="1">
      <c r="A149" s="112" t="s">
        <v>461</v>
      </c>
      <c r="B149" s="694">
        <v>3.83</v>
      </c>
      <c r="C149" s="549">
        <v>0</v>
      </c>
      <c r="D149" s="545">
        <v>0</v>
      </c>
      <c r="E149" s="367">
        <f t="shared" si="34"/>
        <v>0</v>
      </c>
      <c r="F149" s="528">
        <v>0</v>
      </c>
      <c r="G149" s="367">
        <f t="shared" si="35"/>
        <v>0</v>
      </c>
      <c r="H149" s="528"/>
      <c r="I149" s="367">
        <f t="shared" si="36"/>
        <v>0</v>
      </c>
      <c r="J149" s="817"/>
      <c r="K149" s="749"/>
      <c r="L149" s="528">
        <v>0.14981331673926571</v>
      </c>
      <c r="M149" s="367">
        <f t="shared" si="38"/>
        <v>0.57378500311138769</v>
      </c>
      <c r="N149" s="817"/>
      <c r="O149" s="749"/>
      <c r="P149" s="368"/>
      <c r="Q149" s="368"/>
      <c r="R149" s="111"/>
      <c r="S149" s="111"/>
      <c r="T149" s="111"/>
      <c r="U149" s="111"/>
      <c r="V149" s="111"/>
      <c r="W149" s="111"/>
      <c r="X149" s="111"/>
      <c r="Y149" s="111"/>
      <c r="AB149" s="657"/>
      <c r="AC149" s="612"/>
      <c r="AD149" s="614"/>
      <c r="AE149" s="662"/>
      <c r="AF149" s="621"/>
      <c r="AG149" s="612"/>
      <c r="AH149" s="612"/>
      <c r="AI149" s="612"/>
      <c r="AJ149" s="621"/>
      <c r="AK149" s="2"/>
      <c r="AL149" s="2"/>
    </row>
    <row r="150" spans="1:38">
      <c r="A150" s="112"/>
      <c r="B150" s="802"/>
      <c r="C150" s="803"/>
      <c r="D150" s="804"/>
      <c r="E150" s="367"/>
      <c r="F150" s="804"/>
      <c r="G150" s="367"/>
      <c r="H150" s="804"/>
      <c r="I150" s="367"/>
      <c r="J150" s="805"/>
      <c r="K150" s="367"/>
      <c r="L150" s="804"/>
      <c r="M150" s="367"/>
      <c r="N150" s="804"/>
      <c r="O150" s="367"/>
      <c r="P150" s="368"/>
      <c r="Q150" s="368"/>
      <c r="R150" s="111"/>
      <c r="S150" s="111"/>
      <c r="T150" s="111"/>
      <c r="U150" s="111"/>
      <c r="V150" s="111"/>
      <c r="W150" s="111"/>
      <c r="X150" s="111"/>
      <c r="Y150" s="111"/>
      <c r="AB150" s="780"/>
      <c r="AD150" s="111"/>
      <c r="AG150" s="427"/>
      <c r="AK150" s="2"/>
      <c r="AL150" s="2"/>
    </row>
    <row r="151" spans="1:38">
      <c r="A151" s="23" t="s">
        <v>249</v>
      </c>
      <c r="D151" s="677"/>
      <c r="E151" s="541" t="s">
        <v>250</v>
      </c>
      <c r="F151" s="33"/>
      <c r="G151" s="541" t="s">
        <v>250</v>
      </c>
      <c r="H151" s="753"/>
      <c r="I151" s="754" t="s">
        <v>250</v>
      </c>
      <c r="J151" s="753"/>
      <c r="K151" s="754" t="s">
        <v>250</v>
      </c>
      <c r="L151" s="30"/>
      <c r="M151" s="541" t="s">
        <v>250</v>
      </c>
      <c r="N151" s="753"/>
      <c r="O151" s="754" t="s">
        <v>250</v>
      </c>
      <c r="P151" s="368"/>
      <c r="Q151" s="368"/>
      <c r="R151" s="111"/>
      <c r="S151" s="111"/>
      <c r="T151" s="111"/>
      <c r="U151" s="111"/>
      <c r="V151" s="111"/>
      <c r="W151" s="111"/>
      <c r="X151" s="111"/>
      <c r="Y151" s="111"/>
      <c r="AB151" s="657"/>
      <c r="AC151" s="612"/>
      <c r="AD151" s="614"/>
      <c r="AE151" s="658"/>
      <c r="AF151" s="659"/>
      <c r="AG151" s="612"/>
      <c r="AH151" s="612"/>
      <c r="AI151" s="612"/>
      <c r="AJ151" s="612"/>
      <c r="AK151" s="2"/>
      <c r="AL151" s="2"/>
    </row>
    <row r="152" spans="1:38">
      <c r="A152" s="112" t="s">
        <v>363</v>
      </c>
      <c r="D152" s="677"/>
      <c r="E152" s="275">
        <f>SUM(E127:E137)</f>
        <v>0.34423291139240503</v>
      </c>
      <c r="F152" s="33"/>
      <c r="G152" s="275">
        <f>SUM(G127:G137)</f>
        <v>0.63341570595150953</v>
      </c>
      <c r="H152" s="753"/>
      <c r="I152" s="748">
        <f>SUM(I127:I137)</f>
        <v>0.46844430140382232</v>
      </c>
      <c r="J152" s="753"/>
      <c r="K152" s="748">
        <f>SUM(K127:K137)</f>
        <v>1.8986683937823836</v>
      </c>
      <c r="L152" s="30"/>
      <c r="M152" s="275">
        <f>SUM(M127:M137)</f>
        <v>0.28401991288114498</v>
      </c>
      <c r="N152" s="753"/>
      <c r="O152" s="748">
        <f>SUM(O127:O137)</f>
        <v>0</v>
      </c>
      <c r="P152" s="368"/>
      <c r="Q152" s="368"/>
      <c r="R152" s="111"/>
      <c r="S152" s="111"/>
      <c r="T152" s="111"/>
      <c r="U152" s="111"/>
      <c r="V152" s="111"/>
      <c r="W152" s="111"/>
      <c r="X152" s="111"/>
      <c r="Y152" s="111"/>
      <c r="AB152" s="657"/>
      <c r="AC152" s="612"/>
      <c r="AD152" s="614"/>
      <c r="AE152" s="658"/>
      <c r="AF152" s="659"/>
      <c r="AG152" s="612"/>
      <c r="AH152" s="612"/>
      <c r="AI152" s="612"/>
      <c r="AJ152" s="612"/>
      <c r="AK152" s="2"/>
      <c r="AL152" s="2"/>
    </row>
    <row r="153" spans="1:38">
      <c r="A153" s="112" t="s">
        <v>36</v>
      </c>
      <c r="D153" s="677"/>
      <c r="E153" s="375">
        <f>SUM(E138:E138)</f>
        <v>5.6514118792599814E-2</v>
      </c>
      <c r="F153" s="33"/>
      <c r="G153" s="375">
        <f>SUM(G138:G138)</f>
        <v>3.9874792780402686E-2</v>
      </c>
      <c r="H153" s="753"/>
      <c r="I153" s="755">
        <f>SUM(I138:I138)</f>
        <v>0</v>
      </c>
      <c r="J153" s="753"/>
      <c r="K153" s="755">
        <f>SUM(K138:K138)</f>
        <v>4.7621819999999995E-2</v>
      </c>
      <c r="L153" s="30"/>
      <c r="M153" s="375">
        <f>SUM(M138:M138)</f>
        <v>0</v>
      </c>
      <c r="N153" s="753"/>
      <c r="O153" s="755">
        <f>SUM(O138:O138)</f>
        <v>0</v>
      </c>
      <c r="P153" s="368"/>
      <c r="Q153" s="368"/>
      <c r="R153" s="111"/>
      <c r="S153" s="111"/>
      <c r="T153" s="111"/>
      <c r="U153" s="111"/>
      <c r="V153" s="111"/>
      <c r="W153" s="111"/>
      <c r="X153" s="111"/>
      <c r="Y153" s="111"/>
      <c r="AB153" s="657"/>
      <c r="AC153" s="612"/>
      <c r="AD153" s="614"/>
      <c r="AE153" s="658"/>
      <c r="AF153" s="659"/>
      <c r="AG153" s="612"/>
      <c r="AH153" s="612"/>
      <c r="AI153" s="612"/>
      <c r="AJ153" s="612"/>
      <c r="AK153" s="2"/>
      <c r="AL153" s="2"/>
    </row>
    <row r="154" spans="1:38">
      <c r="A154" s="112" t="s">
        <v>147</v>
      </c>
      <c r="D154" s="374"/>
      <c r="E154" s="377">
        <f>SUM(E139:E149)</f>
        <v>1.1303472898409607E-2</v>
      </c>
      <c r="F154" s="33"/>
      <c r="G154" s="377">
        <f>SUM(G139:G149)</f>
        <v>1.3940159564635509E-2</v>
      </c>
      <c r="H154" s="753"/>
      <c r="I154" s="756">
        <f>SUM(I139:I149)</f>
        <v>6.5721368654694298E-3</v>
      </c>
      <c r="J154" s="753"/>
      <c r="K154" s="756">
        <f>SUM(K139:K149)</f>
        <v>1.0133212500000001E-2</v>
      </c>
      <c r="L154" s="30"/>
      <c r="M154" s="377">
        <f>SUM(M139:M149)</f>
        <v>0.78698195395146242</v>
      </c>
      <c r="N154" s="753"/>
      <c r="O154" s="756">
        <f>SUM(O139:O149)</f>
        <v>0</v>
      </c>
      <c r="P154" s="368"/>
      <c r="Q154" s="368"/>
      <c r="R154" s="111"/>
      <c r="S154" s="111"/>
      <c r="T154" s="111"/>
      <c r="U154" s="111"/>
      <c r="V154" s="111"/>
      <c r="W154" s="111"/>
      <c r="X154" s="111"/>
      <c r="Y154" s="111"/>
      <c r="AB154" s="657"/>
      <c r="AC154" s="612"/>
      <c r="AD154" s="614"/>
      <c r="AE154" s="658"/>
      <c r="AF154" s="659"/>
      <c r="AG154" s="612"/>
      <c r="AH154" s="612"/>
      <c r="AI154" s="612"/>
      <c r="AJ154" s="612"/>
      <c r="AK154" s="2"/>
      <c r="AL154" s="2"/>
    </row>
    <row r="155" spans="1:38">
      <c r="A155" s="353" t="s">
        <v>251</v>
      </c>
      <c r="D155" s="371"/>
      <c r="E155" s="379">
        <f>SUM(E152:E154)</f>
        <v>0.41205050308341445</v>
      </c>
      <c r="F155" s="33"/>
      <c r="G155" s="379">
        <f>SUM(G152:G154)</f>
        <v>0.68723065829654773</v>
      </c>
      <c r="H155" s="753"/>
      <c r="I155" s="757">
        <f>SUM(I152:I154)</f>
        <v>0.47501643826929174</v>
      </c>
      <c r="J155" s="753"/>
      <c r="K155" s="757">
        <f>SUM(K152:K154)</f>
        <v>1.9564234262823836</v>
      </c>
      <c r="L155" s="30"/>
      <c r="M155" s="379">
        <f>SUM(M152:M154)</f>
        <v>1.0710018668326073</v>
      </c>
      <c r="N155" s="753"/>
      <c r="O155" s="757">
        <f>SUM(O152:O154)</f>
        <v>0</v>
      </c>
      <c r="P155" s="368"/>
      <c r="Q155" s="368"/>
      <c r="R155" s="111"/>
      <c r="S155" s="111"/>
      <c r="T155" s="111"/>
      <c r="U155" s="111"/>
      <c r="V155" s="111"/>
      <c r="W155" s="111"/>
      <c r="X155" s="111"/>
      <c r="Y155" s="111"/>
      <c r="AB155" s="657"/>
      <c r="AC155" s="612"/>
      <c r="AD155" s="614"/>
      <c r="AE155" s="658"/>
      <c r="AF155" s="659"/>
      <c r="AG155" s="612"/>
      <c r="AH155" s="663"/>
      <c r="AI155" s="612"/>
      <c r="AJ155" s="663"/>
      <c r="AK155" s="2"/>
      <c r="AL155" s="2"/>
    </row>
    <row r="156" spans="1:38">
      <c r="A156" s="491" t="s">
        <v>389</v>
      </c>
      <c r="D156" s="371"/>
      <c r="E156" s="379"/>
      <c r="F156" s="33"/>
      <c r="G156" s="379"/>
      <c r="H156" s="33"/>
      <c r="I156" s="379"/>
      <c r="J156" s="33"/>
      <c r="K156" s="379"/>
      <c r="L156" s="30"/>
      <c r="M156" s="379"/>
      <c r="N156" s="33"/>
      <c r="O156" s="379"/>
      <c r="AB156" s="612"/>
      <c r="AC156" s="612"/>
      <c r="AD156" s="612"/>
      <c r="AE156" s="658"/>
      <c r="AF156" s="660"/>
      <c r="AG156" s="612"/>
      <c r="AH156" s="660"/>
      <c r="AI156" s="612"/>
      <c r="AJ156" s="660"/>
      <c r="AK156" s="2"/>
      <c r="AL156" s="2"/>
    </row>
    <row r="157" spans="1:38">
      <c r="A157" s="492" t="s">
        <v>390</v>
      </c>
      <c r="D157" s="371"/>
      <c r="E157" s="379"/>
      <c r="F157" s="33"/>
      <c r="G157" s="379"/>
      <c r="H157" s="33"/>
      <c r="I157" s="379"/>
      <c r="J157" s="33"/>
      <c r="K157" s="379"/>
      <c r="L157" s="30"/>
      <c r="M157" s="379"/>
      <c r="N157" s="33"/>
      <c r="O157" s="379"/>
      <c r="P157" s="26"/>
      <c r="Q157" s="26"/>
      <c r="AK157" s="2"/>
      <c r="AL157" s="2"/>
    </row>
    <row r="158" spans="1:38" ht="12.75">
      <c r="A158" s="381"/>
      <c r="C158" s="41"/>
      <c r="D158" s="59"/>
      <c r="E158" s="42"/>
      <c r="F158" s="382"/>
      <c r="G158" s="383"/>
      <c r="H158" s="382"/>
      <c r="I158" s="383"/>
      <c r="J158" s="59"/>
      <c r="K158" s="42"/>
      <c r="L158" s="84"/>
      <c r="M158" s="87"/>
      <c r="N158" s="84"/>
      <c r="O158" s="87"/>
      <c r="P158" s="63"/>
      <c r="Q158" s="63"/>
      <c r="AK158" s="2"/>
      <c r="AL158" s="2"/>
    </row>
    <row r="159" spans="1:38" ht="12.75">
      <c r="A159" s="8"/>
      <c r="B159" s="1"/>
      <c r="C159" s="1"/>
      <c r="D159" s="1"/>
      <c r="E159" s="39"/>
      <c r="F159" s="43"/>
      <c r="G159" s="1"/>
      <c r="H159" s="806"/>
      <c r="P159" s="376"/>
      <c r="Q159" s="376"/>
      <c r="AK159" s="2"/>
      <c r="AL159" s="2"/>
    </row>
    <row r="160" spans="1:38">
      <c r="A160" s="385" t="s">
        <v>51</v>
      </c>
      <c r="B160" s="406"/>
      <c r="C160" s="406"/>
      <c r="D160" s="406"/>
      <c r="E160" s="406"/>
      <c r="F160" s="406"/>
      <c r="G160" s="406"/>
      <c r="H160" s="807"/>
      <c r="I160" s="406"/>
      <c r="J160" s="807"/>
      <c r="K160" s="406"/>
      <c r="L160" s="406"/>
      <c r="M160" s="406"/>
      <c r="N160" s="406"/>
      <c r="O160" s="407"/>
      <c r="P160" s="380"/>
      <c r="Q160" s="380"/>
      <c r="AK160" s="2"/>
      <c r="AL160" s="2"/>
    </row>
    <row r="161" spans="1:38">
      <c r="A161" s="30"/>
      <c r="F161" s="1"/>
      <c r="G161" s="1"/>
      <c r="H161" s="789"/>
      <c r="I161" s="1"/>
      <c r="J161" s="789"/>
      <c r="O161" s="25"/>
      <c r="P161" s="380"/>
      <c r="Q161" s="380"/>
      <c r="AK161" s="2"/>
      <c r="AL161" s="2"/>
    </row>
    <row r="162" spans="1:38">
      <c r="A162" s="30"/>
      <c r="D162" s="847" t="s">
        <v>327</v>
      </c>
      <c r="E162" s="848"/>
      <c r="F162" s="847" t="s">
        <v>410</v>
      </c>
      <c r="G162" s="848"/>
      <c r="H162" s="847" t="s">
        <v>329</v>
      </c>
      <c r="I162" s="848"/>
      <c r="J162" s="847" t="s">
        <v>330</v>
      </c>
      <c r="K162" s="848"/>
      <c r="L162" s="847" t="s">
        <v>328</v>
      </c>
      <c r="M162" s="848"/>
      <c r="N162" s="852" t="s">
        <v>332</v>
      </c>
      <c r="O162" s="853"/>
      <c r="P162" s="380"/>
      <c r="Q162" s="380"/>
      <c r="AK162" s="2"/>
      <c r="AL162" s="2"/>
    </row>
    <row r="163" spans="1:38" ht="13.15" customHeight="1">
      <c r="A163" s="30"/>
      <c r="B163" s="26" t="s">
        <v>252</v>
      </c>
      <c r="D163" s="387" t="s">
        <v>253</v>
      </c>
      <c r="E163" s="72" t="s">
        <v>245</v>
      </c>
      <c r="F163" s="387" t="s">
        <v>253</v>
      </c>
      <c r="G163" s="72" t="s">
        <v>245</v>
      </c>
      <c r="H163" s="387" t="s">
        <v>253</v>
      </c>
      <c r="I163" s="72" t="s">
        <v>245</v>
      </c>
      <c r="J163" s="386" t="s">
        <v>253</v>
      </c>
      <c r="K163" s="72" t="s">
        <v>245</v>
      </c>
      <c r="L163" s="386" t="s">
        <v>253</v>
      </c>
      <c r="M163" s="72" t="s">
        <v>245</v>
      </c>
      <c r="N163" s="682" t="s">
        <v>253</v>
      </c>
      <c r="O163" s="684" t="s">
        <v>245</v>
      </c>
      <c r="AC163" s="262"/>
      <c r="AE163" s="384"/>
      <c r="AG163" s="262"/>
      <c r="AI163" s="262"/>
      <c r="AK163" s="2"/>
      <c r="AL163" s="2"/>
    </row>
    <row r="164" spans="1:38">
      <c r="A164" s="30" t="s">
        <v>254</v>
      </c>
      <c r="B164" s="695">
        <v>0.29799999999999999</v>
      </c>
      <c r="C164" s="560"/>
      <c r="D164" s="820">
        <f>35552/1262940</f>
        <v>2.81501892409774E-2</v>
      </c>
      <c r="E164" s="389">
        <f>D164*$B164</f>
        <v>8.3887563938112655E-3</v>
      </c>
      <c r="F164" s="820">
        <f>126244/3572240</f>
        <v>3.5340290685956149E-2</v>
      </c>
      <c r="G164" s="389">
        <f>F164*$B164</f>
        <v>1.0531406624414931E-2</v>
      </c>
      <c r="H164" s="820">
        <f>5868/198210</f>
        <v>2.9604964431663387E-2</v>
      </c>
      <c r="I164" s="389">
        <f>H164*$B164</f>
        <v>8.8222794006356884E-3</v>
      </c>
      <c r="J164" s="820">
        <f>9968.531/160460</f>
        <v>6.2124710208151572E-2</v>
      </c>
      <c r="K164" s="389">
        <f>J164*$B164</f>
        <v>1.8513163642029169E-2</v>
      </c>
      <c r="L164" s="820">
        <f>12512/422600</f>
        <v>2.9607193563653572E-2</v>
      </c>
      <c r="M164" s="389">
        <f>L164*$B164</f>
        <v>8.8229436819687642E-3</v>
      </c>
      <c r="N164" s="685">
        <f>3724.874/98480</f>
        <v>3.7823659626320061E-2</v>
      </c>
      <c r="O164" s="687">
        <f>N164*$B164</f>
        <v>1.1271450568643378E-2</v>
      </c>
      <c r="AC164" s="262"/>
      <c r="AE164" s="384"/>
      <c r="AG164" s="262"/>
      <c r="AI164" s="262"/>
      <c r="AK164" s="2"/>
      <c r="AL164" s="2"/>
    </row>
    <row r="165" spans="1:38" ht="16.5">
      <c r="A165" s="30" t="s">
        <v>255</v>
      </c>
      <c r="B165" s="695">
        <v>5.2729999999999997</v>
      </c>
      <c r="C165" s="9"/>
      <c r="D165" s="820">
        <f>426/1262940</f>
        <v>3.3730818566202669E-4</v>
      </c>
      <c r="E165" s="392">
        <f>D165*$B165</f>
        <v>1.7786260629958667E-3</v>
      </c>
      <c r="F165" s="820">
        <f>1233/3572240</f>
        <v>3.4516157928918549E-4</v>
      </c>
      <c r="G165" s="392">
        <f>F165*$B165</f>
        <v>1.8200370075918751E-3</v>
      </c>
      <c r="H165" s="820">
        <f>143/198210</f>
        <v>7.2145704051258764E-4</v>
      </c>
      <c r="I165" s="392">
        <f>H165*$B165</f>
        <v>3.8042429746228744E-3</v>
      </c>
      <c r="J165" s="820">
        <f>38/160460</f>
        <v>2.3681914495824504E-4</v>
      </c>
      <c r="K165" s="392">
        <f>J165*$B165</f>
        <v>1.248747351364826E-3</v>
      </c>
      <c r="L165" s="820">
        <f>306/422600</f>
        <v>7.2408897302413632E-4</v>
      </c>
      <c r="M165" s="392">
        <f>L165*$B165</f>
        <v>3.8181211547562706E-3</v>
      </c>
      <c r="N165" s="685">
        <f>(63224/98480)/1000</f>
        <v>6.4199837530463032E-4</v>
      </c>
      <c r="O165" s="689">
        <f>N165*$B165</f>
        <v>3.3852574329813153E-3</v>
      </c>
      <c r="AK165" s="2"/>
      <c r="AL165" s="2"/>
    </row>
    <row r="166" spans="1:38">
      <c r="A166" s="30" t="s">
        <v>256</v>
      </c>
      <c r="B166" s="394"/>
      <c r="D166" s="395"/>
      <c r="E166" s="396">
        <f>SUM(E164:E165)</f>
        <v>1.0167382456807133E-2</v>
      </c>
      <c r="F166" s="395"/>
      <c r="G166" s="396">
        <f>SUM(G164:G165)</f>
        <v>1.2351443632006806E-2</v>
      </c>
      <c r="H166" s="395"/>
      <c r="I166" s="396">
        <f>SUM(I164:I165)</f>
        <v>1.2626522375258563E-2</v>
      </c>
      <c r="J166" s="395"/>
      <c r="K166" s="396">
        <f>SUM(K164:K165)</f>
        <v>1.9761910993393996E-2</v>
      </c>
      <c r="L166" s="395"/>
      <c r="M166" s="396">
        <f>SUM(M164:M165)</f>
        <v>1.2641064836725035E-2</v>
      </c>
      <c r="N166" s="690"/>
      <c r="O166" s="692">
        <f>SUM(O164:O165)</f>
        <v>1.4656708001624693E-2</v>
      </c>
      <c r="P166" s="5"/>
      <c r="Q166" s="5"/>
      <c r="R166" s="5"/>
      <c r="S166" s="5"/>
      <c r="V166" s="5"/>
      <c r="W166" s="5"/>
      <c r="X166" s="5"/>
      <c r="AK166" s="2"/>
      <c r="AL166" s="2"/>
    </row>
    <row r="167" spans="1:38" ht="12.75">
      <c r="A167" s="30"/>
      <c r="B167" s="1"/>
      <c r="D167" s="59"/>
      <c r="E167" s="41"/>
      <c r="F167" s="41"/>
      <c r="G167" s="41"/>
      <c r="H167" s="41"/>
      <c r="I167" s="41"/>
      <c r="J167" s="85"/>
      <c r="K167" s="85"/>
      <c r="L167" s="85"/>
      <c r="M167" s="85"/>
      <c r="N167" s="708"/>
      <c r="O167" s="801"/>
      <c r="P167" s="539"/>
      <c r="R167" s="846"/>
      <c r="S167" s="846"/>
      <c r="V167" s="1"/>
      <c r="W167" s="1"/>
      <c r="X167" s="1"/>
      <c r="AK167" s="2"/>
      <c r="AL167" s="2"/>
    </row>
    <row r="168" spans="1:38" ht="15" customHeight="1">
      <c r="A168" s="30"/>
      <c r="F168" s="1"/>
      <c r="G168" s="1"/>
      <c r="H168" s="1"/>
      <c r="I168" s="1"/>
      <c r="O168" s="25"/>
      <c r="P168" s="539"/>
      <c r="R168" s="846"/>
      <c r="S168" s="846"/>
      <c r="V168" s="1"/>
      <c r="W168" s="1"/>
      <c r="X168" s="1"/>
      <c r="AK168" s="2"/>
      <c r="AL168" s="2"/>
    </row>
    <row r="169" spans="1:38">
      <c r="A169" s="30"/>
      <c r="D169" s="847" t="s">
        <v>322</v>
      </c>
      <c r="E169" s="848"/>
      <c r="F169" s="847" t="s">
        <v>333</v>
      </c>
      <c r="G169" s="848"/>
      <c r="H169" s="852" t="s">
        <v>400</v>
      </c>
      <c r="I169" s="853"/>
      <c r="J169" s="852" t="s">
        <v>335</v>
      </c>
      <c r="K169" s="853"/>
      <c r="L169" s="847" t="s">
        <v>449</v>
      </c>
      <c r="M169" s="848"/>
      <c r="N169" s="852" t="s">
        <v>407</v>
      </c>
      <c r="O169" s="853"/>
      <c r="P169" s="539"/>
      <c r="R169" s="846"/>
      <c r="S169" s="846"/>
      <c r="V169" s="29"/>
      <c r="W169" s="1"/>
      <c r="X169" s="1"/>
      <c r="AA169" s="285"/>
      <c r="AK169" s="2"/>
      <c r="AL169" s="2"/>
    </row>
    <row r="170" spans="1:38" ht="30">
      <c r="A170" s="30"/>
      <c r="B170" s="26" t="s">
        <v>252</v>
      </c>
      <c r="D170" s="386" t="s">
        <v>253</v>
      </c>
      <c r="E170" s="72" t="s">
        <v>245</v>
      </c>
      <c r="F170" s="387" t="s">
        <v>253</v>
      </c>
      <c r="G170" s="72" t="s">
        <v>245</v>
      </c>
      <c r="H170" s="693" t="s">
        <v>253</v>
      </c>
      <c r="I170" s="683" t="s">
        <v>245</v>
      </c>
      <c r="J170" s="682" t="s">
        <v>253</v>
      </c>
      <c r="K170" s="683" t="s">
        <v>245</v>
      </c>
      <c r="L170" s="386" t="s">
        <v>253</v>
      </c>
      <c r="M170" s="72" t="s">
        <v>245</v>
      </c>
      <c r="N170" s="682" t="s">
        <v>253</v>
      </c>
      <c r="O170" s="684" t="s">
        <v>245</v>
      </c>
      <c r="P170" s="539"/>
      <c r="R170" s="846"/>
      <c r="S170" s="846"/>
      <c r="V170" s="1"/>
      <c r="W170" s="1"/>
      <c r="X170" s="1"/>
      <c r="AA170" s="785"/>
      <c r="AB170" s="785"/>
      <c r="AC170" s="593"/>
      <c r="AD170" s="593"/>
      <c r="AE170" s="593"/>
      <c r="AF170" s="786"/>
      <c r="AK170" s="2"/>
      <c r="AL170" s="2"/>
    </row>
    <row r="171" spans="1:38">
      <c r="A171" s="30" t="s">
        <v>254</v>
      </c>
      <c r="B171" s="695">
        <v>0.29799999999999999</v>
      </c>
      <c r="D171" s="820">
        <f>4995/123240</f>
        <v>4.0530671859785782E-2</v>
      </c>
      <c r="E171" s="389">
        <f>D171*$B171</f>
        <v>1.2078140214216162E-2</v>
      </c>
      <c r="F171" s="820">
        <f>62855/1352430</f>
        <v>4.6475603173546876E-2</v>
      </c>
      <c r="G171" s="389">
        <f>F171*$B171</f>
        <v>1.3849729745716969E-2</v>
      </c>
      <c r="H171" s="685">
        <f>194578.989/6033070</f>
        <v>3.225206884720383E-2</v>
      </c>
      <c r="I171" s="686">
        <f>H171*$B171</f>
        <v>9.6111165164667403E-3</v>
      </c>
      <c r="J171" s="685">
        <f>$D$164</f>
        <v>2.81501892409774E-2</v>
      </c>
      <c r="K171" s="686">
        <f>J171*$B171</f>
        <v>8.3887563938112655E-3</v>
      </c>
      <c r="L171" s="820">
        <v>0.15479153702551338</v>
      </c>
      <c r="M171" s="389">
        <f>L171*$B171</f>
        <v>4.6127878033602986E-2</v>
      </c>
      <c r="N171" s="685">
        <v>0</v>
      </c>
      <c r="O171" s="687">
        <f>N171*$B171</f>
        <v>0</v>
      </c>
      <c r="P171" s="539"/>
      <c r="R171" s="846"/>
      <c r="S171" s="846"/>
      <c r="V171" s="29"/>
      <c r="W171" s="1"/>
      <c r="X171" s="1"/>
      <c r="AA171" s="785"/>
      <c r="AB171" s="785"/>
      <c r="AC171" s="593"/>
      <c r="AD171" s="593"/>
      <c r="AE171" s="593"/>
      <c r="AF171" s="786"/>
      <c r="AK171" s="2"/>
      <c r="AL171" s="2"/>
    </row>
    <row r="172" spans="1:38" ht="16.5">
      <c r="A172" s="30" t="s">
        <v>255</v>
      </c>
      <c r="B172" s="695">
        <v>5.2729999999999997</v>
      </c>
      <c r="D172" s="820">
        <f>37/123240</f>
        <v>3.0022719896137615E-4</v>
      </c>
      <c r="E172" s="392">
        <f>D172*$B172</f>
        <v>1.5830980201233364E-3</v>
      </c>
      <c r="F172" s="820">
        <f>694/1352430</f>
        <v>5.1315040334804754E-4</v>
      </c>
      <c r="G172" s="392">
        <f>F172*$B172</f>
        <v>2.7058420768542547E-3</v>
      </c>
      <c r="H172" s="685">
        <f>(1539718/6033070)/1000</f>
        <v>2.5521301758474541E-4</v>
      </c>
      <c r="I172" s="688">
        <f>H172*$B172</f>
        <v>1.3457382417243625E-3</v>
      </c>
      <c r="J172" s="685">
        <f>$D$165</f>
        <v>3.3730818566202669E-4</v>
      </c>
      <c r="K172" s="688">
        <f>J172*$B172</f>
        <v>1.7786260629958667E-3</v>
      </c>
      <c r="L172" s="820">
        <v>3.8892345986309894E-4</v>
      </c>
      <c r="M172" s="392">
        <f>L172*$B172</f>
        <v>2.0507934038581205E-3</v>
      </c>
      <c r="N172" s="685">
        <v>0</v>
      </c>
      <c r="O172" s="689">
        <f>N172*$B172</f>
        <v>0</v>
      </c>
      <c r="P172" s="276"/>
      <c r="R172" s="276"/>
      <c r="V172" s="1"/>
      <c r="W172" s="1"/>
      <c r="X172" s="1"/>
      <c r="AA172" s="593"/>
      <c r="AB172" s="593"/>
      <c r="AC172" s="593"/>
      <c r="AD172" s="593"/>
      <c r="AE172" s="593"/>
      <c r="AF172" s="593"/>
      <c r="AK172" s="2"/>
      <c r="AL172" s="2"/>
    </row>
    <row r="173" spans="1:38">
      <c r="A173" s="30" t="s">
        <v>256</v>
      </c>
      <c r="B173" s="394"/>
      <c r="D173" s="395"/>
      <c r="E173" s="396">
        <f>SUM(E171:E172)</f>
        <v>1.3661238234339498E-2</v>
      </c>
      <c r="F173" s="395"/>
      <c r="G173" s="396">
        <f>SUM(G171:G172)</f>
        <v>1.6555571822571225E-2</v>
      </c>
      <c r="H173" s="690"/>
      <c r="I173" s="691">
        <f>SUM(I171:I172)</f>
        <v>1.0956854758191102E-2</v>
      </c>
      <c r="J173" s="690"/>
      <c r="K173" s="691">
        <f>SUM(K171:K172)</f>
        <v>1.0167382456807133E-2</v>
      </c>
      <c r="L173" s="395"/>
      <c r="M173" s="396">
        <f>SUM(M171:M172)</f>
        <v>4.8178671437461108E-2</v>
      </c>
      <c r="N173" s="690"/>
      <c r="O173" s="692">
        <f>SUM(O171:O172)</f>
        <v>0</v>
      </c>
      <c r="P173" s="539"/>
      <c r="R173" s="846"/>
      <c r="S173" s="846"/>
      <c r="V173" s="1"/>
      <c r="W173" s="1"/>
      <c r="X173" s="1"/>
      <c r="AA173" s="593"/>
      <c r="AB173" s="593"/>
      <c r="AC173" s="593"/>
      <c r="AD173" s="593"/>
      <c r="AE173" s="593"/>
      <c r="AF173" s="593"/>
      <c r="AK173" s="2"/>
      <c r="AL173" s="2"/>
    </row>
    <row r="174" spans="1:38" ht="12.75">
      <c r="A174" s="30"/>
      <c r="B174" s="1"/>
      <c r="D174" s="59"/>
      <c r="E174" s="41"/>
      <c r="F174" s="41"/>
      <c r="G174" s="41"/>
      <c r="H174" s="41"/>
      <c r="I174" s="41"/>
      <c r="J174" s="85"/>
      <c r="K174" s="85"/>
      <c r="L174" s="85"/>
      <c r="M174" s="85"/>
      <c r="N174" s="85"/>
      <c r="O174" s="87"/>
      <c r="P174" s="539"/>
      <c r="R174" s="846"/>
      <c r="S174" s="846"/>
      <c r="V174" s="1"/>
      <c r="W174" s="1"/>
      <c r="X174" s="1"/>
      <c r="AA174" s="593"/>
      <c r="AB174" s="593"/>
      <c r="AC174" s="593"/>
      <c r="AD174" s="593"/>
      <c r="AE174" s="593"/>
      <c r="AF174" s="593"/>
      <c r="AK174" s="2"/>
      <c r="AL174" s="2"/>
    </row>
    <row r="175" spans="1:38" ht="12.75">
      <c r="A175" s="59"/>
      <c r="B175" s="41"/>
      <c r="C175" s="41"/>
      <c r="D175" s="41"/>
      <c r="E175" s="41"/>
      <c r="F175" s="41"/>
      <c r="G175" s="41"/>
      <c r="H175" s="41"/>
      <c r="I175" s="41"/>
      <c r="J175" s="85"/>
      <c r="K175" s="85"/>
      <c r="L175" s="85"/>
      <c r="M175" s="85"/>
      <c r="N175" s="85"/>
      <c r="O175" s="87"/>
      <c r="P175" s="539"/>
      <c r="R175" s="846"/>
      <c r="S175" s="846"/>
      <c r="V175" s="1"/>
      <c r="W175" s="1"/>
      <c r="X175" s="1"/>
      <c r="AA175" s="593"/>
      <c r="AB175" s="593"/>
      <c r="AC175" s="593"/>
      <c r="AD175" s="593"/>
      <c r="AE175" s="593"/>
      <c r="AF175" s="593"/>
      <c r="AK175" s="2"/>
      <c r="AL175" s="2"/>
    </row>
    <row r="176" spans="1:38" ht="12.75">
      <c r="A176" s="1"/>
      <c r="B176" s="1"/>
      <c r="C176" s="1"/>
      <c r="D176" s="1"/>
      <c r="E176" s="1"/>
      <c r="F176" s="1"/>
      <c r="G176" s="1"/>
      <c r="H176" s="1"/>
      <c r="P176" s="539"/>
      <c r="R176" s="846"/>
      <c r="S176" s="846"/>
      <c r="V176" s="29"/>
      <c r="W176" s="1"/>
      <c r="X176" s="1"/>
      <c r="AA176" s="787"/>
      <c r="AB176" s="593"/>
      <c r="AC176" s="593"/>
      <c r="AD176" s="593"/>
      <c r="AE176" s="593"/>
      <c r="AF176" s="593"/>
      <c r="AK176" s="2"/>
      <c r="AL176" s="2"/>
    </row>
    <row r="177" spans="1:38" ht="12.75">
      <c r="A177" s="1"/>
      <c r="B177" s="1"/>
      <c r="C177" s="1"/>
      <c r="D177" s="1"/>
      <c r="E177" s="1"/>
      <c r="F177" s="1"/>
      <c r="G177" s="1"/>
      <c r="H177" s="1"/>
      <c r="P177" s="539"/>
      <c r="R177" s="846"/>
      <c r="S177" s="846"/>
      <c r="V177" s="1"/>
      <c r="W177" s="1"/>
      <c r="X177" s="1"/>
      <c r="AA177" s="785"/>
      <c r="AB177" s="785"/>
      <c r="AC177" s="593"/>
      <c r="AD177" s="593"/>
      <c r="AE177" s="593"/>
      <c r="AF177" s="786"/>
      <c r="AK177" s="2"/>
      <c r="AL177" s="2"/>
    </row>
    <row r="178" spans="1:38" ht="12.75">
      <c r="A178" s="385" t="s">
        <v>259</v>
      </c>
      <c r="B178" s="808"/>
      <c r="C178" s="809" t="s">
        <v>359</v>
      </c>
      <c r="D178" s="809"/>
      <c r="E178" s="406"/>
      <c r="F178" s="406"/>
      <c r="G178" s="406"/>
      <c r="H178" s="407"/>
      <c r="P178" s="539"/>
      <c r="R178" s="846"/>
      <c r="S178" s="846"/>
      <c r="V178" s="29"/>
      <c r="W178" s="1"/>
      <c r="X178" s="1"/>
      <c r="AA178" s="785"/>
      <c r="AB178" s="785"/>
      <c r="AC178" s="593"/>
      <c r="AD178" s="593"/>
      <c r="AE178" s="593"/>
      <c r="AF178" s="786"/>
      <c r="AK178" s="2"/>
      <c r="AL178" s="2"/>
    </row>
    <row r="179" spans="1:38" ht="12.75">
      <c r="A179" s="30" t="s">
        <v>63</v>
      </c>
      <c r="B179" s="679"/>
      <c r="C179" s="810" t="s">
        <v>360</v>
      </c>
      <c r="D179" s="811" t="s">
        <v>361</v>
      </c>
      <c r="G179" s="490" t="s">
        <v>64</v>
      </c>
      <c r="H179" s="81" t="s">
        <v>261</v>
      </c>
      <c r="M179" s="560"/>
      <c r="P179" s="276"/>
      <c r="R179" s="276"/>
      <c r="V179" s="1"/>
      <c r="W179" s="1"/>
      <c r="X179" s="1"/>
      <c r="AK179" s="2"/>
      <c r="AL179" s="2"/>
    </row>
    <row r="180" spans="1:38" ht="16.5">
      <c r="A180" s="30" t="s">
        <v>395</v>
      </c>
      <c r="B180" s="679">
        <v>27000000</v>
      </c>
      <c r="C180" s="812">
        <f>G180/B180</f>
        <v>9.2592592592592587E-3</v>
      </c>
      <c r="D180" s="813">
        <f>G239</f>
        <v>3.8350000000000002E-2</v>
      </c>
      <c r="E180" s="1"/>
      <c r="F180" s="1"/>
      <c r="G180" s="401">
        <v>250000</v>
      </c>
      <c r="H180" s="402">
        <f>G180/$B$64/1000</f>
        <v>1.6297262059973925E-2</v>
      </c>
      <c r="P180" s="539"/>
      <c r="R180" s="846"/>
      <c r="S180" s="846"/>
      <c r="V180" s="1"/>
      <c r="W180" s="1"/>
      <c r="X180" s="1"/>
      <c r="AK180" s="2"/>
      <c r="AL180" s="2"/>
    </row>
    <row r="181" spans="1:38" ht="12.75">
      <c r="A181" s="33"/>
      <c r="B181" s="1"/>
      <c r="C181" s="1"/>
      <c r="D181" s="1"/>
      <c r="E181" s="1"/>
      <c r="F181" s="1"/>
      <c r="G181" s="1"/>
      <c r="H181" s="403"/>
      <c r="J181" s="789"/>
      <c r="K181" s="789"/>
      <c r="P181" s="1"/>
      <c r="R181" s="846"/>
      <c r="S181" s="846"/>
      <c r="V181" s="1"/>
      <c r="W181" s="1"/>
      <c r="X181" s="1"/>
      <c r="AK181" s="2"/>
      <c r="AL181" s="2"/>
    </row>
    <row r="182" spans="1:38">
      <c r="A182" s="30" t="s">
        <v>264</v>
      </c>
      <c r="C182" s="430" t="s">
        <v>358</v>
      </c>
      <c r="H182" s="313"/>
      <c r="P182" s="1"/>
      <c r="R182" s="846"/>
      <c r="S182" s="846"/>
      <c r="V182" s="29"/>
      <c r="W182" s="1"/>
      <c r="X182" s="1"/>
      <c r="AJ182" s="398"/>
      <c r="AK182" s="2"/>
      <c r="AL182" s="2"/>
    </row>
    <row r="183" spans="1:38" ht="16.5">
      <c r="A183" s="30" t="s">
        <v>265</v>
      </c>
      <c r="C183" s="52">
        <f>G183/12</f>
        <v>1666.6666666666667</v>
      </c>
      <c r="G183" s="401">
        <v>20000</v>
      </c>
      <c r="H183" s="402">
        <f>G183/$B$64/1000</f>
        <v>1.3037809647979139E-3</v>
      </c>
      <c r="J183" s="788"/>
      <c r="K183" s="788"/>
      <c r="P183" s="1"/>
      <c r="R183" s="846"/>
      <c r="S183" s="846"/>
      <c r="V183" s="1"/>
      <c r="W183" s="1"/>
      <c r="X183" s="1"/>
      <c r="AC183" s="638"/>
      <c r="AD183" s="624"/>
      <c r="AE183" s="624"/>
      <c r="AF183" s="639"/>
      <c r="AG183" s="617"/>
      <c r="AH183" s="640"/>
      <c r="AI183" s="652"/>
      <c r="AK183" s="2"/>
      <c r="AL183" s="2"/>
    </row>
    <row r="184" spans="1:38">
      <c r="A184" s="33"/>
      <c r="B184" s="1"/>
      <c r="C184" s="1"/>
      <c r="D184" s="1"/>
      <c r="E184" s="1"/>
      <c r="F184" s="1"/>
      <c r="G184" s="1"/>
      <c r="H184" s="403"/>
      <c r="P184" s="1"/>
      <c r="R184" s="846"/>
      <c r="S184" s="846"/>
      <c r="V184" s="29"/>
      <c r="W184" s="1"/>
      <c r="X184" s="1"/>
      <c r="AC184" s="638"/>
      <c r="AD184" s="624"/>
      <c r="AE184" s="624"/>
      <c r="AF184" s="639"/>
      <c r="AG184" s="617"/>
      <c r="AH184" s="640"/>
      <c r="AI184" s="652"/>
      <c r="AK184" s="2"/>
      <c r="AL184" s="2"/>
    </row>
    <row r="185" spans="1:38">
      <c r="A185" s="30" t="s">
        <v>266</v>
      </c>
      <c r="C185" s="430" t="s">
        <v>358</v>
      </c>
      <c r="H185" s="313"/>
      <c r="P185" s="1"/>
      <c r="R185" s="846"/>
      <c r="S185" s="846"/>
      <c r="V185" s="29"/>
      <c r="W185" s="1"/>
      <c r="X185" s="1"/>
      <c r="AC185" s="638"/>
      <c r="AD185" s="624"/>
      <c r="AE185" s="624"/>
      <c r="AF185" s="639"/>
      <c r="AG185" s="617"/>
      <c r="AH185" s="640"/>
      <c r="AI185" s="652"/>
      <c r="AK185" s="2"/>
      <c r="AL185" s="2"/>
    </row>
    <row r="186" spans="1:38" ht="16.5">
      <c r="A186" s="30" t="s">
        <v>268</v>
      </c>
      <c r="C186" s="52">
        <f>G186/12</f>
        <v>29166.666666666668</v>
      </c>
      <c r="G186" s="401">
        <v>350000</v>
      </c>
      <c r="H186" s="402">
        <f>G186/$B$64/1000</f>
        <v>2.2816166883963495E-2</v>
      </c>
      <c r="J186" s="2" t="s">
        <v>7</v>
      </c>
      <c r="P186" s="5"/>
      <c r="AC186" s="638"/>
      <c r="AD186" s="624"/>
      <c r="AE186" s="624"/>
      <c r="AF186" s="639"/>
      <c r="AG186" s="617"/>
      <c r="AH186" s="640"/>
      <c r="AI186" s="652"/>
      <c r="AK186" s="2"/>
      <c r="AL186" s="2"/>
    </row>
    <row r="187" spans="1:38">
      <c r="A187" s="59"/>
      <c r="B187" s="41"/>
      <c r="C187" s="405"/>
      <c r="D187" s="41"/>
      <c r="E187" s="41"/>
      <c r="F187" s="41"/>
      <c r="G187" s="41"/>
      <c r="H187" s="42"/>
      <c r="Z187" s="404"/>
      <c r="AC187" s="638"/>
      <c r="AD187" s="624"/>
      <c r="AE187" s="624"/>
      <c r="AF187" s="639"/>
      <c r="AG187" s="617"/>
      <c r="AH187" s="640"/>
      <c r="AI187" s="652"/>
      <c r="AK187" s="2"/>
      <c r="AL187" s="2"/>
    </row>
    <row r="188" spans="1:38">
      <c r="A188" s="1"/>
      <c r="B188" s="1"/>
      <c r="C188" s="1"/>
      <c r="D188" s="1"/>
      <c r="E188" s="1"/>
      <c r="F188" s="8"/>
      <c r="G188" s="8"/>
      <c r="H188" s="1"/>
      <c r="AC188" s="638"/>
      <c r="AD188" s="624"/>
      <c r="AE188" s="624"/>
      <c r="AF188" s="639"/>
      <c r="AG188" s="617"/>
      <c r="AH188" s="640"/>
      <c r="AI188" s="652"/>
      <c r="AK188" s="2"/>
      <c r="AL188" s="2"/>
    </row>
    <row r="189" spans="1:38" ht="16.5">
      <c r="A189" s="1"/>
      <c r="B189" s="1"/>
      <c r="C189" s="1"/>
      <c r="D189" s="1"/>
      <c r="E189" s="1"/>
      <c r="F189" s="8"/>
      <c r="G189" s="8"/>
      <c r="H189" s="1"/>
      <c r="AC189" s="643"/>
      <c r="AD189" s="624"/>
      <c r="AE189" s="624"/>
      <c r="AF189" s="639"/>
      <c r="AG189" s="617"/>
      <c r="AH189" s="640"/>
      <c r="AI189" s="652"/>
      <c r="AJ189" s="83"/>
      <c r="AK189" s="2"/>
      <c r="AL189" s="2"/>
    </row>
    <row r="190" spans="1:38" ht="12.75">
      <c r="A190" s="385" t="s">
        <v>269</v>
      </c>
      <c r="B190" s="406"/>
      <c r="C190" s="406"/>
      <c r="D190" s="406"/>
      <c r="E190" s="406"/>
      <c r="F190" s="406"/>
      <c r="G190" s="406"/>
      <c r="H190" s="406"/>
      <c r="I190" s="406"/>
      <c r="J190" s="407"/>
      <c r="K190" s="30"/>
      <c r="Z190" s="404"/>
      <c r="AC190" s="612"/>
      <c r="AD190" s="624"/>
      <c r="AE190" s="624"/>
      <c r="AF190" s="639"/>
      <c r="AG190" s="624"/>
      <c r="AH190" s="624"/>
      <c r="AI190" s="1"/>
      <c r="AK190" s="2"/>
      <c r="AL190" s="2"/>
    </row>
    <row r="191" spans="1:38">
      <c r="A191" s="30" t="s">
        <v>271</v>
      </c>
      <c r="I191" s="356"/>
      <c r="J191" s="408"/>
      <c r="K191" s="409"/>
      <c r="L191" s="356"/>
      <c r="M191" s="356"/>
      <c r="N191" s="356"/>
      <c r="AC191" s="1"/>
      <c r="AD191" s="1"/>
      <c r="AE191" s="1"/>
      <c r="AF191" s="394"/>
      <c r="AG191" s="1"/>
      <c r="AH191" s="1"/>
      <c r="AI191" s="1"/>
      <c r="AK191" s="2"/>
      <c r="AL191" s="2"/>
    </row>
    <row r="192" spans="1:38" ht="16.5">
      <c r="A192" s="30"/>
      <c r="I192" s="356"/>
      <c r="J192" s="408"/>
      <c r="K192" s="409"/>
      <c r="L192" s="356"/>
      <c r="M192" s="356"/>
      <c r="N192" s="356"/>
      <c r="AC192" s="1"/>
      <c r="AD192" s="1"/>
      <c r="AE192" s="1"/>
      <c r="AF192" s="394"/>
      <c r="AG192" s="1"/>
      <c r="AH192" s="1"/>
      <c r="AI192" s="1"/>
      <c r="AJ192" s="398"/>
      <c r="AK192" s="2"/>
      <c r="AL192" s="2"/>
    </row>
    <row r="193" spans="1:38">
      <c r="A193" s="30" t="s">
        <v>274</v>
      </c>
      <c r="B193" s="26" t="s">
        <v>275</v>
      </c>
      <c r="C193" s="26" t="s">
        <v>43</v>
      </c>
      <c r="D193" s="356"/>
      <c r="E193" s="847" t="s">
        <v>276</v>
      </c>
      <c r="F193" s="848"/>
      <c r="G193" s="356"/>
      <c r="I193" s="26"/>
      <c r="J193" s="541"/>
      <c r="K193" s="540"/>
      <c r="L193" s="26"/>
      <c r="M193" s="26"/>
      <c r="N193" s="26"/>
      <c r="AC193" s="782"/>
      <c r="AD193" s="624"/>
      <c r="AE193" s="624"/>
      <c r="AF193" s="639"/>
      <c r="AG193" s="617"/>
      <c r="AH193" s="640"/>
      <c r="AI193" s="781"/>
      <c r="AK193" s="2"/>
      <c r="AL193" s="2"/>
    </row>
    <row r="194" spans="1:38" ht="16.5">
      <c r="A194" s="112" t="s">
        <v>277</v>
      </c>
      <c r="B194" s="417">
        <v>13</v>
      </c>
      <c r="C194" s="417">
        <v>4</v>
      </c>
      <c r="E194" s="30" t="s">
        <v>278</v>
      </c>
      <c r="F194" s="417">
        <f>D91/5</f>
        <v>40.266666666666666</v>
      </c>
      <c r="J194" s="25"/>
      <c r="K194" s="30"/>
      <c r="AC194" s="783"/>
      <c r="AD194" s="624"/>
      <c r="AE194" s="624"/>
      <c r="AF194" s="639"/>
      <c r="AG194" s="617"/>
      <c r="AH194" s="640"/>
      <c r="AI194" s="781"/>
      <c r="AJ194" s="83"/>
      <c r="AK194" s="2"/>
      <c r="AL194" s="2"/>
    </row>
    <row r="195" spans="1:38">
      <c r="A195" s="112" t="s">
        <v>279</v>
      </c>
      <c r="B195" s="823">
        <f>ROUND((30.33*1.04)*(1+$F$161),2)</f>
        <v>31.54</v>
      </c>
      <c r="C195" s="823">
        <f>ROUND((31.2*1.04)*(1+$F$161),2)</f>
        <v>32.450000000000003</v>
      </c>
      <c r="E195" s="30" t="s">
        <v>280</v>
      </c>
      <c r="F195" s="417">
        <v>40</v>
      </c>
      <c r="J195" s="25"/>
      <c r="K195" s="30"/>
      <c r="AC195" s="707"/>
      <c r="AD195" s="624"/>
      <c r="AE195" s="624"/>
      <c r="AF195" s="639"/>
      <c r="AG195" s="617"/>
      <c r="AH195" s="640"/>
      <c r="AK195" s="2"/>
      <c r="AL195" s="2"/>
    </row>
    <row r="196" spans="1:38">
      <c r="A196" s="112" t="s">
        <v>282</v>
      </c>
      <c r="B196" s="419">
        <v>0.1</v>
      </c>
      <c r="C196" s="420">
        <v>0.1</v>
      </c>
      <c r="E196" s="30" t="s">
        <v>283</v>
      </c>
      <c r="F196" s="421">
        <v>1.5</v>
      </c>
      <c r="J196" s="25"/>
      <c r="K196" s="30"/>
      <c r="AE196" s="6"/>
      <c r="AK196" s="2"/>
      <c r="AL196" s="2"/>
    </row>
    <row r="197" spans="1:38">
      <c r="A197" s="112" t="s">
        <v>285</v>
      </c>
      <c r="B197" s="419">
        <v>0</v>
      </c>
      <c r="E197" s="422" t="s">
        <v>286</v>
      </c>
      <c r="F197" s="763">
        <v>0.3</v>
      </c>
      <c r="H197" s="205"/>
      <c r="J197" s="25"/>
      <c r="K197" s="30"/>
      <c r="AE197" s="6"/>
      <c r="AK197" s="2"/>
      <c r="AL197" s="2"/>
    </row>
    <row r="198" spans="1:38">
      <c r="A198" s="112" t="s">
        <v>387</v>
      </c>
      <c r="B198" s="419">
        <v>0.3</v>
      </c>
      <c r="E198" s="1"/>
      <c r="F198" s="1"/>
      <c r="H198" s="205"/>
      <c r="J198" s="25"/>
      <c r="K198" s="30"/>
      <c r="AD198" s="410"/>
      <c r="AE198" s="410"/>
      <c r="AJ198" s="398"/>
      <c r="AK198" s="2"/>
      <c r="AL198" s="2"/>
    </row>
    <row r="199" spans="1:38" ht="12.75">
      <c r="A199" s="112"/>
      <c r="E199" s="1"/>
      <c r="F199" s="1"/>
      <c r="H199" s="205"/>
      <c r="J199" s="25"/>
      <c r="K199" s="30"/>
      <c r="AC199" s="638"/>
      <c r="AD199" s="641"/>
      <c r="AE199" s="641"/>
      <c r="AF199" s="642"/>
      <c r="AG199" s="617"/>
      <c r="AH199" s="640"/>
      <c r="AI199" s="650"/>
      <c r="AK199" s="2"/>
      <c r="AL199" s="2"/>
    </row>
    <row r="200" spans="1:38">
      <c r="A200" s="30"/>
      <c r="E200" s="1"/>
      <c r="F200" s="1"/>
      <c r="G200" s="1"/>
      <c r="H200" s="205"/>
      <c r="J200" s="25"/>
      <c r="K200" s="30"/>
      <c r="AC200" s="643"/>
      <c r="AD200" s="644"/>
      <c r="AE200" s="644"/>
      <c r="AF200" s="642"/>
      <c r="AG200" s="617"/>
      <c r="AH200" s="640"/>
      <c r="AI200" s="650"/>
      <c r="AJ200" s="83"/>
      <c r="AK200" s="2"/>
      <c r="AL200" s="2"/>
    </row>
    <row r="201" spans="1:38">
      <c r="A201" s="30" t="s">
        <v>388</v>
      </c>
      <c r="B201" s="533" t="s">
        <v>375</v>
      </c>
      <c r="C201" s="533" t="s">
        <v>376</v>
      </c>
      <c r="D201" s="266"/>
      <c r="E201" s="1"/>
      <c r="J201" s="25"/>
      <c r="K201" s="30"/>
      <c r="AC201" s="618"/>
      <c r="AD201" s="624"/>
      <c r="AE201" s="624"/>
      <c r="AF201" s="642"/>
      <c r="AG201" s="645"/>
      <c r="AH201" s="646"/>
      <c r="AK201" s="2"/>
      <c r="AL201" s="2"/>
    </row>
    <row r="202" spans="1:38" ht="12.75">
      <c r="A202" s="112" t="s">
        <v>377</v>
      </c>
      <c r="B202" s="196" t="s">
        <v>378</v>
      </c>
      <c r="C202" s="2">
        <f>ROUND(B198*B64,-2)</f>
        <v>4600</v>
      </c>
      <c r="J202" s="25"/>
      <c r="K202" s="30"/>
      <c r="AC202" s="624"/>
      <c r="AD202" s="641"/>
      <c r="AE202" s="641"/>
      <c r="AF202" s="639"/>
      <c r="AG202" s="624"/>
      <c r="AH202" s="624"/>
      <c r="AK202" s="2"/>
      <c r="AL202" s="2"/>
    </row>
    <row r="203" spans="1:38" ht="12.75">
      <c r="A203" s="112" t="s">
        <v>383</v>
      </c>
      <c r="B203" s="196" t="s">
        <v>378</v>
      </c>
      <c r="C203" s="2">
        <v>2600</v>
      </c>
      <c r="J203" s="25"/>
      <c r="K203" s="30"/>
      <c r="AC203" s="638"/>
      <c r="AD203" s="641"/>
      <c r="AE203" s="641"/>
      <c r="AF203" s="642"/>
      <c r="AG203" s="617"/>
      <c r="AH203" s="640"/>
      <c r="AI203" s="650"/>
      <c r="AK203" s="2"/>
      <c r="AL203" s="2"/>
    </row>
    <row r="204" spans="1:38">
      <c r="A204" s="112" t="s">
        <v>287</v>
      </c>
      <c r="B204" s="538">
        <f>ROUND(B194*B197,0)</f>
        <v>0</v>
      </c>
      <c r="C204" s="31">
        <f>(C202/(C203*4)*1000)/($F$194*$F$195)</f>
        <v>0.27461156393275599</v>
      </c>
      <c r="D204" s="537"/>
      <c r="E204" s="1"/>
      <c r="J204" s="25"/>
      <c r="K204" s="30"/>
      <c r="AC204" s="643"/>
      <c r="AD204" s="644"/>
      <c r="AE204" s="644"/>
      <c r="AF204" s="642"/>
      <c r="AG204" s="617"/>
      <c r="AH204" s="640"/>
      <c r="AI204" s="650"/>
      <c r="AJ204" s="83"/>
      <c r="AK204" s="2"/>
      <c r="AL204" s="2"/>
    </row>
    <row r="205" spans="1:38" ht="12.75">
      <c r="A205" s="112" t="s">
        <v>289</v>
      </c>
      <c r="B205" s="425">
        <f>(B204*$F$194*$F$195)</f>
        <v>0</v>
      </c>
      <c r="C205" s="425">
        <f>(C204*$F$194*$F$195)</f>
        <v>442.30769230769226</v>
      </c>
      <c r="J205" s="25"/>
      <c r="K205" s="30"/>
      <c r="AC205" s="618"/>
      <c r="AD205" s="644"/>
      <c r="AE205" s="644"/>
      <c r="AF205" s="642"/>
      <c r="AG205" s="645"/>
      <c r="AH205" s="646"/>
      <c r="AK205" s="2"/>
      <c r="AL205" s="2"/>
    </row>
    <row r="206" spans="1:38" ht="12.75">
      <c r="A206" s="112" t="s">
        <v>381</v>
      </c>
      <c r="B206" s="426">
        <f>(B204*$F$194*$F$195*$C$211)+((B204*$F$194*$F$195*$B$196)*$C$212)</f>
        <v>0</v>
      </c>
      <c r="C206" s="426">
        <f>$C$205*$C$215</f>
        <v>14584.493006993003</v>
      </c>
      <c r="D206" s="427"/>
      <c r="E206" s="428"/>
      <c r="J206" s="25"/>
      <c r="K206" s="30"/>
      <c r="AC206" s="634"/>
      <c r="AD206" s="414"/>
      <c r="AE206" s="414"/>
      <c r="AF206" s="635"/>
      <c r="AG206" s="636"/>
      <c r="AH206" s="637"/>
      <c r="AK206" s="2"/>
      <c r="AL206" s="2"/>
    </row>
    <row r="207" spans="1:38" ht="12.75">
      <c r="A207" s="112" t="s">
        <v>382</v>
      </c>
      <c r="B207" s="426">
        <f>B206*F197</f>
        <v>0</v>
      </c>
      <c r="C207" s="426">
        <f>$C$205*$I$215</f>
        <v>4771.9581820837893</v>
      </c>
      <c r="D207" s="427"/>
      <c r="E207" s="1"/>
      <c r="J207" s="25"/>
      <c r="K207" s="30"/>
      <c r="AC207" s="634"/>
      <c r="AD207" s="414"/>
      <c r="AE207" s="414"/>
      <c r="AF207" s="635"/>
      <c r="AG207" s="636"/>
      <c r="AH207" s="637"/>
      <c r="AK207" s="2"/>
      <c r="AL207" s="2"/>
    </row>
    <row r="208" spans="1:38">
      <c r="A208" s="30"/>
      <c r="B208" s="429"/>
      <c r="C208" s="70"/>
      <c r="D208" s="70"/>
      <c r="E208" s="1"/>
      <c r="J208" s="25"/>
      <c r="K208" s="30"/>
      <c r="AC208" s="634"/>
      <c r="AD208" s="213"/>
      <c r="AE208" s="213"/>
      <c r="AF208" s="635"/>
      <c r="AG208" s="636"/>
      <c r="AH208" s="637"/>
      <c r="AK208" s="2"/>
      <c r="AL208" s="2"/>
    </row>
    <row r="209" spans="1:38" ht="16.5">
      <c r="A209" s="30"/>
      <c r="B209" s="849" t="s">
        <v>14</v>
      </c>
      <c r="C209" s="849"/>
      <c r="D209" s="849"/>
      <c r="E209" s="850" t="s">
        <v>294</v>
      </c>
      <c r="F209" s="849"/>
      <c r="G209" s="851"/>
      <c r="H209" s="849" t="str">
        <f>CONCATENATE("Indirect Payroll Cost (IPC) at ",F197*100,"%")</f>
        <v>Indirect Payroll Cost (IPC) at 30%</v>
      </c>
      <c r="I209" s="849"/>
      <c r="J209" s="851"/>
      <c r="K209" s="30"/>
      <c r="AC209"/>
      <c r="AD209" s="410"/>
      <c r="AE209" s="410"/>
      <c r="AF209" s="424"/>
      <c r="AG209" s="213"/>
      <c r="AH209" s="215"/>
      <c r="AK209" s="2"/>
      <c r="AL209" s="2"/>
    </row>
    <row r="210" spans="1:38">
      <c r="A210" s="431" t="s">
        <v>296</v>
      </c>
      <c r="B210" s="432" t="s">
        <v>289</v>
      </c>
      <c r="C210" s="432" t="s">
        <v>297</v>
      </c>
      <c r="D210" s="433" t="s">
        <v>48</v>
      </c>
      <c r="E210" s="434" t="s">
        <v>289</v>
      </c>
      <c r="F210" s="432" t="s">
        <v>297</v>
      </c>
      <c r="G210" s="435" t="s">
        <v>48</v>
      </c>
      <c r="H210" s="432" t="s">
        <v>289</v>
      </c>
      <c r="I210" s="432" t="s">
        <v>297</v>
      </c>
      <c r="J210" s="435" t="s">
        <v>48</v>
      </c>
      <c r="K210" s="30"/>
      <c r="AC210" s="647"/>
      <c r="AD210" s="410"/>
      <c r="AE210" s="410"/>
      <c r="AF210" s="111"/>
      <c r="AG210" s="9"/>
      <c r="AH210" s="648"/>
      <c r="AI210" s="650"/>
      <c r="AK210" s="2"/>
      <c r="AL210" s="2"/>
    </row>
    <row r="211" spans="1:38">
      <c r="A211" s="436" t="s">
        <v>49</v>
      </c>
      <c r="B211" s="65">
        <f>$F$194*$F$195*B$194</f>
        <v>20938.666666666664</v>
      </c>
      <c r="C211" s="53">
        <f>B195</f>
        <v>31.54</v>
      </c>
      <c r="D211" s="437">
        <f>B211*C211</f>
        <v>660405.54666666652</v>
      </c>
      <c r="E211" s="454">
        <f>$F$194*$F$195*C$194</f>
        <v>6442.6666666666661</v>
      </c>
      <c r="F211" s="53">
        <f>C$195</f>
        <v>32.450000000000003</v>
      </c>
      <c r="G211" s="438">
        <f>E211*F211</f>
        <v>209064.53333333333</v>
      </c>
      <c r="J211" s="25"/>
      <c r="K211" s="30"/>
      <c r="AC211" s="647"/>
      <c r="AD211" s="410"/>
      <c r="AE211" s="410"/>
      <c r="AF211" s="111"/>
      <c r="AG211" s="9"/>
      <c r="AH211" s="648"/>
      <c r="AI211" s="650"/>
      <c r="AJ211" s="398"/>
      <c r="AK211" s="2"/>
      <c r="AL211" s="2"/>
    </row>
    <row r="212" spans="1:38">
      <c r="A212" s="436" t="s">
        <v>50</v>
      </c>
      <c r="B212" s="356">
        <f>$F$194*$F$195*B$196*B$194</f>
        <v>2093.8666666666668</v>
      </c>
      <c r="C212" s="439">
        <f>B$195*$F$196</f>
        <v>47.31</v>
      </c>
      <c r="D212" s="440">
        <f>B212*C212</f>
        <v>99060.832000000009</v>
      </c>
      <c r="E212" s="409">
        <f>$F$194*$F$195*C$196*C$194</f>
        <v>644.26666666666665</v>
      </c>
      <c r="F212" s="441">
        <f>C$195*$F$196</f>
        <v>48.675000000000004</v>
      </c>
      <c r="G212" s="442">
        <f>E212*F212</f>
        <v>31359.68</v>
      </c>
      <c r="I212" s="29"/>
      <c r="J212" s="25"/>
      <c r="K212" s="30"/>
      <c r="AC212" s="638"/>
      <c r="AD212" s="641"/>
      <c r="AE212" s="641"/>
      <c r="AF212" s="614"/>
      <c r="AG212" s="617"/>
      <c r="AH212" s="640"/>
      <c r="AI212" s="650"/>
      <c r="AK212" s="2"/>
      <c r="AL212" s="2"/>
    </row>
    <row r="213" spans="1:38" ht="12.75">
      <c r="A213" s="443" t="s">
        <v>138</v>
      </c>
      <c r="B213" s="65">
        <f>SUM(B211:B212)</f>
        <v>23032.533333333333</v>
      </c>
      <c r="C213" s="53">
        <f>D213/B213</f>
        <v>32.973636363636359</v>
      </c>
      <c r="D213" s="444">
        <f>SUM(D211:D212)</f>
        <v>759466.37866666657</v>
      </c>
      <c r="E213" s="454">
        <f>SUM(E211:E212)</f>
        <v>7086.9333333333325</v>
      </c>
      <c r="F213" s="53">
        <f>IF(E213&lt;&gt;0,G213/E213,0)</f>
        <v>33.925000000000004</v>
      </c>
      <c r="G213" s="445">
        <f>SUM(G211:G212)</f>
        <v>240424.21333333332</v>
      </c>
      <c r="H213" s="65">
        <f>B213+E213</f>
        <v>30119.466666666667</v>
      </c>
      <c r="I213" s="53">
        <f>J213/H213</f>
        <v>10.788775020363351</v>
      </c>
      <c r="J213" s="446">
        <f>+(D213+G213+C243)*F197</f>
        <v>324952.14959999995</v>
      </c>
      <c r="K213" s="30"/>
      <c r="AC213" s="638"/>
      <c r="AD213" s="641"/>
      <c r="AE213" s="641"/>
      <c r="AF213" s="614"/>
      <c r="AG213" s="617"/>
      <c r="AH213" s="640"/>
      <c r="AI213" s="650"/>
      <c r="AK213" s="2"/>
      <c r="AL213" s="2"/>
    </row>
    <row r="214" spans="1:38">
      <c r="A214" s="443" t="s">
        <v>298</v>
      </c>
      <c r="B214" s="356">
        <f>-B205</f>
        <v>0</v>
      </c>
      <c r="C214" s="447">
        <f>IF(B214&lt;&gt;0,D214/B214,0)</f>
        <v>0</v>
      </c>
      <c r="D214" s="440">
        <f>-B206</f>
        <v>0</v>
      </c>
      <c r="E214" s="483">
        <v>0</v>
      </c>
      <c r="F214" s="447">
        <f>IF(E214&lt;&gt;0,(G214/E214),0)</f>
        <v>0</v>
      </c>
      <c r="G214" s="448">
        <v>0</v>
      </c>
      <c r="H214" s="356">
        <f>-B205</f>
        <v>0</v>
      </c>
      <c r="I214" s="447">
        <f>IF(H214&lt;&gt;0,J214/H214,0)</f>
        <v>0</v>
      </c>
      <c r="J214" s="449">
        <f>-B207</f>
        <v>0</v>
      </c>
      <c r="K214" s="30"/>
      <c r="R214" s="430"/>
      <c r="S214" s="430"/>
      <c r="T214" s="430"/>
      <c r="U214" s="430"/>
      <c r="V214" s="430"/>
      <c r="W214" s="430"/>
      <c r="X214" s="430"/>
      <c r="Y214" s="430"/>
      <c r="AC214" s="638"/>
      <c r="AD214" s="641"/>
      <c r="AE214" s="641"/>
      <c r="AF214" s="614"/>
      <c r="AG214" s="617"/>
      <c r="AH214" s="640"/>
      <c r="AI214" s="650"/>
      <c r="AK214" s="2"/>
      <c r="AL214" s="2"/>
    </row>
    <row r="215" spans="1:38" ht="12.75">
      <c r="A215" s="443" t="s">
        <v>386</v>
      </c>
      <c r="B215" s="342">
        <f>SUM(B213:B214)</f>
        <v>23032.533333333333</v>
      </c>
      <c r="C215" s="179">
        <f>D215/B215</f>
        <v>32.973636363636359</v>
      </c>
      <c r="D215" s="534">
        <f>SUM(D213:D214)</f>
        <v>759466.37866666657</v>
      </c>
      <c r="E215" s="535">
        <f>SUM(E213:E214)</f>
        <v>7086.9333333333325</v>
      </c>
      <c r="F215" s="179">
        <f>IF(E215&lt;&gt;0,G215/E215,0)</f>
        <v>33.925000000000004</v>
      </c>
      <c r="G215" s="536">
        <f>SUM(G213:G214)</f>
        <v>240424.21333333332</v>
      </c>
      <c r="H215" s="342">
        <f>SUM(H213:H214)</f>
        <v>30119.466666666667</v>
      </c>
      <c r="I215" s="179">
        <f>J215/H215</f>
        <v>10.788775020363351</v>
      </c>
      <c r="J215" s="536">
        <f>SUM(J213:J214)</f>
        <v>324952.14959999995</v>
      </c>
      <c r="K215" s="30"/>
      <c r="AC215" s="638"/>
      <c r="AD215" s="641"/>
      <c r="AE215" s="641"/>
      <c r="AF215" s="614"/>
      <c r="AG215" s="617"/>
      <c r="AH215" s="640"/>
      <c r="AI215" s="650"/>
      <c r="AK215" s="2"/>
      <c r="AL215" s="2"/>
    </row>
    <row r="216" spans="1:38">
      <c r="A216" s="443" t="s">
        <v>380</v>
      </c>
      <c r="B216" s="342">
        <f>C205</f>
        <v>442.30769230769226</v>
      </c>
      <c r="C216" s="450"/>
      <c r="D216" s="180">
        <f>B216*C215</f>
        <v>14584.493006993003</v>
      </c>
      <c r="E216" s="535">
        <v>0</v>
      </c>
      <c r="F216" s="450"/>
      <c r="G216" s="181">
        <f>E216*F215</f>
        <v>0</v>
      </c>
      <c r="H216" s="342">
        <f>B216+E216</f>
        <v>442.30769230769226</v>
      </c>
      <c r="I216" s="450"/>
      <c r="J216" s="536">
        <f>H216*I215</f>
        <v>4771.9581820837893</v>
      </c>
      <c r="K216" s="30"/>
      <c r="Q216" s="430"/>
      <c r="R216" s="29"/>
      <c r="S216" s="29"/>
      <c r="T216" s="29"/>
      <c r="U216" s="29"/>
      <c r="V216" s="29"/>
      <c r="W216" s="29"/>
      <c r="X216" s="29"/>
      <c r="Y216" s="29"/>
      <c r="AC216" s="638"/>
      <c r="AD216" s="641"/>
      <c r="AE216" s="641"/>
      <c r="AF216" s="614"/>
      <c r="AG216" s="617"/>
      <c r="AH216" s="640"/>
      <c r="AI216" s="650"/>
      <c r="AK216" s="2"/>
      <c r="AL216" s="2"/>
    </row>
    <row r="217" spans="1:38">
      <c r="A217" s="443" t="s">
        <v>379</v>
      </c>
      <c r="B217" s="342">
        <f>B215-B216</f>
        <v>22590.225641025641</v>
      </c>
      <c r="C217" s="450"/>
      <c r="D217" s="180">
        <f>B217*C215</f>
        <v>744881.8856596736</v>
      </c>
      <c r="E217" s="535">
        <f>E215-E216</f>
        <v>7086.9333333333325</v>
      </c>
      <c r="F217" s="450"/>
      <c r="G217" s="536">
        <f>E217*F215</f>
        <v>240424.21333333335</v>
      </c>
      <c r="H217" s="342">
        <f>H215-H216</f>
        <v>29677.158974358976</v>
      </c>
      <c r="I217" s="450"/>
      <c r="J217" s="536">
        <f>H217*I215</f>
        <v>320180.19141791615</v>
      </c>
      <c r="K217" s="30"/>
      <c r="R217" s="29"/>
      <c r="S217" s="29"/>
      <c r="T217" s="29"/>
      <c r="U217" s="29"/>
      <c r="V217" s="29"/>
      <c r="W217" s="29"/>
      <c r="X217" s="29"/>
      <c r="Y217" s="29"/>
      <c r="AC217" s="643"/>
      <c r="AD217" s="644"/>
      <c r="AE217" s="644"/>
      <c r="AF217" s="614"/>
      <c r="AG217" s="617"/>
      <c r="AH217" s="640"/>
      <c r="AI217" s="650"/>
      <c r="AJ217" s="83"/>
      <c r="AK217" s="2"/>
      <c r="AL217" s="2"/>
    </row>
    <row r="218" spans="1:38" ht="12.75">
      <c r="A218" s="451"/>
      <c r="B218" s="342"/>
      <c r="C218" s="179"/>
      <c r="D218" s="176"/>
      <c r="E218" s="30"/>
      <c r="F218" s="342"/>
      <c r="G218" s="452"/>
      <c r="H218" s="176"/>
      <c r="J218" s="25"/>
      <c r="K218" s="30"/>
      <c r="Q218" s="29"/>
      <c r="R218" s="29"/>
      <c r="S218" s="29"/>
      <c r="T218" s="29"/>
      <c r="U218" s="29"/>
      <c r="V218" s="29"/>
      <c r="W218" s="29"/>
      <c r="X218" s="29"/>
      <c r="Y218" s="29"/>
      <c r="AC218" s="618"/>
      <c r="AD218" s="612"/>
      <c r="AE218" s="649"/>
      <c r="AF218" s="642"/>
      <c r="AG218" s="645"/>
      <c r="AH218" s="646"/>
      <c r="AK218" s="2"/>
      <c r="AL218" s="2"/>
    </row>
    <row r="219" spans="1:38" ht="12.75">
      <c r="A219" s="23" t="s">
        <v>299</v>
      </c>
      <c r="E219" s="33"/>
      <c r="F219" s="1"/>
      <c r="G219" s="38"/>
      <c r="H219" s="453"/>
      <c r="J219" s="25"/>
      <c r="Q219" s="29"/>
      <c r="AE219" s="6"/>
      <c r="AK219" s="2"/>
      <c r="AL219" s="2"/>
    </row>
    <row r="220" spans="1:38" ht="12.75">
      <c r="A220" s="112" t="s">
        <v>327</v>
      </c>
      <c r="B220" s="65">
        <f>ROUND($B$217*$E79,0)+1</f>
        <v>14728</v>
      </c>
      <c r="C220" s="53"/>
      <c r="D220" s="52">
        <f>ROUND($D$217*$E79,0)+1</f>
        <v>485592</v>
      </c>
      <c r="E220" s="454">
        <f>ROUND($E$217*$E79,0)-1</f>
        <v>4619</v>
      </c>
      <c r="F220" s="1"/>
      <c r="G220" s="54">
        <f t="shared" ref="G220:G231" si="41">ROUND($G$217*$E79,0)</f>
        <v>156734</v>
      </c>
      <c r="H220" s="65">
        <f>ROUND($H$217*$E79,0)+1</f>
        <v>19348</v>
      </c>
      <c r="J220" s="54">
        <f t="shared" ref="J220:J231" si="42">ROUND($J$217*$E79,0)</f>
        <v>208727</v>
      </c>
      <c r="Q220" s="29"/>
      <c r="AA220" s="780"/>
      <c r="AB220" s="780"/>
      <c r="AE220" s="6"/>
      <c r="AF220" s="74"/>
      <c r="AK220" s="2"/>
      <c r="AL220" s="2"/>
    </row>
    <row r="221" spans="1:38" ht="12.75">
      <c r="A221" s="112" t="s">
        <v>328</v>
      </c>
      <c r="B221" s="65">
        <f t="shared" ref="B221:B231" si="43">ROUND($B$217*$E80,0)</f>
        <v>0</v>
      </c>
      <c r="C221" s="53"/>
      <c r="D221" s="52">
        <f t="shared" ref="D221:D231" si="44">ROUND($D$217*$E80,0)</f>
        <v>0</v>
      </c>
      <c r="E221" s="454">
        <f t="shared" ref="E221:E231" si="45">ROUND($E$217*$E80,0)</f>
        <v>0</v>
      </c>
      <c r="F221" s="1"/>
      <c r="G221" s="54">
        <f t="shared" si="41"/>
        <v>0</v>
      </c>
      <c r="H221" s="65">
        <f t="shared" ref="H221:H231" si="46">ROUND($H$217*$E80,0)</f>
        <v>0</v>
      </c>
      <c r="J221" s="54">
        <f t="shared" si="42"/>
        <v>0</v>
      </c>
      <c r="AA221" s="780"/>
      <c r="AB221" s="780"/>
      <c r="AE221" s="6"/>
      <c r="AF221" s="74"/>
      <c r="AK221" s="2"/>
      <c r="AL221" s="2"/>
    </row>
    <row r="222" spans="1:38" ht="12.75">
      <c r="A222" s="112" t="s">
        <v>329</v>
      </c>
      <c r="B222" s="65">
        <f t="shared" si="43"/>
        <v>2244</v>
      </c>
      <c r="C222" s="53"/>
      <c r="D222" s="52">
        <f t="shared" si="44"/>
        <v>73995</v>
      </c>
      <c r="E222" s="454">
        <f t="shared" si="45"/>
        <v>704</v>
      </c>
      <c r="F222" s="1"/>
      <c r="G222" s="54">
        <f t="shared" si="41"/>
        <v>23883</v>
      </c>
      <c r="H222" s="65">
        <f t="shared" si="46"/>
        <v>2948</v>
      </c>
      <c r="J222" s="54">
        <f t="shared" si="42"/>
        <v>31806</v>
      </c>
      <c r="AA222" s="780"/>
      <c r="AB222" s="780"/>
      <c r="AF222" s="74"/>
      <c r="AK222" s="2"/>
      <c r="AL222" s="2"/>
    </row>
    <row r="223" spans="1:38" ht="12.75">
      <c r="A223" s="112" t="s">
        <v>330</v>
      </c>
      <c r="B223" s="65">
        <f t="shared" si="43"/>
        <v>126</v>
      </c>
      <c r="C223" s="53"/>
      <c r="D223" s="52">
        <f t="shared" si="44"/>
        <v>4162</v>
      </c>
      <c r="E223" s="454">
        <f t="shared" si="45"/>
        <v>40</v>
      </c>
      <c r="F223" s="1"/>
      <c r="G223" s="54">
        <f t="shared" si="41"/>
        <v>1343</v>
      </c>
      <c r="H223" s="65">
        <f t="shared" si="46"/>
        <v>166</v>
      </c>
      <c r="J223" s="54">
        <f t="shared" si="42"/>
        <v>1789</v>
      </c>
      <c r="AK223" s="2"/>
      <c r="AL223" s="2"/>
    </row>
    <row r="224" spans="1:38" ht="12.75">
      <c r="A224" s="112" t="s">
        <v>331</v>
      </c>
      <c r="B224" s="65">
        <f t="shared" si="43"/>
        <v>0</v>
      </c>
      <c r="C224" s="53"/>
      <c r="D224" s="52">
        <f t="shared" si="44"/>
        <v>0</v>
      </c>
      <c r="E224" s="454">
        <f t="shared" si="45"/>
        <v>0</v>
      </c>
      <c r="F224" s="1"/>
      <c r="G224" s="54">
        <f t="shared" si="41"/>
        <v>0</v>
      </c>
      <c r="H224" s="65">
        <f t="shared" si="46"/>
        <v>0</v>
      </c>
      <c r="J224" s="54">
        <f t="shared" si="42"/>
        <v>0</v>
      </c>
      <c r="AK224" s="2"/>
      <c r="AL224" s="2"/>
    </row>
    <row r="225" spans="1:38" ht="12.75">
      <c r="A225" s="112" t="s">
        <v>332</v>
      </c>
      <c r="B225" s="65">
        <f t="shared" si="43"/>
        <v>0</v>
      </c>
      <c r="C225" s="53"/>
      <c r="D225" s="52">
        <f t="shared" si="44"/>
        <v>0</v>
      </c>
      <c r="E225" s="454">
        <f t="shared" si="45"/>
        <v>0</v>
      </c>
      <c r="F225" s="1"/>
      <c r="G225" s="54">
        <f t="shared" si="41"/>
        <v>0</v>
      </c>
      <c r="H225" s="65">
        <f t="shared" si="46"/>
        <v>0</v>
      </c>
      <c r="J225" s="54">
        <f t="shared" si="42"/>
        <v>0</v>
      </c>
      <c r="AK225" s="2"/>
      <c r="AL225" s="2"/>
    </row>
    <row r="226" spans="1:38" ht="12.75">
      <c r="A226" s="112" t="s">
        <v>322</v>
      </c>
      <c r="B226" s="65">
        <f t="shared" si="43"/>
        <v>631</v>
      </c>
      <c r="C226" s="53"/>
      <c r="D226" s="52">
        <f t="shared" si="44"/>
        <v>20811</v>
      </c>
      <c r="E226" s="454">
        <f t="shared" si="45"/>
        <v>198</v>
      </c>
      <c r="F226" s="1"/>
      <c r="G226" s="54">
        <f t="shared" si="41"/>
        <v>6717</v>
      </c>
      <c r="H226" s="65">
        <f t="shared" si="46"/>
        <v>829</v>
      </c>
      <c r="J226" s="54">
        <f t="shared" si="42"/>
        <v>8945</v>
      </c>
      <c r="AE226" s="6"/>
      <c r="AK226" s="2"/>
      <c r="AL226" s="2"/>
    </row>
    <row r="227" spans="1:38" ht="12.75">
      <c r="A227" s="112" t="s">
        <v>333</v>
      </c>
      <c r="B227" s="65">
        <f t="shared" si="43"/>
        <v>4862</v>
      </c>
      <c r="C227" s="53"/>
      <c r="D227" s="52">
        <f t="shared" si="44"/>
        <v>160322</v>
      </c>
      <c r="E227" s="454">
        <f t="shared" si="45"/>
        <v>1525</v>
      </c>
      <c r="F227" s="1"/>
      <c r="G227" s="54">
        <f t="shared" si="41"/>
        <v>51747</v>
      </c>
      <c r="H227" s="65">
        <f t="shared" si="46"/>
        <v>6387</v>
      </c>
      <c r="J227" s="54">
        <f t="shared" si="42"/>
        <v>68913</v>
      </c>
      <c r="AE227" s="6"/>
      <c r="AK227" s="2"/>
      <c r="AL227" s="2"/>
    </row>
    <row r="228" spans="1:38" ht="12.75">
      <c r="A228" s="112" t="s">
        <v>334</v>
      </c>
      <c r="B228" s="65">
        <f t="shared" si="43"/>
        <v>0</v>
      </c>
      <c r="C228" s="53"/>
      <c r="D228" s="52">
        <f t="shared" si="44"/>
        <v>0</v>
      </c>
      <c r="E228" s="454">
        <f t="shared" si="45"/>
        <v>0</v>
      </c>
      <c r="F228" s="1"/>
      <c r="G228" s="54">
        <f t="shared" si="41"/>
        <v>0</v>
      </c>
      <c r="H228" s="65">
        <f t="shared" si="46"/>
        <v>0</v>
      </c>
      <c r="J228" s="54">
        <f t="shared" si="42"/>
        <v>0</v>
      </c>
      <c r="AE228" s="6"/>
      <c r="AK228" s="2"/>
      <c r="AL228" s="2"/>
    </row>
    <row r="229" spans="1:38" ht="12.75">
      <c r="A229" s="112" t="s">
        <v>335</v>
      </c>
      <c r="B229" s="65">
        <f t="shared" si="43"/>
        <v>0</v>
      </c>
      <c r="C229" s="53"/>
      <c r="D229" s="52">
        <f t="shared" si="44"/>
        <v>0</v>
      </c>
      <c r="E229" s="454">
        <f t="shared" si="45"/>
        <v>0</v>
      </c>
      <c r="F229" s="1"/>
      <c r="G229" s="54">
        <f t="shared" si="41"/>
        <v>0</v>
      </c>
      <c r="H229" s="65">
        <f t="shared" si="46"/>
        <v>0</v>
      </c>
      <c r="J229" s="54">
        <f t="shared" si="42"/>
        <v>0</v>
      </c>
      <c r="AE229" s="6"/>
      <c r="AK229" s="2"/>
      <c r="AL229" s="2"/>
    </row>
    <row r="230" spans="1:38" ht="12.75">
      <c r="A230" s="112" t="s">
        <v>326</v>
      </c>
      <c r="B230" s="65">
        <f t="shared" si="43"/>
        <v>0</v>
      </c>
      <c r="C230" s="53"/>
      <c r="D230" s="52">
        <f t="shared" si="44"/>
        <v>0</v>
      </c>
      <c r="E230" s="454">
        <f t="shared" si="45"/>
        <v>0</v>
      </c>
      <c r="F230" s="1"/>
      <c r="G230" s="54">
        <f t="shared" si="41"/>
        <v>0</v>
      </c>
      <c r="H230" s="65">
        <f t="shared" si="46"/>
        <v>0</v>
      </c>
      <c r="J230" s="54">
        <f t="shared" si="42"/>
        <v>0</v>
      </c>
      <c r="AE230" s="6"/>
      <c r="AK230" s="2"/>
      <c r="AL230" s="2"/>
    </row>
    <row r="231" spans="1:38" ht="12.75">
      <c r="A231" s="112" t="s">
        <v>400</v>
      </c>
      <c r="B231" s="65">
        <f t="shared" si="43"/>
        <v>0</v>
      </c>
      <c r="C231" s="53"/>
      <c r="D231" s="52">
        <f t="shared" si="44"/>
        <v>0</v>
      </c>
      <c r="E231" s="454">
        <f t="shared" si="45"/>
        <v>0</v>
      </c>
      <c r="F231" s="1"/>
      <c r="G231" s="54">
        <f t="shared" si="41"/>
        <v>0</v>
      </c>
      <c r="H231" s="65">
        <f t="shared" si="46"/>
        <v>0</v>
      </c>
      <c r="J231" s="54">
        <f t="shared" si="42"/>
        <v>0</v>
      </c>
      <c r="AE231" s="6"/>
      <c r="AK231" s="2"/>
      <c r="AL231" s="2"/>
    </row>
    <row r="232" spans="1:38">
      <c r="A232" s="112" t="s">
        <v>376</v>
      </c>
      <c r="B232" s="356">
        <f>B216</f>
        <v>442.30769230769226</v>
      </c>
      <c r="C232" s="53"/>
      <c r="D232" s="455">
        <f>D216</f>
        <v>14584.493006993003</v>
      </c>
      <c r="E232" s="409">
        <f>E216</f>
        <v>0</v>
      </c>
      <c r="F232" s="1"/>
      <c r="G232" s="456">
        <f>G216</f>
        <v>0</v>
      </c>
      <c r="H232" s="356">
        <f>H216</f>
        <v>442.30769230769226</v>
      </c>
      <c r="J232" s="456">
        <f>J216</f>
        <v>4771.9581820837893</v>
      </c>
      <c r="AE232" s="6"/>
      <c r="AK232" s="2"/>
      <c r="AL232" s="2"/>
    </row>
    <row r="233" spans="1:38">
      <c r="A233" s="353" t="s">
        <v>229</v>
      </c>
      <c r="B233" s="457">
        <f>SUM(B220:B232)</f>
        <v>23033.307692307691</v>
      </c>
      <c r="C233" s="53"/>
      <c r="D233" s="458">
        <f>SUM(D220:D232)</f>
        <v>759466.49300699297</v>
      </c>
      <c r="E233" s="459">
        <f>SUM(E220:E232)</f>
        <v>7086</v>
      </c>
      <c r="F233" s="1"/>
      <c r="G233" s="460">
        <f>SUM(G220:G232)</f>
        <v>240424</v>
      </c>
      <c r="H233" s="457">
        <f>SUM(H220:H232)</f>
        <v>30120.307692307691</v>
      </c>
      <c r="J233" s="460">
        <f>SUM(J220:J232)</f>
        <v>324951.95818208379</v>
      </c>
      <c r="AE233" s="6"/>
      <c r="AK233" s="2"/>
      <c r="AL233" s="2"/>
    </row>
    <row r="234" spans="1:38" ht="12.75">
      <c r="A234" s="84"/>
      <c r="B234" s="85"/>
      <c r="C234" s="85"/>
      <c r="D234" s="85"/>
      <c r="E234" s="85"/>
      <c r="F234" s="85"/>
      <c r="G234" s="85"/>
      <c r="H234" s="85"/>
      <c r="I234" s="85"/>
      <c r="J234" s="87"/>
      <c r="AE234" s="6"/>
      <c r="AK234" s="2"/>
      <c r="AL234" s="2"/>
    </row>
    <row r="235" spans="1:38" ht="12.75">
      <c r="A235" s="1"/>
      <c r="B235" s="1"/>
      <c r="C235" s="1"/>
      <c r="D235" s="1"/>
      <c r="E235" s="1"/>
      <c r="F235" s="1"/>
      <c r="G235" s="1"/>
      <c r="H235" s="1"/>
      <c r="AE235" s="6"/>
      <c r="AK235" s="2"/>
      <c r="AL235" s="2"/>
    </row>
    <row r="236" spans="1:38" ht="12.75">
      <c r="A236" s="1"/>
      <c r="B236" s="1"/>
      <c r="C236" s="1"/>
      <c r="D236" s="1"/>
      <c r="E236" s="1"/>
      <c r="F236" s="1"/>
      <c r="G236" s="1"/>
      <c r="H236" s="1"/>
      <c r="AE236" s="6"/>
      <c r="AK236" s="2"/>
      <c r="AL236" s="2"/>
    </row>
    <row r="237" spans="1:38" ht="12.75">
      <c r="A237" s="385" t="s">
        <v>301</v>
      </c>
      <c r="B237" s="406"/>
      <c r="C237" s="406"/>
      <c r="D237" s="406"/>
      <c r="E237" s="406"/>
      <c r="F237" s="406"/>
      <c r="G237" s="406"/>
      <c r="H237" s="407"/>
      <c r="AE237" s="6"/>
      <c r="AK237" s="2"/>
      <c r="AL237" s="2"/>
    </row>
    <row r="238" spans="1:38">
      <c r="A238" s="33"/>
      <c r="C238" s="345" t="s">
        <v>302</v>
      </c>
      <c r="H238" s="25"/>
      <c r="AE238" s="6"/>
      <c r="AK238" s="2"/>
      <c r="AL238" s="2"/>
    </row>
    <row r="239" spans="1:38" ht="12.75">
      <c r="A239" s="33"/>
      <c r="B239" s="2" t="s">
        <v>303</v>
      </c>
      <c r="C239" s="268">
        <f>B91</f>
        <v>15340</v>
      </c>
      <c r="E239" s="844" t="s">
        <v>304</v>
      </c>
      <c r="F239" s="844"/>
      <c r="G239" s="462">
        <f>C239/C240</f>
        <v>3.8350000000000002E-2</v>
      </c>
      <c r="H239" s="25"/>
      <c r="AK239" s="2"/>
      <c r="AL239" s="2"/>
    </row>
    <row r="240" spans="1:38">
      <c r="A240" s="33"/>
      <c r="B240" s="2" t="s">
        <v>305</v>
      </c>
      <c r="C240" s="268">
        <v>400000</v>
      </c>
      <c r="H240" s="45"/>
      <c r="AJ240" s="398"/>
      <c r="AK240" s="2"/>
      <c r="AL240" s="2"/>
    </row>
    <row r="241" spans="1:38" ht="12.75">
      <c r="A241" s="33"/>
      <c r="B241" s="1"/>
      <c r="C241" s="1"/>
      <c r="D241" s="463"/>
      <c r="E241" s="1"/>
      <c r="F241" s="65"/>
      <c r="G241" s="65"/>
      <c r="H241" s="464"/>
      <c r="AC241" s="631"/>
      <c r="AD241" s="624"/>
      <c r="AE241" s="624"/>
      <c r="AF241" s="612"/>
      <c r="AG241" s="617"/>
      <c r="AH241" s="640"/>
      <c r="AI241" s="653"/>
      <c r="AK241" s="2"/>
      <c r="AL241" s="2"/>
    </row>
    <row r="242" spans="1:38" ht="36.6" customHeight="1">
      <c r="A242" s="30"/>
      <c r="B242" s="465" t="s">
        <v>135</v>
      </c>
      <c r="C242" s="465" t="s">
        <v>136</v>
      </c>
      <c r="D242" s="465" t="s">
        <v>307</v>
      </c>
      <c r="E242" s="465" t="s">
        <v>308</v>
      </c>
      <c r="F242" s="285"/>
      <c r="G242" s="285"/>
      <c r="H242" s="38"/>
      <c r="AC242" s="643"/>
      <c r="AD242" s="624"/>
      <c r="AE242" s="624"/>
      <c r="AF242" s="639"/>
      <c r="AG242" s="617"/>
      <c r="AH242" s="640"/>
      <c r="AI242" s="652"/>
      <c r="AJ242" s="83"/>
      <c r="AK242" s="2"/>
      <c r="AL242" s="2"/>
    </row>
    <row r="243" spans="1:38">
      <c r="A243" s="30" t="s">
        <v>17</v>
      </c>
      <c r="B243" s="466">
        <f>C243/12</f>
        <v>6940.27</v>
      </c>
      <c r="C243" s="821">
        <v>83283.240000000005</v>
      </c>
      <c r="D243" s="65">
        <f>$B$64</f>
        <v>15340</v>
      </c>
      <c r="E243" s="282">
        <f>C243/D243/1000</f>
        <v>5.4291551499348108E-3</v>
      </c>
      <c r="F243" s="282"/>
      <c r="G243" s="282"/>
      <c r="H243" s="38"/>
      <c r="AC243" s="651"/>
      <c r="AD243" s="612"/>
      <c r="AE243" s="612"/>
      <c r="AF243" s="642"/>
      <c r="AG243" s="645"/>
      <c r="AH243" s="646"/>
      <c r="AI243" s="654"/>
      <c r="AK243" s="2"/>
      <c r="AL243" s="2"/>
    </row>
    <row r="244" spans="1:38">
      <c r="A244" s="30" t="s">
        <v>19</v>
      </c>
      <c r="B244" s="466">
        <f>C244/12</f>
        <v>9340</v>
      </c>
      <c r="C244" s="821">
        <f>9340*12</f>
        <v>112080</v>
      </c>
      <c r="D244" s="65">
        <f>$B$64</f>
        <v>15340</v>
      </c>
      <c r="E244" s="282">
        <f>C244/D244/1000</f>
        <v>7.3063885267275093E-3</v>
      </c>
      <c r="F244" s="282"/>
      <c r="G244" s="282"/>
      <c r="H244" s="38"/>
      <c r="AK244" s="2"/>
      <c r="AL244" s="2"/>
    </row>
    <row r="245" spans="1:38" ht="16.5">
      <c r="A245" s="30" t="s">
        <v>18</v>
      </c>
      <c r="B245" s="466">
        <f>+C245/12</f>
        <v>33100</v>
      </c>
      <c r="C245" s="821">
        <f>33100*12</f>
        <v>397200</v>
      </c>
      <c r="D245" s="65">
        <f>$B$64</f>
        <v>15340</v>
      </c>
      <c r="E245" s="468">
        <f t="shared" ref="E245" si="47">C245/D245/1000</f>
        <v>2.5893089960886569E-2</v>
      </c>
      <c r="F245" s="282"/>
      <c r="G245" s="282"/>
      <c r="H245" s="38"/>
      <c r="AK245" s="2"/>
      <c r="AL245" s="2"/>
    </row>
    <row r="246" spans="1:38">
      <c r="A246" s="30" t="s">
        <v>72</v>
      </c>
      <c r="B246" s="63"/>
      <c r="C246" s="1"/>
      <c r="D246" s="63"/>
      <c r="E246" s="469">
        <f>SUM(E243:E245)</f>
        <v>3.8628633637548891E-2</v>
      </c>
      <c r="F246" s="282"/>
      <c r="G246" s="282"/>
      <c r="H246" s="38"/>
      <c r="AK246" s="2"/>
      <c r="AL246" s="2"/>
    </row>
    <row r="247" spans="1:38" ht="12.75">
      <c r="A247" s="59"/>
      <c r="B247" s="41"/>
      <c r="C247" s="41"/>
      <c r="D247" s="41"/>
      <c r="E247" s="41"/>
      <c r="F247" s="41"/>
      <c r="G247" s="41"/>
      <c r="H247" s="42"/>
      <c r="AK247" s="2"/>
      <c r="AL247" s="2"/>
    </row>
    <row r="248" spans="1:38">
      <c r="AJ248" s="398"/>
      <c r="AK248" s="2"/>
      <c r="AL248" s="2"/>
    </row>
    <row r="249" spans="1:38">
      <c r="B249" s="2" t="s">
        <v>7</v>
      </c>
      <c r="AC249" s="638"/>
      <c r="AD249" s="624"/>
      <c r="AE249" s="624"/>
      <c r="AF249" s="639"/>
      <c r="AG249" s="617"/>
      <c r="AH249" s="640"/>
      <c r="AI249" s="652"/>
      <c r="AK249" s="2"/>
      <c r="AL249" s="2"/>
    </row>
    <row r="250" spans="1:38">
      <c r="B250" s="2" t="s">
        <v>7</v>
      </c>
      <c r="AC250" s="638"/>
      <c r="AD250" s="624"/>
      <c r="AE250" s="624"/>
      <c r="AF250" s="639"/>
      <c r="AG250" s="617"/>
      <c r="AH250" s="640"/>
      <c r="AI250" s="652"/>
      <c r="AK250" s="2"/>
      <c r="AL250" s="2"/>
    </row>
    <row r="251" spans="1:38">
      <c r="B251" s="2" t="s">
        <v>7</v>
      </c>
      <c r="AC251" s="638"/>
      <c r="AD251" s="624"/>
      <c r="AE251" s="624"/>
      <c r="AF251" s="639"/>
      <c r="AG251" s="617"/>
      <c r="AH251" s="640"/>
      <c r="AI251" s="652"/>
      <c r="AK251" s="2"/>
      <c r="AL251" s="2"/>
    </row>
    <row r="252" spans="1:38">
      <c r="B252" s="2" t="s">
        <v>7</v>
      </c>
      <c r="H252" s="262"/>
      <c r="AC252" s="638"/>
      <c r="AD252" s="624"/>
      <c r="AE252" s="624"/>
      <c r="AF252" s="639"/>
      <c r="AG252" s="617"/>
      <c r="AH252" s="640"/>
      <c r="AI252" s="652"/>
      <c r="AK252" s="2"/>
      <c r="AL252" s="2"/>
    </row>
    <row r="253" spans="1:38">
      <c r="B253" s="2" t="s">
        <v>7</v>
      </c>
      <c r="H253" s="271"/>
      <c r="AC253" s="638"/>
      <c r="AD253" s="624"/>
      <c r="AE253" s="624"/>
      <c r="AF253" s="639"/>
      <c r="AG253" s="617"/>
      <c r="AH253" s="640"/>
      <c r="AI253" s="652"/>
      <c r="AK253" s="2"/>
      <c r="AL253" s="2"/>
    </row>
    <row r="254" spans="1:38">
      <c r="A254" s="1"/>
      <c r="B254" s="1"/>
      <c r="C254" s="1"/>
      <c r="D254" s="470"/>
      <c r="E254" s="1"/>
      <c r="F254" s="1"/>
      <c r="G254" s="1"/>
      <c r="H254" s="39"/>
      <c r="AC254" s="638"/>
      <c r="AD254" s="624"/>
      <c r="AE254" s="624"/>
      <c r="AF254" s="639"/>
      <c r="AG254" s="617"/>
      <c r="AH254" s="640"/>
      <c r="AI254" s="652"/>
      <c r="AK254" s="2"/>
      <c r="AL254" s="2"/>
    </row>
    <row r="255" spans="1:38" ht="16.5">
      <c r="A255" s="1"/>
      <c r="B255" s="1"/>
      <c r="C255" s="1"/>
      <c r="D255" s="1"/>
      <c r="E255" s="1"/>
      <c r="F255" s="1"/>
      <c r="G255" s="1"/>
      <c r="H255" s="1"/>
      <c r="AC255" s="643"/>
      <c r="AD255" s="624"/>
      <c r="AE255" s="624"/>
      <c r="AF255" s="639"/>
      <c r="AG255" s="617"/>
      <c r="AH255" s="640"/>
      <c r="AI255" s="652"/>
      <c r="AJ255" s="83"/>
      <c r="AK255" s="2"/>
      <c r="AL255" s="2"/>
    </row>
    <row r="256" spans="1:38">
      <c r="A256" s="1"/>
      <c r="B256" s="845"/>
      <c r="C256" s="845"/>
      <c r="D256" s="845"/>
      <c r="E256" s="1"/>
      <c r="F256" s="845"/>
      <c r="G256" s="845"/>
      <c r="H256" s="845"/>
      <c r="AC256" s="651"/>
      <c r="AD256" s="612"/>
      <c r="AE256" s="612"/>
      <c r="AF256" s="642"/>
      <c r="AG256" s="645"/>
      <c r="AH256" s="646"/>
      <c r="AI256" s="652"/>
      <c r="AK256" s="2"/>
      <c r="AL256" s="2"/>
    </row>
    <row r="257" spans="1:38" ht="12.75">
      <c r="A257" s="1"/>
      <c r="B257" s="471"/>
      <c r="C257" s="471"/>
      <c r="D257" s="472"/>
      <c r="E257" s="5"/>
      <c r="F257" s="471"/>
      <c r="G257" s="471"/>
      <c r="H257" s="472"/>
      <c r="AK257" s="2"/>
      <c r="AL257" s="2"/>
    </row>
    <row r="258" spans="1:38" ht="12.75">
      <c r="A258" s="1"/>
      <c r="B258" s="1"/>
      <c r="C258" s="473"/>
      <c r="D258" s="474"/>
      <c r="E258" s="1"/>
      <c r="F258" s="1"/>
      <c r="G258" s="473"/>
      <c r="H258" s="474"/>
      <c r="AK258" s="2"/>
      <c r="AL258" s="2"/>
    </row>
    <row r="259" spans="1:38" ht="12.75">
      <c r="A259" s="1"/>
      <c r="B259" s="1"/>
      <c r="C259" s="473"/>
      <c r="D259" s="463"/>
      <c r="E259" s="1"/>
      <c r="F259" s="1"/>
      <c r="G259" s="473"/>
      <c r="H259" s="463"/>
      <c r="AK259" s="2"/>
      <c r="AL259" s="2"/>
    </row>
    <row r="260" spans="1:38" ht="12.75">
      <c r="A260" s="1"/>
      <c r="B260" s="1"/>
      <c r="C260" s="475"/>
      <c r="D260" s="463"/>
      <c r="E260" s="1"/>
      <c r="F260" s="1"/>
      <c r="G260" s="475"/>
      <c r="H260" s="463"/>
      <c r="AK260" s="2"/>
      <c r="AL260" s="2"/>
    </row>
    <row r="261" spans="1:38" ht="12.75">
      <c r="A261" s="1"/>
      <c r="B261" s="1"/>
      <c r="C261" s="476"/>
      <c r="D261" s="463"/>
      <c r="E261" s="1"/>
      <c r="F261" s="1"/>
      <c r="G261" s="476"/>
      <c r="H261" s="463"/>
      <c r="AK261" s="2"/>
      <c r="AL261" s="2"/>
    </row>
    <row r="262" spans="1:38" ht="12.75">
      <c r="A262" s="1"/>
      <c r="B262" s="1"/>
      <c r="C262" s="477"/>
      <c r="D262" s="463"/>
      <c r="E262" s="1"/>
      <c r="F262" s="1"/>
      <c r="G262" s="477"/>
      <c r="H262" s="463"/>
      <c r="AK262" s="2"/>
      <c r="AL262" s="2"/>
    </row>
    <row r="263" spans="1:38" ht="12.75">
      <c r="A263" s="1"/>
      <c r="B263" s="1"/>
      <c r="C263" s="475"/>
      <c r="D263" s="463"/>
      <c r="E263" s="1"/>
      <c r="F263" s="1"/>
      <c r="G263" s="475"/>
      <c r="H263" s="463"/>
      <c r="AK263" s="2"/>
      <c r="AL263" s="2"/>
    </row>
    <row r="264" spans="1:38">
      <c r="A264" s="1"/>
      <c r="B264" s="1"/>
      <c r="C264" s="478"/>
      <c r="D264" s="479"/>
      <c r="E264" s="1"/>
      <c r="F264" s="1"/>
      <c r="G264" s="478"/>
      <c r="H264" s="479"/>
      <c r="AK264" s="2"/>
      <c r="AL264" s="2"/>
    </row>
    <row r="265" spans="1:38">
      <c r="A265" s="1"/>
      <c r="B265" s="1"/>
      <c r="C265" s="1"/>
      <c r="D265" s="480"/>
      <c r="E265" s="1"/>
      <c r="F265" s="1"/>
      <c r="G265" s="1"/>
      <c r="H265" s="480"/>
      <c r="AK265" s="2"/>
      <c r="AL265" s="2"/>
    </row>
    <row r="266" spans="1:38" ht="12.75">
      <c r="A266" s="1"/>
      <c r="B266" s="1"/>
      <c r="C266" s="1"/>
      <c r="D266" s="1"/>
      <c r="E266" s="1"/>
      <c r="F266" s="1"/>
      <c r="G266" s="1"/>
      <c r="H266" s="1"/>
      <c r="AK266" s="2"/>
      <c r="AL266" s="2"/>
    </row>
    <row r="267" spans="1:38" ht="12.75">
      <c r="A267" s="1"/>
      <c r="B267" s="1"/>
      <c r="C267" s="1"/>
      <c r="D267" s="1"/>
      <c r="E267" s="1"/>
      <c r="F267" s="1"/>
      <c r="G267" s="1"/>
      <c r="H267" s="1"/>
      <c r="AK267" s="2"/>
      <c r="AL267" s="2"/>
    </row>
    <row r="268" spans="1:38" ht="12.75">
      <c r="A268" s="1"/>
      <c r="B268" s="1"/>
      <c r="C268" s="1"/>
      <c r="D268" s="1"/>
      <c r="E268" s="1"/>
      <c r="F268" s="1"/>
      <c r="G268" s="1"/>
      <c r="H268" s="1"/>
      <c r="AK268" s="2"/>
      <c r="AL268" s="2"/>
    </row>
    <row r="269" spans="1:38" ht="12.75">
      <c r="A269" s="1"/>
      <c r="B269" s="1"/>
      <c r="C269" s="1"/>
      <c r="D269" s="1"/>
      <c r="E269" s="1"/>
      <c r="F269" s="1"/>
      <c r="G269" s="1"/>
      <c r="H269" s="1"/>
      <c r="AK269" s="2"/>
      <c r="AL269" s="2"/>
    </row>
    <row r="270" spans="1:38">
      <c r="A270" s="1"/>
      <c r="B270" s="481"/>
      <c r="C270" s="481"/>
      <c r="D270" s="1"/>
      <c r="E270" s="1"/>
      <c r="F270" s="1"/>
      <c r="G270" s="1"/>
      <c r="H270" s="1"/>
      <c r="AK270" s="2"/>
      <c r="AL270" s="2"/>
    </row>
    <row r="271" spans="1:38" ht="12.75">
      <c r="A271" s="1"/>
      <c r="B271" s="70"/>
      <c r="C271" s="70"/>
      <c r="D271" s="1"/>
      <c r="E271" s="1"/>
      <c r="F271" s="1"/>
      <c r="G271" s="1"/>
      <c r="H271" s="1"/>
      <c r="AK271" s="2"/>
      <c r="AL271" s="2"/>
    </row>
    <row r="272" spans="1:38" ht="12.75">
      <c r="A272" s="1"/>
      <c r="B272" s="70"/>
      <c r="C272" s="482"/>
      <c r="D272" s="1"/>
      <c r="E272" s="1"/>
      <c r="F272" s="1"/>
      <c r="G272" s="1"/>
      <c r="H272" s="1"/>
      <c r="AK272" s="2"/>
      <c r="AL272" s="2"/>
    </row>
    <row r="273" spans="1:38" ht="12.75">
      <c r="A273" s="1"/>
      <c r="B273" s="70"/>
      <c r="C273" s="70"/>
      <c r="D273" s="1"/>
      <c r="E273" s="1"/>
      <c r="F273" s="1"/>
      <c r="G273" s="1"/>
      <c r="H273" s="1"/>
      <c r="AK273" s="2"/>
      <c r="AL273" s="2"/>
    </row>
    <row r="274" spans="1:38" ht="12.75">
      <c r="A274" s="1"/>
      <c r="B274" s="70"/>
      <c r="C274" s="70"/>
      <c r="D274" s="1"/>
      <c r="E274" s="1"/>
      <c r="F274" s="1"/>
      <c r="G274" s="1"/>
      <c r="H274" s="1"/>
      <c r="AK274" s="2"/>
      <c r="AL274" s="2"/>
    </row>
    <row r="275" spans="1:38" ht="12.75">
      <c r="AK275" s="2"/>
      <c r="AL275" s="2"/>
    </row>
    <row r="276" spans="1:38" ht="12.75">
      <c r="AK276" s="2"/>
      <c r="AL276" s="2"/>
    </row>
    <row r="277" spans="1:38" ht="12.75">
      <c r="AK277" s="2"/>
      <c r="AL277" s="2"/>
    </row>
    <row r="278" spans="1:38" ht="12.75">
      <c r="AK278" s="2"/>
      <c r="AL278" s="2"/>
    </row>
    <row r="279" spans="1:38" ht="12.75">
      <c r="AK279" s="2"/>
      <c r="AL279" s="2"/>
    </row>
    <row r="280" spans="1:38" ht="12.75">
      <c r="AK280" s="2"/>
      <c r="AL280" s="2"/>
    </row>
  </sheetData>
  <mergeCells count="66">
    <mergeCell ref="Q3:S3"/>
    <mergeCell ref="B3:D3"/>
    <mergeCell ref="E3:G3"/>
    <mergeCell ref="H3:J3"/>
    <mergeCell ref="K3:M3"/>
    <mergeCell ref="N3:P3"/>
    <mergeCell ref="AA23:AB23"/>
    <mergeCell ref="AA24:AB24"/>
    <mergeCell ref="AA27:AB27"/>
    <mergeCell ref="AA28:AB28"/>
    <mergeCell ref="AA29:AB29"/>
    <mergeCell ref="Q34:S34"/>
    <mergeCell ref="B67:D67"/>
    <mergeCell ref="D95:E95"/>
    <mergeCell ref="F95:G95"/>
    <mergeCell ref="H95:I95"/>
    <mergeCell ref="J95:K95"/>
    <mergeCell ref="L95:M95"/>
    <mergeCell ref="N95:O95"/>
    <mergeCell ref="B34:D34"/>
    <mergeCell ref="E34:G34"/>
    <mergeCell ref="H34:J34"/>
    <mergeCell ref="K34:M34"/>
    <mergeCell ref="N34:P34"/>
    <mergeCell ref="N162:O162"/>
    <mergeCell ref="D125:E125"/>
    <mergeCell ref="F125:G125"/>
    <mergeCell ref="H125:I125"/>
    <mergeCell ref="J125:K125"/>
    <mergeCell ref="L125:M125"/>
    <mergeCell ref="N125:O125"/>
    <mergeCell ref="D162:E162"/>
    <mergeCell ref="F162:G162"/>
    <mergeCell ref="H162:I162"/>
    <mergeCell ref="J162:K162"/>
    <mergeCell ref="L162:M162"/>
    <mergeCell ref="R167:S167"/>
    <mergeCell ref="R168:S168"/>
    <mergeCell ref="D169:E169"/>
    <mergeCell ref="F169:G169"/>
    <mergeCell ref="H169:I169"/>
    <mergeCell ref="J169:K169"/>
    <mergeCell ref="L169:M169"/>
    <mergeCell ref="N169:O169"/>
    <mergeCell ref="R169:S169"/>
    <mergeCell ref="R183:S183"/>
    <mergeCell ref="R170:S170"/>
    <mergeCell ref="R171:S171"/>
    <mergeCell ref="R173:S173"/>
    <mergeCell ref="R174:S174"/>
    <mergeCell ref="R175:S175"/>
    <mergeCell ref="R176:S176"/>
    <mergeCell ref="R177:S177"/>
    <mergeCell ref="R178:S178"/>
    <mergeCell ref="R180:S180"/>
    <mergeCell ref="R181:S181"/>
    <mergeCell ref="R182:S182"/>
    <mergeCell ref="E239:F239"/>
    <mergeCell ref="B256:D256"/>
    <mergeCell ref="F256:H256"/>
    <mergeCell ref="R184:S184"/>
    <mergeCell ref="R185:S185"/>
    <mergeCell ref="E193:F193"/>
    <mergeCell ref="B209:D209"/>
    <mergeCell ref="E209:G209"/>
    <mergeCell ref="H209:J20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80"/>
  <sheetViews>
    <sheetView zoomScaleNormal="100" workbookViewId="0">
      <pane xSplit="1" ySplit="2" topLeftCell="B74" activePane="bottomRight" state="frozenSplit"/>
      <selection pane="topRight" activeCell="B1" sqref="B1"/>
      <selection pane="bottomLeft" activeCell="A3" sqref="A3"/>
      <selection pane="bottomRight" sqref="A1:XFD1048576"/>
    </sheetView>
  </sheetViews>
  <sheetFormatPr defaultColWidth="10.7109375" defaultRowHeight="15" outlineLevelCol="1"/>
  <cols>
    <col min="1" max="1" width="43.28515625" style="2" customWidth="1"/>
    <col min="2" max="2" width="15.28515625" style="2" customWidth="1"/>
    <col min="3" max="3" width="13.28515625" style="2" customWidth="1"/>
    <col min="4" max="5" width="12.28515625" style="2" customWidth="1"/>
    <col min="6" max="6" width="9.7109375" style="2" customWidth="1"/>
    <col min="7" max="8" width="12.28515625" style="2" customWidth="1"/>
    <col min="9" max="9" width="9.7109375" style="2" customWidth="1"/>
    <col min="10" max="10" width="12.28515625" style="2" customWidth="1"/>
    <col min="11" max="11" width="15" style="2" customWidth="1"/>
    <col min="12" max="12" width="9.7109375" style="2" customWidth="1"/>
    <col min="13" max="14" width="12.28515625" style="2" customWidth="1"/>
    <col min="15" max="15" width="9.7109375" style="2" customWidth="1"/>
    <col min="16" max="16" width="12.28515625" style="2" customWidth="1"/>
    <col min="17" max="17" width="13.28515625" style="2" customWidth="1"/>
    <col min="18" max="18" width="9.7109375" style="2" customWidth="1"/>
    <col min="19" max="19" width="12.28515625" style="2" customWidth="1"/>
    <col min="20" max="21" width="1.7109375" style="2" customWidth="1"/>
    <col min="22" max="22" width="10.7109375" style="2" customWidth="1"/>
    <col min="23" max="23" width="13" style="2" customWidth="1"/>
    <col min="24" max="24" width="12.7109375" style="2" customWidth="1"/>
    <col min="25" max="26" width="1.7109375" style="2" customWidth="1"/>
    <col min="27" max="27" width="4.7109375" style="2" customWidth="1" outlineLevel="1"/>
    <col min="28" max="28" width="7.7109375" style="2" customWidth="1" outlineLevel="1"/>
    <col min="29" max="29" width="12.28515625" style="2" customWidth="1" outlineLevel="1"/>
    <col min="30" max="30" width="15.28515625" style="2" customWidth="1" outlineLevel="1"/>
    <col min="31" max="31" width="12.28515625" style="2" customWidth="1" outlineLevel="1"/>
    <col min="32" max="33" width="12.42578125" style="2" customWidth="1" outlineLevel="1"/>
    <col min="34" max="34" width="11.7109375" style="2" bestFit="1" customWidth="1" outlineLevel="1"/>
    <col min="35" max="35" width="12.28515625" style="2" bestFit="1" customWidth="1" outlineLevel="1"/>
    <col min="36" max="36" width="10.7109375" style="2" customWidth="1" outlineLevel="1"/>
    <col min="37" max="37" width="11.28515625" customWidth="1" outlineLevel="1"/>
    <col min="38" max="38" width="11.28515625" customWidth="1"/>
    <col min="39" max="39" width="10.7109375" style="2" customWidth="1"/>
    <col min="40" max="40" width="11" style="2" customWidth="1"/>
    <col min="41" max="41" width="11.28515625" style="2" bestFit="1" customWidth="1"/>
    <col min="42" max="42" width="10.7109375" style="2" customWidth="1"/>
    <col min="43" max="245" width="8.7109375" style="2" customWidth="1"/>
    <col min="246" max="16384" width="10.7109375" style="2"/>
  </cols>
  <sheetData>
    <row r="1" spans="1:38" ht="19.5">
      <c r="A1" s="239" t="s">
        <v>364</v>
      </c>
      <c r="B1" s="824"/>
      <c r="C1" s="297"/>
      <c r="D1" s="297"/>
      <c r="E1" s="297"/>
      <c r="F1" s="297"/>
      <c r="G1" s="297"/>
      <c r="H1" s="297"/>
      <c r="AA1" s="603"/>
      <c r="AB1" s="604"/>
      <c r="AC1" s="605"/>
      <c r="AD1" s="605"/>
      <c r="AE1" s="606"/>
      <c r="AF1" s="606"/>
      <c r="AG1" s="605"/>
      <c r="AH1" s="606"/>
      <c r="AI1" s="605"/>
      <c r="AJ1" s="606"/>
      <c r="AK1" s="2"/>
      <c r="AL1" s="2"/>
    </row>
    <row r="2" spans="1:38" ht="15.75">
      <c r="A2" s="240" t="s">
        <v>466</v>
      </c>
      <c r="B2" s="288"/>
      <c r="C2" s="288"/>
      <c r="D2" s="288"/>
      <c r="E2" s="288"/>
      <c r="F2" s="288"/>
      <c r="G2" s="288"/>
      <c r="H2" s="288"/>
      <c r="AA2" s="607"/>
      <c r="AB2" s="608"/>
      <c r="AC2" s="609"/>
      <c r="AD2" s="609"/>
      <c r="AE2" s="610"/>
      <c r="AF2" s="606"/>
      <c r="AG2" s="609"/>
      <c r="AH2" s="610"/>
      <c r="AI2" s="611"/>
      <c r="AJ2" s="610"/>
      <c r="AK2" s="2"/>
      <c r="AL2" s="2"/>
    </row>
    <row r="3" spans="1:38" ht="19.899999999999999" customHeight="1" thickBot="1">
      <c r="A3" s="1" t="s">
        <v>7</v>
      </c>
      <c r="B3" s="860" t="s">
        <v>316</v>
      </c>
      <c r="C3" s="861"/>
      <c r="D3" s="862"/>
      <c r="E3" s="860" t="s">
        <v>408</v>
      </c>
      <c r="F3" s="861"/>
      <c r="G3" s="862"/>
      <c r="H3" s="868" t="s">
        <v>318</v>
      </c>
      <c r="I3" s="869"/>
      <c r="J3" s="870"/>
      <c r="K3" s="868" t="s">
        <v>319</v>
      </c>
      <c r="L3" s="869"/>
      <c r="M3" s="870"/>
      <c r="N3" s="868" t="s">
        <v>317</v>
      </c>
      <c r="O3" s="869"/>
      <c r="P3" s="870"/>
      <c r="Q3" s="863" t="s">
        <v>321</v>
      </c>
      <c r="R3" s="864"/>
      <c r="S3" s="865"/>
      <c r="AA3" s="612"/>
      <c r="AB3" s="612"/>
      <c r="AC3" s="612"/>
      <c r="AD3" s="612"/>
      <c r="AE3" s="612"/>
      <c r="AF3" s="612"/>
      <c r="AG3" s="612"/>
      <c r="AH3" s="612"/>
      <c r="AI3" s="612"/>
      <c r="AJ3" s="612"/>
      <c r="AK3" s="2"/>
      <c r="AL3" s="2"/>
    </row>
    <row r="4" spans="1:38" s="4" customFormat="1">
      <c r="A4" s="5"/>
      <c r="B4" s="304" t="s">
        <v>467</v>
      </c>
      <c r="C4" s="716" t="s">
        <v>468</v>
      </c>
      <c r="D4" s="306" t="s">
        <v>438</v>
      </c>
      <c r="E4" s="304" t="s">
        <v>467</v>
      </c>
      <c r="F4" s="716" t="s">
        <v>468</v>
      </c>
      <c r="G4" s="306" t="s">
        <v>438</v>
      </c>
      <c r="H4" s="304" t="s">
        <v>467</v>
      </c>
      <c r="I4" s="305" t="s">
        <v>468</v>
      </c>
      <c r="J4" s="306" t="s">
        <v>438</v>
      </c>
      <c r="K4" s="304" t="s">
        <v>467</v>
      </c>
      <c r="L4" s="305" t="s">
        <v>468</v>
      </c>
      <c r="M4" s="306" t="s">
        <v>438</v>
      </c>
      <c r="N4" s="304" t="s">
        <v>467</v>
      </c>
      <c r="O4" s="305" t="s">
        <v>468</v>
      </c>
      <c r="P4" s="306" t="s">
        <v>438</v>
      </c>
      <c r="Q4" s="715" t="s">
        <v>467</v>
      </c>
      <c r="R4" s="716" t="s">
        <v>468</v>
      </c>
      <c r="S4" s="717" t="str">
        <f>+D4</f>
        <v>22 Standard</v>
      </c>
      <c r="V4" s="825"/>
      <c r="W4" s="826"/>
      <c r="X4" s="827"/>
      <c r="AA4" s="613"/>
      <c r="AB4" s="613"/>
      <c r="AC4" s="613"/>
      <c r="AD4" s="613"/>
      <c r="AE4" s="613"/>
      <c r="AF4" s="613"/>
      <c r="AG4" s="613"/>
      <c r="AH4" s="613"/>
      <c r="AI4" s="613"/>
      <c r="AJ4" s="613"/>
    </row>
    <row r="5" spans="1:38" s="4" customFormat="1" ht="12.75">
      <c r="B5" s="307"/>
      <c r="C5" s="719" t="s">
        <v>469</v>
      </c>
      <c r="D5" s="308"/>
      <c r="E5" s="307"/>
      <c r="F5" s="719" t="s">
        <v>469</v>
      </c>
      <c r="G5" s="308"/>
      <c r="H5" s="307"/>
      <c r="I5" s="111" t="s">
        <v>459</v>
      </c>
      <c r="J5" s="308"/>
      <c r="K5" s="307"/>
      <c r="L5" s="111" t="s">
        <v>458</v>
      </c>
      <c r="M5" s="308"/>
      <c r="N5" s="307"/>
      <c r="O5" s="111" t="s">
        <v>459</v>
      </c>
      <c r="P5" s="308"/>
      <c r="Q5" s="718"/>
      <c r="R5" s="719" t="s">
        <v>447</v>
      </c>
      <c r="S5" s="720"/>
      <c r="V5" s="828"/>
      <c r="W5" s="719"/>
      <c r="X5" s="829"/>
      <c r="AA5" s="614"/>
      <c r="AB5" s="612"/>
      <c r="AC5" s="615"/>
      <c r="AD5" s="613"/>
      <c r="AE5" s="613"/>
      <c r="AF5" s="613"/>
      <c r="AG5" s="615"/>
      <c r="AH5" s="613"/>
      <c r="AI5" s="615"/>
      <c r="AJ5" s="613"/>
    </row>
    <row r="6" spans="1:38">
      <c r="A6" s="6" t="s">
        <v>223</v>
      </c>
      <c r="B6" s="312">
        <f>E119</f>
        <v>0.21293143609355947</v>
      </c>
      <c r="C6" s="722">
        <v>0.26100000000000001</v>
      </c>
      <c r="D6" s="313">
        <v>0.16395289918884523</v>
      </c>
      <c r="E6" s="312">
        <f>G119</f>
        <v>0.21706425615300204</v>
      </c>
      <c r="F6" s="722">
        <v>0.25900000000000001</v>
      </c>
      <c r="G6" s="313">
        <v>0.1888436477955624</v>
      </c>
      <c r="H6" s="312">
        <f>+I119</f>
        <v>0.52154785328691788</v>
      </c>
      <c r="I6" s="190">
        <v>0.43690000000000001</v>
      </c>
      <c r="J6" s="313">
        <v>0.41938749418874949</v>
      </c>
      <c r="K6" s="312">
        <f>K119</f>
        <v>0.21490000000000001</v>
      </c>
      <c r="L6" s="190">
        <v>0.1827</v>
      </c>
      <c r="M6" s="313">
        <v>0.15362762099952701</v>
      </c>
      <c r="N6" s="312">
        <f>+M100</f>
        <v>0</v>
      </c>
      <c r="O6" s="190">
        <v>0.43099999999999999</v>
      </c>
      <c r="P6" s="313">
        <v>0.80389422361692242</v>
      </c>
      <c r="Q6" s="721">
        <f>+O98</f>
        <v>0.30469739368998627</v>
      </c>
      <c r="R6" s="722">
        <v>0.15968840601565604</v>
      </c>
      <c r="S6" s="723">
        <v>0.19086145404663921</v>
      </c>
      <c r="V6" s="830"/>
      <c r="W6" s="725"/>
      <c r="X6" s="831"/>
      <c r="AA6" s="614"/>
      <c r="AB6" s="612"/>
      <c r="AC6" s="616"/>
      <c r="AD6" s="612"/>
      <c r="AE6" s="612"/>
      <c r="AF6" s="612"/>
      <c r="AG6" s="616"/>
      <c r="AH6" s="612"/>
      <c r="AI6" s="616"/>
      <c r="AJ6" s="612"/>
    </row>
    <row r="7" spans="1:38">
      <c r="A7" s="500" t="s">
        <v>362</v>
      </c>
      <c r="B7" s="317">
        <f>$C97*D97</f>
        <v>0</v>
      </c>
      <c r="C7" s="725"/>
      <c r="D7" s="318">
        <v>0</v>
      </c>
      <c r="E7" s="317">
        <f>$C97*F97</f>
        <v>0</v>
      </c>
      <c r="F7" s="725"/>
      <c r="G7" s="318">
        <v>0</v>
      </c>
      <c r="H7" s="317">
        <f>$C97*I97</f>
        <v>0</v>
      </c>
      <c r="I7" s="10"/>
      <c r="J7" s="318">
        <v>0</v>
      </c>
      <c r="K7" s="317">
        <f>$C97*J97</f>
        <v>0</v>
      </c>
      <c r="L7" s="10"/>
      <c r="M7" s="318">
        <v>9.4857323033265009E-2</v>
      </c>
      <c r="N7" s="317">
        <f>$C97*O97</f>
        <v>0</v>
      </c>
      <c r="O7" s="10"/>
      <c r="P7" s="318">
        <v>0</v>
      </c>
      <c r="Q7" s="724"/>
      <c r="R7" s="725"/>
      <c r="S7" s="726"/>
      <c r="V7" s="830"/>
      <c r="W7" s="725"/>
      <c r="X7" s="832"/>
      <c r="AA7" s="614"/>
      <c r="AB7" s="617"/>
      <c r="AC7" s="618"/>
      <c r="AD7" s="619"/>
      <c r="AE7" s="620"/>
      <c r="AF7" s="621"/>
      <c r="AG7" s="616"/>
      <c r="AH7" s="620"/>
      <c r="AI7" s="618"/>
      <c r="AJ7" s="622"/>
    </row>
    <row r="8" spans="1:38">
      <c r="A8" s="6" t="s">
        <v>373</v>
      </c>
      <c r="B8" s="317">
        <f>E120+E121</f>
        <v>5.0440016944589605E-2</v>
      </c>
      <c r="C8" s="725">
        <v>6.6699999999999995E-2</v>
      </c>
      <c r="D8" s="318">
        <v>3.8078000000000001E-2</v>
      </c>
      <c r="E8" s="317">
        <f>G120+G121</f>
        <v>6.4046066333728974E-2</v>
      </c>
      <c r="F8" s="725">
        <v>6.5199999999999994E-2</v>
      </c>
      <c r="G8" s="318">
        <v>6.0015662025301911E-2</v>
      </c>
      <c r="H8" s="773">
        <f>+I120+I121</f>
        <v>7.623404470006559E-2</v>
      </c>
      <c r="I8" s="10">
        <f>0.5149-I6</f>
        <v>7.8000000000000014E-2</v>
      </c>
      <c r="J8" s="318">
        <v>5.6384154242212922E-2</v>
      </c>
      <c r="K8" s="773">
        <f>K120+K121</f>
        <v>0.21818379970086005</v>
      </c>
      <c r="L8" s="10">
        <f>0.2569-L6</f>
        <v>7.4200000000000016E-2</v>
      </c>
      <c r="M8" s="318">
        <v>0.15903358032476744</v>
      </c>
      <c r="N8" s="773">
        <f>+M120+M121</f>
        <v>8.7444564600094657E-2</v>
      </c>
      <c r="O8" s="10">
        <f>0.5164-O6</f>
        <v>8.5399999999999976E-2</v>
      </c>
      <c r="P8" s="318">
        <v>5.6384154242212922E-2</v>
      </c>
      <c r="Q8" s="800">
        <f>+O120+O121</f>
        <v>0.10145692348727328</v>
      </c>
      <c r="R8" s="725">
        <v>7.2759576655744868E-2</v>
      </c>
      <c r="S8" s="726">
        <v>8.7415456104252401E-2</v>
      </c>
      <c r="V8" s="830"/>
      <c r="W8" s="725"/>
      <c r="X8" s="832"/>
      <c r="AA8" s="614"/>
      <c r="AB8" s="617"/>
      <c r="AC8" s="618"/>
      <c r="AD8" s="619"/>
      <c r="AE8" s="620"/>
      <c r="AF8" s="621"/>
      <c r="AG8" s="616"/>
      <c r="AH8" s="620"/>
      <c r="AI8" s="618"/>
      <c r="AJ8" s="622"/>
    </row>
    <row r="9" spans="1:38">
      <c r="A9" s="6" t="s">
        <v>8</v>
      </c>
      <c r="B9" s="317">
        <f>E164</f>
        <v>8.3887563938112655E-3</v>
      </c>
      <c r="C9" s="725">
        <v>1.9E-3</v>
      </c>
      <c r="D9" s="318">
        <v>5.9095494151563841E-3</v>
      </c>
      <c r="E9" s="317">
        <f>G164</f>
        <v>1.0531406624414931E-2</v>
      </c>
      <c r="F9" s="725">
        <v>1.9E-3</v>
      </c>
      <c r="G9" s="318">
        <v>9.231472184193807E-3</v>
      </c>
      <c r="H9" s="317">
        <f>J164</f>
        <v>6.2124710208151572E-2</v>
      </c>
      <c r="I9" s="10">
        <v>8.8000000000000005E-3</v>
      </c>
      <c r="J9" s="318">
        <v>4.3221874010885529E-2</v>
      </c>
      <c r="K9" s="317">
        <f>K164</f>
        <v>1.8513163642029169E-2</v>
      </c>
      <c r="L9" s="10">
        <v>1.17E-2</v>
      </c>
      <c r="M9" s="318">
        <v>1.0135435073031706E-2</v>
      </c>
      <c r="N9" s="317">
        <f>+M164</f>
        <v>8.8229436819687642E-3</v>
      </c>
      <c r="O9" s="10">
        <v>8.8000000000000005E-3</v>
      </c>
      <c r="P9" s="318">
        <v>6.73866203685338E-3</v>
      </c>
      <c r="Q9" s="724">
        <f>+O164</f>
        <v>1.1271450568643378E-2</v>
      </c>
      <c r="R9" s="725">
        <v>6.5255939569252705E-3</v>
      </c>
      <c r="S9" s="726">
        <v>8.9969294974531992E-3</v>
      </c>
      <c r="V9" s="830"/>
      <c r="W9" s="725"/>
      <c r="X9" s="832"/>
      <c r="AA9" s="614"/>
      <c r="AB9" s="617"/>
      <c r="AC9" s="618"/>
      <c r="AD9" s="619"/>
      <c r="AE9" s="620"/>
      <c r="AF9" s="621"/>
      <c r="AG9" s="616"/>
      <c r="AH9" s="620"/>
      <c r="AI9" s="618"/>
      <c r="AJ9" s="622"/>
    </row>
    <row r="10" spans="1:38">
      <c r="A10" s="2" t="s">
        <v>9</v>
      </c>
      <c r="B10" s="323">
        <f>E165</f>
        <v>1.7786260629958667E-3</v>
      </c>
      <c r="C10" s="725">
        <v>4.0000000000000001E-3</v>
      </c>
      <c r="D10" s="318">
        <v>1.3242333138821752E-3</v>
      </c>
      <c r="E10" s="317">
        <f>G165</f>
        <v>1.8200370075918751E-3</v>
      </c>
      <c r="F10" s="725">
        <v>4.1000000000000003E-3</v>
      </c>
      <c r="G10" s="318">
        <v>1.5337500367519363E-3</v>
      </c>
      <c r="H10" s="317">
        <f>J165</f>
        <v>2.3681914495824504E-4</v>
      </c>
      <c r="I10" s="10">
        <v>3.8E-3</v>
      </c>
      <c r="J10" s="318">
        <v>2.942740697515945E-4</v>
      </c>
      <c r="K10" s="317">
        <f>K165</f>
        <v>1.248747351364826E-3</v>
      </c>
      <c r="L10" s="10">
        <v>1.1000000000000001E-3</v>
      </c>
      <c r="M10" s="318">
        <v>1.124759091389829E-3</v>
      </c>
      <c r="N10" s="317">
        <f>+M165</f>
        <v>3.8181211547562706E-3</v>
      </c>
      <c r="O10" s="10">
        <v>3.8E-3</v>
      </c>
      <c r="P10" s="318">
        <v>1.3537383392442878E-3</v>
      </c>
      <c r="Q10" s="724">
        <f>+O165</f>
        <v>3.3852574329813153E-3</v>
      </c>
      <c r="R10" s="725">
        <v>1.1625954512427511E-3</v>
      </c>
      <c r="S10" s="726">
        <v>3.8428258683328191E-3</v>
      </c>
      <c r="V10" s="830"/>
      <c r="W10" s="725"/>
      <c r="X10" s="832"/>
      <c r="AA10" s="614"/>
      <c r="AB10" s="617"/>
      <c r="AC10" s="618"/>
      <c r="AD10" s="619"/>
      <c r="AE10" s="620"/>
      <c r="AF10" s="621"/>
      <c r="AG10" s="618"/>
      <c r="AH10" s="620"/>
      <c r="AI10" s="618"/>
      <c r="AJ10" s="622"/>
    </row>
    <row r="11" spans="1:38">
      <c r="A11" s="6" t="s">
        <v>10</v>
      </c>
      <c r="B11" s="323">
        <f>$H$180</f>
        <v>1.6501650165016504E-2</v>
      </c>
      <c r="C11" s="725">
        <v>1.6000000000000001E-3</v>
      </c>
      <c r="D11" s="318">
        <v>6.0000000000000001E-3</v>
      </c>
      <c r="E11" s="323">
        <f>$H$180</f>
        <v>1.6501650165016504E-2</v>
      </c>
      <c r="F11" s="725">
        <v>1.6000000000000001E-3</v>
      </c>
      <c r="G11" s="318">
        <v>3.1413612565445027E-3</v>
      </c>
      <c r="H11" s="323">
        <f>$H$180</f>
        <v>1.6501650165016504E-2</v>
      </c>
      <c r="I11" s="10">
        <v>9.4000000000000004E-3</v>
      </c>
      <c r="J11" s="318">
        <v>3.1413612565445027E-3</v>
      </c>
      <c r="K11" s="323">
        <f>$H$180</f>
        <v>1.6501650165016504E-2</v>
      </c>
      <c r="L11" s="10">
        <v>7.6E-3</v>
      </c>
      <c r="M11" s="318">
        <v>8.670520231213872E-3</v>
      </c>
      <c r="N11" s="323">
        <f>$H$180</f>
        <v>1.6501650165016504E-2</v>
      </c>
      <c r="O11" s="10">
        <v>9.4000000000000004E-3</v>
      </c>
      <c r="P11" s="318">
        <v>3.1413612565445027E-3</v>
      </c>
      <c r="Q11" s="727">
        <f>$H$180</f>
        <v>1.6501650165016504E-2</v>
      </c>
      <c r="R11" s="725">
        <v>1.6241103327255528E-2</v>
      </c>
      <c r="S11" s="726">
        <v>3.1413612565445027E-3</v>
      </c>
      <c r="V11" s="830"/>
      <c r="W11" s="725"/>
      <c r="X11" s="832"/>
      <c r="AA11" s="614"/>
      <c r="AB11" s="617"/>
      <c r="AC11" s="618"/>
      <c r="AD11" s="612"/>
      <c r="AE11" s="620"/>
      <c r="AF11" s="621"/>
      <c r="AG11" s="618"/>
      <c r="AH11" s="620"/>
      <c r="AI11" s="618"/>
      <c r="AJ11" s="622"/>
    </row>
    <row r="12" spans="1:38">
      <c r="A12" s="6" t="s">
        <v>11</v>
      </c>
      <c r="B12" s="323">
        <f>$H$183</f>
        <v>1.3201320132013201E-3</v>
      </c>
      <c r="C12" s="725">
        <v>0</v>
      </c>
      <c r="D12" s="318">
        <v>2E-3</v>
      </c>
      <c r="E12" s="323">
        <f>$H$183</f>
        <v>1.3201320132013201E-3</v>
      </c>
      <c r="F12" s="725">
        <v>0</v>
      </c>
      <c r="G12" s="318">
        <v>2.6178010471204186E-4</v>
      </c>
      <c r="H12" s="323">
        <f>$H$183</f>
        <v>1.3201320132013201E-3</v>
      </c>
      <c r="I12" s="10">
        <v>2.9999999999999997E-4</v>
      </c>
      <c r="J12" s="318">
        <v>2.6178010471204186E-4</v>
      </c>
      <c r="K12" s="323">
        <f>$H$183</f>
        <v>1.3201320132013201E-3</v>
      </c>
      <c r="L12" s="10">
        <v>2.0000000000000001E-4</v>
      </c>
      <c r="M12" s="318">
        <v>4.3352601156069364E-4</v>
      </c>
      <c r="N12" s="323">
        <f>$H$183</f>
        <v>1.3201320132013201E-3</v>
      </c>
      <c r="O12" s="10">
        <v>2.9999999999999997E-4</v>
      </c>
      <c r="P12" s="318">
        <v>2.6178010471204186E-4</v>
      </c>
      <c r="Q12" s="727">
        <f>$H$183</f>
        <v>1.3201320132013201E-3</v>
      </c>
      <c r="R12" s="725">
        <v>5.3366327132144272E-4</v>
      </c>
      <c r="S12" s="726">
        <v>2.6178010471204186E-4</v>
      </c>
      <c r="V12" s="830"/>
      <c r="W12" s="725"/>
      <c r="X12" s="832"/>
      <c r="AA12" s="614"/>
      <c r="AB12" s="617"/>
      <c r="AC12" s="618"/>
      <c r="AD12" s="612"/>
      <c r="AE12" s="620"/>
      <c r="AF12" s="621"/>
      <c r="AG12" s="618"/>
      <c r="AH12" s="620"/>
      <c r="AI12" s="618"/>
      <c r="AJ12" s="622"/>
    </row>
    <row r="13" spans="1:38" ht="16.5">
      <c r="A13" s="6" t="s">
        <v>12</v>
      </c>
      <c r="B13" s="324">
        <f>$H$186</f>
        <v>2.3102310231023104E-2</v>
      </c>
      <c r="C13" s="729">
        <v>5.0000000000000001E-3</v>
      </c>
      <c r="D13" s="325">
        <v>6.0000000000000001E-3</v>
      </c>
      <c r="E13" s="324">
        <f>$H$186</f>
        <v>2.3102310231023104E-2</v>
      </c>
      <c r="F13" s="729">
        <v>5.1999999999999998E-3</v>
      </c>
      <c r="G13" s="325">
        <v>3.9267015706806281E-3</v>
      </c>
      <c r="H13" s="324">
        <f>$H$186</f>
        <v>2.3102310231023104E-2</v>
      </c>
      <c r="I13" s="14">
        <v>1.34E-2</v>
      </c>
      <c r="J13" s="325">
        <v>3.9267015706806281E-3</v>
      </c>
      <c r="K13" s="324">
        <f>$H$186</f>
        <v>2.3102310231023104E-2</v>
      </c>
      <c r="L13" s="14">
        <v>3.5000000000000001E-3</v>
      </c>
      <c r="M13" s="325">
        <v>5.7803468208092491E-3</v>
      </c>
      <c r="N13" s="324">
        <f>$H$186</f>
        <v>2.3102310231023104E-2</v>
      </c>
      <c r="O13" s="14">
        <v>1.34E-2</v>
      </c>
      <c r="P13" s="325">
        <v>3.9267015706806281E-3</v>
      </c>
      <c r="Q13" s="728">
        <f>$H$186</f>
        <v>2.3102310231023104E-2</v>
      </c>
      <c r="R13" s="729">
        <v>5.9964108961792087E-3</v>
      </c>
      <c r="S13" s="730">
        <v>3.9267015706806281E-3</v>
      </c>
      <c r="V13" s="833"/>
      <c r="W13" s="729"/>
      <c r="X13" s="834"/>
      <c r="AA13" s="614"/>
      <c r="AB13" s="617"/>
      <c r="AC13" s="623"/>
      <c r="AD13" s="612"/>
      <c r="AE13" s="620"/>
      <c r="AF13" s="621"/>
      <c r="AG13" s="623"/>
      <c r="AH13" s="620"/>
      <c r="AI13" s="623"/>
      <c r="AJ13" s="622"/>
    </row>
    <row r="14" spans="1:38">
      <c r="A14" s="328" t="s">
        <v>224</v>
      </c>
      <c r="B14" s="10">
        <f t="shared" ref="B14:R14" si="0">SUM(B6:B13)</f>
        <v>0.31446292790419711</v>
      </c>
      <c r="C14" s="725">
        <f t="shared" si="0"/>
        <v>0.3402</v>
      </c>
      <c r="D14" s="318">
        <f>SUM(D6:D13)</f>
        <v>0.22326468191788382</v>
      </c>
      <c r="E14" s="10">
        <f t="shared" si="0"/>
        <v>0.3343858585279787</v>
      </c>
      <c r="F14" s="725">
        <f t="shared" si="0"/>
        <v>0.33699999999999997</v>
      </c>
      <c r="G14" s="318">
        <f>SUM(G6:G13)</f>
        <v>0.26695437497374724</v>
      </c>
      <c r="H14" s="10">
        <f t="shared" si="0"/>
        <v>0.70106751974933412</v>
      </c>
      <c r="I14" s="10">
        <f t="shared" si="0"/>
        <v>0.55059999999999998</v>
      </c>
      <c r="J14" s="318">
        <f t="shared" si="0"/>
        <v>0.52661763944353668</v>
      </c>
      <c r="K14" s="10">
        <f t="shared" si="0"/>
        <v>0.49376980310349494</v>
      </c>
      <c r="L14" s="10">
        <f t="shared" si="0"/>
        <v>0.28099999999999997</v>
      </c>
      <c r="M14" s="318">
        <v>0.43366311158556486</v>
      </c>
      <c r="N14" s="10">
        <f t="shared" ref="N14" si="1">SUM(N6:N13)</f>
        <v>0.14100972184606061</v>
      </c>
      <c r="O14" s="10">
        <f t="shared" si="0"/>
        <v>0.55209999999999992</v>
      </c>
      <c r="P14" s="318">
        <f t="shared" si="0"/>
        <v>0.87570062116717007</v>
      </c>
      <c r="Q14" s="725">
        <f t="shared" si="0"/>
        <v>0.46173511758812513</v>
      </c>
      <c r="R14" s="725">
        <f t="shared" si="0"/>
        <v>0.26290734957432504</v>
      </c>
      <c r="S14" s="726">
        <v>0.33373538534456215</v>
      </c>
      <c r="V14" s="830"/>
      <c r="W14" s="725"/>
      <c r="X14" s="832"/>
      <c r="AA14" s="614"/>
      <c r="AB14" s="617"/>
      <c r="AC14" s="618"/>
      <c r="AD14" s="612"/>
      <c r="AE14" s="612"/>
      <c r="AF14" s="612"/>
      <c r="AG14" s="618"/>
      <c r="AH14" s="612"/>
      <c r="AI14" s="618"/>
      <c r="AJ14" s="622"/>
    </row>
    <row r="15" spans="1:38" ht="7.15" customHeight="1">
      <c r="A15" s="514"/>
      <c r="B15" s="323"/>
      <c r="C15" s="725"/>
      <c r="D15" s="318"/>
      <c r="E15" s="323"/>
      <c r="F15" s="725"/>
      <c r="G15" s="318"/>
      <c r="H15" s="323"/>
      <c r="I15" s="10"/>
      <c r="J15" s="318"/>
      <c r="K15" s="323"/>
      <c r="L15" s="10"/>
      <c r="M15" s="318"/>
      <c r="N15" s="323"/>
      <c r="O15" s="10"/>
      <c r="P15" s="318"/>
      <c r="Q15" s="727"/>
      <c r="R15" s="725"/>
      <c r="S15" s="726"/>
      <c r="V15" s="830"/>
      <c r="W15" s="725"/>
      <c r="X15" s="832"/>
      <c r="AA15" s="614"/>
      <c r="AB15" s="617"/>
      <c r="AC15" s="618"/>
      <c r="AD15" s="612"/>
      <c r="AE15" s="612"/>
      <c r="AF15" s="612"/>
      <c r="AG15" s="618"/>
      <c r="AH15" s="612"/>
      <c r="AI15" s="618"/>
      <c r="AJ15" s="622"/>
    </row>
    <row r="16" spans="1:38">
      <c r="A16" s="6" t="s">
        <v>14</v>
      </c>
      <c r="B16" s="323">
        <f>$D$217/$B$64/1000</f>
        <v>4.0795043180779617E-2</v>
      </c>
      <c r="C16" s="725">
        <v>1.6500000000000001E-2</v>
      </c>
      <c r="D16" s="318">
        <v>3.5940794790209792E-2</v>
      </c>
      <c r="E16" s="323">
        <f>$D$217/$B$64/1000</f>
        <v>4.0795043180779617E-2</v>
      </c>
      <c r="F16" s="725">
        <v>1.6500000000000001E-2</v>
      </c>
      <c r="G16" s="318">
        <v>1.666317390070662E-2</v>
      </c>
      <c r="H16" s="323">
        <f>$D$217/$B$64/1000</f>
        <v>4.0795043180779617E-2</v>
      </c>
      <c r="I16" s="10">
        <v>2.8299999999999999E-2</v>
      </c>
      <c r="J16" s="318">
        <v>1.666317390070662E-2</v>
      </c>
      <c r="K16" s="323">
        <f>$D$217/$B$64/1000</f>
        <v>4.0795043180779617E-2</v>
      </c>
      <c r="L16" s="10">
        <v>9.4999999999999998E-3</v>
      </c>
      <c r="M16" s="318">
        <v>1.1741675249605885E-2</v>
      </c>
      <c r="N16" s="323">
        <f>$D$217/$B$64/1000</f>
        <v>4.0795043180779617E-2</v>
      </c>
      <c r="O16" s="10">
        <v>2.8299999999999999E-2</v>
      </c>
      <c r="P16" s="318">
        <v>1.666317390070662E-2</v>
      </c>
      <c r="Q16" s="727">
        <f>$D$217/$B$64/1000</f>
        <v>4.0795043180779617E-2</v>
      </c>
      <c r="R16" s="725">
        <v>1.3727222625885965E-2</v>
      </c>
      <c r="S16" s="726">
        <v>1.666317390070662E-2</v>
      </c>
      <c r="V16" s="830"/>
      <c r="W16" s="835"/>
      <c r="X16" s="832"/>
      <c r="AA16" s="614"/>
      <c r="AB16" s="617"/>
      <c r="AC16" s="618"/>
      <c r="AD16" s="612"/>
      <c r="AE16" s="620"/>
      <c r="AF16" s="621"/>
      <c r="AG16" s="618"/>
      <c r="AH16" s="620"/>
      <c r="AI16" s="618"/>
      <c r="AJ16" s="622"/>
    </row>
    <row r="17" spans="1:36">
      <c r="A17" s="6" t="s">
        <v>15</v>
      </c>
      <c r="B17" s="323">
        <f>$G$217/$B$64/1000</f>
        <v>1.3212611881188118E-2</v>
      </c>
      <c r="C17" s="725">
        <v>7.0000000000000001E-3</v>
      </c>
      <c r="D17" s="318">
        <v>1.13712E-2</v>
      </c>
      <c r="E17" s="323">
        <f>$G$217/$B$64/1000</f>
        <v>1.3212611881188118E-2</v>
      </c>
      <c r="F17" s="725">
        <v>7.0000000000000001E-3</v>
      </c>
      <c r="G17" s="318">
        <v>4.0701570680628275E-3</v>
      </c>
      <c r="H17" s="323">
        <f>$G$217/$B$64/1000</f>
        <v>1.3212611881188118E-2</v>
      </c>
      <c r="I17" s="10">
        <v>7.1999999999999998E-3</v>
      </c>
      <c r="J17" s="318">
        <v>4.0701570680628275E-3</v>
      </c>
      <c r="K17" s="323">
        <f>$G$217/$B$64/1000</f>
        <v>1.3212611881188118E-2</v>
      </c>
      <c r="L17" s="10">
        <v>5.0000000000000001E-3</v>
      </c>
      <c r="M17" s="318">
        <v>4.1080924855491328E-3</v>
      </c>
      <c r="N17" s="323">
        <f>$G$217/$B$64/1000</f>
        <v>1.3212611881188118E-2</v>
      </c>
      <c r="O17" s="10">
        <v>7.1999999999999998E-3</v>
      </c>
      <c r="P17" s="318">
        <v>4.0701570680628275E-3</v>
      </c>
      <c r="Q17" s="727">
        <f>$G$217/$B$64/1000</f>
        <v>1.3212611881188118E-2</v>
      </c>
      <c r="R17" s="725">
        <v>1.6693747172449721E-3</v>
      </c>
      <c r="S17" s="726">
        <v>4.0701570680628275E-3</v>
      </c>
      <c r="V17" s="830"/>
      <c r="W17" s="725"/>
      <c r="X17" s="832"/>
      <c r="AA17" s="614"/>
      <c r="AB17" s="617"/>
      <c r="AC17" s="618"/>
      <c r="AD17" s="612"/>
      <c r="AE17" s="620"/>
      <c r="AF17" s="621"/>
      <c r="AG17" s="618"/>
      <c r="AH17" s="620"/>
      <c r="AI17" s="618"/>
      <c r="AJ17" s="622"/>
    </row>
    <row r="18" spans="1:36">
      <c r="A18" s="6" t="s">
        <v>16</v>
      </c>
      <c r="B18" s="323">
        <f>$J$217/$B$64/1000</f>
        <v>1.7821095525178941E-2</v>
      </c>
      <c r="C18" s="725">
        <v>1.14E-2</v>
      </c>
      <c r="D18" s="318">
        <v>1.4188877003496501E-2</v>
      </c>
      <c r="E18" s="323">
        <f>$J$217/$B$64/1000</f>
        <v>1.7821095525178941E-2</v>
      </c>
      <c r="F18" s="725">
        <v>1.14E-2</v>
      </c>
      <c r="G18" s="318">
        <v>7.3786377251675011E-3</v>
      </c>
      <c r="H18" s="323">
        <f>$J$217/$B$64/1000</f>
        <v>1.7821095525178941E-2</v>
      </c>
      <c r="I18" s="10">
        <v>7.1000000000000004E-3</v>
      </c>
      <c r="J18" s="318">
        <v>7.3786377251675011E-3</v>
      </c>
      <c r="K18" s="323">
        <f>$J$217/$B$64/1000</f>
        <v>1.7821095525178941E-2</v>
      </c>
      <c r="L18" s="10">
        <v>1.11E-2</v>
      </c>
      <c r="M18" s="318">
        <v>7.259843652712092E-3</v>
      </c>
      <c r="N18" s="323">
        <f>$J$217/$B$64/1000</f>
        <v>1.7821095525178941E-2</v>
      </c>
      <c r="O18" s="10">
        <v>7.1000000000000004E-3</v>
      </c>
      <c r="P18" s="318">
        <v>7.3786377251675011E-3</v>
      </c>
      <c r="Q18" s="727">
        <f>$J$217/$B$64/1000</f>
        <v>1.7821095525178941E-2</v>
      </c>
      <c r="R18" s="725">
        <v>5.663317933180703E-3</v>
      </c>
      <c r="S18" s="726">
        <v>7.3786377251675011E-3</v>
      </c>
      <c r="V18" s="830"/>
      <c r="W18" s="725"/>
      <c r="X18" s="832"/>
      <c r="AA18" s="614"/>
      <c r="AB18" s="617"/>
      <c r="AC18" s="618"/>
      <c r="AD18" s="612"/>
      <c r="AE18" s="620"/>
      <c r="AF18" s="621"/>
      <c r="AG18" s="618"/>
      <c r="AH18" s="620"/>
      <c r="AI18" s="618"/>
      <c r="AJ18" s="622"/>
    </row>
    <row r="19" spans="1:36">
      <c r="A19" s="2" t="s">
        <v>17</v>
      </c>
      <c r="B19" s="323">
        <f>$E$243</f>
        <v>5.4972435643564363E-3</v>
      </c>
      <c r="C19" s="725">
        <v>3.5000000000000003E-2</v>
      </c>
      <c r="D19" s="318">
        <v>0</v>
      </c>
      <c r="E19" s="323">
        <f>$E$243</f>
        <v>5.4972435643564363E-3</v>
      </c>
      <c r="F19" s="725">
        <v>3.5000000000000001E-3</v>
      </c>
      <c r="G19" s="318">
        <v>4.055497382198953E-3</v>
      </c>
      <c r="H19" s="323">
        <f>$E$243</f>
        <v>5.4972435643564363E-3</v>
      </c>
      <c r="I19" s="10">
        <v>2E-3</v>
      </c>
      <c r="J19" s="318">
        <v>4.055497382198953E-3</v>
      </c>
      <c r="K19" s="323">
        <f>$E$243</f>
        <v>5.4972435643564363E-3</v>
      </c>
      <c r="L19" s="10">
        <v>7.3000000000000001E-3</v>
      </c>
      <c r="M19" s="318">
        <v>2.4498520231213874E-3</v>
      </c>
      <c r="N19" s="323">
        <f>$E$243</f>
        <v>5.4972435643564363E-3</v>
      </c>
      <c r="O19" s="10">
        <v>2E-3</v>
      </c>
      <c r="P19" s="318">
        <v>4.055497382198953E-3</v>
      </c>
      <c r="Q19" s="727">
        <f>$E$243</f>
        <v>5.4972435643564363E-3</v>
      </c>
      <c r="R19" s="725">
        <v>2.3710733038125658E-3</v>
      </c>
      <c r="S19" s="726">
        <v>4.055497382198953E-3</v>
      </c>
      <c r="V19" s="830"/>
      <c r="W19" s="725"/>
      <c r="X19" s="832"/>
      <c r="AA19" s="614"/>
      <c r="AB19" s="617"/>
      <c r="AC19" s="618"/>
      <c r="AD19" s="612"/>
      <c r="AE19" s="620"/>
      <c r="AF19" s="621"/>
      <c r="AG19" s="618"/>
      <c r="AH19" s="620"/>
      <c r="AI19" s="618"/>
      <c r="AJ19" s="622"/>
    </row>
    <row r="20" spans="1:36">
      <c r="A20" s="2" t="s">
        <v>19</v>
      </c>
      <c r="B20" s="323">
        <f>$E$244</f>
        <v>7.398019801980198E-3</v>
      </c>
      <c r="C20" s="725">
        <v>5.3E-3</v>
      </c>
      <c r="D20" s="318">
        <v>1.0390480000000001E-2</v>
      </c>
      <c r="E20" s="323">
        <f>$E$244</f>
        <v>7.398019801980198E-3</v>
      </c>
      <c r="F20" s="725">
        <v>5.3E-3</v>
      </c>
      <c r="G20" s="318">
        <v>2.9340314136125658E-3</v>
      </c>
      <c r="H20" s="323">
        <f>$E$244</f>
        <v>7.398019801980198E-3</v>
      </c>
      <c r="I20" s="10">
        <v>3.8E-3</v>
      </c>
      <c r="J20" s="318">
        <v>2.9340314136125658E-3</v>
      </c>
      <c r="K20" s="323">
        <f>$E$244</f>
        <v>7.398019801980198E-3</v>
      </c>
      <c r="L20" s="10">
        <v>5.7999999999999996E-3</v>
      </c>
      <c r="M20" s="318">
        <v>6.3670520231213876E-2</v>
      </c>
      <c r="N20" s="323">
        <f>$E$244</f>
        <v>7.398019801980198E-3</v>
      </c>
      <c r="O20" s="10">
        <v>3.8E-3</v>
      </c>
      <c r="P20" s="318">
        <v>2.9340314136125658E-3</v>
      </c>
      <c r="Q20" s="727">
        <f>$E$244</f>
        <v>7.398019801980198E-3</v>
      </c>
      <c r="R20" s="725">
        <v>6.4182394472396251E-2</v>
      </c>
      <c r="S20" s="726">
        <v>2.9340314136125658E-3</v>
      </c>
      <c r="V20" s="830"/>
      <c r="W20" s="725"/>
      <c r="X20" s="832"/>
      <c r="AA20" s="614"/>
      <c r="AB20" s="617"/>
      <c r="AC20" s="618"/>
      <c r="AD20" s="612"/>
      <c r="AE20" s="620"/>
      <c r="AF20" s="621"/>
      <c r="AG20" s="618"/>
      <c r="AH20" s="620"/>
      <c r="AI20" s="618"/>
      <c r="AJ20" s="622"/>
    </row>
    <row r="21" spans="1:36" ht="16.5">
      <c r="A21" s="2" t="s">
        <v>18</v>
      </c>
      <c r="B21" s="324">
        <f>$E$245</f>
        <v>2.6217821782178217E-2</v>
      </c>
      <c r="C21" s="729">
        <v>1.6799999999999999E-2</v>
      </c>
      <c r="D21" s="325">
        <v>3.7630079999999996E-2</v>
      </c>
      <c r="E21" s="324">
        <f>$E$245</f>
        <v>2.6217821782178217E-2</v>
      </c>
      <c r="F21" s="729">
        <v>1.6799999999999999E-2</v>
      </c>
      <c r="G21" s="325">
        <v>1.4736125654450262E-2</v>
      </c>
      <c r="H21" s="324">
        <f>$E$245</f>
        <v>2.6217821782178217E-2</v>
      </c>
      <c r="I21" s="14">
        <v>1.35E-2</v>
      </c>
      <c r="J21" s="325">
        <v>1.4736125654450262E-2</v>
      </c>
      <c r="K21" s="324">
        <f>$E$245</f>
        <v>2.6217821782178217E-2</v>
      </c>
      <c r="L21" s="14">
        <v>3.7000000000000002E-3</v>
      </c>
      <c r="M21" s="325">
        <v>1.4046242774566474E-2</v>
      </c>
      <c r="N21" s="324">
        <f>$E$245</f>
        <v>2.6217821782178217E-2</v>
      </c>
      <c r="O21" s="14">
        <v>1.35E-2</v>
      </c>
      <c r="P21" s="325">
        <v>1.4736125654450262E-2</v>
      </c>
      <c r="Q21" s="728">
        <f>$E$245</f>
        <v>2.6217821782178217E-2</v>
      </c>
      <c r="R21" s="729">
        <v>1.5675971649095871E-2</v>
      </c>
      <c r="S21" s="730">
        <v>1.4736125654450262E-2</v>
      </c>
      <c r="V21" s="833"/>
      <c r="W21" s="729"/>
      <c r="X21" s="834"/>
      <c r="AA21" s="614"/>
      <c r="AB21" s="617"/>
      <c r="AC21" s="623"/>
      <c r="AD21" s="612"/>
      <c r="AE21" s="620"/>
      <c r="AF21" s="621"/>
      <c r="AG21" s="623"/>
      <c r="AH21" s="620"/>
      <c r="AI21" s="623"/>
      <c r="AJ21" s="622"/>
    </row>
    <row r="22" spans="1:36" ht="16.5">
      <c r="A22" s="328" t="s">
        <v>225</v>
      </c>
      <c r="B22" s="323">
        <f t="shared" ref="B22:K22" si="2">SUM(B16:B21)</f>
        <v>0.11094183573566152</v>
      </c>
      <c r="C22" s="725">
        <f t="shared" si="2"/>
        <v>9.1999999999999998E-2</v>
      </c>
      <c r="D22" s="318">
        <f>SUM(D16:D21)</f>
        <v>0.10952143179370628</v>
      </c>
      <c r="E22" s="323">
        <f t="shared" si="2"/>
        <v>0.11094183573566152</v>
      </c>
      <c r="F22" s="725">
        <f t="shared" si="2"/>
        <v>6.0499999999999998E-2</v>
      </c>
      <c r="G22" s="318">
        <f>SUM(G16:G21)</f>
        <v>4.9837623144198727E-2</v>
      </c>
      <c r="H22" s="323">
        <f t="shared" si="2"/>
        <v>0.11094183573566152</v>
      </c>
      <c r="I22" s="10">
        <f t="shared" ref="I22:J22" si="3">SUM(I16:I21)</f>
        <v>6.1899999999999997E-2</v>
      </c>
      <c r="J22" s="318">
        <f t="shared" si="3"/>
        <v>4.9837623144198727E-2</v>
      </c>
      <c r="K22" s="323">
        <f t="shared" si="2"/>
        <v>0.11094183573566152</v>
      </c>
      <c r="L22" s="10">
        <f t="shared" ref="L22:R22" si="4">SUM(L16:L21)</f>
        <v>4.24E-2</v>
      </c>
      <c r="M22" s="318">
        <v>0.10327622641676884</v>
      </c>
      <c r="N22" s="323">
        <f t="shared" ref="N22" si="5">SUM(N16:N21)</f>
        <v>0.11094183573566152</v>
      </c>
      <c r="O22" s="10">
        <f t="shared" si="4"/>
        <v>6.1899999999999997E-2</v>
      </c>
      <c r="P22" s="318">
        <f t="shared" si="4"/>
        <v>4.9837623144198727E-2</v>
      </c>
      <c r="Q22" s="727">
        <f t="shared" si="4"/>
        <v>0.11094183573566152</v>
      </c>
      <c r="R22" s="725">
        <f t="shared" si="4"/>
        <v>0.10328935470161633</v>
      </c>
      <c r="S22" s="726">
        <v>0.10327622641676884</v>
      </c>
      <c r="V22" s="830"/>
      <c r="W22" s="725"/>
      <c r="X22" s="832"/>
      <c r="AA22" s="624"/>
      <c r="AB22" s="625"/>
      <c r="AC22" s="623"/>
      <c r="AD22" s="626"/>
      <c r="AE22" s="612"/>
      <c r="AF22" s="612"/>
      <c r="AG22" s="623"/>
      <c r="AH22" s="612"/>
      <c r="AI22" s="623"/>
      <c r="AJ22" s="612"/>
    </row>
    <row r="23" spans="1:36">
      <c r="A23" s="509"/>
      <c r="B23" s="323"/>
      <c r="C23" s="725"/>
      <c r="D23" s="318"/>
      <c r="E23" s="323"/>
      <c r="F23" s="725"/>
      <c r="G23" s="318"/>
      <c r="H23" s="323"/>
      <c r="I23" s="10"/>
      <c r="J23" s="318"/>
      <c r="K23" s="323"/>
      <c r="L23" s="10"/>
      <c r="M23" s="318"/>
      <c r="N23" s="323"/>
      <c r="O23" s="10"/>
      <c r="P23" s="318"/>
      <c r="Q23" s="727"/>
      <c r="R23" s="725"/>
      <c r="S23" s="726"/>
      <c r="V23" s="830"/>
      <c r="W23" s="725"/>
      <c r="X23" s="832"/>
      <c r="AA23" s="866"/>
      <c r="AB23" s="866"/>
      <c r="AC23" s="627"/>
      <c r="AD23" s="626"/>
      <c r="AE23" s="612"/>
      <c r="AF23" s="612"/>
      <c r="AG23" s="627"/>
      <c r="AH23" s="612"/>
      <c r="AI23" s="628"/>
      <c r="AJ23" s="612"/>
    </row>
    <row r="24" spans="1:36" ht="15.75" thickBot="1">
      <c r="A24" s="526" t="s">
        <v>365</v>
      </c>
      <c r="B24" s="502">
        <f t="shared" ref="B24:P24" si="6">B14+B22</f>
        <v>0.42540476363985863</v>
      </c>
      <c r="C24" s="732">
        <f t="shared" si="6"/>
        <v>0.43220000000000003</v>
      </c>
      <c r="D24" s="504">
        <f t="shared" si="6"/>
        <v>0.33278611371159011</v>
      </c>
      <c r="E24" s="502">
        <f t="shared" si="6"/>
        <v>0.44532769426364022</v>
      </c>
      <c r="F24" s="732">
        <f t="shared" si="6"/>
        <v>0.39749999999999996</v>
      </c>
      <c r="G24" s="504">
        <f t="shared" si="6"/>
        <v>0.31679199811794595</v>
      </c>
      <c r="H24" s="502">
        <f t="shared" si="6"/>
        <v>0.81200935548499564</v>
      </c>
      <c r="I24" s="503">
        <f t="shared" si="6"/>
        <v>0.61249999999999993</v>
      </c>
      <c r="J24" s="504">
        <f t="shared" si="6"/>
        <v>0.57645526258773538</v>
      </c>
      <c r="K24" s="502">
        <f t="shared" si="6"/>
        <v>0.60471163883915646</v>
      </c>
      <c r="L24" s="503">
        <f t="shared" si="6"/>
        <v>0.32339999999999997</v>
      </c>
      <c r="M24" s="504">
        <f t="shared" si="6"/>
        <v>0.53693933800233373</v>
      </c>
      <c r="N24" s="502">
        <f t="shared" si="6"/>
        <v>0.25195155758172216</v>
      </c>
      <c r="O24" s="503">
        <f t="shared" si="6"/>
        <v>0.61399999999999988</v>
      </c>
      <c r="P24" s="504">
        <f t="shared" si="6"/>
        <v>0.92553824431136877</v>
      </c>
      <c r="Q24" s="731">
        <f>Q14+Q22</f>
        <v>0.57267695332378665</v>
      </c>
      <c r="R24" s="732">
        <f t="shared" ref="R24:S24" si="7">R14+R22</f>
        <v>0.36619670427594136</v>
      </c>
      <c r="S24" s="733">
        <f t="shared" si="7"/>
        <v>0.43701161176133096</v>
      </c>
      <c r="V24" s="836"/>
      <c r="W24" s="837"/>
      <c r="X24" s="838"/>
      <c r="AA24" s="866"/>
      <c r="AB24" s="866"/>
      <c r="AC24" s="629"/>
      <c r="AD24" s="630"/>
      <c r="AE24" s="612"/>
      <c r="AF24" s="612"/>
      <c r="AG24" s="629"/>
      <c r="AH24" s="612"/>
      <c r="AI24" s="629"/>
      <c r="AJ24" s="612"/>
    </row>
    <row r="25" spans="1:36">
      <c r="A25" s="501" t="s">
        <v>368</v>
      </c>
      <c r="B25" s="494">
        <f>-B7</f>
        <v>0</v>
      </c>
      <c r="C25" s="735"/>
      <c r="D25" s="498">
        <v>0</v>
      </c>
      <c r="E25" s="494">
        <f>-E7</f>
        <v>0</v>
      </c>
      <c r="F25" s="735"/>
      <c r="G25" s="498">
        <v>0</v>
      </c>
      <c r="H25" s="494">
        <f>-H7</f>
        <v>0</v>
      </c>
      <c r="I25" s="497"/>
      <c r="J25" s="498">
        <v>0</v>
      </c>
      <c r="K25" s="494">
        <f>-K7</f>
        <v>0</v>
      </c>
      <c r="L25" s="497"/>
      <c r="M25" s="498">
        <v>0</v>
      </c>
      <c r="N25" s="494">
        <f>-N7</f>
        <v>0</v>
      </c>
      <c r="O25" s="497"/>
      <c r="P25" s="498"/>
      <c r="Q25" s="734">
        <f>-Q7</f>
        <v>0</v>
      </c>
      <c r="R25" s="735"/>
      <c r="S25" s="736">
        <v>0</v>
      </c>
      <c r="V25" s="839"/>
      <c r="W25" s="840"/>
      <c r="X25" s="840"/>
      <c r="AA25" s="631"/>
      <c r="AB25" s="631"/>
      <c r="AC25" s="629"/>
      <c r="AD25" s="630"/>
      <c r="AE25" s="612"/>
      <c r="AF25" s="612"/>
      <c r="AG25" s="629"/>
      <c r="AH25" s="612"/>
      <c r="AI25" s="629"/>
      <c r="AJ25" s="612"/>
    </row>
    <row r="26" spans="1:36">
      <c r="A26" s="328" t="s">
        <v>367</v>
      </c>
      <c r="B26" s="323">
        <v>0</v>
      </c>
      <c r="C26" s="737">
        <v>-7.9184631924661131E-2</v>
      </c>
      <c r="D26" s="318">
        <v>0</v>
      </c>
      <c r="E26" s="323">
        <v>0</v>
      </c>
      <c r="F26" s="737">
        <v>0</v>
      </c>
      <c r="G26" s="318">
        <v>0</v>
      </c>
      <c r="H26" s="323">
        <v>0</v>
      </c>
      <c r="I26" s="544">
        <v>0</v>
      </c>
      <c r="J26" s="318">
        <v>0</v>
      </c>
      <c r="K26" s="323">
        <v>0</v>
      </c>
      <c r="L26" s="544">
        <v>0</v>
      </c>
      <c r="M26" s="318">
        <v>0</v>
      </c>
      <c r="N26" s="323">
        <v>0</v>
      </c>
      <c r="O26" s="544">
        <v>0</v>
      </c>
      <c r="P26" s="318">
        <v>0</v>
      </c>
      <c r="Q26" s="727">
        <v>0</v>
      </c>
      <c r="R26" s="737">
        <f t="shared" ref="R26" si="8">IF(R9+R10+R11+R12+R13+R22&gt;0.0498,0.0498-R9-R10-R11-R12-R13-R22,0)</f>
        <v>-8.3948721604540533E-2</v>
      </c>
      <c r="S26" s="726">
        <v>0</v>
      </c>
      <c r="V26" s="839"/>
      <c r="W26" s="722"/>
      <c r="X26" s="722"/>
      <c r="AA26" s="612"/>
      <c r="AB26" s="612"/>
      <c r="AC26" s="632"/>
      <c r="AD26" s="625"/>
      <c r="AE26" s="612"/>
      <c r="AF26" s="612"/>
      <c r="AG26" s="632"/>
      <c r="AH26" s="612"/>
      <c r="AI26" s="632"/>
      <c r="AJ26" s="612"/>
    </row>
    <row r="27" spans="1:36" ht="15.75" thickBot="1">
      <c r="A27" s="526" t="s">
        <v>366</v>
      </c>
      <c r="B27" s="502">
        <f t="shared" ref="B27:S27" si="9">SUM(B24:B26)</f>
        <v>0.42540476363985863</v>
      </c>
      <c r="C27" s="732">
        <f t="shared" si="9"/>
        <v>0.3530153680753389</v>
      </c>
      <c r="D27" s="504">
        <f t="shared" si="9"/>
        <v>0.33278611371159011</v>
      </c>
      <c r="E27" s="502">
        <f t="shared" si="9"/>
        <v>0.44532769426364022</v>
      </c>
      <c r="F27" s="732">
        <f t="shared" si="9"/>
        <v>0.39749999999999996</v>
      </c>
      <c r="G27" s="504">
        <f t="shared" si="9"/>
        <v>0.31679199811794595</v>
      </c>
      <c r="H27" s="502">
        <f t="shared" si="9"/>
        <v>0.81200935548499564</v>
      </c>
      <c r="I27" s="503">
        <f t="shared" si="9"/>
        <v>0.61249999999999993</v>
      </c>
      <c r="J27" s="504">
        <f t="shared" si="9"/>
        <v>0.57645526258773538</v>
      </c>
      <c r="K27" s="502">
        <f t="shared" si="9"/>
        <v>0.60471163883915646</v>
      </c>
      <c r="L27" s="503">
        <f t="shared" si="9"/>
        <v>0.32339999999999997</v>
      </c>
      <c r="M27" s="504">
        <f t="shared" si="9"/>
        <v>0.53693933800233373</v>
      </c>
      <c r="N27" s="502">
        <f t="shared" si="9"/>
        <v>0.25195155758172216</v>
      </c>
      <c r="O27" s="503">
        <f t="shared" si="9"/>
        <v>0.61399999999999988</v>
      </c>
      <c r="P27" s="504">
        <f t="shared" si="9"/>
        <v>0.92553824431136877</v>
      </c>
      <c r="Q27" s="731">
        <f t="shared" si="9"/>
        <v>0.57267695332378665</v>
      </c>
      <c r="R27" s="732">
        <f t="shared" si="9"/>
        <v>0.28224798267140083</v>
      </c>
      <c r="S27" s="733">
        <f t="shared" si="9"/>
        <v>0.43701161176133096</v>
      </c>
      <c r="V27" s="836"/>
      <c r="W27" s="837"/>
      <c r="X27" s="838"/>
      <c r="AA27" s="866"/>
      <c r="AB27" s="866"/>
      <c r="AC27" s="629"/>
      <c r="AD27" s="630"/>
      <c r="AE27" s="612"/>
      <c r="AF27" s="612"/>
      <c r="AG27" s="629"/>
      <c r="AH27" s="612"/>
      <c r="AI27" s="629"/>
      <c r="AJ27" s="612"/>
    </row>
    <row r="28" spans="1:36" ht="15.75" thickBot="1">
      <c r="A28" s="509"/>
      <c r="B28" s="558"/>
      <c r="C28" s="712"/>
      <c r="D28" s="25"/>
      <c r="E28" s="558"/>
      <c r="F28" s="712"/>
      <c r="G28" s="25"/>
      <c r="H28" s="558"/>
      <c r="J28" s="25"/>
      <c r="K28" s="558"/>
      <c r="M28" s="25"/>
      <c r="N28" s="558"/>
      <c r="P28" s="25"/>
      <c r="Q28" s="738"/>
      <c r="R28" s="712"/>
      <c r="S28" s="739"/>
      <c r="V28" s="712"/>
      <c r="W28" s="712"/>
      <c r="X28" s="712"/>
      <c r="AA28" s="866"/>
      <c r="AB28" s="866"/>
      <c r="AC28" s="629"/>
      <c r="AD28" s="624"/>
      <c r="AE28" s="612"/>
      <c r="AF28" s="612"/>
      <c r="AG28" s="629"/>
      <c r="AH28" s="612"/>
      <c r="AI28" s="629"/>
      <c r="AJ28" s="612"/>
    </row>
    <row r="29" spans="1:36" ht="15.75" thickBot="1">
      <c r="A29" s="526" t="s">
        <v>392</v>
      </c>
      <c r="B29" s="842">
        <f>+B79*0.5</f>
        <v>4350</v>
      </c>
      <c r="C29" s="741">
        <v>15431</v>
      </c>
      <c r="D29" s="519">
        <v>3000</v>
      </c>
      <c r="E29" s="842">
        <f>+B79*0.5</f>
        <v>4350</v>
      </c>
      <c r="F29" s="741">
        <v>9412</v>
      </c>
      <c r="G29" s="519">
        <v>25500</v>
      </c>
      <c r="H29" s="517">
        <f>+B81</f>
        <v>0</v>
      </c>
      <c r="I29" s="518">
        <v>198</v>
      </c>
      <c r="J29" s="519">
        <v>300</v>
      </c>
      <c r="K29" s="517">
        <f>+B82</f>
        <v>0</v>
      </c>
      <c r="L29" s="518">
        <v>160</v>
      </c>
      <c r="M29" s="519">
        <v>1000</v>
      </c>
      <c r="N29" s="517">
        <f>+B80</f>
        <v>0</v>
      </c>
      <c r="O29" s="518">
        <v>827</v>
      </c>
      <c r="P29" s="519">
        <v>5000</v>
      </c>
      <c r="Q29" s="740">
        <f>+B84</f>
        <v>0</v>
      </c>
      <c r="R29" s="741">
        <v>3647.15</v>
      </c>
      <c r="S29" s="742">
        <v>1300</v>
      </c>
      <c r="V29" s="841"/>
      <c r="W29" s="712"/>
      <c r="X29" s="712"/>
      <c r="AA29" s="867"/>
      <c r="AB29" s="867"/>
      <c r="AC29" s="633"/>
      <c r="AD29" s="624"/>
      <c r="AE29" s="612"/>
      <c r="AF29" s="612"/>
      <c r="AG29" s="631"/>
      <c r="AH29" s="612"/>
      <c r="AI29" s="631"/>
      <c r="AJ29" s="612"/>
    </row>
    <row r="30" spans="1:36">
      <c r="A30" s="505"/>
      <c r="B30" s="557"/>
      <c r="C30" s="4"/>
      <c r="D30" s="561"/>
      <c r="E30" s="557"/>
      <c r="F30" s="4"/>
      <c r="G30" s="561"/>
      <c r="H30" s="557"/>
      <c r="I30" s="4"/>
      <c r="J30" s="561"/>
      <c r="K30" s="766"/>
      <c r="L30" s="767"/>
      <c r="M30" s="768"/>
      <c r="N30" s="766"/>
      <c r="O30" s="767"/>
      <c r="P30" s="768"/>
      <c r="Q30" s="557"/>
      <c r="R30" s="4"/>
      <c r="S30" s="561"/>
      <c r="AA30" s="341"/>
      <c r="AB30" s="341"/>
      <c r="AC30" s="342"/>
      <c r="AD30" s="1"/>
      <c r="AG30" s="176"/>
      <c r="AI30" s="176"/>
    </row>
    <row r="31" spans="1:36">
      <c r="A31" s="564"/>
      <c r="B31" s="502"/>
      <c r="C31" s="543"/>
      <c r="D31" s="556"/>
      <c r="E31" s="502"/>
      <c r="F31" s="543"/>
      <c r="G31" s="504"/>
      <c r="H31" s="502"/>
      <c r="I31" s="543"/>
      <c r="J31" s="556"/>
      <c r="K31" s="502"/>
      <c r="L31" s="543"/>
      <c r="M31" s="556"/>
      <c r="N31" s="502"/>
      <c r="O31" s="543"/>
      <c r="P31" s="504"/>
      <c r="Q31" s="502"/>
      <c r="R31" s="543"/>
      <c r="S31" s="556"/>
      <c r="AA31" s="341"/>
      <c r="AB31" s="341"/>
      <c r="AC31" s="342"/>
      <c r="AD31" s="1"/>
      <c r="AG31" s="176"/>
      <c r="AI31" s="176"/>
    </row>
    <row r="32" spans="1:36">
      <c r="A32" s="505"/>
      <c r="B32" s="515"/>
      <c r="C32" s="507"/>
      <c r="D32" s="507"/>
      <c r="E32" s="509"/>
      <c r="F32" s="509"/>
      <c r="G32" s="509"/>
      <c r="H32" s="516"/>
      <c r="I32" s="509"/>
      <c r="J32" s="509"/>
      <c r="K32" s="509"/>
      <c r="L32" s="509"/>
      <c r="M32" s="509"/>
      <c r="N32" s="509"/>
      <c r="O32" s="509"/>
      <c r="P32" s="509"/>
      <c r="Q32" s="509"/>
      <c r="R32" s="509"/>
      <c r="S32" s="509"/>
      <c r="AA32" s="341"/>
      <c r="AB32" s="341"/>
      <c r="AC32" s="342"/>
      <c r="AD32" s="1"/>
      <c r="AG32" s="176"/>
      <c r="AI32" s="176"/>
    </row>
    <row r="33" spans="1:35">
      <c r="A33" s="505"/>
      <c r="B33" s="515"/>
      <c r="C33" s="507"/>
      <c r="D33" s="507"/>
      <c r="E33" s="509"/>
      <c r="F33" s="509"/>
      <c r="G33" s="509"/>
      <c r="H33" s="516"/>
      <c r="I33" s="509"/>
      <c r="J33" s="509"/>
      <c r="K33" s="509"/>
      <c r="L33" s="509"/>
      <c r="M33" s="509"/>
      <c r="N33" s="509"/>
      <c r="O33" s="509"/>
      <c r="P33" s="509"/>
      <c r="Q33" s="509"/>
      <c r="R33" s="509"/>
      <c r="S33" s="509"/>
      <c r="AA33" s="341"/>
      <c r="AB33" s="341"/>
      <c r="AC33" s="342"/>
      <c r="AD33" s="1"/>
      <c r="AG33" s="176"/>
      <c r="AI33" s="176"/>
    </row>
    <row r="34" spans="1:35" ht="16.899999999999999" customHeight="1">
      <c r="A34" s="340"/>
      <c r="B34" s="860" t="s">
        <v>322</v>
      </c>
      <c r="C34" s="861"/>
      <c r="D34" s="862"/>
      <c r="E34" s="860" t="s">
        <v>323</v>
      </c>
      <c r="F34" s="861"/>
      <c r="G34" s="862"/>
      <c r="H34" s="860" t="s">
        <v>400</v>
      </c>
      <c r="I34" s="861"/>
      <c r="J34" s="862"/>
      <c r="K34" s="863" t="s">
        <v>325</v>
      </c>
      <c r="L34" s="864"/>
      <c r="M34" s="865"/>
      <c r="N34" s="860" t="s">
        <v>449</v>
      </c>
      <c r="O34" s="861"/>
      <c r="P34" s="862"/>
      <c r="Q34" s="856" t="s">
        <v>407</v>
      </c>
      <c r="R34" s="857"/>
      <c r="S34" s="858"/>
      <c r="AA34" s="341"/>
      <c r="AB34" s="341"/>
      <c r="AC34" s="342"/>
      <c r="AD34" s="1"/>
      <c r="AG34" s="176"/>
      <c r="AI34" s="176"/>
    </row>
    <row r="35" spans="1:35" ht="15" customHeight="1">
      <c r="A35" s="340"/>
      <c r="B35" s="304" t="s">
        <v>467</v>
      </c>
      <c r="C35" s="305" t="s">
        <v>442</v>
      </c>
      <c r="D35" s="306" t="s">
        <v>438</v>
      </c>
      <c r="E35" s="304" t="s">
        <v>467</v>
      </c>
      <c r="F35" s="716" t="s">
        <v>468</v>
      </c>
      <c r="G35" s="306" t="s">
        <v>438</v>
      </c>
      <c r="H35" s="304" t="s">
        <v>448</v>
      </c>
      <c r="I35" s="305" t="s">
        <v>446</v>
      </c>
      <c r="J35" s="306" t="str">
        <f>+D4</f>
        <v>22 Standard</v>
      </c>
      <c r="K35" s="715" t="str">
        <f>+B4</f>
        <v>24 Standard</v>
      </c>
      <c r="L35" s="716" t="s">
        <v>402</v>
      </c>
      <c r="M35" s="717" t="str">
        <f>+D4</f>
        <v>22 Standard</v>
      </c>
      <c r="N35" s="304" t="str">
        <f>+B4</f>
        <v>24 Standard</v>
      </c>
      <c r="O35" s="305" t="s">
        <v>451</v>
      </c>
      <c r="P35" s="306" t="s">
        <v>452</v>
      </c>
      <c r="Q35" s="715" t="str">
        <f>+B4</f>
        <v>24 Standard</v>
      </c>
      <c r="R35" s="716" t="s">
        <v>402</v>
      </c>
      <c r="S35" s="717" t="str">
        <f>+D4</f>
        <v>22 Standard</v>
      </c>
      <c r="AA35" s="341"/>
      <c r="AB35" s="341"/>
      <c r="AC35" s="342"/>
      <c r="AD35" s="1"/>
      <c r="AG35" s="176"/>
      <c r="AI35" s="176"/>
    </row>
    <row r="36" spans="1:35">
      <c r="A36" s="340"/>
      <c r="B36" s="307"/>
      <c r="C36" s="111" t="s">
        <v>457</v>
      </c>
      <c r="D36" s="308"/>
      <c r="E36" s="307"/>
      <c r="F36" s="719" t="s">
        <v>470</v>
      </c>
      <c r="G36" s="308"/>
      <c r="H36" s="307"/>
      <c r="I36" s="111" t="s">
        <v>447</v>
      </c>
      <c r="J36" s="308"/>
      <c r="K36" s="718"/>
      <c r="L36" s="719" t="s">
        <v>401</v>
      </c>
      <c r="M36" s="720"/>
      <c r="N36" s="307"/>
      <c r="O36" s="111"/>
      <c r="P36" s="308"/>
      <c r="Q36" s="718"/>
      <c r="R36" s="719"/>
      <c r="S36" s="720"/>
      <c r="AA36" s="341"/>
      <c r="AB36" s="341"/>
      <c r="AC36" s="342"/>
      <c r="AD36" s="1"/>
      <c r="AG36" s="176"/>
      <c r="AI36" s="176"/>
    </row>
    <row r="37" spans="1:35">
      <c r="A37" s="6" t="s">
        <v>223</v>
      </c>
      <c r="B37" s="312">
        <f>E152</f>
        <v>0.34423291139240503</v>
      </c>
      <c r="C37" s="190">
        <v>0.34210000000000002</v>
      </c>
      <c r="D37" s="313">
        <v>0.21326582278481013</v>
      </c>
      <c r="E37" s="314">
        <f>G152</f>
        <v>0.63341570595150953</v>
      </c>
      <c r="F37" s="722">
        <v>0.57289999999999996</v>
      </c>
      <c r="G37" s="313">
        <v>0.51387049217579917</v>
      </c>
      <c r="H37" s="312">
        <f>I152</f>
        <v>0.46844430140382232</v>
      </c>
      <c r="I37" s="190">
        <v>0.3911</v>
      </c>
      <c r="J37" s="313">
        <v>0</v>
      </c>
      <c r="K37" s="721"/>
      <c r="L37" s="722">
        <v>0</v>
      </c>
      <c r="M37" s="723">
        <v>1.8829093264248706</v>
      </c>
      <c r="N37" s="312">
        <f>+M152</f>
        <v>0.28401991288114498</v>
      </c>
      <c r="O37" s="190">
        <v>0</v>
      </c>
      <c r="P37" s="313">
        <v>0</v>
      </c>
      <c r="Q37" s="721"/>
      <c r="R37" s="722">
        <v>0</v>
      </c>
      <c r="S37" s="723">
        <v>0</v>
      </c>
      <c r="AA37" s="341"/>
      <c r="AB37" s="341"/>
      <c r="AC37" s="342"/>
      <c r="AD37" s="1"/>
      <c r="AG37" s="176"/>
      <c r="AI37" s="176"/>
    </row>
    <row r="38" spans="1:35">
      <c r="A38" s="500" t="s">
        <v>362</v>
      </c>
      <c r="B38" s="317">
        <f>$C137*D137</f>
        <v>0</v>
      </c>
      <c r="C38" s="10"/>
      <c r="D38" s="318">
        <v>0</v>
      </c>
      <c r="E38" s="317">
        <f>$C134*F134</f>
        <v>0</v>
      </c>
      <c r="F38" s="725"/>
      <c r="G38" s="318">
        <v>0</v>
      </c>
      <c r="H38" s="317">
        <f>$C129*H129</f>
        <v>0</v>
      </c>
      <c r="I38" s="10"/>
      <c r="J38" s="318">
        <v>0</v>
      </c>
      <c r="K38" s="724"/>
      <c r="L38" s="725"/>
      <c r="M38" s="726">
        <v>0.16177979274611401</v>
      </c>
      <c r="N38" s="317">
        <v>0</v>
      </c>
      <c r="O38" s="10"/>
      <c r="P38" s="318">
        <v>0</v>
      </c>
      <c r="Q38" s="724"/>
      <c r="R38" s="725"/>
      <c r="S38" s="726">
        <v>0</v>
      </c>
      <c r="AA38" s="341"/>
      <c r="AB38" s="341"/>
      <c r="AC38" s="342"/>
      <c r="AD38" s="1"/>
      <c r="AG38" s="176"/>
      <c r="AI38" s="176"/>
    </row>
    <row r="39" spans="1:35">
      <c r="A39" s="6" t="s">
        <v>373</v>
      </c>
      <c r="B39" s="317">
        <f>E153+E154</f>
        <v>6.7817591691009427E-2</v>
      </c>
      <c r="C39" s="10">
        <f>0.4041-C37</f>
        <v>6.2E-2</v>
      </c>
      <c r="D39" s="318">
        <v>6.7925472249269717E-2</v>
      </c>
      <c r="E39" s="317">
        <f>G153+G154</f>
        <v>5.3814952345038192E-2</v>
      </c>
      <c r="F39" s="725">
        <v>4.9599999999999998E-2</v>
      </c>
      <c r="G39" s="318">
        <v>4.2530519676702988E-2</v>
      </c>
      <c r="H39" s="317">
        <f>I153+I154</f>
        <v>6.5721368654694298E-3</v>
      </c>
      <c r="I39" s="10">
        <v>5.8396523545234764E-3</v>
      </c>
      <c r="J39" s="318">
        <v>0</v>
      </c>
      <c r="K39" s="724"/>
      <c r="L39" s="725">
        <v>0</v>
      </c>
      <c r="M39" s="726">
        <v>4.2578634824999996E-2</v>
      </c>
      <c r="N39" s="317">
        <f>+M153+M154</f>
        <v>0.78698195395146242</v>
      </c>
      <c r="O39" s="10">
        <v>0</v>
      </c>
      <c r="P39" s="318">
        <v>0</v>
      </c>
      <c r="Q39" s="724"/>
      <c r="R39" s="725">
        <v>0</v>
      </c>
      <c r="S39" s="726">
        <v>0</v>
      </c>
      <c r="AA39" s="341"/>
      <c r="AB39" s="341"/>
      <c r="AC39" s="342"/>
      <c r="AD39" s="1"/>
      <c r="AG39" s="176"/>
      <c r="AI39" s="176"/>
    </row>
    <row r="40" spans="1:35">
      <c r="A40" s="6" t="s">
        <v>8</v>
      </c>
      <c r="B40" s="317">
        <f>E171</f>
        <v>1.2078140214216162E-2</v>
      </c>
      <c r="C40" s="10">
        <v>0.01</v>
      </c>
      <c r="D40" s="318">
        <v>9.6417790461842366E-3</v>
      </c>
      <c r="E40" s="317">
        <f>G171</f>
        <v>1.3849729745716969E-2</v>
      </c>
      <c r="F40" s="725">
        <v>1.67E-2</v>
      </c>
      <c r="G40" s="318">
        <v>5.8784926413087768E-3</v>
      </c>
      <c r="H40" s="317">
        <f>I171</f>
        <v>9.6111165164667403E-3</v>
      </c>
      <c r="I40" s="10">
        <v>1.7771323504375363E-2</v>
      </c>
      <c r="J40" s="318">
        <v>0</v>
      </c>
      <c r="K40" s="724"/>
      <c r="L40" s="725">
        <v>0</v>
      </c>
      <c r="M40" s="726">
        <v>1.0135435073031706E-2</v>
      </c>
      <c r="N40" s="317">
        <f>M171</f>
        <v>4.6127878033602986E-2</v>
      </c>
      <c r="O40" s="10">
        <v>0</v>
      </c>
      <c r="P40" s="318">
        <v>0</v>
      </c>
      <c r="Q40" s="724"/>
      <c r="R40" s="725">
        <v>0</v>
      </c>
      <c r="S40" s="726">
        <v>0</v>
      </c>
      <c r="AA40" s="341"/>
      <c r="AB40" s="341"/>
      <c r="AC40" s="342"/>
      <c r="AD40" s="1"/>
      <c r="AG40" s="176"/>
      <c r="AI40" s="176"/>
    </row>
    <row r="41" spans="1:35">
      <c r="A41" s="2" t="s">
        <v>9</v>
      </c>
      <c r="B41" s="317">
        <f>E172</f>
        <v>1.5830980201233364E-3</v>
      </c>
      <c r="C41" s="10">
        <v>2E-3</v>
      </c>
      <c r="D41" s="318">
        <v>1.7836722906349686E-3</v>
      </c>
      <c r="E41" s="317">
        <f>G172</f>
        <v>2.7058420768542547E-3</v>
      </c>
      <c r="F41" s="725">
        <v>1.1000000000000001E-3</v>
      </c>
      <c r="G41" s="318">
        <v>1.2263425733000934E-3</v>
      </c>
      <c r="H41" s="317">
        <f>I172</f>
        <v>1.3457382417243625E-3</v>
      </c>
      <c r="I41" s="10">
        <v>3.6105204467295447E-3</v>
      </c>
      <c r="J41" s="318">
        <v>0</v>
      </c>
      <c r="K41" s="724"/>
      <c r="L41" s="725">
        <v>0</v>
      </c>
      <c r="M41" s="726">
        <v>1.124759091389829E-3</v>
      </c>
      <c r="N41" s="317">
        <f>M172</f>
        <v>2.0507934038581205E-3</v>
      </c>
      <c r="O41" s="10">
        <v>0</v>
      </c>
      <c r="P41" s="318">
        <v>0</v>
      </c>
      <c r="Q41" s="724"/>
      <c r="R41" s="725">
        <v>0</v>
      </c>
      <c r="S41" s="726">
        <v>0</v>
      </c>
      <c r="AA41" s="341"/>
      <c r="AB41" s="341"/>
      <c r="AC41" s="342"/>
      <c r="AD41" s="1"/>
      <c r="AG41" s="176"/>
      <c r="AI41" s="176"/>
    </row>
    <row r="42" spans="1:35">
      <c r="A42" s="6" t="s">
        <v>10</v>
      </c>
      <c r="B42" s="323">
        <f>$H$180</f>
        <v>1.6501650165016504E-2</v>
      </c>
      <c r="C42" s="10">
        <v>3.5999999999999999E-3</v>
      </c>
      <c r="D42" s="318">
        <v>3.1413612565445027E-3</v>
      </c>
      <c r="E42" s="323">
        <f>$H$180</f>
        <v>1.6501650165016504E-2</v>
      </c>
      <c r="F42" s="725">
        <v>3.5999999999999999E-3</v>
      </c>
      <c r="G42" s="318">
        <v>3.1413612565445027E-3</v>
      </c>
      <c r="H42" s="323">
        <f>$H$180</f>
        <v>1.6501650165016504E-2</v>
      </c>
      <c r="I42" s="10">
        <v>5.9485597058122515E-3</v>
      </c>
      <c r="J42" s="318">
        <v>0</v>
      </c>
      <c r="K42" s="727"/>
      <c r="L42" s="725">
        <v>0</v>
      </c>
      <c r="M42" s="726">
        <v>8.670520231213872E-3</v>
      </c>
      <c r="N42" s="323">
        <f>$H$180</f>
        <v>1.6501650165016504E-2</v>
      </c>
      <c r="O42" s="10">
        <v>0</v>
      </c>
      <c r="P42" s="318">
        <v>0</v>
      </c>
      <c r="Q42" s="727"/>
      <c r="R42" s="725">
        <v>0</v>
      </c>
      <c r="S42" s="726">
        <v>0</v>
      </c>
      <c r="AA42" s="341"/>
      <c r="AB42" s="341"/>
      <c r="AC42" s="342"/>
      <c r="AD42" s="1"/>
      <c r="AG42" s="176"/>
      <c r="AI42" s="176"/>
    </row>
    <row r="43" spans="1:35">
      <c r="A43" s="6" t="s">
        <v>11</v>
      </c>
      <c r="B43" s="323">
        <f>$H$183</f>
        <v>1.3201320132013201E-3</v>
      </c>
      <c r="C43" s="10">
        <v>2.0000000000000001E-4</v>
      </c>
      <c r="D43" s="318">
        <v>2.6178010471204186E-4</v>
      </c>
      <c r="E43" s="323">
        <f>$H$183</f>
        <v>1.3201320132013201E-3</v>
      </c>
      <c r="F43" s="725">
        <v>0</v>
      </c>
      <c r="G43" s="318">
        <v>2.6178010471204186E-4</v>
      </c>
      <c r="H43" s="323">
        <f>$H$183</f>
        <v>1.3201320132013201E-3</v>
      </c>
      <c r="I43" s="10">
        <v>9.9144080493036879E-4</v>
      </c>
      <c r="J43" s="318">
        <v>0</v>
      </c>
      <c r="K43" s="727"/>
      <c r="L43" s="725">
        <v>0</v>
      </c>
      <c r="M43" s="726">
        <v>4.3352601156069364E-4</v>
      </c>
      <c r="N43" s="323">
        <f>$H$183</f>
        <v>1.3201320132013201E-3</v>
      </c>
      <c r="O43" s="10">
        <v>0</v>
      </c>
      <c r="P43" s="318">
        <v>0</v>
      </c>
      <c r="Q43" s="727"/>
      <c r="R43" s="725">
        <v>0</v>
      </c>
      <c r="S43" s="726">
        <v>0</v>
      </c>
      <c r="AA43" s="341"/>
      <c r="AB43" s="341"/>
      <c r="AC43" s="342"/>
      <c r="AD43" s="1"/>
      <c r="AG43" s="176"/>
      <c r="AI43" s="176"/>
    </row>
    <row r="44" spans="1:35" ht="16.5">
      <c r="A44" s="6" t="s">
        <v>12</v>
      </c>
      <c r="B44" s="324">
        <f>$H$186</f>
        <v>2.3102310231023104E-2</v>
      </c>
      <c r="C44" s="14">
        <v>1.2500000000000001E-2</v>
      </c>
      <c r="D44" s="325">
        <v>3.9267015706806281E-3</v>
      </c>
      <c r="E44" s="324">
        <f>$H$186</f>
        <v>2.3102310231023104E-2</v>
      </c>
      <c r="F44" s="729">
        <v>1.2E-2</v>
      </c>
      <c r="G44" s="325">
        <v>3.9267015706806281E-3</v>
      </c>
      <c r="H44" s="324">
        <f>$H$186</f>
        <v>2.3102310231023104E-2</v>
      </c>
      <c r="I44" s="14">
        <v>9.2202407300214506E-3</v>
      </c>
      <c r="J44" s="325">
        <v>0</v>
      </c>
      <c r="K44" s="728"/>
      <c r="L44" s="729">
        <v>0</v>
      </c>
      <c r="M44" s="730">
        <v>5.7803468208092491E-3</v>
      </c>
      <c r="N44" s="324">
        <f>$H$186</f>
        <v>2.3102310231023104E-2</v>
      </c>
      <c r="O44" s="14">
        <v>0</v>
      </c>
      <c r="P44" s="325">
        <v>0</v>
      </c>
      <c r="Q44" s="728"/>
      <c r="R44" s="729">
        <v>0</v>
      </c>
      <c r="S44" s="730">
        <v>0</v>
      </c>
      <c r="AA44" s="341"/>
      <c r="AB44" s="341"/>
      <c r="AC44" s="342"/>
      <c r="AD44" s="1"/>
      <c r="AG44" s="176"/>
      <c r="AI44" s="176"/>
    </row>
    <row r="45" spans="1:35">
      <c r="A45" s="328" t="s">
        <v>224</v>
      </c>
      <c r="B45" s="10">
        <f t="shared" ref="B45:S45" si="10">SUM(B37:B44)</f>
        <v>0.46663583372699485</v>
      </c>
      <c r="C45" s="10">
        <f t="shared" si="10"/>
        <v>0.43240000000000001</v>
      </c>
      <c r="D45" s="318">
        <f>SUM(D37:D44)</f>
        <v>0.2999465893028363</v>
      </c>
      <c r="E45" s="10">
        <f t="shared" si="10"/>
        <v>0.74471032252835978</v>
      </c>
      <c r="F45" s="725">
        <f t="shared" si="10"/>
        <v>0.65590000000000004</v>
      </c>
      <c r="G45" s="318">
        <f>SUM(G37:G44)</f>
        <v>0.57083568999904821</v>
      </c>
      <c r="H45" s="10">
        <f t="shared" si="10"/>
        <v>0.52689738543672382</v>
      </c>
      <c r="I45" s="10">
        <f t="shared" si="10"/>
        <v>0.43448173754639252</v>
      </c>
      <c r="J45" s="318">
        <f>SUM(J37:J44)</f>
        <v>0</v>
      </c>
      <c r="K45" s="725"/>
      <c r="L45" s="725">
        <f t="shared" si="10"/>
        <v>0</v>
      </c>
      <c r="M45" s="726">
        <v>2.1134123412239898</v>
      </c>
      <c r="N45" s="10">
        <f>SUM(N37:N44)</f>
        <v>1.1601046306793092</v>
      </c>
      <c r="O45" s="10">
        <f t="shared" si="10"/>
        <v>0</v>
      </c>
      <c r="P45" s="318">
        <f t="shared" si="10"/>
        <v>0</v>
      </c>
      <c r="Q45" s="725"/>
      <c r="R45" s="725">
        <f t="shared" si="10"/>
        <v>0</v>
      </c>
      <c r="S45" s="726">
        <f t="shared" si="10"/>
        <v>0</v>
      </c>
      <c r="AA45" s="341"/>
      <c r="AB45" s="341"/>
      <c r="AC45" s="342"/>
      <c r="AD45" s="1"/>
      <c r="AG45" s="176"/>
      <c r="AI45" s="176"/>
    </row>
    <row r="46" spans="1:35">
      <c r="A46" s="514"/>
      <c r="B46" s="323"/>
      <c r="C46" s="10"/>
      <c r="D46" s="513"/>
      <c r="E46" s="323"/>
      <c r="F46" s="725"/>
      <c r="G46" s="513"/>
      <c r="H46" s="323"/>
      <c r="I46" s="10"/>
      <c r="J46" s="318"/>
      <c r="K46" s="727"/>
      <c r="L46" s="725"/>
      <c r="M46" s="726"/>
      <c r="N46" s="323"/>
      <c r="O46" s="10"/>
      <c r="P46" s="318"/>
      <c r="Q46" s="727"/>
      <c r="R46" s="725"/>
      <c r="S46" s="726"/>
      <c r="AA46" s="341"/>
      <c r="AB46" s="341"/>
      <c r="AC46" s="342"/>
      <c r="AD46" s="1"/>
      <c r="AG46" s="176"/>
      <c r="AI46" s="176"/>
    </row>
    <row r="47" spans="1:35">
      <c r="A47" s="6" t="s">
        <v>14</v>
      </c>
      <c r="B47" s="323">
        <f>$D$217/$B$64/1000</f>
        <v>4.0795043180779617E-2</v>
      </c>
      <c r="C47" s="10">
        <v>1.72E-2</v>
      </c>
      <c r="D47" s="318">
        <v>1.666317390070662E-2</v>
      </c>
      <c r="E47" s="323">
        <f>$D$217/$B$64/1000</f>
        <v>4.0795043180779617E-2</v>
      </c>
      <c r="F47" s="725">
        <v>2.53E-2</v>
      </c>
      <c r="G47" s="318">
        <v>1.666317390070662E-2</v>
      </c>
      <c r="H47" s="323">
        <f>$D$217/$B$64/1000</f>
        <v>4.0795043180779617E-2</v>
      </c>
      <c r="I47" s="10">
        <v>2.662671098777623E-2</v>
      </c>
      <c r="J47" s="318">
        <v>0</v>
      </c>
      <c r="K47" s="727"/>
      <c r="L47" s="725">
        <v>0</v>
      </c>
      <c r="M47" s="726">
        <v>1.1741675249605885E-2</v>
      </c>
      <c r="N47" s="323">
        <f>$D$217/$B$64/1000</f>
        <v>4.0795043180779617E-2</v>
      </c>
      <c r="O47" s="10">
        <v>0</v>
      </c>
      <c r="P47" s="318">
        <v>0</v>
      </c>
      <c r="Q47" s="727"/>
      <c r="R47" s="725">
        <v>0</v>
      </c>
      <c r="S47" s="726">
        <v>0</v>
      </c>
      <c r="AA47" s="341"/>
      <c r="AB47" s="341"/>
      <c r="AC47" s="342"/>
      <c r="AD47" s="1"/>
      <c r="AG47" s="176"/>
      <c r="AI47" s="176"/>
    </row>
    <row r="48" spans="1:35">
      <c r="A48" s="6" t="s">
        <v>15</v>
      </c>
      <c r="B48" s="323">
        <f>$G$217/$B$64/1000</f>
        <v>1.3212611881188118E-2</v>
      </c>
      <c r="C48" s="10">
        <v>6.4000000000000003E-3</v>
      </c>
      <c r="D48" s="318">
        <v>4.0701570680628275E-3</v>
      </c>
      <c r="E48" s="323">
        <f>$G$217/$B$64/1000</f>
        <v>1.3212611881188118E-2</v>
      </c>
      <c r="F48" s="725">
        <v>1.01E-2</v>
      </c>
      <c r="G48" s="318">
        <v>4.0701570680628275E-3</v>
      </c>
      <c r="H48" s="323">
        <f>$G$217/$B$64/1000</f>
        <v>1.3212611881188118E-2</v>
      </c>
      <c r="I48" s="10">
        <v>7.6324227927406464E-3</v>
      </c>
      <c r="J48" s="318">
        <v>0</v>
      </c>
      <c r="K48" s="727"/>
      <c r="L48" s="725">
        <v>0</v>
      </c>
      <c r="M48" s="726">
        <v>4.1080924855491328E-3</v>
      </c>
      <c r="N48" s="323">
        <f>$G$217/$B$64/1000</f>
        <v>1.3212611881188118E-2</v>
      </c>
      <c r="O48" s="10">
        <v>0</v>
      </c>
      <c r="P48" s="318">
        <v>0</v>
      </c>
      <c r="Q48" s="727"/>
      <c r="R48" s="725">
        <v>0</v>
      </c>
      <c r="S48" s="726">
        <v>0</v>
      </c>
      <c r="AA48" s="341"/>
      <c r="AB48" s="341"/>
      <c r="AC48" s="342"/>
      <c r="AD48" s="1"/>
      <c r="AG48" s="176"/>
      <c r="AI48" s="176"/>
    </row>
    <row r="49" spans="1:35">
      <c r="A49" s="6" t="s">
        <v>16</v>
      </c>
      <c r="B49" s="323">
        <f>$J$217/$B$64/1000</f>
        <v>1.7821095525178941E-2</v>
      </c>
      <c r="C49" s="10">
        <v>8.3999999999999995E-3</v>
      </c>
      <c r="D49" s="318">
        <v>7.3786377251675011E-3</v>
      </c>
      <c r="E49" s="323">
        <f>$J$217/$B$64/1000</f>
        <v>1.7821095525178941E-2</v>
      </c>
      <c r="F49" s="725">
        <v>1.2E-2</v>
      </c>
      <c r="G49" s="318">
        <v>7.3786377251675011E-3</v>
      </c>
      <c r="H49" s="323">
        <f>$J$217/$B$64/1000</f>
        <v>1.7821095525178941E-2</v>
      </c>
      <c r="I49" s="10">
        <v>1.1265424427117027E-2</v>
      </c>
      <c r="J49" s="318">
        <v>0</v>
      </c>
      <c r="K49" s="727"/>
      <c r="L49" s="725">
        <v>0</v>
      </c>
      <c r="M49" s="726">
        <v>7.259843652712092E-3</v>
      </c>
      <c r="N49" s="323">
        <f>$J$217/$B$64/1000</f>
        <v>1.7821095525178941E-2</v>
      </c>
      <c r="O49" s="10">
        <v>0</v>
      </c>
      <c r="P49" s="318">
        <v>0</v>
      </c>
      <c r="Q49" s="727"/>
      <c r="R49" s="725">
        <v>0</v>
      </c>
      <c r="S49" s="726">
        <v>0</v>
      </c>
      <c r="AA49" s="341"/>
      <c r="AB49" s="341"/>
      <c r="AC49" s="342"/>
      <c r="AD49" s="1"/>
      <c r="AG49" s="176"/>
      <c r="AI49" s="176"/>
    </row>
    <row r="50" spans="1:35">
      <c r="A50" s="2" t="s">
        <v>17</v>
      </c>
      <c r="B50" s="323">
        <f>$E$243</f>
        <v>5.4972435643564363E-3</v>
      </c>
      <c r="C50" s="10">
        <v>7.7999999999999996E-3</v>
      </c>
      <c r="D50" s="318">
        <v>4.055497382198953E-3</v>
      </c>
      <c r="E50" s="323">
        <f>$E$243</f>
        <v>5.4972435643564363E-3</v>
      </c>
      <c r="F50" s="725">
        <v>0</v>
      </c>
      <c r="G50" s="318">
        <v>4.055497382198953E-3</v>
      </c>
      <c r="H50" s="323">
        <f>$E$243</f>
        <v>5.4972435643564363E-3</v>
      </c>
      <c r="I50" s="10">
        <v>6.4561314651503292E-3</v>
      </c>
      <c r="J50" s="318">
        <v>0</v>
      </c>
      <c r="K50" s="727"/>
      <c r="L50" s="725">
        <v>0</v>
      </c>
      <c r="M50" s="726">
        <v>2.4498520231213874E-3</v>
      </c>
      <c r="N50" s="323">
        <f>$E$243</f>
        <v>5.4972435643564363E-3</v>
      </c>
      <c r="O50" s="10">
        <v>0</v>
      </c>
      <c r="P50" s="318">
        <v>0</v>
      </c>
      <c r="Q50" s="727"/>
      <c r="R50" s="725">
        <v>0</v>
      </c>
      <c r="S50" s="726">
        <v>0</v>
      </c>
      <c r="AA50" s="341"/>
      <c r="AB50" s="341"/>
      <c r="AC50" s="342"/>
      <c r="AD50" s="1"/>
      <c r="AG50" s="176"/>
      <c r="AI50" s="176"/>
    </row>
    <row r="51" spans="1:35">
      <c r="A51" s="2" t="s">
        <v>19</v>
      </c>
      <c r="B51" s="323">
        <f>$E$244</f>
        <v>7.398019801980198E-3</v>
      </c>
      <c r="C51" s="10">
        <v>5.7999999999999996E-3</v>
      </c>
      <c r="D51" s="318">
        <v>2.9340314136125658E-3</v>
      </c>
      <c r="E51" s="323">
        <f>$E$244</f>
        <v>7.398019801980198E-3</v>
      </c>
      <c r="F51" s="725">
        <v>7.6E-3</v>
      </c>
      <c r="G51" s="318">
        <v>2.9340314136125658E-3</v>
      </c>
      <c r="H51" s="323">
        <f>$E$244</f>
        <v>7.398019801980198E-3</v>
      </c>
      <c r="I51" s="10">
        <v>5.0242985801355168E-3</v>
      </c>
      <c r="J51" s="318">
        <v>0</v>
      </c>
      <c r="K51" s="727"/>
      <c r="L51" s="725">
        <v>0</v>
      </c>
      <c r="M51" s="726">
        <v>6.3670520231213876E-2</v>
      </c>
      <c r="N51" s="323">
        <f>$E$244</f>
        <v>7.398019801980198E-3</v>
      </c>
      <c r="O51" s="10">
        <v>0</v>
      </c>
      <c r="P51" s="318">
        <v>0</v>
      </c>
      <c r="Q51" s="727"/>
      <c r="R51" s="725">
        <v>0</v>
      </c>
      <c r="S51" s="726">
        <v>0</v>
      </c>
      <c r="AA51" s="341"/>
      <c r="AB51" s="341"/>
      <c r="AC51" s="342"/>
      <c r="AD51" s="1"/>
      <c r="AG51" s="176"/>
      <c r="AI51" s="176"/>
    </row>
    <row r="52" spans="1:35" ht="16.5">
      <c r="A52" s="2" t="s">
        <v>18</v>
      </c>
      <c r="B52" s="324">
        <f>$E$245</f>
        <v>2.6217821782178217E-2</v>
      </c>
      <c r="C52" s="14">
        <v>2.9100000000000001E-2</v>
      </c>
      <c r="D52" s="325">
        <v>1.4736125654450262E-2</v>
      </c>
      <c r="E52" s="324">
        <f>$E$245</f>
        <v>2.6217821782178217E-2</v>
      </c>
      <c r="F52" s="729">
        <v>2.5000000000000001E-2</v>
      </c>
      <c r="G52" s="325">
        <v>1.4736125654450262E-2</v>
      </c>
      <c r="H52" s="324">
        <f>$E$245</f>
        <v>2.6217821782178217E-2</v>
      </c>
      <c r="I52" s="14">
        <v>1.7794204773741017E-2</v>
      </c>
      <c r="J52" s="325">
        <v>0</v>
      </c>
      <c r="K52" s="728"/>
      <c r="L52" s="729">
        <v>0</v>
      </c>
      <c r="M52" s="730">
        <v>1.4046242774566474E-2</v>
      </c>
      <c r="N52" s="324">
        <f>$E$245</f>
        <v>2.6217821782178217E-2</v>
      </c>
      <c r="O52" s="14">
        <v>0</v>
      </c>
      <c r="P52" s="325">
        <v>0</v>
      </c>
      <c r="Q52" s="728"/>
      <c r="R52" s="729">
        <v>0</v>
      </c>
      <c r="S52" s="730">
        <v>0</v>
      </c>
      <c r="AA52" s="341"/>
      <c r="AB52" s="341"/>
      <c r="AC52" s="342"/>
      <c r="AD52" s="1"/>
      <c r="AG52" s="176"/>
      <c r="AI52" s="176"/>
    </row>
    <row r="53" spans="1:35">
      <c r="A53" s="328" t="s">
        <v>225</v>
      </c>
      <c r="B53" s="323">
        <f t="shared" ref="B53:L53" si="11">SUM(B47:B52)</f>
        <v>0.11094183573566152</v>
      </c>
      <c r="C53" s="10">
        <f t="shared" si="11"/>
        <v>7.4700000000000003E-2</v>
      </c>
      <c r="D53" s="318">
        <f>SUM(D47:D52)</f>
        <v>4.9837623144198727E-2</v>
      </c>
      <c r="E53" s="323">
        <f t="shared" si="11"/>
        <v>0.11094183573566152</v>
      </c>
      <c r="F53" s="725">
        <f t="shared" si="11"/>
        <v>0.08</v>
      </c>
      <c r="G53" s="318">
        <f>SUM(G47:G52)</f>
        <v>4.9837623144198727E-2</v>
      </c>
      <c r="H53" s="323">
        <f>SUM(H47:H52)</f>
        <v>0.11094183573566152</v>
      </c>
      <c r="I53" s="10">
        <f t="shared" ref="I53" si="12">SUM(I47:I52)</f>
        <v>7.4799193026660771E-2</v>
      </c>
      <c r="J53" s="10">
        <f>SUM(J47:J52)</f>
        <v>0</v>
      </c>
      <c r="K53" s="727"/>
      <c r="L53" s="725">
        <f t="shared" si="11"/>
        <v>0</v>
      </c>
      <c r="M53" s="726">
        <v>0.10327622641676884</v>
      </c>
      <c r="N53" s="323">
        <f>SUM(N47:N52)</f>
        <v>0.11094183573566152</v>
      </c>
      <c r="O53" s="10">
        <f t="shared" ref="O53:P53" si="13">SUM(O47:O52)</f>
        <v>0</v>
      </c>
      <c r="P53" s="318">
        <f t="shared" si="13"/>
        <v>0</v>
      </c>
      <c r="Q53" s="727"/>
      <c r="R53" s="725">
        <f t="shared" ref="R53:S53" si="14">SUM(R47:R52)</f>
        <v>0</v>
      </c>
      <c r="S53" s="726">
        <f t="shared" si="14"/>
        <v>0</v>
      </c>
      <c r="AA53" s="341"/>
      <c r="AB53" s="341"/>
      <c r="AC53" s="342"/>
      <c r="AD53" s="1"/>
      <c r="AG53" s="176"/>
      <c r="AI53" s="176"/>
    </row>
    <row r="54" spans="1:35">
      <c r="A54" s="509"/>
      <c r="B54" s="323"/>
      <c r="C54" s="10"/>
      <c r="D54" s="513"/>
      <c r="E54" s="323"/>
      <c r="F54" s="725"/>
      <c r="G54" s="513"/>
      <c r="H54" s="323"/>
      <c r="I54" s="10"/>
      <c r="J54" s="318"/>
      <c r="K54" s="727"/>
      <c r="L54" s="725"/>
      <c r="M54" s="726"/>
      <c r="N54" s="323"/>
      <c r="O54" s="10"/>
      <c r="P54" s="318"/>
      <c r="Q54" s="727"/>
      <c r="R54" s="725"/>
      <c r="S54" s="726"/>
      <c r="AA54" s="341"/>
      <c r="AB54" s="341"/>
      <c r="AC54" s="342"/>
      <c r="AD54" s="1"/>
      <c r="AG54" s="176"/>
      <c r="AI54" s="176"/>
    </row>
    <row r="55" spans="1:35">
      <c r="A55" s="526" t="s">
        <v>365</v>
      </c>
      <c r="B55" s="502">
        <f t="shared" ref="B55:P55" si="15">B45+B53</f>
        <v>0.57757766946265643</v>
      </c>
      <c r="C55" s="503">
        <f t="shared" si="15"/>
        <v>0.5071</v>
      </c>
      <c r="D55" s="504">
        <f t="shared" si="15"/>
        <v>0.349784212447035</v>
      </c>
      <c r="E55" s="502">
        <f t="shared" si="15"/>
        <v>0.8556521582640213</v>
      </c>
      <c r="F55" s="732">
        <f t="shared" si="15"/>
        <v>0.7359</v>
      </c>
      <c r="G55" s="504">
        <f t="shared" si="15"/>
        <v>0.62067331314324692</v>
      </c>
      <c r="H55" s="502">
        <f t="shared" si="15"/>
        <v>0.63783922117238534</v>
      </c>
      <c r="I55" s="503">
        <f t="shared" si="15"/>
        <v>0.50928093057305324</v>
      </c>
      <c r="J55" s="504">
        <f t="shared" si="15"/>
        <v>0</v>
      </c>
      <c r="K55" s="731">
        <f t="shared" si="15"/>
        <v>0</v>
      </c>
      <c r="L55" s="732">
        <f t="shared" si="15"/>
        <v>0</v>
      </c>
      <c r="M55" s="733">
        <f t="shared" si="15"/>
        <v>2.2166885676407588</v>
      </c>
      <c r="N55" s="502">
        <f>N45+N53</f>
        <v>1.2710464664149708</v>
      </c>
      <c r="O55" s="503">
        <f t="shared" si="15"/>
        <v>0</v>
      </c>
      <c r="P55" s="504">
        <f t="shared" si="15"/>
        <v>0</v>
      </c>
      <c r="Q55" s="731">
        <f>Q45+Q53</f>
        <v>0</v>
      </c>
      <c r="R55" s="732">
        <f t="shared" ref="R55:S55" si="16">R45+R53</f>
        <v>0</v>
      </c>
      <c r="S55" s="733">
        <f t="shared" si="16"/>
        <v>0</v>
      </c>
      <c r="AA55" s="341"/>
      <c r="AB55" s="341"/>
      <c r="AC55" s="342"/>
      <c r="AD55" s="1"/>
      <c r="AG55" s="176"/>
      <c r="AI55" s="176"/>
    </row>
    <row r="56" spans="1:35">
      <c r="A56" s="501" t="s">
        <v>368</v>
      </c>
      <c r="B56" s="494">
        <f>-B38</f>
        <v>0</v>
      </c>
      <c r="C56" s="497">
        <f>-C38</f>
        <v>0</v>
      </c>
      <c r="D56" s="498">
        <v>0</v>
      </c>
      <c r="E56" s="494">
        <f>-E38</f>
        <v>0</v>
      </c>
      <c r="F56" s="735"/>
      <c r="G56" s="498">
        <v>0</v>
      </c>
      <c r="H56" s="497">
        <f>-H38</f>
        <v>0</v>
      </c>
      <c r="I56" s="497"/>
      <c r="J56" s="498">
        <v>0</v>
      </c>
      <c r="K56" s="734">
        <f>-K38</f>
        <v>0</v>
      </c>
      <c r="L56" s="735"/>
      <c r="M56" s="736">
        <v>-7.4705958549222806E-3</v>
      </c>
      <c r="N56" s="494">
        <f>-N38</f>
        <v>0</v>
      </c>
      <c r="O56" s="497"/>
      <c r="P56" s="498">
        <v>0</v>
      </c>
      <c r="Q56" s="734">
        <f>-Q38</f>
        <v>0</v>
      </c>
      <c r="R56" s="735"/>
      <c r="S56" s="736"/>
      <c r="AA56" s="341"/>
      <c r="AB56" s="341"/>
      <c r="AC56" s="342"/>
      <c r="AD56" s="1"/>
      <c r="AG56" s="176"/>
      <c r="AI56" s="176"/>
    </row>
    <row r="57" spans="1:35">
      <c r="A57" s="328" t="s">
        <v>367</v>
      </c>
      <c r="B57" s="323">
        <v>0</v>
      </c>
      <c r="C57" s="544">
        <v>0</v>
      </c>
      <c r="D57" s="318">
        <v>0</v>
      </c>
      <c r="E57" s="323">
        <v>0</v>
      </c>
      <c r="F57" s="737">
        <v>0</v>
      </c>
      <c r="G57" s="318">
        <v>0</v>
      </c>
      <c r="H57" s="323">
        <v>0</v>
      </c>
      <c r="I57" s="544">
        <v>0</v>
      </c>
      <c r="J57" s="318">
        <v>0</v>
      </c>
      <c r="K57" s="727">
        <f t="shared" ref="K57:S57" si="17">IF(K40+K41+K42+K43+K44+K53&gt;0.0498,0.0498-K40-K41-K42-K43-K44-K53,0)</f>
        <v>0</v>
      </c>
      <c r="L57" s="737">
        <f t="shared" si="17"/>
        <v>0</v>
      </c>
      <c r="M57" s="726">
        <f t="shared" si="17"/>
        <v>-7.9620813644774191E-2</v>
      </c>
      <c r="N57" s="323">
        <v>0</v>
      </c>
      <c r="O57" s="544">
        <v>0</v>
      </c>
      <c r="P57" s="318">
        <f t="shared" si="17"/>
        <v>0</v>
      </c>
      <c r="Q57" s="727">
        <f t="shared" si="17"/>
        <v>0</v>
      </c>
      <c r="R57" s="737">
        <v>0</v>
      </c>
      <c r="S57" s="726">
        <f t="shared" si="17"/>
        <v>0</v>
      </c>
      <c r="AA57" s="341"/>
      <c r="AB57" s="341"/>
      <c r="AC57" s="342"/>
      <c r="AD57" s="1"/>
      <c r="AG57" s="176"/>
      <c r="AI57" s="176"/>
    </row>
    <row r="58" spans="1:35">
      <c r="A58" s="526" t="s">
        <v>366</v>
      </c>
      <c r="B58" s="502">
        <f t="shared" ref="B58:S58" si="18">SUM(B55:B57)</f>
        <v>0.57757766946265643</v>
      </c>
      <c r="C58" s="503">
        <f t="shared" si="18"/>
        <v>0.5071</v>
      </c>
      <c r="D58" s="504">
        <f t="shared" si="18"/>
        <v>0.349784212447035</v>
      </c>
      <c r="E58" s="502">
        <f t="shared" si="18"/>
        <v>0.8556521582640213</v>
      </c>
      <c r="F58" s="732">
        <f t="shared" si="18"/>
        <v>0.7359</v>
      </c>
      <c r="G58" s="504">
        <f>SUM(G55:G57)</f>
        <v>0.62067331314324692</v>
      </c>
      <c r="H58" s="502">
        <f t="shared" si="18"/>
        <v>0.63783922117238534</v>
      </c>
      <c r="I58" s="503">
        <f t="shared" ref="I58:J58" si="19">SUM(I55:I57)</f>
        <v>0.50928093057305324</v>
      </c>
      <c r="J58" s="504">
        <f t="shared" si="19"/>
        <v>0</v>
      </c>
      <c r="K58" s="731">
        <f t="shared" si="18"/>
        <v>0</v>
      </c>
      <c r="L58" s="732">
        <f t="shared" si="18"/>
        <v>0</v>
      </c>
      <c r="M58" s="733">
        <f t="shared" si="18"/>
        <v>2.1295971581410624</v>
      </c>
      <c r="N58" s="502">
        <f t="shared" si="18"/>
        <v>1.2710464664149708</v>
      </c>
      <c r="O58" s="503">
        <f t="shared" ref="O58" si="20">SUM(O55:O57)</f>
        <v>0</v>
      </c>
      <c r="P58" s="504">
        <f t="shared" si="18"/>
        <v>0</v>
      </c>
      <c r="Q58" s="731">
        <f t="shared" si="18"/>
        <v>0</v>
      </c>
      <c r="R58" s="732">
        <f t="shared" si="18"/>
        <v>0</v>
      </c>
      <c r="S58" s="733">
        <f t="shared" si="18"/>
        <v>0</v>
      </c>
      <c r="AA58" s="341"/>
      <c r="AB58" s="341"/>
      <c r="AC58" s="342"/>
      <c r="AD58" s="1"/>
      <c r="AG58" s="176"/>
      <c r="AI58" s="176"/>
    </row>
    <row r="59" spans="1:35">
      <c r="A59" s="509"/>
      <c r="B59" s="558"/>
      <c r="D59" s="511"/>
      <c r="E59" s="558"/>
      <c r="F59" s="712"/>
      <c r="G59" s="511"/>
      <c r="H59" s="558"/>
      <c r="J59" s="25"/>
      <c r="K59" s="738"/>
      <c r="L59" s="712"/>
      <c r="M59" s="739"/>
      <c r="N59" s="558"/>
      <c r="P59" s="25"/>
      <c r="Q59" s="738"/>
      <c r="R59" s="712"/>
      <c r="S59" s="739"/>
      <c r="AA59" s="341"/>
      <c r="AB59" s="341"/>
      <c r="AC59" s="342"/>
      <c r="AD59" s="1"/>
      <c r="AG59" s="176"/>
      <c r="AI59" s="176"/>
    </row>
    <row r="60" spans="1:35">
      <c r="A60" s="526" t="s">
        <v>392</v>
      </c>
      <c r="B60" s="842">
        <f>+B85</f>
        <v>950</v>
      </c>
      <c r="C60" s="518">
        <v>123</v>
      </c>
      <c r="D60" s="519">
        <v>1100</v>
      </c>
      <c r="E60" s="842">
        <f>+B86</f>
        <v>5500</v>
      </c>
      <c r="F60" s="741">
        <v>979</v>
      </c>
      <c r="G60" s="519">
        <v>1700</v>
      </c>
      <c r="H60" s="517">
        <f>+B90</f>
        <v>0</v>
      </c>
      <c r="I60" s="518">
        <v>4813</v>
      </c>
      <c r="J60" s="519">
        <v>0</v>
      </c>
      <c r="K60" s="740">
        <f>+B88</f>
        <v>0</v>
      </c>
      <c r="L60" s="741">
        <v>0</v>
      </c>
      <c r="M60" s="742">
        <v>100</v>
      </c>
      <c r="N60" s="517">
        <f>+B83</f>
        <v>0</v>
      </c>
      <c r="O60" s="518">
        <v>0</v>
      </c>
      <c r="P60" s="519">
        <v>0</v>
      </c>
      <c r="Q60" s="740">
        <v>0</v>
      </c>
      <c r="R60" s="741">
        <v>0</v>
      </c>
      <c r="S60" s="742">
        <v>0</v>
      </c>
      <c r="AA60" s="341"/>
      <c r="AB60" s="341"/>
      <c r="AC60" s="342"/>
      <c r="AD60" s="1"/>
      <c r="AG60" s="176"/>
      <c r="AI60" s="176"/>
    </row>
    <row r="61" spans="1:35">
      <c r="A61" s="505"/>
      <c r="B61" s="506"/>
      <c r="C61" s="507"/>
      <c r="D61" s="508"/>
      <c r="E61" s="557"/>
      <c r="F61" s="4"/>
      <c r="G61" s="508"/>
      <c r="H61" s="557"/>
      <c r="I61" s="4"/>
      <c r="J61" s="561"/>
      <c r="K61" s="557"/>
      <c r="L61" s="4"/>
      <c r="M61" s="561"/>
      <c r="N61" s="557"/>
      <c r="O61" s="4"/>
      <c r="P61" s="561"/>
      <c r="Q61" s="557"/>
      <c r="R61" s="4"/>
      <c r="S61" s="561"/>
      <c r="AA61" s="341"/>
      <c r="AB61" s="341"/>
      <c r="AC61" s="342"/>
      <c r="AD61" s="1"/>
      <c r="AG61" s="176"/>
      <c r="AI61" s="176"/>
    </row>
    <row r="62" spans="1:35">
      <c r="A62" s="564"/>
      <c r="B62" s="502"/>
      <c r="C62" s="543"/>
      <c r="D62" s="504"/>
      <c r="E62" s="502"/>
      <c r="F62" s="543"/>
      <c r="G62" s="556"/>
      <c r="H62" s="502"/>
      <c r="I62" s="543"/>
      <c r="J62" s="504"/>
      <c r="K62" s="502"/>
      <c r="L62" s="543"/>
      <c r="M62" s="556"/>
      <c r="N62" s="502"/>
      <c r="O62" s="543"/>
      <c r="P62" s="504"/>
      <c r="Q62" s="502"/>
      <c r="R62" s="543"/>
      <c r="S62" s="504"/>
      <c r="AA62" s="341"/>
      <c r="AB62" s="341"/>
      <c r="AC62" s="342"/>
      <c r="AD62" s="1"/>
      <c r="AG62" s="176"/>
      <c r="AI62" s="176"/>
    </row>
    <row r="63" spans="1:35" ht="15.75" thickBot="1">
      <c r="A63" s="523"/>
      <c r="B63" s="524"/>
      <c r="C63" s="509"/>
      <c r="D63" s="509"/>
      <c r="E63" s="525"/>
      <c r="H63" s="525"/>
      <c r="K63" s="338"/>
      <c r="N63" s="338"/>
      <c r="Q63" s="338"/>
      <c r="AA63" s="341"/>
      <c r="AB63" s="341"/>
      <c r="AC63" s="342"/>
      <c r="AD63" s="1"/>
      <c r="AG63" s="176"/>
      <c r="AI63" s="176"/>
    </row>
    <row r="64" spans="1:35" ht="15.75" thickBot="1">
      <c r="A64" s="527" t="s">
        <v>391</v>
      </c>
      <c r="B64" s="520">
        <f>B29+E29+H29+K29+N29+Q29+B60+E60+H60+K60+N60+Q60</f>
        <v>15150</v>
      </c>
      <c r="C64" s="521">
        <f>C29+F29+I29+L29+O29+R29+C60+F60+I60+L60+O60+R60</f>
        <v>35590.15</v>
      </c>
      <c r="D64" s="522">
        <f>D29+G29+J29+M29+P29+S29+D60+G60+J60+M60+P60+S60</f>
        <v>39000</v>
      </c>
      <c r="H64" s="52"/>
      <c r="AA64" s="341"/>
      <c r="AB64" s="341"/>
      <c r="AC64" s="342"/>
      <c r="AD64" s="1"/>
      <c r="AG64" s="176"/>
      <c r="AI64" s="176"/>
    </row>
    <row r="65" spans="1:35">
      <c r="A65" s="340"/>
      <c r="B65" s="196"/>
      <c r="C65" s="4"/>
      <c r="D65" s="4"/>
      <c r="H65" s="52"/>
      <c r="K65" s="562"/>
      <c r="O65" s="2" t="s">
        <v>7</v>
      </c>
      <c r="AG65" s="176"/>
      <c r="AI65" s="176"/>
    </row>
    <row r="66" spans="1:35" ht="16.5">
      <c r="A66" s="6"/>
      <c r="B66" s="26" t="s">
        <v>229</v>
      </c>
      <c r="C66" s="26" t="s">
        <v>230</v>
      </c>
      <c r="D66" s="26" t="s">
        <v>231</v>
      </c>
      <c r="H66" s="52"/>
      <c r="I66" s="560"/>
      <c r="K66" s="562"/>
      <c r="V66" s="1"/>
      <c r="W66" s="791"/>
      <c r="X66" s="1"/>
      <c r="Y66" s="1"/>
      <c r="Z66" s="1"/>
      <c r="AA66" s="792"/>
      <c r="AB66" s="792"/>
      <c r="AC66" s="793"/>
      <c r="AD66" s="794"/>
      <c r="AE66" s="795"/>
      <c r="AG66" s="176"/>
      <c r="AI66" s="176"/>
    </row>
    <row r="67" spans="1:35">
      <c r="A67" s="343" t="s">
        <v>232</v>
      </c>
      <c r="B67" s="859" t="s">
        <v>233</v>
      </c>
      <c r="C67" s="859"/>
      <c r="D67" s="859"/>
      <c r="H67" s="52"/>
      <c r="I67" s="560"/>
      <c r="J67" s="83"/>
      <c r="K67" s="602"/>
      <c r="V67" s="1"/>
      <c r="W67" s="791"/>
      <c r="X67" s="1"/>
      <c r="Y67" s="1"/>
      <c r="Z67" s="1"/>
      <c r="AA67" s="792"/>
      <c r="AB67" s="792"/>
      <c r="AC67" s="793"/>
      <c r="AD67" s="794"/>
      <c r="AE67" s="795"/>
      <c r="AG67" s="176"/>
      <c r="AI67" s="176"/>
    </row>
    <row r="68" spans="1:35">
      <c r="A68" s="328" t="s">
        <v>234</v>
      </c>
      <c r="B68" s="344">
        <f>SUM(C68:D68)</f>
        <v>0</v>
      </c>
      <c r="C68" s="344">
        <f>W14*$V$29</f>
        <v>0</v>
      </c>
      <c r="D68" s="344">
        <f>W22*$V$29</f>
        <v>0</v>
      </c>
      <c r="H68" s="52"/>
      <c r="I68" s="560"/>
      <c r="K68" s="562"/>
      <c r="V68" s="1"/>
      <c r="W68" s="791"/>
      <c r="X68" s="1"/>
      <c r="Y68" s="1"/>
      <c r="Z68" s="1"/>
      <c r="AA68" s="792"/>
      <c r="AB68" s="792"/>
      <c r="AC68" s="793"/>
      <c r="AD68" s="794"/>
      <c r="AE68" s="795"/>
      <c r="AG68" s="176"/>
      <c r="AI68" s="176"/>
    </row>
    <row r="69" spans="1:35">
      <c r="A69" s="328" t="s">
        <v>235</v>
      </c>
      <c r="B69" s="196">
        <f>SUM(C69:D69)</f>
        <v>0</v>
      </c>
      <c r="C69" s="196">
        <f>X14*$V$29</f>
        <v>0</v>
      </c>
      <c r="D69" s="196">
        <f>X22*$V$29</f>
        <v>0</v>
      </c>
      <c r="J69" s="176"/>
      <c r="K69" s="176"/>
      <c r="V69" s="1"/>
      <c r="W69" s="791"/>
      <c r="X69" s="1"/>
      <c r="Y69" s="1"/>
      <c r="Z69" s="1"/>
      <c r="AA69" s="792"/>
      <c r="AB69" s="792"/>
      <c r="AC69" s="793"/>
      <c r="AD69" s="794"/>
      <c r="AE69" s="795"/>
      <c r="AG69" s="176"/>
      <c r="AI69" s="176"/>
    </row>
    <row r="70" spans="1:35" ht="16.5">
      <c r="A70" s="328" t="s">
        <v>236</v>
      </c>
      <c r="B70" s="345">
        <f>SUM(C70:D70)</f>
        <v>0</v>
      </c>
      <c r="C70" s="345">
        <v>0</v>
      </c>
      <c r="D70" s="345">
        <v>0</v>
      </c>
      <c r="V70" s="1"/>
      <c r="W70" s="791"/>
      <c r="X70" s="1"/>
      <c r="Y70" s="1"/>
      <c r="Z70" s="1"/>
      <c r="AA70" s="792"/>
      <c r="AB70" s="792"/>
      <c r="AC70" s="793"/>
      <c r="AD70" s="794"/>
      <c r="AE70" s="795"/>
      <c r="AG70" s="176"/>
      <c r="AI70" s="176"/>
    </row>
    <row r="71" spans="1:35">
      <c r="A71" s="340" t="s">
        <v>64</v>
      </c>
      <c r="B71" s="344">
        <f>SUM(B68:B70)</f>
        <v>0</v>
      </c>
      <c r="C71" s="344">
        <f>SUM(C68:C70)</f>
        <v>0</v>
      </c>
      <c r="D71" s="344">
        <f>SUM(D68:D70)</f>
        <v>0</v>
      </c>
      <c r="V71" s="1"/>
      <c r="W71" s="791"/>
      <c r="X71" s="1"/>
      <c r="Y71" s="1"/>
      <c r="Z71" s="1"/>
      <c r="AA71" s="792"/>
      <c r="AB71" s="792"/>
      <c r="AC71" s="793"/>
      <c r="AD71" s="794"/>
      <c r="AE71" s="795"/>
      <c r="AG71" s="176"/>
      <c r="AI71" s="176"/>
    </row>
    <row r="72" spans="1:35" ht="16.5">
      <c r="A72" s="340" t="s">
        <v>237</v>
      </c>
      <c r="B72" s="346">
        <f>SUM(C72:D72)</f>
        <v>0</v>
      </c>
      <c r="C72" s="346">
        <v>0</v>
      </c>
      <c r="D72" s="346">
        <f>-V20*V29</f>
        <v>0</v>
      </c>
      <c r="V72" s="1"/>
      <c r="W72" s="791"/>
      <c r="X72" s="1"/>
      <c r="Y72" s="1"/>
      <c r="Z72" s="1"/>
      <c r="AA72" s="792"/>
      <c r="AB72" s="792"/>
      <c r="AC72" s="793"/>
      <c r="AD72" s="794"/>
      <c r="AE72" s="795"/>
      <c r="AG72" s="176"/>
      <c r="AI72" s="176"/>
    </row>
    <row r="73" spans="1:35" ht="16.5">
      <c r="A73" s="340" t="s">
        <v>238</v>
      </c>
      <c r="B73" s="347">
        <f>SUM(B71:B72)</f>
        <v>0</v>
      </c>
      <c r="C73" s="347">
        <f>SUM(C71:C72)</f>
        <v>0</v>
      </c>
      <c r="D73" s="347">
        <f>SUM(D71:D72)</f>
        <v>0</v>
      </c>
      <c r="J73" s="764"/>
      <c r="K73" s="83"/>
      <c r="V73" s="1"/>
      <c r="W73" s="791"/>
      <c r="X73" s="1"/>
      <c r="Y73" s="1"/>
      <c r="Z73" s="1"/>
      <c r="AA73" s="792"/>
      <c r="AB73" s="792"/>
      <c r="AC73" s="796"/>
      <c r="AD73" s="1"/>
      <c r="AE73" s="795"/>
      <c r="AG73" s="176"/>
      <c r="AI73" s="176"/>
    </row>
    <row r="74" spans="1:35">
      <c r="V74" s="1"/>
      <c r="W74" s="791"/>
      <c r="X74" s="1"/>
      <c r="Y74" s="1"/>
      <c r="Z74" s="1"/>
      <c r="AA74" s="792"/>
      <c r="AB74" s="792"/>
      <c r="AC74" s="796"/>
      <c r="AD74" s="1"/>
      <c r="AE74" s="1"/>
      <c r="AG74" s="342"/>
      <c r="AI74" s="342"/>
    </row>
    <row r="75" spans="1:35">
      <c r="V75" s="1"/>
      <c r="W75" s="791"/>
      <c r="X75" s="797"/>
      <c r="Y75" s="1"/>
      <c r="Z75" s="1"/>
      <c r="AA75" s="792"/>
      <c r="AB75" s="792"/>
      <c r="AC75" s="796"/>
      <c r="AD75" s="1"/>
      <c r="AE75" s="1"/>
      <c r="AG75" s="342"/>
      <c r="AI75" s="342"/>
    </row>
    <row r="76" spans="1:35">
      <c r="V76" s="1"/>
      <c r="W76" s="791"/>
      <c r="X76" s="1"/>
      <c r="Y76" s="1"/>
      <c r="Z76" s="1"/>
      <c r="AA76" s="1"/>
      <c r="AB76" s="1"/>
      <c r="AC76" s="1"/>
      <c r="AD76" s="1"/>
      <c r="AE76" s="1"/>
      <c r="AG76" s="342"/>
      <c r="AI76" s="342"/>
    </row>
    <row r="77" spans="1:35">
      <c r="A77" s="1"/>
      <c r="B77" s="111" t="s">
        <v>356</v>
      </c>
      <c r="C77" s="111" t="s">
        <v>297</v>
      </c>
      <c r="D77" s="1"/>
      <c r="E77" s="1"/>
      <c r="F77" s="1"/>
      <c r="G77" s="1"/>
      <c r="H77" s="1"/>
    </row>
    <row r="78" spans="1:35" ht="16.5">
      <c r="A78" s="348" t="s">
        <v>239</v>
      </c>
      <c r="B78" s="305" t="s">
        <v>357</v>
      </c>
      <c r="C78" s="3" t="s">
        <v>394</v>
      </c>
      <c r="D78" s="3" t="s">
        <v>240</v>
      </c>
      <c r="E78" s="3" t="s">
        <v>241</v>
      </c>
      <c r="J78" s="176"/>
      <c r="AA78" s="6"/>
      <c r="AB78" s="6"/>
    </row>
    <row r="79" spans="1:35">
      <c r="A79" s="112" t="s">
        <v>327</v>
      </c>
      <c r="B79" s="822">
        <v>8700</v>
      </c>
      <c r="C79" s="818">
        <v>100</v>
      </c>
      <c r="D79" s="65">
        <f>IF(C79&lt;&gt;0,B79/C79,0)</f>
        <v>87</v>
      </c>
      <c r="E79" s="351">
        <f>IF($D$91&lt;&gt;0,D79/$D$91,0)</f>
        <v>0.51901565995525722</v>
      </c>
      <c r="G79" s="1"/>
      <c r="AA79" s="6"/>
      <c r="AB79" s="6"/>
    </row>
    <row r="80" spans="1:35">
      <c r="A80" s="112" t="s">
        <v>328</v>
      </c>
      <c r="B80" s="822"/>
      <c r="C80" s="818">
        <f>350</f>
        <v>350</v>
      </c>
      <c r="D80" s="65">
        <f>IF(C80&lt;&gt;0,B80/C80,0)</f>
        <v>0</v>
      </c>
      <c r="E80" s="351">
        <f>IF($D$91&lt;&gt;0,D80/$D$91,0)</f>
        <v>0</v>
      </c>
      <c r="G80" s="1"/>
      <c r="J80" s="9"/>
      <c r="AA80" s="6"/>
      <c r="AB80" s="6"/>
    </row>
    <row r="81" spans="1:42">
      <c r="A81" s="112" t="s">
        <v>329</v>
      </c>
      <c r="B81" s="822"/>
      <c r="C81" s="818">
        <f>350</f>
        <v>350</v>
      </c>
      <c r="D81" s="65">
        <f t="shared" ref="D81:D89" si="21">IF(C81&lt;&gt;0,B81/C81,0)</f>
        <v>0</v>
      </c>
      <c r="E81" s="351">
        <f>IF($D$91&lt;&gt;0,D81/$D$91,0)</f>
        <v>0</v>
      </c>
      <c r="AA81" s="6"/>
      <c r="AB81" s="6"/>
    </row>
    <row r="82" spans="1:42">
      <c r="A82" s="112" t="s">
        <v>330</v>
      </c>
      <c r="B82" s="822"/>
      <c r="C82" s="818">
        <f>350</f>
        <v>350</v>
      </c>
      <c r="D82" s="65">
        <f t="shared" si="21"/>
        <v>0</v>
      </c>
      <c r="E82" s="351">
        <f>IF($D$91&lt;&gt;0,D82/$D$91,0)</f>
        <v>0</v>
      </c>
      <c r="AA82" s="6"/>
      <c r="AB82" s="6"/>
    </row>
    <row r="83" spans="1:42">
      <c r="A83" s="112" t="s">
        <v>449</v>
      </c>
      <c r="B83" s="822"/>
      <c r="C83" s="818">
        <f>350</f>
        <v>350</v>
      </c>
      <c r="D83" s="65">
        <f t="shared" si="21"/>
        <v>0</v>
      </c>
      <c r="E83" s="351">
        <f>IF($D$91&lt;&gt;0,D83/$D$91,0)</f>
        <v>0</v>
      </c>
      <c r="AA83" s="6"/>
      <c r="AB83" s="6"/>
    </row>
    <row r="84" spans="1:42">
      <c r="A84" s="112" t="s">
        <v>332</v>
      </c>
      <c r="B84" s="822"/>
      <c r="C84" s="818">
        <f>350</f>
        <v>350</v>
      </c>
      <c r="D84" s="65">
        <f t="shared" si="21"/>
        <v>0</v>
      </c>
      <c r="E84" s="351">
        <f t="shared" ref="E84:E89" si="22">IF($D$91&lt;&gt;0,D84/$D$91,0)</f>
        <v>0</v>
      </c>
      <c r="AA84" s="6"/>
      <c r="AB84" s="6"/>
    </row>
    <row r="85" spans="1:42">
      <c r="A85" s="112" t="s">
        <v>370</v>
      </c>
      <c r="B85" s="822">
        <v>950</v>
      </c>
      <c r="C85" s="818">
        <v>80</v>
      </c>
      <c r="D85" s="65">
        <f t="shared" si="21"/>
        <v>11.875</v>
      </c>
      <c r="E85" s="351">
        <f t="shared" si="22"/>
        <v>7.0842654735272181E-2</v>
      </c>
      <c r="AA85" s="6"/>
      <c r="AB85" s="6"/>
    </row>
    <row r="86" spans="1:42">
      <c r="A86" s="112" t="s">
        <v>333</v>
      </c>
      <c r="B86" s="822">
        <v>5500</v>
      </c>
      <c r="C86" s="818">
        <v>80</v>
      </c>
      <c r="D86" s="65">
        <f t="shared" si="21"/>
        <v>68.75</v>
      </c>
      <c r="E86" s="351">
        <f t="shared" si="22"/>
        <v>0.41014168530947054</v>
      </c>
      <c r="AA86" s="6"/>
      <c r="AB86" s="6"/>
    </row>
    <row r="87" spans="1:42">
      <c r="A87" s="112" t="s">
        <v>334</v>
      </c>
      <c r="B87" s="822">
        <v>0</v>
      </c>
      <c r="C87" s="818">
        <f>350</f>
        <v>350</v>
      </c>
      <c r="D87" s="65">
        <f t="shared" si="21"/>
        <v>0</v>
      </c>
      <c r="E87" s="351">
        <f t="shared" si="22"/>
        <v>0</v>
      </c>
      <c r="AA87" s="6"/>
      <c r="AB87" s="6"/>
    </row>
    <row r="88" spans="1:42">
      <c r="A88" s="112" t="s">
        <v>335</v>
      </c>
      <c r="B88" s="822">
        <v>0</v>
      </c>
      <c r="C88" s="818">
        <f>350</f>
        <v>350</v>
      </c>
      <c r="D88" s="65">
        <f t="shared" si="21"/>
        <v>0</v>
      </c>
      <c r="E88" s="351">
        <f t="shared" si="22"/>
        <v>0</v>
      </c>
      <c r="AA88" s="6"/>
      <c r="AB88" s="6"/>
    </row>
    <row r="89" spans="1:42">
      <c r="A89" s="112" t="s">
        <v>326</v>
      </c>
      <c r="B89" s="822">
        <v>0</v>
      </c>
      <c r="C89" s="818">
        <f>350</f>
        <v>350</v>
      </c>
      <c r="D89" s="65">
        <f t="shared" si="21"/>
        <v>0</v>
      </c>
      <c r="E89" s="351">
        <f t="shared" si="22"/>
        <v>0</v>
      </c>
      <c r="AA89" s="6"/>
      <c r="AB89" s="6"/>
    </row>
    <row r="90" spans="1:42">
      <c r="A90" s="112" t="s">
        <v>400</v>
      </c>
      <c r="B90" s="822">
        <v>0</v>
      </c>
      <c r="C90" s="818">
        <f>350</f>
        <v>350</v>
      </c>
      <c r="D90" s="65">
        <f>IF(C90&lt;&gt;0,B90/C90,0)</f>
        <v>0</v>
      </c>
      <c r="E90" s="351">
        <f>IF($D$91&lt;&gt;0,D90/$D$91,0)</f>
        <v>0</v>
      </c>
      <c r="AA90" s="6"/>
      <c r="AB90" s="6"/>
    </row>
    <row r="91" spans="1:42" ht="15.75" thickBot="1">
      <c r="A91" s="353" t="s">
        <v>229</v>
      </c>
      <c r="B91" s="354">
        <f>SUM(B79:B90)</f>
        <v>15150</v>
      </c>
      <c r="C91" s="354">
        <f>B91/D91</f>
        <v>90.380313199105146</v>
      </c>
      <c r="D91" s="354">
        <f>SUM(D79:D90)</f>
        <v>167.625</v>
      </c>
      <c r="E91" s="819">
        <f>IF($D$91&lt;&gt;0,D91/$D$91,0)</f>
        <v>1</v>
      </c>
      <c r="AA91" s="6"/>
      <c r="AB91" s="6"/>
    </row>
    <row r="92" spans="1:42">
      <c r="A92" s="23"/>
      <c r="B92" s="799"/>
      <c r="C92" s="351"/>
      <c r="D92" s="351"/>
      <c r="E92" s="1"/>
      <c r="F92" s="357"/>
      <c r="G92" s="1"/>
      <c r="H92" s="1"/>
      <c r="L92" s="85"/>
      <c r="AA92" s="6"/>
      <c r="AB92" s="6"/>
    </row>
    <row r="93" spans="1:42">
      <c r="A93" s="358" t="s">
        <v>242</v>
      </c>
      <c r="B93" s="406"/>
      <c r="C93" s="406"/>
      <c r="D93" s="406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07"/>
      <c r="AA93" s="6"/>
      <c r="AB93" s="6"/>
    </row>
    <row r="94" spans="1:42">
      <c r="A94" s="30"/>
      <c r="B94" s="816"/>
      <c r="C94" s="359"/>
      <c r="D94" s="360"/>
      <c r="E94" s="360"/>
      <c r="F94" s="1"/>
      <c r="G94" s="8"/>
      <c r="H94" s="1"/>
      <c r="I94" s="8"/>
      <c r="J94" s="1"/>
      <c r="K94" s="70"/>
      <c r="O94" s="25"/>
      <c r="Q94" s="601"/>
      <c r="AA94" s="6"/>
      <c r="AB94" s="6"/>
    </row>
    <row r="95" spans="1:42" ht="15.75" thickBot="1">
      <c r="A95" s="30"/>
      <c r="B95" s="1"/>
      <c r="C95" s="1"/>
      <c r="D95" s="847" t="s">
        <v>327</v>
      </c>
      <c r="E95" s="848"/>
      <c r="F95" s="847" t="s">
        <v>410</v>
      </c>
      <c r="G95" s="848"/>
      <c r="H95" s="847" t="s">
        <v>329</v>
      </c>
      <c r="I95" s="848"/>
      <c r="J95" s="847" t="s">
        <v>330</v>
      </c>
      <c r="K95" s="848"/>
      <c r="L95" s="847" t="s">
        <v>328</v>
      </c>
      <c r="M95" s="848"/>
      <c r="N95" s="852" t="s">
        <v>332</v>
      </c>
      <c r="O95" s="853"/>
      <c r="AA95" s="6"/>
      <c r="AB95" s="664"/>
      <c r="AC95" s="663"/>
      <c r="AD95" s="663"/>
      <c r="AE95" s="708"/>
      <c r="AF95" s="708"/>
      <c r="AG95" s="663"/>
      <c r="AH95" s="663"/>
      <c r="AI95" s="663"/>
      <c r="AJ95" s="663"/>
      <c r="AK95" s="708"/>
      <c r="AL95" s="708" t="s">
        <v>425</v>
      </c>
      <c r="AM95" s="663"/>
      <c r="AN95" s="663" t="s">
        <v>445</v>
      </c>
      <c r="AO95" s="663"/>
      <c r="AP95" s="663" t="s">
        <v>426</v>
      </c>
    </row>
    <row r="96" spans="1:42" ht="30">
      <c r="A96" s="30" t="s">
        <v>243</v>
      </c>
      <c r="B96" s="550" t="s">
        <v>27</v>
      </c>
      <c r="C96" s="551" t="s">
        <v>396</v>
      </c>
      <c r="D96" s="48" t="s">
        <v>244</v>
      </c>
      <c r="E96" s="362" t="s">
        <v>245</v>
      </c>
      <c r="F96" s="48" t="s">
        <v>244</v>
      </c>
      <c r="G96" s="362" t="s">
        <v>245</v>
      </c>
      <c r="H96" s="48" t="s">
        <v>244</v>
      </c>
      <c r="I96" s="362" t="s">
        <v>245</v>
      </c>
      <c r="J96" s="361" t="s">
        <v>244</v>
      </c>
      <c r="K96" s="362" t="s">
        <v>245</v>
      </c>
      <c r="L96" s="48" t="s">
        <v>244</v>
      </c>
      <c r="M96" s="362" t="s">
        <v>245</v>
      </c>
      <c r="N96" s="758" t="s">
        <v>244</v>
      </c>
      <c r="O96" s="684" t="s">
        <v>245</v>
      </c>
      <c r="P96" s="72"/>
      <c r="Q96" s="72"/>
      <c r="AA96" s="111"/>
      <c r="AB96" s="655"/>
      <c r="AC96" s="612"/>
      <c r="AD96" s="612"/>
      <c r="AE96" s="709"/>
      <c r="AF96" s="709"/>
      <c r="AG96" s="656"/>
      <c r="AH96" s="656"/>
      <c r="AI96" s="656"/>
      <c r="AJ96" s="656"/>
      <c r="AK96" s="709"/>
      <c r="AL96" s="709" t="s">
        <v>248</v>
      </c>
      <c r="AM96" s="656" t="s">
        <v>247</v>
      </c>
      <c r="AN96" s="656" t="s">
        <v>248</v>
      </c>
      <c r="AO96" s="656" t="s">
        <v>247</v>
      </c>
      <c r="AP96" s="656" t="s">
        <v>248</v>
      </c>
    </row>
    <row r="97" spans="1:42">
      <c r="A97" s="112" t="s">
        <v>336</v>
      </c>
      <c r="B97" s="815">
        <f>0.1829+0.032-C97</f>
        <v>0.21490000000000001</v>
      </c>
      <c r="C97" s="547">
        <v>0</v>
      </c>
      <c r="D97" s="528">
        <f>1251371/1262940</f>
        <v>0.99083962816919247</v>
      </c>
      <c r="E97" s="275">
        <f t="shared" ref="E97:E116" si="23">$B97*D97</f>
        <v>0.21293143609355947</v>
      </c>
      <c r="F97" s="528">
        <f>3608216/3572240</f>
        <v>1.010070991870647</v>
      </c>
      <c r="G97" s="275">
        <f t="shared" ref="G97:G116" si="24">$B97*F97</f>
        <v>0.21706425615300204</v>
      </c>
      <c r="H97" s="528">
        <v>0</v>
      </c>
      <c r="I97" s="275">
        <f t="shared" ref="I97:I116" si="25">$B97*H97</f>
        <v>0</v>
      </c>
      <c r="J97" s="528">
        <v>1</v>
      </c>
      <c r="K97" s="275">
        <f t="shared" ref="K97:K116" si="26">$B97*J97</f>
        <v>0.21490000000000001</v>
      </c>
      <c r="L97" s="528">
        <v>0</v>
      </c>
      <c r="M97" s="275">
        <f t="shared" ref="M97:M116" si="27">$B97*L97</f>
        <v>0</v>
      </c>
      <c r="N97" s="747">
        <v>0</v>
      </c>
      <c r="O97" s="748">
        <f t="shared" ref="O97:O116" si="28">$B97*N97</f>
        <v>0</v>
      </c>
      <c r="P97" s="63"/>
      <c r="Q97" s="63"/>
      <c r="AB97" s="657"/>
      <c r="AC97" s="612"/>
      <c r="AD97" s="614"/>
      <c r="AE97" s="714"/>
      <c r="AF97" s="711"/>
      <c r="AG97" s="658"/>
      <c r="AH97" s="621"/>
      <c r="AI97" s="658"/>
      <c r="AJ97" s="621"/>
      <c r="AK97" s="710"/>
      <c r="AL97" s="711">
        <f>K97/B97*1000</f>
        <v>1000</v>
      </c>
      <c r="AM97" s="661"/>
      <c r="AN97" s="621"/>
      <c r="AO97" s="661"/>
      <c r="AP97" s="621"/>
    </row>
    <row r="98" spans="1:42">
      <c r="A98" s="112" t="s">
        <v>460</v>
      </c>
      <c r="B98" s="665">
        <f>0.27228+0.032-C98</f>
        <v>0.30427999999999999</v>
      </c>
      <c r="C98" s="547">
        <v>0</v>
      </c>
      <c r="D98" s="545">
        <v>0</v>
      </c>
      <c r="E98" s="367">
        <f t="shared" si="23"/>
        <v>0</v>
      </c>
      <c r="F98" s="545">
        <v>0</v>
      </c>
      <c r="G98" s="367">
        <f t="shared" si="24"/>
        <v>0</v>
      </c>
      <c r="H98" s="545">
        <v>0</v>
      </c>
      <c r="I98" s="367">
        <f t="shared" si="25"/>
        <v>0</v>
      </c>
      <c r="J98" s="545">
        <v>0</v>
      </c>
      <c r="K98" s="367">
        <f t="shared" si="26"/>
        <v>0</v>
      </c>
      <c r="L98" s="545">
        <v>0</v>
      </c>
      <c r="M98" s="367">
        <f t="shared" si="27"/>
        <v>0</v>
      </c>
      <c r="N98" s="759">
        <f>262800/262440</f>
        <v>1.0013717421124828</v>
      </c>
      <c r="O98" s="749">
        <f t="shared" si="28"/>
        <v>0.30469739368998627</v>
      </c>
      <c r="P98" s="368"/>
      <c r="Q98" s="368"/>
      <c r="AB98" s="657"/>
      <c r="AC98" s="612"/>
      <c r="AD98" s="614"/>
      <c r="AE98" s="714"/>
      <c r="AF98" s="711"/>
      <c r="AG98" s="661"/>
      <c r="AH98" s="798"/>
      <c r="AI98" s="658"/>
      <c r="AJ98" s="621"/>
      <c r="AK98" s="710"/>
      <c r="AL98" s="711"/>
      <c r="AM98" s="661"/>
      <c r="AN98" s="621"/>
      <c r="AO98" s="658">
        <f>+B98*1000</f>
        <v>304.27999999999997</v>
      </c>
      <c r="AP98" s="621">
        <f>O98/B98*1000</f>
        <v>1001.3717421124828</v>
      </c>
    </row>
    <row r="99" spans="1:42">
      <c r="A99" s="112" t="s">
        <v>338</v>
      </c>
      <c r="B99" s="814">
        <f>0.465+0.032-C99</f>
        <v>0.497</v>
      </c>
      <c r="C99" s="547">
        <v>0</v>
      </c>
      <c r="D99" s="545">
        <v>0</v>
      </c>
      <c r="E99" s="367">
        <f t="shared" si="23"/>
        <v>0</v>
      </c>
      <c r="F99" s="545">
        <v>0</v>
      </c>
      <c r="G99" s="367">
        <f t="shared" si="24"/>
        <v>0</v>
      </c>
      <c r="H99" s="545">
        <f>208000/198210</f>
        <v>1.0493920589274002</v>
      </c>
      <c r="I99" s="367">
        <f t="shared" si="25"/>
        <v>0.52154785328691788</v>
      </c>
      <c r="J99" s="545">
        <v>0</v>
      </c>
      <c r="K99" s="367">
        <f t="shared" si="26"/>
        <v>0</v>
      </c>
      <c r="L99" s="545">
        <v>0</v>
      </c>
      <c r="M99" s="367">
        <f t="shared" si="27"/>
        <v>0</v>
      </c>
      <c r="N99" s="759">
        <v>0</v>
      </c>
      <c r="O99" s="749">
        <f t="shared" si="28"/>
        <v>0</v>
      </c>
      <c r="P99" s="368"/>
      <c r="Q99" s="368"/>
      <c r="AB99" s="657"/>
      <c r="AC99" s="612"/>
      <c r="AD99" s="614"/>
      <c r="AE99" s="714"/>
      <c r="AF99" s="711"/>
      <c r="AG99" s="661"/>
      <c r="AH99" s="798"/>
      <c r="AI99" s="658"/>
      <c r="AJ99" s="621"/>
      <c r="AK99" s="710"/>
      <c r="AL99" s="711"/>
      <c r="AM99" s="661" t="s">
        <v>7</v>
      </c>
      <c r="AN99" s="621" t="s">
        <v>7</v>
      </c>
      <c r="AO99" s="661"/>
      <c r="AP99" s="621"/>
    </row>
    <row r="100" spans="1:42">
      <c r="A100" s="112" t="s">
        <v>441</v>
      </c>
      <c r="B100" s="665">
        <f>0.973+0.032-C100</f>
        <v>1.0049999999999999</v>
      </c>
      <c r="C100" s="547">
        <v>0</v>
      </c>
      <c r="D100" s="545">
        <v>0</v>
      </c>
      <c r="E100" s="367">
        <f t="shared" si="23"/>
        <v>0</v>
      </c>
      <c r="F100" s="545">
        <v>0</v>
      </c>
      <c r="G100" s="367">
        <f t="shared" si="24"/>
        <v>0</v>
      </c>
      <c r="H100" s="545">
        <v>0</v>
      </c>
      <c r="I100" s="367">
        <f t="shared" si="25"/>
        <v>0</v>
      </c>
      <c r="J100" s="774">
        <v>0</v>
      </c>
      <c r="K100" s="367">
        <f t="shared" si="26"/>
        <v>0</v>
      </c>
      <c r="L100" s="545">
        <v>0</v>
      </c>
      <c r="M100" s="367">
        <f t="shared" si="27"/>
        <v>0</v>
      </c>
      <c r="N100" s="759">
        <v>0</v>
      </c>
      <c r="O100" s="749">
        <f t="shared" si="28"/>
        <v>0</v>
      </c>
      <c r="P100" s="368"/>
      <c r="Q100" s="368"/>
      <c r="AB100" s="657"/>
      <c r="AC100" s="612"/>
      <c r="AD100" s="614"/>
      <c r="AE100" s="714"/>
      <c r="AF100" s="711"/>
      <c r="AG100" s="661"/>
      <c r="AH100" s="798"/>
      <c r="AI100" s="661"/>
      <c r="AJ100" s="621"/>
      <c r="AK100" s="710"/>
      <c r="AL100" s="711"/>
      <c r="AM100" s="658">
        <f>+B102*1000</f>
        <v>377.8</v>
      </c>
      <c r="AN100" s="621">
        <f>M100/B100*1000</f>
        <v>0</v>
      </c>
      <c r="AO100" s="661"/>
      <c r="AP100" s="621"/>
    </row>
    <row r="101" spans="1:42" ht="16.5">
      <c r="A101" s="112" t="s">
        <v>453</v>
      </c>
      <c r="B101" s="814">
        <f>306.29/1000</f>
        <v>0.30629000000000001</v>
      </c>
      <c r="C101" s="547"/>
      <c r="D101" s="545">
        <v>0</v>
      </c>
      <c r="E101" s="367">
        <f t="shared" si="23"/>
        <v>0</v>
      </c>
      <c r="F101" s="528">
        <v>0</v>
      </c>
      <c r="G101" s="367">
        <f t="shared" si="24"/>
        <v>0</v>
      </c>
      <c r="H101" s="545">
        <v>0</v>
      </c>
      <c r="I101" s="367">
        <f>$B101*H101</f>
        <v>0</v>
      </c>
      <c r="J101" s="774">
        <v>0</v>
      </c>
      <c r="K101" s="367">
        <f t="shared" si="26"/>
        <v>0</v>
      </c>
      <c r="L101" s="545">
        <v>0</v>
      </c>
      <c r="M101" s="367">
        <f t="shared" si="27"/>
        <v>0</v>
      </c>
      <c r="N101" s="747">
        <v>0</v>
      </c>
      <c r="O101" s="749">
        <f t="shared" si="28"/>
        <v>0</v>
      </c>
      <c r="P101" s="72"/>
      <c r="Q101" s="601"/>
      <c r="AA101" s="111"/>
      <c r="AB101" s="649"/>
      <c r="AC101" s="612"/>
      <c r="AD101" s="612"/>
      <c r="AE101" s="662"/>
      <c r="AF101" s="656"/>
      <c r="AG101" s="612"/>
      <c r="AH101" s="621"/>
      <c r="AI101" s="612"/>
      <c r="AJ101" s="621"/>
      <c r="AK101" s="2"/>
      <c r="AL101" s="2"/>
    </row>
    <row r="102" spans="1:42">
      <c r="A102" s="112" t="s">
        <v>455</v>
      </c>
      <c r="B102" s="815">
        <f>0.3458+0.032-C102</f>
        <v>0.37780000000000002</v>
      </c>
      <c r="C102" s="547">
        <v>0</v>
      </c>
      <c r="D102" s="545">
        <v>0</v>
      </c>
      <c r="E102" s="367">
        <f t="shared" si="23"/>
        <v>0</v>
      </c>
      <c r="F102" s="545">
        <v>0</v>
      </c>
      <c r="G102" s="367">
        <f t="shared" si="24"/>
        <v>0</v>
      </c>
      <c r="H102" s="545">
        <v>0</v>
      </c>
      <c r="I102" s="367">
        <f t="shared" si="25"/>
        <v>0</v>
      </c>
      <c r="J102" s="545">
        <v>0</v>
      </c>
      <c r="K102" s="367">
        <f t="shared" si="26"/>
        <v>0</v>
      </c>
      <c r="L102" s="545">
        <f>429020/422600</f>
        <v>1.0151916706105064</v>
      </c>
      <c r="M102" s="367">
        <f t="shared" si="27"/>
        <v>0.38353941315664936</v>
      </c>
      <c r="N102" s="759">
        <v>0</v>
      </c>
      <c r="O102" s="749">
        <f t="shared" si="28"/>
        <v>0</v>
      </c>
      <c r="P102" s="368"/>
      <c r="Q102" s="368"/>
      <c r="AB102" s="657"/>
      <c r="AC102" s="612"/>
      <c r="AD102" s="614"/>
      <c r="AE102" s="714"/>
      <c r="AF102" s="711"/>
      <c r="AG102" s="661"/>
      <c r="AH102" s="798"/>
      <c r="AI102" s="661"/>
      <c r="AJ102" s="621"/>
      <c r="AK102" s="710"/>
      <c r="AL102" s="711"/>
      <c r="AM102" s="661"/>
      <c r="AN102" s="621"/>
      <c r="AO102" s="661"/>
      <c r="AP102" s="621"/>
    </row>
    <row r="103" spans="1:42">
      <c r="A103" s="112" t="s">
        <v>340</v>
      </c>
      <c r="B103" s="667">
        <v>0</v>
      </c>
      <c r="C103" s="547">
        <v>0</v>
      </c>
      <c r="D103" s="545">
        <v>0</v>
      </c>
      <c r="E103" s="367">
        <f t="shared" si="23"/>
        <v>0</v>
      </c>
      <c r="F103" s="545">
        <v>0</v>
      </c>
      <c r="G103" s="367">
        <f t="shared" si="24"/>
        <v>0</v>
      </c>
      <c r="H103" s="545">
        <v>0</v>
      </c>
      <c r="I103" s="367">
        <f t="shared" si="25"/>
        <v>0</v>
      </c>
      <c r="J103" s="545">
        <v>0</v>
      </c>
      <c r="K103" s="367">
        <f t="shared" si="26"/>
        <v>0</v>
      </c>
      <c r="L103" s="545">
        <v>0</v>
      </c>
      <c r="M103" s="367">
        <f t="shared" si="27"/>
        <v>0</v>
      </c>
      <c r="N103" s="759">
        <v>0</v>
      </c>
      <c r="O103" s="749">
        <f t="shared" si="28"/>
        <v>0</v>
      </c>
      <c r="P103" s="368"/>
      <c r="Q103" s="368"/>
      <c r="AB103" s="657"/>
      <c r="AC103" s="612"/>
      <c r="AD103" s="614"/>
      <c r="AE103" s="714"/>
      <c r="AF103" s="711"/>
      <c r="AG103" s="661"/>
      <c r="AH103" s="798"/>
      <c r="AI103" s="661"/>
      <c r="AJ103" s="621"/>
      <c r="AK103" s="710"/>
      <c r="AL103" s="711"/>
      <c r="AM103" s="661"/>
      <c r="AN103" s="621"/>
      <c r="AO103" s="661"/>
      <c r="AP103" s="621"/>
    </row>
    <row r="104" spans="1:42">
      <c r="A104" s="112" t="s">
        <v>454</v>
      </c>
      <c r="B104" s="694">
        <v>0.63639999999999997</v>
      </c>
      <c r="C104" s="547">
        <v>0</v>
      </c>
      <c r="D104" s="545">
        <v>0</v>
      </c>
      <c r="E104" s="367">
        <f t="shared" si="23"/>
        <v>0</v>
      </c>
      <c r="F104" s="545">
        <v>0</v>
      </c>
      <c r="G104" s="367">
        <f t="shared" si="24"/>
        <v>0</v>
      </c>
      <c r="H104" s="545">
        <v>0</v>
      </c>
      <c r="I104" s="367">
        <f t="shared" si="25"/>
        <v>0</v>
      </c>
      <c r="J104" s="545">
        <v>0</v>
      </c>
      <c r="K104" s="367">
        <f t="shared" si="26"/>
        <v>0</v>
      </c>
      <c r="L104" s="545">
        <v>0</v>
      </c>
      <c r="M104" s="367">
        <f t="shared" si="27"/>
        <v>0</v>
      </c>
      <c r="N104" s="759">
        <v>0</v>
      </c>
      <c r="O104" s="749">
        <f t="shared" si="28"/>
        <v>0</v>
      </c>
      <c r="P104" s="368"/>
      <c r="Q104" s="368"/>
      <c r="AB104" s="657"/>
      <c r="AC104" s="612"/>
      <c r="AD104" s="614"/>
      <c r="AE104" s="714"/>
      <c r="AF104" s="711"/>
      <c r="AG104" s="661"/>
      <c r="AH104" s="798"/>
      <c r="AI104" s="661"/>
      <c r="AJ104" s="621"/>
      <c r="AK104" s="710"/>
      <c r="AL104" s="711"/>
      <c r="AM104" s="661"/>
      <c r="AN104" s="621"/>
      <c r="AO104" s="661"/>
      <c r="AP104" s="621"/>
    </row>
    <row r="105" spans="1:42">
      <c r="A105" s="112" t="s">
        <v>450</v>
      </c>
      <c r="B105" s="694">
        <v>0.63639999999999997</v>
      </c>
      <c r="C105" s="547">
        <v>0</v>
      </c>
      <c r="D105" s="528">
        <v>0</v>
      </c>
      <c r="E105" s="367">
        <f>$B105*D105</f>
        <v>0</v>
      </c>
      <c r="F105" s="528">
        <v>0</v>
      </c>
      <c r="G105" s="367">
        <f>$B105*F105</f>
        <v>0</v>
      </c>
      <c r="H105" s="528">
        <v>0</v>
      </c>
      <c r="I105" s="367">
        <f>$B105*H105</f>
        <v>0</v>
      </c>
      <c r="J105" s="553">
        <v>0</v>
      </c>
      <c r="K105" s="367">
        <f>$B105*J105</f>
        <v>0</v>
      </c>
      <c r="L105" s="528">
        <v>0</v>
      </c>
      <c r="M105" s="367">
        <f>$B105*L105</f>
        <v>0</v>
      </c>
      <c r="N105" s="747">
        <v>0</v>
      </c>
      <c r="O105" s="749">
        <f>$B105*N105</f>
        <v>0</v>
      </c>
      <c r="P105" s="368"/>
      <c r="Q105" s="368"/>
      <c r="R105" s="111"/>
      <c r="S105" s="111"/>
      <c r="T105" s="111"/>
      <c r="U105" s="111"/>
      <c r="V105" s="111"/>
      <c r="W105" s="111"/>
      <c r="X105" s="111"/>
      <c r="Y105" s="111"/>
      <c r="AB105" s="657"/>
      <c r="AC105" s="612"/>
      <c r="AD105" s="614"/>
      <c r="AE105" s="712"/>
      <c r="AF105" s="712"/>
      <c r="AG105" s="658"/>
      <c r="AH105" s="612"/>
      <c r="AI105" s="612"/>
      <c r="AJ105" s="612"/>
      <c r="AK105" s="712"/>
      <c r="AL105" s="712"/>
      <c r="AM105" s="612"/>
      <c r="AN105" s="612"/>
      <c r="AO105" s="612"/>
      <c r="AP105" s="612"/>
    </row>
    <row r="106" spans="1:42">
      <c r="A106" s="112" t="s">
        <v>397</v>
      </c>
      <c r="B106" s="665">
        <f>1.9036-C106</f>
        <v>1.9036</v>
      </c>
      <c r="C106" s="547">
        <v>0</v>
      </c>
      <c r="D106" s="545">
        <v>0</v>
      </c>
      <c r="E106" s="367">
        <f t="shared" si="23"/>
        <v>0</v>
      </c>
      <c r="F106" s="545">
        <v>0</v>
      </c>
      <c r="G106" s="367">
        <f t="shared" si="24"/>
        <v>0</v>
      </c>
      <c r="H106" s="545">
        <v>0</v>
      </c>
      <c r="I106" s="367">
        <f t="shared" si="25"/>
        <v>0</v>
      </c>
      <c r="J106" s="545">
        <v>0</v>
      </c>
      <c r="K106" s="367">
        <f t="shared" si="26"/>
        <v>0</v>
      </c>
      <c r="L106" s="545">
        <v>0</v>
      </c>
      <c r="M106" s="367">
        <f t="shared" si="27"/>
        <v>0</v>
      </c>
      <c r="N106" s="759">
        <v>0</v>
      </c>
      <c r="O106" s="749">
        <f t="shared" si="28"/>
        <v>0</v>
      </c>
      <c r="P106" s="368"/>
      <c r="Q106" s="368"/>
      <c r="AB106" s="657"/>
      <c r="AC106" s="612"/>
      <c r="AD106" s="614"/>
      <c r="AE106" s="714"/>
      <c r="AF106" s="711"/>
      <c r="AG106" s="661"/>
      <c r="AH106" s="798"/>
      <c r="AI106" s="661"/>
      <c r="AJ106" s="621"/>
      <c r="AK106" s="710"/>
      <c r="AL106" s="711"/>
      <c r="AM106" s="661"/>
      <c r="AN106" s="621"/>
      <c r="AO106" s="661"/>
      <c r="AP106" s="621"/>
    </row>
    <row r="107" spans="1:42">
      <c r="A107" s="112" t="s">
        <v>345</v>
      </c>
      <c r="B107" s="815">
        <f>337.81/1000</f>
        <v>0.33781</v>
      </c>
      <c r="C107" s="547">
        <v>0</v>
      </c>
      <c r="D107" s="545">
        <v>0</v>
      </c>
      <c r="E107" s="367">
        <f t="shared" si="23"/>
        <v>0</v>
      </c>
      <c r="F107" s="545">
        <v>0</v>
      </c>
      <c r="G107" s="367">
        <f t="shared" si="24"/>
        <v>0</v>
      </c>
      <c r="H107" s="545">
        <v>0</v>
      </c>
      <c r="I107" s="367">
        <f t="shared" si="25"/>
        <v>0</v>
      </c>
      <c r="J107" s="545">
        <v>0</v>
      </c>
      <c r="K107" s="367">
        <f t="shared" si="26"/>
        <v>0</v>
      </c>
      <c r="L107" s="545">
        <v>0</v>
      </c>
      <c r="M107" s="367">
        <f t="shared" si="27"/>
        <v>0</v>
      </c>
      <c r="N107" s="759">
        <v>0</v>
      </c>
      <c r="O107" s="749">
        <f t="shared" si="28"/>
        <v>0</v>
      </c>
      <c r="P107" s="368"/>
      <c r="Q107" s="368"/>
      <c r="AB107" s="657"/>
      <c r="AC107" s="612"/>
      <c r="AD107" s="614"/>
      <c r="AE107" s="714"/>
      <c r="AF107" s="711"/>
      <c r="AG107" s="661"/>
      <c r="AH107" s="798"/>
      <c r="AI107" s="661"/>
      <c r="AJ107" s="621"/>
      <c r="AK107" s="710"/>
      <c r="AL107" s="711"/>
      <c r="AM107" s="661"/>
      <c r="AN107" s="621"/>
      <c r="AO107" s="661"/>
      <c r="AP107" s="621"/>
    </row>
    <row r="108" spans="1:42">
      <c r="A108" s="112" t="s">
        <v>403</v>
      </c>
      <c r="B108" s="694">
        <v>1.4510000000000001</v>
      </c>
      <c r="C108" s="547">
        <v>0</v>
      </c>
      <c r="D108" s="528">
        <f>36955/1262940</f>
        <v>2.9261089204554454E-2</v>
      </c>
      <c r="E108" s="367">
        <f t="shared" si="23"/>
        <v>4.2457840435808511E-2</v>
      </c>
      <c r="F108" s="528">
        <f>134560/3572240</f>
        <v>3.7668241775468611E-2</v>
      </c>
      <c r="G108" s="367">
        <f t="shared" si="24"/>
        <v>5.4656618816204955E-2</v>
      </c>
      <c r="H108" s="528">
        <f>7110/198210</f>
        <v>3.5871045860451034E-2</v>
      </c>
      <c r="I108" s="367">
        <f t="shared" si="25"/>
        <v>5.2048887543514451E-2</v>
      </c>
      <c r="J108" s="553">
        <v>0</v>
      </c>
      <c r="K108" s="367">
        <f t="shared" si="26"/>
        <v>0</v>
      </c>
      <c r="L108" s="528">
        <f>17363/422600</f>
        <v>4.1086133459536205E-2</v>
      </c>
      <c r="M108" s="367">
        <f t="shared" si="27"/>
        <v>5.9615979649787036E-2</v>
      </c>
      <c r="N108" s="747">
        <f>10645/262440</f>
        <v>4.0561652187166591E-2</v>
      </c>
      <c r="O108" s="749">
        <f t="shared" si="28"/>
        <v>5.8854957323578726E-2</v>
      </c>
      <c r="P108" s="368"/>
      <c r="Q108" s="368"/>
      <c r="AB108" s="657"/>
      <c r="AC108" s="612"/>
      <c r="AD108" s="614"/>
      <c r="AE108" s="714"/>
      <c r="AF108" s="711"/>
      <c r="AG108" s="658"/>
      <c r="AH108" s="621"/>
      <c r="AI108" s="658"/>
      <c r="AJ108" s="621"/>
      <c r="AK108" s="710"/>
      <c r="AL108" s="711" t="s">
        <v>7</v>
      </c>
      <c r="AM108" s="658">
        <f t="shared" ref="AM108:AM111" si="29">+B109*1000</f>
        <v>1200</v>
      </c>
      <c r="AN108" s="621">
        <f t="shared" ref="AN108:AN116" si="30">M108/B108*1000</f>
        <v>41.086133459536207</v>
      </c>
      <c r="AO108" s="658">
        <f t="shared" ref="AO108:AO116" si="31">+B108*1000</f>
        <v>1451</v>
      </c>
      <c r="AP108" s="621">
        <f t="shared" ref="AP108:AP116" si="32">O108/B108*1000</f>
        <v>40.561652187166594</v>
      </c>
    </row>
    <row r="109" spans="1:42">
      <c r="A109" s="112" t="s">
        <v>346</v>
      </c>
      <c r="B109" s="694">
        <v>1.2</v>
      </c>
      <c r="C109" s="547">
        <v>0</v>
      </c>
      <c r="D109" s="528">
        <v>0</v>
      </c>
      <c r="E109" s="367">
        <f t="shared" si="23"/>
        <v>0</v>
      </c>
      <c r="F109" s="528">
        <f>15443/3572240</f>
        <v>4.3230578012675522E-3</v>
      </c>
      <c r="G109" s="367">
        <f t="shared" si="24"/>
        <v>5.1876693615210629E-3</v>
      </c>
      <c r="H109" s="528">
        <v>0</v>
      </c>
      <c r="I109" s="367">
        <f t="shared" si="25"/>
        <v>0</v>
      </c>
      <c r="J109" s="553">
        <v>0</v>
      </c>
      <c r="K109" s="367">
        <f t="shared" si="26"/>
        <v>0</v>
      </c>
      <c r="L109" s="528">
        <f t="shared" ref="L109:L111" si="33">+H109</f>
        <v>0</v>
      </c>
      <c r="M109" s="367">
        <f t="shared" si="27"/>
        <v>0</v>
      </c>
      <c r="N109" s="747">
        <f>1190/262440</f>
        <v>4.5343697607072089E-3</v>
      </c>
      <c r="O109" s="749">
        <f t="shared" si="28"/>
        <v>5.4412437128486509E-3</v>
      </c>
      <c r="P109" s="368"/>
      <c r="Q109" s="368"/>
      <c r="AB109" s="657"/>
      <c r="AC109" s="612"/>
      <c r="AD109" s="614"/>
      <c r="AE109" s="714"/>
      <c r="AF109" s="711"/>
      <c r="AG109" s="658"/>
      <c r="AH109" s="621"/>
      <c r="AI109" s="658"/>
      <c r="AJ109" s="621"/>
      <c r="AK109" s="710"/>
      <c r="AL109" s="711" t="s">
        <v>7</v>
      </c>
      <c r="AM109" s="658">
        <f t="shared" si="29"/>
        <v>3920</v>
      </c>
      <c r="AN109" s="621">
        <f t="shared" si="30"/>
        <v>0</v>
      </c>
      <c r="AO109" s="658">
        <f t="shared" si="31"/>
        <v>1200</v>
      </c>
      <c r="AP109" s="621">
        <f t="shared" si="32"/>
        <v>4.5343697607072091</v>
      </c>
    </row>
    <row r="110" spans="1:42">
      <c r="A110" s="112" t="s">
        <v>347</v>
      </c>
      <c r="B110" s="694">
        <v>3.92</v>
      </c>
      <c r="C110" s="547">
        <v>0</v>
      </c>
      <c r="D110" s="528">
        <f>335/1262940</f>
        <v>2.6525408966380034E-4</v>
      </c>
      <c r="E110" s="367">
        <f t="shared" si="23"/>
        <v>1.0397960314820973E-3</v>
      </c>
      <c r="F110" s="528">
        <f>2650/3572240</f>
        <v>7.4183145589322105E-4</v>
      </c>
      <c r="G110" s="367">
        <f t="shared" si="24"/>
        <v>2.9079793071014265E-3</v>
      </c>
      <c r="H110" s="528">
        <f>127/198210</f>
        <v>6.4073457444124913E-4</v>
      </c>
      <c r="I110" s="367">
        <f t="shared" si="25"/>
        <v>2.5116795318096967E-3</v>
      </c>
      <c r="J110" s="553">
        <v>0</v>
      </c>
      <c r="K110" s="367">
        <f t="shared" si="26"/>
        <v>0</v>
      </c>
      <c r="L110" s="528">
        <f>330/422600</f>
        <v>7.808802650260293E-4</v>
      </c>
      <c r="M110" s="367">
        <f t="shared" si="27"/>
        <v>3.0610506389020346E-3</v>
      </c>
      <c r="N110" s="747">
        <f>320/262440</f>
        <v>1.2193263222069807E-3</v>
      </c>
      <c r="O110" s="749">
        <f t="shared" si="28"/>
        <v>4.7797591830513637E-3</v>
      </c>
      <c r="P110" s="368"/>
      <c r="Q110" s="368"/>
      <c r="R110" s="111"/>
      <c r="S110" s="111"/>
      <c r="T110" s="111"/>
      <c r="U110" s="111"/>
      <c r="V110" s="111"/>
      <c r="W110" s="111"/>
      <c r="X110" s="111"/>
      <c r="Y110" s="111"/>
      <c r="AB110" s="657"/>
      <c r="AC110" s="612"/>
      <c r="AD110" s="614"/>
      <c r="AE110" s="714"/>
      <c r="AF110" s="711"/>
      <c r="AG110" s="658"/>
      <c r="AH110" s="621"/>
      <c r="AI110" s="658"/>
      <c r="AJ110" s="621"/>
      <c r="AK110" s="710"/>
      <c r="AL110" s="711" t="s">
        <v>7</v>
      </c>
      <c r="AM110" s="658">
        <f t="shared" si="29"/>
        <v>2080</v>
      </c>
      <c r="AN110" s="621">
        <f t="shared" si="30"/>
        <v>0.78088026502602925</v>
      </c>
      <c r="AO110" s="658">
        <f t="shared" si="31"/>
        <v>3920</v>
      </c>
      <c r="AP110" s="621">
        <f t="shared" si="32"/>
        <v>1.2193263222069808</v>
      </c>
    </row>
    <row r="111" spans="1:42">
      <c r="A111" s="112" t="s">
        <v>348</v>
      </c>
      <c r="B111" s="694">
        <v>2.08</v>
      </c>
      <c r="C111" s="547">
        <v>0</v>
      </c>
      <c r="D111" s="528">
        <v>0</v>
      </c>
      <c r="E111" s="367">
        <f t="shared" si="23"/>
        <v>0</v>
      </c>
      <c r="F111" s="528">
        <f>2222/3572240</f>
        <v>6.2201867735650455E-4</v>
      </c>
      <c r="G111" s="367">
        <f t="shared" si="24"/>
        <v>1.2937988489015294E-3</v>
      </c>
      <c r="H111" s="528">
        <v>0</v>
      </c>
      <c r="I111" s="367">
        <f t="shared" si="25"/>
        <v>0</v>
      </c>
      <c r="J111" s="553">
        <v>0</v>
      </c>
      <c r="K111" s="367">
        <f t="shared" si="26"/>
        <v>0</v>
      </c>
      <c r="L111" s="528">
        <f t="shared" si="33"/>
        <v>0</v>
      </c>
      <c r="M111" s="367">
        <f t="shared" si="27"/>
        <v>0</v>
      </c>
      <c r="N111" s="747">
        <f>542/262440</f>
        <v>2.0652339582380736E-3</v>
      </c>
      <c r="O111" s="749">
        <f t="shared" si="28"/>
        <v>4.2956866331351935E-3</v>
      </c>
      <c r="P111" s="368"/>
      <c r="Q111" s="368"/>
      <c r="R111" s="111"/>
      <c r="S111" s="111"/>
      <c r="T111" s="111"/>
      <c r="U111" s="111"/>
      <c r="V111" s="111"/>
      <c r="W111" s="111"/>
      <c r="X111" s="111"/>
      <c r="Y111" s="111"/>
      <c r="AB111" s="657"/>
      <c r="AC111" s="612"/>
      <c r="AD111" s="614"/>
      <c r="AE111" s="714"/>
      <c r="AF111" s="711"/>
      <c r="AG111" s="658"/>
      <c r="AH111" s="621"/>
      <c r="AI111" s="658"/>
      <c r="AJ111" s="621"/>
      <c r="AK111" s="710"/>
      <c r="AL111" s="711" t="s">
        <v>427</v>
      </c>
      <c r="AM111" s="658">
        <f t="shared" si="29"/>
        <v>2470</v>
      </c>
      <c r="AN111" s="621">
        <f t="shared" si="30"/>
        <v>0</v>
      </c>
      <c r="AO111" s="658">
        <f t="shared" si="31"/>
        <v>2080</v>
      </c>
      <c r="AP111" s="621">
        <f t="shared" si="32"/>
        <v>2.0652339582380734</v>
      </c>
    </row>
    <row r="112" spans="1:42">
      <c r="A112" s="112" t="s">
        <v>405</v>
      </c>
      <c r="B112" s="694">
        <v>2.4700000000000002</v>
      </c>
      <c r="C112" s="547">
        <v>0</v>
      </c>
      <c r="D112" s="528">
        <f>923/1262940</f>
        <v>7.3083440226772453E-4</v>
      </c>
      <c r="E112" s="367">
        <f t="shared" si="23"/>
        <v>1.8051609736012798E-3</v>
      </c>
      <c r="F112" s="528">
        <v>0</v>
      </c>
      <c r="G112" s="367">
        <f t="shared" si="24"/>
        <v>0</v>
      </c>
      <c r="H112" s="528">
        <f>170/198210</f>
        <v>8.5767620200797136E-4</v>
      </c>
      <c r="I112" s="367">
        <f t="shared" si="25"/>
        <v>2.1184602189596893E-3</v>
      </c>
      <c r="J112" s="528">
        <v>0</v>
      </c>
      <c r="K112" s="367">
        <f t="shared" si="26"/>
        <v>0</v>
      </c>
      <c r="L112" s="528">
        <f>108/422600</f>
        <v>2.5556081400851868E-4</v>
      </c>
      <c r="M112" s="367">
        <f t="shared" si="27"/>
        <v>6.3123521060104123E-4</v>
      </c>
      <c r="N112" s="747">
        <v>0</v>
      </c>
      <c r="O112" s="749">
        <f t="shared" si="28"/>
        <v>0</v>
      </c>
      <c r="P112" s="368"/>
      <c r="Q112" s="368"/>
      <c r="R112" s="111"/>
      <c r="S112" s="111"/>
      <c r="T112" s="111"/>
      <c r="U112" s="111"/>
      <c r="V112" s="111"/>
      <c r="W112" s="111"/>
      <c r="X112" s="111"/>
      <c r="Y112" s="111"/>
      <c r="AB112" s="657"/>
      <c r="AC112" s="612"/>
      <c r="AD112" s="614"/>
      <c r="AE112" s="714"/>
      <c r="AF112" s="711"/>
      <c r="AG112" s="658"/>
      <c r="AH112" s="621"/>
      <c r="AI112" s="658"/>
      <c r="AJ112" s="621"/>
      <c r="AK112" s="714"/>
      <c r="AL112" s="711"/>
      <c r="AM112" s="658"/>
      <c r="AN112" s="621">
        <f t="shared" si="30"/>
        <v>0.25556081400851871</v>
      </c>
      <c r="AO112" s="658"/>
      <c r="AP112" s="621">
        <f t="shared" si="32"/>
        <v>0</v>
      </c>
    </row>
    <row r="113" spans="1:42">
      <c r="A113" s="112" t="s">
        <v>409</v>
      </c>
      <c r="B113" s="694">
        <v>2.04</v>
      </c>
      <c r="C113" s="547">
        <v>0</v>
      </c>
      <c r="D113" s="528">
        <f>2700/1262940</f>
        <v>2.1378687823649578E-3</v>
      </c>
      <c r="E113" s="367">
        <f t="shared" si="23"/>
        <v>4.3612523160245142E-3</v>
      </c>
      <c r="F113" s="528">
        <v>0</v>
      </c>
      <c r="G113" s="367">
        <f t="shared" si="24"/>
        <v>0</v>
      </c>
      <c r="H113" s="528">
        <f>1900/198210</f>
        <v>9.5857928459714449E-3</v>
      </c>
      <c r="I113" s="367">
        <f t="shared" si="25"/>
        <v>1.9555017405781749E-2</v>
      </c>
      <c r="J113" s="528">
        <v>0</v>
      </c>
      <c r="K113" s="367">
        <f t="shared" si="26"/>
        <v>0</v>
      </c>
      <c r="L113" s="528">
        <f>5000/422600</f>
        <v>1.1831519167061051E-2</v>
      </c>
      <c r="M113" s="367">
        <f t="shared" si="27"/>
        <v>2.4136299100804545E-2</v>
      </c>
      <c r="N113" s="747">
        <v>0</v>
      </c>
      <c r="O113" s="749">
        <f t="shared" si="28"/>
        <v>0</v>
      </c>
      <c r="P113" s="368"/>
      <c r="Q113" s="368"/>
      <c r="AB113" s="657"/>
      <c r="AC113" s="612"/>
      <c r="AD113" s="614"/>
      <c r="AE113" s="714"/>
      <c r="AF113" s="711"/>
      <c r="AG113" s="658"/>
      <c r="AH113" s="621"/>
      <c r="AI113" s="658"/>
      <c r="AJ113" s="621"/>
      <c r="AK113" s="714"/>
      <c r="AL113" s="711"/>
      <c r="AM113" s="658"/>
      <c r="AN113" s="621">
        <f t="shared" si="30"/>
        <v>11.831519167061051</v>
      </c>
      <c r="AO113" s="658"/>
      <c r="AP113" s="621">
        <f t="shared" si="32"/>
        <v>0</v>
      </c>
    </row>
    <row r="114" spans="1:42">
      <c r="A114" s="112" t="s">
        <v>406</v>
      </c>
      <c r="B114" s="694">
        <v>3.92</v>
      </c>
      <c r="C114" s="547">
        <v>0</v>
      </c>
      <c r="D114" s="528">
        <f>250/1262940</f>
        <v>1.9795081318194055E-4</v>
      </c>
      <c r="E114" s="367">
        <f t="shared" ref="E114" si="34">$B114*D114</f>
        <v>7.7596718767320696E-4</v>
      </c>
      <c r="F114" s="528">
        <v>0</v>
      </c>
      <c r="G114" s="367">
        <f t="shared" si="24"/>
        <v>0</v>
      </c>
      <c r="H114" s="528">
        <v>0</v>
      </c>
      <c r="I114" s="367">
        <f t="shared" ref="I114" si="35">$B114*H114</f>
        <v>0</v>
      </c>
      <c r="J114" s="528">
        <v>0</v>
      </c>
      <c r="K114" s="367">
        <f t="shared" ref="K114" si="36">$B114*J114</f>
        <v>0</v>
      </c>
      <c r="L114" s="528">
        <v>0</v>
      </c>
      <c r="M114" s="367">
        <f t="shared" ref="M114" si="37">$B114*L114</f>
        <v>0</v>
      </c>
      <c r="N114" s="747">
        <v>0</v>
      </c>
      <c r="O114" s="749">
        <f t="shared" si="28"/>
        <v>0</v>
      </c>
      <c r="P114" s="368"/>
      <c r="Q114" s="368"/>
      <c r="AB114" s="657"/>
      <c r="AC114" s="612"/>
      <c r="AD114" s="614"/>
      <c r="AE114" s="714"/>
      <c r="AF114" s="711"/>
      <c r="AG114" s="658"/>
      <c r="AH114" s="621"/>
      <c r="AI114" s="658"/>
      <c r="AJ114" s="621"/>
      <c r="AK114" s="714"/>
      <c r="AL114" s="711"/>
      <c r="AM114" s="658"/>
      <c r="AN114" s="621"/>
      <c r="AO114" s="658"/>
      <c r="AP114" s="621"/>
    </row>
    <row r="115" spans="1:42">
      <c r="A115" s="112" t="s">
        <v>411</v>
      </c>
      <c r="B115" s="694">
        <v>15.83</v>
      </c>
      <c r="C115" s="547">
        <v>0</v>
      </c>
      <c r="D115" s="528">
        <v>0</v>
      </c>
      <c r="E115" s="367">
        <f t="shared" si="23"/>
        <v>0</v>
      </c>
      <c r="F115" s="528">
        <v>0</v>
      </c>
      <c r="G115" s="367">
        <f t="shared" si="24"/>
        <v>0</v>
      </c>
      <c r="H115" s="528">
        <v>0</v>
      </c>
      <c r="I115" s="367">
        <f t="shared" si="25"/>
        <v>0</v>
      </c>
      <c r="J115" s="528">
        <v>1.2500000000000001E-2</v>
      </c>
      <c r="K115" s="367">
        <f>$B115*J115</f>
        <v>0.19787500000000002</v>
      </c>
      <c r="L115" s="528">
        <v>0</v>
      </c>
      <c r="M115" s="367">
        <f t="shared" si="27"/>
        <v>0</v>
      </c>
      <c r="N115" s="747">
        <v>0</v>
      </c>
      <c r="O115" s="749">
        <f t="shared" si="28"/>
        <v>0</v>
      </c>
      <c r="P115" s="368"/>
      <c r="Q115" s="368"/>
      <c r="AB115" s="657"/>
      <c r="AC115" s="612"/>
      <c r="AD115" s="614"/>
      <c r="AE115" s="714"/>
      <c r="AF115" s="711"/>
      <c r="AG115" s="658"/>
      <c r="AH115" s="621"/>
      <c r="AI115" s="658"/>
      <c r="AJ115" s="621"/>
      <c r="AK115" s="710"/>
      <c r="AL115" s="711">
        <f>K115/B115*1000</f>
        <v>12.5</v>
      </c>
      <c r="AM115" s="658"/>
      <c r="AN115" s="621">
        <f t="shared" si="30"/>
        <v>0</v>
      </c>
      <c r="AO115" s="658"/>
      <c r="AP115" s="621">
        <f t="shared" si="32"/>
        <v>0</v>
      </c>
    </row>
    <row r="116" spans="1:42">
      <c r="A116" s="112" t="s">
        <v>355</v>
      </c>
      <c r="B116" s="694">
        <v>11.85</v>
      </c>
      <c r="C116" s="547">
        <v>0</v>
      </c>
      <c r="D116" s="528">
        <v>0</v>
      </c>
      <c r="E116" s="367">
        <f t="shared" si="23"/>
        <v>0</v>
      </c>
      <c r="F116" s="528">
        <v>0</v>
      </c>
      <c r="G116" s="367">
        <f t="shared" si="24"/>
        <v>0</v>
      </c>
      <c r="H116" s="528">
        <v>0</v>
      </c>
      <c r="I116" s="367">
        <f t="shared" si="25"/>
        <v>0</v>
      </c>
      <c r="J116" s="528">
        <f>275/160460</f>
        <v>1.713822759566247E-3</v>
      </c>
      <c r="K116" s="367">
        <f t="shared" si="26"/>
        <v>2.0308799700860025E-2</v>
      </c>
      <c r="L116" s="528">
        <v>0</v>
      </c>
      <c r="M116" s="367">
        <f t="shared" si="27"/>
        <v>0</v>
      </c>
      <c r="N116" s="747">
        <f>622/262440</f>
        <v>2.3700655387898185E-3</v>
      </c>
      <c r="O116" s="749">
        <f t="shared" si="28"/>
        <v>2.8085276634659349E-2</v>
      </c>
      <c r="P116" s="368"/>
      <c r="Q116" s="368"/>
      <c r="AB116" s="657"/>
      <c r="AC116" s="612"/>
      <c r="AD116" s="614"/>
      <c r="AE116" s="714"/>
      <c r="AF116" s="711"/>
      <c r="AG116" s="658"/>
      <c r="AH116" s="621"/>
      <c r="AI116" s="658"/>
      <c r="AJ116" s="621"/>
      <c r="AK116" s="710"/>
      <c r="AL116" s="711"/>
      <c r="AM116" s="658"/>
      <c r="AN116" s="621">
        <f t="shared" si="30"/>
        <v>0</v>
      </c>
      <c r="AO116" s="658">
        <f t="shared" si="31"/>
        <v>11850</v>
      </c>
      <c r="AP116" s="621">
        <f t="shared" si="32"/>
        <v>2.3700655387898184</v>
      </c>
    </row>
    <row r="117" spans="1:42">
      <c r="A117" s="112"/>
      <c r="B117" s="802"/>
      <c r="C117" s="803"/>
      <c r="D117" s="804"/>
      <c r="E117" s="367"/>
      <c r="F117" s="804"/>
      <c r="G117" s="367"/>
      <c r="H117" s="804"/>
      <c r="I117" s="367"/>
      <c r="J117" s="805"/>
      <c r="K117" s="367"/>
      <c r="L117" s="804"/>
      <c r="M117" s="367"/>
      <c r="N117" s="804"/>
      <c r="O117" s="367"/>
      <c r="P117" s="368"/>
      <c r="Q117" s="368"/>
      <c r="R117" s="111"/>
      <c r="S117" s="111"/>
      <c r="T117" s="111"/>
      <c r="U117" s="111"/>
      <c r="V117" s="111"/>
      <c r="W117" s="111"/>
      <c r="X117" s="111"/>
      <c r="Y117" s="111"/>
      <c r="AB117" s="780"/>
      <c r="AD117" s="111"/>
      <c r="AG117" s="427"/>
      <c r="AK117" s="2"/>
      <c r="AL117" s="2"/>
    </row>
    <row r="118" spans="1:42">
      <c r="A118" s="23" t="s">
        <v>249</v>
      </c>
      <c r="D118" s="33"/>
      <c r="E118" s="541" t="s">
        <v>250</v>
      </c>
      <c r="F118" s="33"/>
      <c r="G118" s="541" t="s">
        <v>250</v>
      </c>
      <c r="H118" s="33"/>
      <c r="I118" s="541" t="s">
        <v>250</v>
      </c>
      <c r="J118" s="33"/>
      <c r="K118" s="541" t="s">
        <v>250</v>
      </c>
      <c r="L118" s="33"/>
      <c r="M118" s="541" t="s">
        <v>250</v>
      </c>
      <c r="N118" s="753"/>
      <c r="O118" s="754" t="s">
        <v>250</v>
      </c>
      <c r="P118" s="368"/>
      <c r="Q118" s="368"/>
      <c r="R118" s="111"/>
      <c r="S118" s="111"/>
      <c r="T118" s="111"/>
      <c r="U118" s="111"/>
      <c r="V118" s="111"/>
      <c r="W118" s="111"/>
      <c r="X118" s="111"/>
      <c r="Y118" s="111"/>
      <c r="AB118" s="657"/>
      <c r="AC118" s="612"/>
      <c r="AD118" s="614"/>
      <c r="AE118" s="712"/>
      <c r="AF118" s="712"/>
      <c r="AG118" s="658"/>
      <c r="AH118" s="612"/>
      <c r="AI118" s="612"/>
      <c r="AJ118" s="612"/>
      <c r="AK118" s="712"/>
      <c r="AL118" s="712"/>
      <c r="AM118" s="612"/>
      <c r="AN118" s="612"/>
      <c r="AO118" s="612"/>
      <c r="AP118" s="612"/>
    </row>
    <row r="119" spans="1:42" ht="12.75">
      <c r="A119" s="112" t="s">
        <v>363</v>
      </c>
      <c r="C119" s="668"/>
      <c r="D119" s="33"/>
      <c r="E119" s="275">
        <f>SUM(E97:E107)</f>
        <v>0.21293143609355947</v>
      </c>
      <c r="F119" s="33"/>
      <c r="G119" s="275">
        <f>SUM(G97:G107)</f>
        <v>0.21706425615300204</v>
      </c>
      <c r="H119" s="33"/>
      <c r="I119" s="275">
        <f>SUM(I97:I107)</f>
        <v>0.52154785328691788</v>
      </c>
      <c r="J119" s="33"/>
      <c r="K119" s="275">
        <f>SUM(K97:K107)</f>
        <v>0.21490000000000001</v>
      </c>
      <c r="L119" s="33"/>
      <c r="M119" s="275">
        <f>SUM(M97:M107)</f>
        <v>0.38353941315664936</v>
      </c>
      <c r="N119" s="753"/>
      <c r="O119" s="748">
        <f>SUM(O97:O107)</f>
        <v>0.30469739368998627</v>
      </c>
      <c r="P119" s="368"/>
      <c r="Q119" s="368"/>
      <c r="R119" s="111"/>
      <c r="S119" s="111"/>
      <c r="T119" s="111"/>
      <c r="U119" s="111"/>
      <c r="V119" s="111"/>
      <c r="W119" s="111"/>
      <c r="X119" s="111"/>
      <c r="Y119" s="111"/>
      <c r="AB119" s="657"/>
      <c r="AC119" s="612"/>
      <c r="AD119" s="614"/>
      <c r="AE119" s="712"/>
      <c r="AF119" s="712"/>
      <c r="AG119" s="658"/>
      <c r="AH119" s="612"/>
      <c r="AI119" s="612"/>
      <c r="AJ119" s="612"/>
      <c r="AK119" s="712"/>
      <c r="AL119" s="712"/>
      <c r="AM119" s="612"/>
      <c r="AN119" s="612"/>
      <c r="AO119" s="612"/>
      <c r="AP119" s="612"/>
    </row>
    <row r="120" spans="1:42" ht="12.75">
      <c r="A120" s="112" t="s">
        <v>36</v>
      </c>
      <c r="D120" s="33"/>
      <c r="E120" s="375">
        <f>SUM(E108:E108)</f>
        <v>4.2457840435808511E-2</v>
      </c>
      <c r="F120" s="33"/>
      <c r="G120" s="375">
        <f>SUM(G108:G108)</f>
        <v>5.4656618816204955E-2</v>
      </c>
      <c r="H120" s="33"/>
      <c r="I120" s="375">
        <f>SUM(I108:I108)</f>
        <v>5.2048887543514451E-2</v>
      </c>
      <c r="J120" s="33"/>
      <c r="K120" s="375">
        <f>SUM(K108:K108)</f>
        <v>0</v>
      </c>
      <c r="L120" s="33"/>
      <c r="M120" s="375">
        <f>SUM(M108:M108)</f>
        <v>5.9615979649787036E-2</v>
      </c>
      <c r="N120" s="753"/>
      <c r="O120" s="755">
        <f>SUM(O108:O108)</f>
        <v>5.8854957323578726E-2</v>
      </c>
      <c r="AB120" s="612"/>
      <c r="AC120" s="612"/>
      <c r="AD120" s="612"/>
      <c r="AE120" s="712"/>
      <c r="AF120" s="713"/>
      <c r="AG120" s="658"/>
      <c r="AH120" s="660"/>
      <c r="AI120" s="621"/>
      <c r="AJ120" s="621"/>
      <c r="AK120" s="712"/>
      <c r="AL120" s="713">
        <f>SUM(AL97:AL115)</f>
        <v>1012.5</v>
      </c>
      <c r="AM120" s="612"/>
      <c r="AN120" s="660">
        <f>SUM(AN97:AN116)</f>
        <v>53.954093705631806</v>
      </c>
      <c r="AO120" s="612"/>
      <c r="AP120" s="660">
        <f>SUM(AP97:AP116)</f>
        <v>1052.1223898795913</v>
      </c>
    </row>
    <row r="121" spans="1:42" ht="16.5">
      <c r="A121" s="112" t="s">
        <v>147</v>
      </c>
      <c r="D121" s="33"/>
      <c r="E121" s="377">
        <f>SUM(E109:E116)</f>
        <v>7.9821765087810977E-3</v>
      </c>
      <c r="F121" s="33"/>
      <c r="G121" s="377">
        <f>SUM(G109:G116)</f>
        <v>9.3894475175240188E-3</v>
      </c>
      <c r="H121" s="33"/>
      <c r="I121" s="377">
        <f>SUM(I109:I116)</f>
        <v>2.4185157156551135E-2</v>
      </c>
      <c r="J121" s="33"/>
      <c r="K121" s="377">
        <f>SUM(K109:K116)</f>
        <v>0.21818379970086005</v>
      </c>
      <c r="L121" s="33"/>
      <c r="M121" s="377">
        <f>SUM(M109:M116)</f>
        <v>2.7828584950307621E-2</v>
      </c>
      <c r="N121" s="753"/>
      <c r="O121" s="756">
        <f>SUM(O109:O116)</f>
        <v>4.2601966163694556E-2</v>
      </c>
      <c r="P121" s="26"/>
      <c r="Q121" s="26"/>
    </row>
    <row r="122" spans="1:42" ht="16.5">
      <c r="A122" s="353" t="s">
        <v>251</v>
      </c>
      <c r="D122" s="33"/>
      <c r="E122" s="379">
        <f>SUM(E119:E121)</f>
        <v>0.26337145303814907</v>
      </c>
      <c r="F122" s="33"/>
      <c r="G122" s="379">
        <f>SUM(G119:G121)</f>
        <v>0.28111032248673101</v>
      </c>
      <c r="H122" s="33"/>
      <c r="I122" s="379">
        <f>SUM(I119:I121)</f>
        <v>0.59778189798698345</v>
      </c>
      <c r="J122" s="33"/>
      <c r="K122" s="379">
        <f>SUM(K119:K121)</f>
        <v>0.43308379970086008</v>
      </c>
      <c r="L122" s="33"/>
      <c r="M122" s="379">
        <f>SUM(M119:M121)</f>
        <v>0.470983977756744</v>
      </c>
      <c r="N122" s="753"/>
      <c r="O122" s="757">
        <f>SUM(O119:O121)</f>
        <v>0.40615431717725953</v>
      </c>
      <c r="P122" s="63"/>
      <c r="Q122" s="63"/>
    </row>
    <row r="123" spans="1:42">
      <c r="A123" s="491" t="s">
        <v>389</v>
      </c>
      <c r="B123" s="1"/>
      <c r="C123" s="1"/>
      <c r="D123" s="371"/>
      <c r="E123" s="484"/>
      <c r="F123" s="371"/>
      <c r="G123" s="484"/>
      <c r="H123" s="371"/>
      <c r="I123" s="484"/>
      <c r="J123" s="371"/>
      <c r="K123" s="484"/>
      <c r="L123" s="371"/>
      <c r="M123" s="484"/>
      <c r="N123" s="371"/>
      <c r="O123" s="484"/>
      <c r="P123" s="376"/>
      <c r="Q123" s="376"/>
      <c r="V123" s="579"/>
    </row>
    <row r="124" spans="1:42" ht="16.5">
      <c r="A124" s="492" t="s">
        <v>390</v>
      </c>
      <c r="B124" s="359"/>
      <c r="C124" s="359"/>
      <c r="D124" s="485"/>
      <c r="E124" s="486"/>
      <c r="F124" s="59"/>
      <c r="G124" s="487"/>
      <c r="H124" s="59"/>
      <c r="I124" s="487"/>
      <c r="J124" s="59"/>
      <c r="K124" s="487"/>
      <c r="L124" s="59"/>
      <c r="M124" s="487"/>
      <c r="N124" s="59"/>
      <c r="O124" s="487"/>
      <c r="P124" s="378"/>
      <c r="Q124" s="378"/>
      <c r="V124" s="579"/>
    </row>
    <row r="125" spans="1:42" ht="17.25" thickBot="1">
      <c r="A125" s="30"/>
      <c r="B125" s="1"/>
      <c r="C125" s="1"/>
      <c r="D125" s="847" t="s">
        <v>322</v>
      </c>
      <c r="E125" s="848"/>
      <c r="F125" s="847" t="s">
        <v>464</v>
      </c>
      <c r="G125" s="848"/>
      <c r="H125" s="847" t="s">
        <v>400</v>
      </c>
      <c r="I125" s="848"/>
      <c r="J125" s="852" t="s">
        <v>335</v>
      </c>
      <c r="K125" s="853"/>
      <c r="L125" s="847" t="s">
        <v>449</v>
      </c>
      <c r="M125" s="848"/>
      <c r="N125" s="854" t="s">
        <v>465</v>
      </c>
      <c r="O125" s="855"/>
      <c r="P125" s="380"/>
      <c r="Q125" s="380"/>
      <c r="AB125" s="663"/>
      <c r="AC125" s="663"/>
      <c r="AD125" s="663"/>
      <c r="AE125" s="663"/>
      <c r="AF125" s="663"/>
      <c r="AG125" s="663"/>
      <c r="AH125" s="663"/>
      <c r="AI125" s="663"/>
      <c r="AJ125" s="663"/>
    </row>
    <row r="126" spans="1:42" ht="30">
      <c r="A126" s="30" t="s">
        <v>243</v>
      </c>
      <c r="B126" s="550" t="s">
        <v>27</v>
      </c>
      <c r="C126" s="551" t="s">
        <v>396</v>
      </c>
      <c r="D126" s="48" t="s">
        <v>244</v>
      </c>
      <c r="E126" s="362" t="s">
        <v>245</v>
      </c>
      <c r="F126" s="361" t="s">
        <v>244</v>
      </c>
      <c r="G126" s="362" t="s">
        <v>245</v>
      </c>
      <c r="H126" s="361" t="s">
        <v>244</v>
      </c>
      <c r="I126" s="362" t="s">
        <v>245</v>
      </c>
      <c r="J126" s="746" t="s">
        <v>244</v>
      </c>
      <c r="K126" s="684" t="s">
        <v>245</v>
      </c>
      <c r="L126" s="361" t="s">
        <v>244</v>
      </c>
      <c r="M126" s="362" t="s">
        <v>245</v>
      </c>
      <c r="N126" s="746" t="s">
        <v>244</v>
      </c>
      <c r="O126" s="684" t="s">
        <v>245</v>
      </c>
      <c r="AB126" s="655"/>
      <c r="AC126" s="612"/>
      <c r="AD126" s="612"/>
      <c r="AE126" s="656"/>
      <c r="AF126" s="656"/>
      <c r="AG126" s="656"/>
      <c r="AH126" s="656"/>
      <c r="AI126" s="656"/>
      <c r="AJ126" s="656"/>
      <c r="AK126" s="2"/>
      <c r="AL126" s="2"/>
    </row>
    <row r="127" spans="1:42">
      <c r="A127" s="112" t="s">
        <v>336</v>
      </c>
      <c r="B127" s="815">
        <f>0.1985+0.032-C127</f>
        <v>0.23050000000000001</v>
      </c>
      <c r="C127" s="547">
        <v>0</v>
      </c>
      <c r="D127" s="545">
        <v>0</v>
      </c>
      <c r="E127" s="275">
        <f t="shared" ref="E127:E146" si="38">$B127*D127</f>
        <v>0</v>
      </c>
      <c r="F127" s="528">
        <v>0</v>
      </c>
      <c r="G127" s="275">
        <f t="shared" ref="G127:G146" si="39">$B127*F127</f>
        <v>0</v>
      </c>
      <c r="H127" s="528">
        <v>0</v>
      </c>
      <c r="I127" s="275">
        <f t="shared" ref="I127:I149" si="40">$B127*H127</f>
        <v>0</v>
      </c>
      <c r="J127" s="747">
        <v>0</v>
      </c>
      <c r="K127" s="748">
        <f t="shared" ref="K127:K146" si="41">$B127*J127</f>
        <v>0</v>
      </c>
      <c r="L127" s="528">
        <v>0</v>
      </c>
      <c r="M127" s="275">
        <f t="shared" ref="M127:M146" si="42">$B127*L127</f>
        <v>0</v>
      </c>
      <c r="N127" s="747">
        <v>0</v>
      </c>
      <c r="O127" s="748">
        <f t="shared" ref="O127:O146" si="43">$B127*N127</f>
        <v>0</v>
      </c>
      <c r="AA127" s="6"/>
      <c r="AB127" s="655"/>
      <c r="AC127" s="612"/>
      <c r="AD127" s="612"/>
      <c r="AE127" s="656"/>
      <c r="AF127" s="656"/>
      <c r="AG127" s="612"/>
      <c r="AH127" s="612"/>
      <c r="AI127" s="612"/>
      <c r="AJ127" s="612"/>
      <c r="AK127" s="2"/>
      <c r="AL127" s="2"/>
    </row>
    <row r="128" spans="1:42">
      <c r="A128" s="112" t="s">
        <v>460</v>
      </c>
      <c r="B128" s="665">
        <f>0.27228+0.032-C128</f>
        <v>0.30427999999999999</v>
      </c>
      <c r="C128" s="547">
        <v>0</v>
      </c>
      <c r="D128" s="545">
        <v>0</v>
      </c>
      <c r="E128" s="367">
        <f t="shared" si="38"/>
        <v>0</v>
      </c>
      <c r="F128" s="528">
        <v>0</v>
      </c>
      <c r="G128" s="367">
        <f t="shared" si="39"/>
        <v>0</v>
      </c>
      <c r="H128" s="528">
        <v>0</v>
      </c>
      <c r="I128" s="367">
        <f t="shared" si="40"/>
        <v>0</v>
      </c>
      <c r="J128" s="747">
        <v>0</v>
      </c>
      <c r="K128" s="749">
        <f t="shared" si="41"/>
        <v>0</v>
      </c>
      <c r="L128" s="528">
        <v>0.93341630367143746</v>
      </c>
      <c r="M128" s="367">
        <f t="shared" si="42"/>
        <v>0.28401991288114498</v>
      </c>
      <c r="N128" s="747">
        <v>0</v>
      </c>
      <c r="O128" s="749">
        <f t="shared" si="43"/>
        <v>0</v>
      </c>
      <c r="AA128" s="6"/>
      <c r="AB128" s="649"/>
      <c r="AC128" s="612"/>
      <c r="AD128" s="612"/>
      <c r="AE128" s="612"/>
      <c r="AF128" s="612"/>
      <c r="AG128" s="612"/>
      <c r="AH128" s="612"/>
      <c r="AI128" s="612"/>
      <c r="AJ128" s="612"/>
      <c r="AK128" s="2"/>
      <c r="AL128" s="2"/>
    </row>
    <row r="129" spans="1:42" ht="16.5">
      <c r="A129" s="112" t="s">
        <v>338</v>
      </c>
      <c r="B129" s="814">
        <f>0.465+0.032-C129</f>
        <v>0.497</v>
      </c>
      <c r="C129" s="547">
        <v>0</v>
      </c>
      <c r="D129" s="545">
        <v>0</v>
      </c>
      <c r="E129" s="367">
        <f t="shared" si="38"/>
        <v>0</v>
      </c>
      <c r="F129" s="528">
        <v>0</v>
      </c>
      <c r="G129" s="367">
        <f t="shared" si="39"/>
        <v>0</v>
      </c>
      <c r="H129" s="528">
        <f>1460298/1734550</f>
        <v>0.84188867429592684</v>
      </c>
      <c r="I129" s="367">
        <f>$B129*H129</f>
        <v>0.41841867112507564</v>
      </c>
      <c r="J129" s="747">
        <v>0</v>
      </c>
      <c r="K129" s="749">
        <f t="shared" si="41"/>
        <v>0</v>
      </c>
      <c r="L129" s="528">
        <v>0</v>
      </c>
      <c r="M129" s="367">
        <f t="shared" si="42"/>
        <v>0</v>
      </c>
      <c r="N129" s="747">
        <v>0</v>
      </c>
      <c r="O129" s="749">
        <f t="shared" si="43"/>
        <v>0</v>
      </c>
      <c r="P129" s="72"/>
      <c r="Q129" s="601"/>
      <c r="AA129" s="111"/>
      <c r="AB129" s="649"/>
      <c r="AC129" s="612"/>
      <c r="AD129" s="612"/>
      <c r="AE129" s="662"/>
      <c r="AF129" s="656"/>
      <c r="AG129" s="612"/>
      <c r="AH129" s="621"/>
      <c r="AI129" s="612"/>
      <c r="AJ129" s="621"/>
      <c r="AK129" s="2"/>
      <c r="AL129" s="2"/>
    </row>
    <row r="130" spans="1:42">
      <c r="A130" s="112" t="s">
        <v>441</v>
      </c>
      <c r="B130" s="665">
        <f>0.973+0.032-C130</f>
        <v>1.0049999999999999</v>
      </c>
      <c r="C130" s="547">
        <v>0</v>
      </c>
      <c r="D130" s="545">
        <v>0</v>
      </c>
      <c r="E130" s="367">
        <f t="shared" si="38"/>
        <v>0</v>
      </c>
      <c r="F130" s="545">
        <v>0</v>
      </c>
      <c r="G130" s="367">
        <f t="shared" si="39"/>
        <v>0</v>
      </c>
      <c r="H130" s="545">
        <v>0</v>
      </c>
      <c r="I130" s="367">
        <f t="shared" ref="I130" si="44">$B130*H130</f>
        <v>0</v>
      </c>
      <c r="J130" s="747">
        <v>0</v>
      </c>
      <c r="K130" s="749">
        <f t="shared" ref="K130" si="45">$B130*J130</f>
        <v>0</v>
      </c>
      <c r="L130" s="545">
        <v>0</v>
      </c>
      <c r="M130" s="367">
        <f t="shared" si="42"/>
        <v>0</v>
      </c>
      <c r="N130" s="759">
        <v>0</v>
      </c>
      <c r="O130" s="749">
        <f t="shared" si="43"/>
        <v>0</v>
      </c>
      <c r="P130" s="368"/>
      <c r="Q130" s="368"/>
      <c r="AB130" s="657"/>
      <c r="AC130" s="612"/>
      <c r="AD130" s="614"/>
      <c r="AE130" s="714"/>
      <c r="AF130" s="711"/>
      <c r="AG130" s="661"/>
      <c r="AH130" s="798"/>
      <c r="AI130" s="661"/>
      <c r="AJ130" s="621"/>
      <c r="AK130" s="710"/>
      <c r="AL130" s="711"/>
      <c r="AM130" s="658">
        <f>+B132*1000</f>
        <v>356.8</v>
      </c>
      <c r="AN130" s="621">
        <f>M130/B130*1000</f>
        <v>0</v>
      </c>
      <c r="AO130" s="661"/>
      <c r="AP130" s="621"/>
    </row>
    <row r="131" spans="1:42" ht="16.5">
      <c r="A131" s="112" t="s">
        <v>453</v>
      </c>
      <c r="B131" s="814">
        <f>306.29/1000</f>
        <v>0.30629000000000001</v>
      </c>
      <c r="C131" s="547"/>
      <c r="D131" s="545">
        <v>0</v>
      </c>
      <c r="E131" s="367">
        <f t="shared" ref="E131" si="46">$B131*D131</f>
        <v>0</v>
      </c>
      <c r="F131" s="528">
        <v>0</v>
      </c>
      <c r="G131" s="367">
        <f t="shared" ref="G131" si="47">$B131*F131</f>
        <v>0</v>
      </c>
      <c r="H131" s="528">
        <f>283300/1734550</f>
        <v>0.16332766423568074</v>
      </c>
      <c r="I131" s="367">
        <f>$B131*H131</f>
        <v>5.0025630278746652E-2</v>
      </c>
      <c r="J131" s="747">
        <v>0</v>
      </c>
      <c r="K131" s="749">
        <f t="shared" si="41"/>
        <v>0</v>
      </c>
      <c r="L131" s="528">
        <v>0</v>
      </c>
      <c r="M131" s="367">
        <f t="shared" si="42"/>
        <v>0</v>
      </c>
      <c r="N131" s="747">
        <v>0</v>
      </c>
      <c r="O131" s="749">
        <f t="shared" si="43"/>
        <v>0</v>
      </c>
      <c r="P131" s="72"/>
      <c r="Q131" s="601"/>
      <c r="AA131" s="111"/>
      <c r="AB131" s="649"/>
      <c r="AC131" s="612"/>
      <c r="AD131" s="612"/>
      <c r="AE131" s="662"/>
      <c r="AF131" s="656"/>
      <c r="AG131" s="612"/>
      <c r="AH131" s="621"/>
      <c r="AI131" s="612"/>
      <c r="AJ131" s="621"/>
      <c r="AK131" s="2"/>
      <c r="AL131" s="2"/>
    </row>
    <row r="132" spans="1:42">
      <c r="A132" s="112" t="s">
        <v>339</v>
      </c>
      <c r="B132" s="815">
        <f>0.3248+0.032-C132</f>
        <v>0.35680000000000001</v>
      </c>
      <c r="C132" s="547">
        <v>0</v>
      </c>
      <c r="D132" s="545">
        <v>0</v>
      </c>
      <c r="E132" s="367">
        <f t="shared" si="38"/>
        <v>0</v>
      </c>
      <c r="F132" s="528">
        <v>0</v>
      </c>
      <c r="G132" s="367">
        <f t="shared" si="39"/>
        <v>0</v>
      </c>
      <c r="H132" s="528">
        <v>0</v>
      </c>
      <c r="I132" s="367">
        <f t="shared" si="40"/>
        <v>0</v>
      </c>
      <c r="J132" s="747">
        <v>0</v>
      </c>
      <c r="K132" s="749">
        <f t="shared" si="41"/>
        <v>0</v>
      </c>
      <c r="L132" s="528">
        <v>0</v>
      </c>
      <c r="M132" s="367">
        <f t="shared" si="42"/>
        <v>0</v>
      </c>
      <c r="N132" s="747">
        <v>0</v>
      </c>
      <c r="O132" s="749">
        <f t="shared" si="43"/>
        <v>0</v>
      </c>
      <c r="P132" s="63"/>
      <c r="Q132" s="601"/>
      <c r="AB132" s="657"/>
      <c r="AC132" s="612"/>
      <c r="AD132" s="614"/>
      <c r="AE132" s="662"/>
      <c r="AF132" s="621"/>
      <c r="AG132" s="612"/>
      <c r="AH132" s="621"/>
      <c r="AI132" s="612"/>
      <c r="AJ132" s="621"/>
      <c r="AK132" s="2"/>
      <c r="AL132" s="2"/>
    </row>
    <row r="133" spans="1:42">
      <c r="A133" s="112" t="s">
        <v>340</v>
      </c>
      <c r="B133" s="667">
        <v>0</v>
      </c>
      <c r="C133" s="547">
        <v>0</v>
      </c>
      <c r="D133" s="545">
        <v>0</v>
      </c>
      <c r="E133" s="367">
        <f t="shared" si="38"/>
        <v>0</v>
      </c>
      <c r="F133" s="528">
        <v>0</v>
      </c>
      <c r="G133" s="367">
        <f t="shared" si="39"/>
        <v>0</v>
      </c>
      <c r="H133" s="528">
        <v>0</v>
      </c>
      <c r="I133" s="367">
        <f t="shared" si="40"/>
        <v>0</v>
      </c>
      <c r="J133" s="747">
        <v>0</v>
      </c>
      <c r="K133" s="749">
        <f t="shared" si="41"/>
        <v>0</v>
      </c>
      <c r="L133" s="528">
        <v>0</v>
      </c>
      <c r="M133" s="367">
        <f t="shared" si="42"/>
        <v>0</v>
      </c>
      <c r="N133" s="747">
        <v>0</v>
      </c>
      <c r="O133" s="749">
        <f t="shared" si="43"/>
        <v>0</v>
      </c>
      <c r="P133" s="368"/>
      <c r="AB133" s="657"/>
      <c r="AC133" s="612"/>
      <c r="AD133" s="614"/>
      <c r="AE133" s="662"/>
      <c r="AF133" s="621"/>
      <c r="AG133" s="612"/>
      <c r="AH133" s="621"/>
      <c r="AI133" s="612"/>
      <c r="AJ133" s="621"/>
      <c r="AK133" s="2"/>
      <c r="AL133" s="2"/>
    </row>
    <row r="134" spans="1:42">
      <c r="A134" s="112" t="s">
        <v>454</v>
      </c>
      <c r="B134" s="694">
        <v>0.63639999999999997</v>
      </c>
      <c r="C134" s="547">
        <v>0</v>
      </c>
      <c r="D134" s="545">
        <v>0</v>
      </c>
      <c r="E134" s="367">
        <f t="shared" si="38"/>
        <v>0</v>
      </c>
      <c r="F134" s="528">
        <f>1346088/1352430</f>
        <v>0.99531066302877047</v>
      </c>
      <c r="G134" s="843">
        <f>$B134*F134</f>
        <v>0.63341570595150953</v>
      </c>
      <c r="H134" s="528">
        <v>0</v>
      </c>
      <c r="I134" s="367">
        <f t="shared" si="40"/>
        <v>0</v>
      </c>
      <c r="J134" s="747">
        <v>0</v>
      </c>
      <c r="K134" s="749">
        <f t="shared" si="41"/>
        <v>0</v>
      </c>
      <c r="L134" s="528">
        <v>0</v>
      </c>
      <c r="M134" s="367">
        <f t="shared" si="42"/>
        <v>0</v>
      </c>
      <c r="N134" s="747">
        <v>0</v>
      </c>
      <c r="O134" s="749">
        <f t="shared" si="43"/>
        <v>0</v>
      </c>
      <c r="P134" s="368"/>
      <c r="AB134" s="657"/>
      <c r="AC134" s="612"/>
      <c r="AD134" s="614"/>
      <c r="AE134" s="662"/>
      <c r="AF134" s="621"/>
      <c r="AG134" s="612"/>
      <c r="AH134" s="621"/>
      <c r="AI134" s="612"/>
      <c r="AJ134" s="621"/>
      <c r="AK134" s="2"/>
      <c r="AL134" s="2"/>
    </row>
    <row r="135" spans="1:42">
      <c r="A135" s="112" t="s">
        <v>450</v>
      </c>
      <c r="B135" s="694">
        <v>0.63639999999999997</v>
      </c>
      <c r="C135" s="547">
        <v>0</v>
      </c>
      <c r="D135" s="528">
        <v>0</v>
      </c>
      <c r="E135" s="367">
        <f>$B135*D135</f>
        <v>0</v>
      </c>
      <c r="F135" s="528">
        <v>0</v>
      </c>
      <c r="G135" s="367">
        <f>$B135*F135</f>
        <v>0</v>
      </c>
      <c r="H135" s="528">
        <v>0</v>
      </c>
      <c r="I135" s="367">
        <f>$B135*H135</f>
        <v>0</v>
      </c>
      <c r="J135" s="747">
        <v>0</v>
      </c>
      <c r="K135" s="749">
        <f>$B135*J135</f>
        <v>0</v>
      </c>
      <c r="L135" s="528">
        <v>0</v>
      </c>
      <c r="M135" s="367">
        <f>$B135*L135</f>
        <v>0</v>
      </c>
      <c r="N135" s="747">
        <v>0</v>
      </c>
      <c r="O135" s="749">
        <f>$B135*N135</f>
        <v>0</v>
      </c>
      <c r="P135" s="368"/>
      <c r="Q135" s="368"/>
      <c r="R135" s="111"/>
      <c r="S135" s="111"/>
      <c r="T135" s="111"/>
      <c r="U135" s="111"/>
      <c r="V135" s="111"/>
      <c r="W135" s="111"/>
      <c r="X135" s="111"/>
      <c r="Y135" s="111"/>
      <c r="AB135" s="657"/>
      <c r="AC135" s="612"/>
      <c r="AD135" s="614"/>
      <c r="AE135" s="712"/>
      <c r="AF135" s="712"/>
      <c r="AG135" s="658"/>
      <c r="AH135" s="612"/>
      <c r="AI135" s="612"/>
      <c r="AJ135" s="612"/>
      <c r="AK135" s="712"/>
      <c r="AL135" s="712"/>
      <c r="AM135" s="612"/>
      <c r="AN135" s="612"/>
      <c r="AO135" s="612"/>
      <c r="AP135" s="612"/>
    </row>
    <row r="136" spans="1:42">
      <c r="A136" s="112" t="s">
        <v>344</v>
      </c>
      <c r="B136" s="665">
        <f>1.9036-C136</f>
        <v>1.9036</v>
      </c>
      <c r="C136" s="547">
        <v>0</v>
      </c>
      <c r="D136" s="545">
        <v>0</v>
      </c>
      <c r="E136" s="367">
        <f t="shared" si="38"/>
        <v>0</v>
      </c>
      <c r="F136" s="528">
        <v>0</v>
      </c>
      <c r="G136" s="367">
        <f t="shared" si="39"/>
        <v>0</v>
      </c>
      <c r="H136" s="528">
        <v>0</v>
      </c>
      <c r="I136" s="367">
        <f t="shared" si="40"/>
        <v>0</v>
      </c>
      <c r="J136" s="747">
        <v>0.99740932642487057</v>
      </c>
      <c r="K136" s="749">
        <f t="shared" si="41"/>
        <v>1.8986683937823836</v>
      </c>
      <c r="L136" s="528">
        <v>0</v>
      </c>
      <c r="M136" s="367">
        <f t="shared" si="42"/>
        <v>0</v>
      </c>
      <c r="N136" s="747">
        <v>0</v>
      </c>
      <c r="O136" s="749">
        <f t="shared" si="43"/>
        <v>0</v>
      </c>
      <c r="P136" s="368"/>
      <c r="Q136" s="368"/>
      <c r="AB136" s="657"/>
      <c r="AC136" s="612"/>
      <c r="AD136" s="614"/>
      <c r="AE136" s="662"/>
      <c r="AF136" s="621"/>
      <c r="AG136" s="612"/>
      <c r="AH136" s="621"/>
      <c r="AI136" s="612"/>
      <c r="AJ136" s="621"/>
      <c r="AK136" s="2"/>
      <c r="AL136" s="2"/>
    </row>
    <row r="137" spans="1:42">
      <c r="A137" s="112" t="s">
        <v>345</v>
      </c>
      <c r="B137" s="815">
        <f>0.30793+0.032-C137</f>
        <v>0.33992999999999995</v>
      </c>
      <c r="C137" s="547">
        <v>0</v>
      </c>
      <c r="D137" s="545">
        <f>124800/123240</f>
        <v>1.0126582278481013</v>
      </c>
      <c r="E137" s="367">
        <f t="shared" si="38"/>
        <v>0.34423291139240503</v>
      </c>
      <c r="F137" s="528">
        <v>0</v>
      </c>
      <c r="G137" s="367">
        <f t="shared" si="39"/>
        <v>0</v>
      </c>
      <c r="H137" s="528">
        <v>0</v>
      </c>
      <c r="I137" s="367">
        <f t="shared" si="40"/>
        <v>0</v>
      </c>
      <c r="J137" s="747">
        <v>0</v>
      </c>
      <c r="K137" s="749">
        <f t="shared" si="41"/>
        <v>0</v>
      </c>
      <c r="L137" s="528">
        <v>0</v>
      </c>
      <c r="M137" s="367">
        <f t="shared" si="42"/>
        <v>0</v>
      </c>
      <c r="N137" s="747">
        <v>0</v>
      </c>
      <c r="O137" s="749">
        <f t="shared" si="43"/>
        <v>0</v>
      </c>
      <c r="P137" s="368"/>
      <c r="Q137" s="368"/>
      <c r="AB137" s="657"/>
      <c r="AC137" s="612"/>
      <c r="AD137" s="614"/>
      <c r="AE137" s="662"/>
      <c r="AF137" s="621"/>
      <c r="AG137" s="612"/>
      <c r="AH137" s="621"/>
      <c r="AI137" s="612"/>
      <c r="AJ137" s="621"/>
      <c r="AK137" s="2"/>
      <c r="AL137" s="2"/>
    </row>
    <row r="138" spans="1:42" s="1" customFormat="1">
      <c r="A138" s="112" t="s">
        <v>456</v>
      </c>
      <c r="B138" s="694">
        <v>1.4510000000000001</v>
      </c>
      <c r="C138" s="547">
        <v>0</v>
      </c>
      <c r="D138" s="545">
        <f>4800/123240</f>
        <v>3.8948393378773129E-2</v>
      </c>
      <c r="E138" s="367">
        <f t="shared" si="38"/>
        <v>5.6514118792599814E-2</v>
      </c>
      <c r="F138" s="528">
        <f>37166/1352430</f>
        <v>2.7480904741835066E-2</v>
      </c>
      <c r="G138" s="367">
        <f t="shared" si="39"/>
        <v>3.9874792780402686E-2</v>
      </c>
      <c r="H138" s="528">
        <v>0</v>
      </c>
      <c r="I138" s="367">
        <f t="shared" si="40"/>
        <v>0</v>
      </c>
      <c r="J138" s="747">
        <v>3.2819999999999995E-2</v>
      </c>
      <c r="K138" s="749">
        <f t="shared" si="41"/>
        <v>4.7621819999999995E-2</v>
      </c>
      <c r="L138" s="528">
        <v>0</v>
      </c>
      <c r="M138" s="367">
        <f t="shared" si="42"/>
        <v>0</v>
      </c>
      <c r="N138" s="747">
        <v>0</v>
      </c>
      <c r="O138" s="749">
        <f t="shared" si="43"/>
        <v>0</v>
      </c>
      <c r="P138" s="559"/>
      <c r="Q138" s="559"/>
      <c r="AB138" s="657"/>
      <c r="AC138" s="624"/>
      <c r="AD138" s="639"/>
      <c r="AE138" s="662"/>
      <c r="AF138" s="621"/>
      <c r="AG138" s="612"/>
      <c r="AH138" s="621"/>
      <c r="AI138" s="612"/>
      <c r="AJ138" s="621"/>
    </row>
    <row r="139" spans="1:42">
      <c r="A139" s="112" t="s">
        <v>346</v>
      </c>
      <c r="B139" s="694">
        <v>1.2</v>
      </c>
      <c r="C139" s="547">
        <v>0</v>
      </c>
      <c r="D139" s="545">
        <f>640/123240</f>
        <v>5.19311911716975E-3</v>
      </c>
      <c r="E139" s="367">
        <f t="shared" si="38"/>
        <v>6.2317429406037001E-3</v>
      </c>
      <c r="F139" s="528">
        <v>0</v>
      </c>
      <c r="G139" s="367">
        <f t="shared" si="39"/>
        <v>0</v>
      </c>
      <c r="H139" s="528">
        <v>0</v>
      </c>
      <c r="I139" s="367">
        <f t="shared" si="40"/>
        <v>0</v>
      </c>
      <c r="J139" s="747">
        <v>0</v>
      </c>
      <c r="K139" s="749">
        <f t="shared" si="41"/>
        <v>0</v>
      </c>
      <c r="L139" s="528">
        <v>0</v>
      </c>
      <c r="M139" s="367">
        <f t="shared" si="42"/>
        <v>0</v>
      </c>
      <c r="N139" s="747">
        <v>0</v>
      </c>
      <c r="O139" s="749">
        <f t="shared" si="43"/>
        <v>0</v>
      </c>
      <c r="P139" s="368"/>
      <c r="Q139" s="368"/>
      <c r="AB139" s="657"/>
      <c r="AC139" s="612"/>
      <c r="AD139" s="614"/>
      <c r="AE139" s="662"/>
      <c r="AF139" s="621"/>
      <c r="AG139" s="612"/>
      <c r="AH139" s="621"/>
      <c r="AI139" s="612"/>
      <c r="AJ139" s="621"/>
      <c r="AK139" s="2"/>
      <c r="AL139" s="2"/>
    </row>
    <row r="140" spans="1:42">
      <c r="A140" s="112" t="s">
        <v>347</v>
      </c>
      <c r="B140" s="694">
        <v>3.92</v>
      </c>
      <c r="C140" s="547">
        <v>0</v>
      </c>
      <c r="D140" s="545">
        <f>117/123240</f>
        <v>9.493670886075949E-4</v>
      </c>
      <c r="E140" s="367">
        <f t="shared" si="38"/>
        <v>3.7215189873417718E-3</v>
      </c>
      <c r="F140" s="528">
        <f>1003/1352430</f>
        <v>7.4162803250445489E-4</v>
      </c>
      <c r="G140" s="367">
        <f t="shared" si="39"/>
        <v>2.9071818874174633E-3</v>
      </c>
      <c r="H140" s="528">
        <v>0</v>
      </c>
      <c r="I140" s="367">
        <f t="shared" si="40"/>
        <v>0</v>
      </c>
      <c r="J140" s="747">
        <v>2.7375000000000001E-4</v>
      </c>
      <c r="K140" s="749">
        <f t="shared" ref="K140" si="48">$B140*J140</f>
        <v>1.0731E-3</v>
      </c>
      <c r="L140" s="528">
        <v>0</v>
      </c>
      <c r="M140" s="367">
        <f t="shared" si="42"/>
        <v>0</v>
      </c>
      <c r="N140" s="747">
        <v>0</v>
      </c>
      <c r="O140" s="749">
        <f t="shared" si="43"/>
        <v>0</v>
      </c>
      <c r="P140" s="368"/>
      <c r="Q140" s="368"/>
      <c r="AB140" s="657"/>
      <c r="AC140" s="612"/>
      <c r="AD140" s="614"/>
      <c r="AE140" s="662"/>
      <c r="AF140" s="621"/>
      <c r="AG140" s="612"/>
      <c r="AH140" s="621"/>
      <c r="AI140" s="612"/>
      <c r="AJ140" s="621"/>
      <c r="AK140" s="2"/>
      <c r="AL140" s="2"/>
    </row>
    <row r="141" spans="1:42">
      <c r="A141" s="112" t="s">
        <v>348</v>
      </c>
      <c r="B141" s="694">
        <v>2.08</v>
      </c>
      <c r="C141" s="547">
        <v>0</v>
      </c>
      <c r="D141" s="545">
        <f>80/123240</f>
        <v>6.4913988964621875E-4</v>
      </c>
      <c r="E141" s="367">
        <f t="shared" si="38"/>
        <v>1.350210970464135E-3</v>
      </c>
      <c r="F141" s="528">
        <f>286/1352430</f>
        <v>2.1147120368521845E-4</v>
      </c>
      <c r="G141" s="367">
        <f t="shared" si="39"/>
        <v>4.3986010366525442E-4</v>
      </c>
      <c r="H141" s="528">
        <v>0</v>
      </c>
      <c r="I141" s="367">
        <f t="shared" si="40"/>
        <v>0</v>
      </c>
      <c r="J141" s="747">
        <v>0</v>
      </c>
      <c r="K141" s="749">
        <f t="shared" si="41"/>
        <v>0</v>
      </c>
      <c r="L141" s="528">
        <v>0</v>
      </c>
      <c r="M141" s="367">
        <f t="shared" si="42"/>
        <v>0</v>
      </c>
      <c r="N141" s="747">
        <v>0</v>
      </c>
      <c r="O141" s="749">
        <f t="shared" si="43"/>
        <v>0</v>
      </c>
      <c r="P141" s="368"/>
      <c r="Q141" s="368"/>
      <c r="AB141" s="657"/>
      <c r="AC141" s="612"/>
      <c r="AD141" s="614"/>
      <c r="AE141" s="662"/>
      <c r="AF141" s="621"/>
      <c r="AG141" s="612"/>
      <c r="AH141" s="621"/>
      <c r="AI141" s="612"/>
      <c r="AJ141" s="621"/>
      <c r="AK141" s="2"/>
      <c r="AL141" s="2"/>
    </row>
    <row r="142" spans="1:42">
      <c r="A142" s="112" t="s">
        <v>405</v>
      </c>
      <c r="B142" s="694">
        <v>2.4700000000000002</v>
      </c>
      <c r="C142" s="547">
        <v>0</v>
      </c>
      <c r="D142" s="545">
        <v>0</v>
      </c>
      <c r="E142" s="367">
        <f t="shared" si="38"/>
        <v>0</v>
      </c>
      <c r="F142" s="528">
        <f>867/1352430</f>
        <v>6.4106829928351188E-4</v>
      </c>
      <c r="G142" s="367">
        <f t="shared" si="39"/>
        <v>1.5834386992302745E-3</v>
      </c>
      <c r="H142" s="528">
        <v>0</v>
      </c>
      <c r="I142" s="367">
        <f t="shared" si="40"/>
        <v>0</v>
      </c>
      <c r="J142" s="747">
        <v>1.8374999999999999E-4</v>
      </c>
      <c r="K142" s="749">
        <f t="shared" si="41"/>
        <v>4.5386250000000003E-4</v>
      </c>
      <c r="L142" s="528">
        <v>0</v>
      </c>
      <c r="M142" s="367">
        <f t="shared" si="42"/>
        <v>0</v>
      </c>
      <c r="N142" s="747">
        <v>0</v>
      </c>
      <c r="O142" s="749">
        <f t="shared" si="43"/>
        <v>0</v>
      </c>
      <c r="P142" s="368"/>
      <c r="Q142" s="368"/>
      <c r="AB142" s="657"/>
      <c r="AC142" s="612"/>
      <c r="AD142" s="614"/>
      <c r="AE142" s="662"/>
      <c r="AF142" s="621"/>
      <c r="AG142" s="612"/>
      <c r="AH142" s="621"/>
      <c r="AI142" s="612"/>
      <c r="AJ142" s="621"/>
      <c r="AK142" s="2"/>
      <c r="AL142" s="2"/>
    </row>
    <row r="143" spans="1:42">
      <c r="A143" s="112" t="s">
        <v>409</v>
      </c>
      <c r="B143" s="694">
        <v>2.04</v>
      </c>
      <c r="C143" s="547">
        <v>0</v>
      </c>
      <c r="D143" s="528">
        <v>0</v>
      </c>
      <c r="E143" s="367">
        <f t="shared" si="38"/>
        <v>0</v>
      </c>
      <c r="F143" s="528">
        <f>4430/1352430</f>
        <v>3.2755854277116006E-3</v>
      </c>
      <c r="G143" s="367">
        <f t="shared" si="39"/>
        <v>6.6821942725316654E-3</v>
      </c>
      <c r="H143" s="528">
        <v>0</v>
      </c>
      <c r="I143" s="367">
        <f t="shared" si="40"/>
        <v>0</v>
      </c>
      <c r="J143" s="747">
        <v>4.2187500000000003E-3</v>
      </c>
      <c r="K143" s="749">
        <f t="shared" si="41"/>
        <v>8.6062500000000011E-3</v>
      </c>
      <c r="L143" s="528">
        <v>0</v>
      </c>
      <c r="M143" s="367">
        <f t="shared" si="42"/>
        <v>0</v>
      </c>
      <c r="N143" s="747">
        <v>0</v>
      </c>
      <c r="O143" s="749">
        <f t="shared" si="43"/>
        <v>0</v>
      </c>
      <c r="P143" s="368"/>
      <c r="Q143" s="368"/>
      <c r="AB143" s="657"/>
      <c r="AC143" s="612"/>
      <c r="AD143" s="614"/>
      <c r="AE143" s="662"/>
      <c r="AF143" s="621"/>
      <c r="AG143" s="612"/>
      <c r="AH143" s="621"/>
      <c r="AI143" s="612"/>
      <c r="AJ143" s="621"/>
      <c r="AK143" s="2"/>
      <c r="AL143" s="2"/>
    </row>
    <row r="144" spans="1:42">
      <c r="A144" s="112" t="s">
        <v>406</v>
      </c>
      <c r="B144" s="694">
        <v>3.92</v>
      </c>
      <c r="C144" s="547">
        <v>0</v>
      </c>
      <c r="D144" s="528">
        <v>0</v>
      </c>
      <c r="E144" s="367">
        <f t="shared" ref="E144" si="49">$B144*D144</f>
        <v>0</v>
      </c>
      <c r="F144" s="528">
        <f>803/1352430</f>
        <v>5.9374607188542104E-4</v>
      </c>
      <c r="G144" s="367">
        <f t="shared" si="39"/>
        <v>2.3274846017908505E-3</v>
      </c>
      <c r="H144" s="528">
        <v>0</v>
      </c>
      <c r="I144" s="367">
        <f t="shared" ref="I144" si="50">$B144*H144</f>
        <v>0</v>
      </c>
      <c r="J144" s="747">
        <v>0</v>
      </c>
      <c r="K144" s="749">
        <f t="shared" si="41"/>
        <v>0</v>
      </c>
      <c r="L144" s="528">
        <v>0</v>
      </c>
      <c r="M144" s="367">
        <f t="shared" ref="M144:M145" si="51">$B144*L144</f>
        <v>0</v>
      </c>
      <c r="N144" s="747">
        <v>0</v>
      </c>
      <c r="O144" s="749">
        <f t="shared" ref="O144:O145" si="52">$B144*N144</f>
        <v>0</v>
      </c>
      <c r="P144" s="368"/>
      <c r="Q144" s="368"/>
      <c r="AB144" s="657"/>
      <c r="AC144" s="612"/>
      <c r="AD144" s="614"/>
      <c r="AE144" s="662"/>
      <c r="AF144" s="621"/>
      <c r="AG144" s="612"/>
      <c r="AH144" s="621"/>
      <c r="AI144" s="612"/>
      <c r="AJ144" s="621"/>
      <c r="AK144" s="2"/>
      <c r="AL144" s="2"/>
    </row>
    <row r="145" spans="1:38">
      <c r="A145" s="112" t="s">
        <v>411</v>
      </c>
      <c r="B145" s="694">
        <v>15.83</v>
      </c>
      <c r="C145" s="547">
        <v>0</v>
      </c>
      <c r="D145" s="676">
        <v>0</v>
      </c>
      <c r="E145" s="367">
        <f t="shared" si="38"/>
        <v>0</v>
      </c>
      <c r="F145" s="528">
        <v>0</v>
      </c>
      <c r="G145" s="367">
        <f t="shared" si="39"/>
        <v>0</v>
      </c>
      <c r="H145" s="528">
        <v>0</v>
      </c>
      <c r="I145" s="367">
        <f t="shared" si="40"/>
        <v>0</v>
      </c>
      <c r="J145" s="747">
        <v>0</v>
      </c>
      <c r="K145" s="749">
        <f t="shared" si="41"/>
        <v>0</v>
      </c>
      <c r="L145" s="528">
        <v>0</v>
      </c>
      <c r="M145" s="367">
        <f t="shared" si="51"/>
        <v>0</v>
      </c>
      <c r="N145" s="747">
        <v>0</v>
      </c>
      <c r="O145" s="749">
        <f t="shared" si="52"/>
        <v>0</v>
      </c>
      <c r="P145" s="368"/>
      <c r="Q145" s="368"/>
      <c r="R145" s="111"/>
      <c r="S145" s="111"/>
      <c r="T145" s="111"/>
      <c r="U145" s="111"/>
      <c r="V145" s="111"/>
      <c r="W145" s="111"/>
      <c r="X145" s="111"/>
      <c r="Y145" s="111"/>
      <c r="AB145" s="657"/>
      <c r="AC145" s="612"/>
      <c r="AD145" s="614"/>
      <c r="AE145" s="662"/>
      <c r="AF145" s="621"/>
      <c r="AG145" s="612"/>
      <c r="AH145" s="621"/>
      <c r="AI145" s="612"/>
      <c r="AJ145" s="621"/>
      <c r="AK145" s="2"/>
      <c r="AL145" s="2"/>
    </row>
    <row r="146" spans="1:38">
      <c r="A146" s="112" t="s">
        <v>355</v>
      </c>
      <c r="B146" s="694">
        <v>11.85</v>
      </c>
      <c r="C146" s="547">
        <v>0</v>
      </c>
      <c r="D146" s="545">
        <v>0</v>
      </c>
      <c r="E146" s="367">
        <f t="shared" si="38"/>
        <v>0</v>
      </c>
      <c r="F146" s="528">
        <v>0</v>
      </c>
      <c r="G146" s="367">
        <f t="shared" si="39"/>
        <v>0</v>
      </c>
      <c r="H146" s="528">
        <f>962/1734550</f>
        <v>5.5461070594678733E-4</v>
      </c>
      <c r="I146" s="367">
        <f t="shared" si="40"/>
        <v>6.5721368654694298E-3</v>
      </c>
      <c r="J146" s="747">
        <v>0</v>
      </c>
      <c r="K146" s="749">
        <f t="shared" si="41"/>
        <v>0</v>
      </c>
      <c r="L146" s="528">
        <v>0</v>
      </c>
      <c r="M146" s="367">
        <f t="shared" si="42"/>
        <v>0</v>
      </c>
      <c r="N146" s="747">
        <v>0</v>
      </c>
      <c r="O146" s="749">
        <f t="shared" si="43"/>
        <v>0</v>
      </c>
      <c r="P146" s="368"/>
      <c r="Q146" s="368"/>
      <c r="R146" s="111"/>
      <c r="S146" s="111"/>
      <c r="T146" s="111"/>
      <c r="U146" s="111"/>
      <c r="V146" s="111"/>
      <c r="W146" s="111"/>
      <c r="X146" s="111"/>
      <c r="Y146" s="111"/>
      <c r="AB146" s="657"/>
      <c r="AC146" s="612"/>
      <c r="AD146" s="614"/>
      <c r="AE146" s="662"/>
      <c r="AF146" s="621"/>
      <c r="AG146" s="612"/>
      <c r="AH146" s="612"/>
      <c r="AI146" s="612"/>
      <c r="AJ146" s="621"/>
      <c r="AK146" s="2"/>
      <c r="AL146" s="2"/>
    </row>
    <row r="147" spans="1:38">
      <c r="A147" s="112" t="s">
        <v>462</v>
      </c>
      <c r="B147" s="694">
        <v>3.08</v>
      </c>
      <c r="C147" s="547">
        <v>0</v>
      </c>
      <c r="D147" s="545">
        <v>0</v>
      </c>
      <c r="E147" s="367">
        <f t="shared" ref="E147:E149" si="53">$B147*D147</f>
        <v>0</v>
      </c>
      <c r="F147" s="528">
        <v>0</v>
      </c>
      <c r="G147" s="367">
        <f t="shared" ref="G147:G149" si="54">$B147*F147</f>
        <v>0</v>
      </c>
      <c r="H147" s="528"/>
      <c r="I147" s="367">
        <f t="shared" si="40"/>
        <v>0</v>
      </c>
      <c r="J147" s="817"/>
      <c r="K147" s="749"/>
      <c r="L147" s="528">
        <v>3.4691972619788423E-2</v>
      </c>
      <c r="M147" s="367">
        <f t="shared" ref="M147:M149" si="55">$B147*L147</f>
        <v>0.10685127566894835</v>
      </c>
      <c r="N147" s="817"/>
      <c r="O147" s="749"/>
      <c r="P147" s="368"/>
      <c r="Q147" s="368"/>
      <c r="R147" s="111"/>
      <c r="S147" s="111"/>
      <c r="T147" s="111"/>
      <c r="U147" s="111"/>
      <c r="V147" s="111"/>
      <c r="W147" s="111"/>
      <c r="X147" s="111"/>
      <c r="Y147" s="111"/>
      <c r="AB147" s="657"/>
      <c r="AC147" s="612"/>
      <c r="AD147" s="614"/>
      <c r="AE147" s="662"/>
      <c r="AF147" s="621"/>
      <c r="AG147" s="612"/>
      <c r="AH147" s="612"/>
      <c r="AI147" s="612"/>
      <c r="AJ147" s="621"/>
      <c r="AK147" s="2"/>
      <c r="AL147" s="2"/>
    </row>
    <row r="148" spans="1:38">
      <c r="A148" s="112" t="s">
        <v>463</v>
      </c>
      <c r="B148" s="694">
        <v>3.47</v>
      </c>
      <c r="C148" s="547">
        <v>0</v>
      </c>
      <c r="D148" s="545">
        <v>0</v>
      </c>
      <c r="E148" s="367">
        <f t="shared" si="53"/>
        <v>0</v>
      </c>
      <c r="F148" s="528">
        <v>0</v>
      </c>
      <c r="G148" s="367">
        <f t="shared" si="54"/>
        <v>0</v>
      </c>
      <c r="H148" s="528"/>
      <c r="I148" s="367">
        <f t="shared" si="40"/>
        <v>0</v>
      </c>
      <c r="J148" s="817"/>
      <c r="K148" s="749"/>
      <c r="L148" s="528">
        <v>3.0647168637212195E-2</v>
      </c>
      <c r="M148" s="367">
        <f t="shared" si="55"/>
        <v>0.10634567517112632</v>
      </c>
      <c r="N148" s="817"/>
      <c r="O148" s="749"/>
      <c r="P148" s="368"/>
      <c r="Q148" s="368"/>
      <c r="R148" s="111"/>
      <c r="S148" s="111"/>
      <c r="T148" s="111"/>
      <c r="U148" s="111"/>
      <c r="V148" s="111"/>
      <c r="W148" s="111"/>
      <c r="X148" s="111"/>
      <c r="Y148" s="111"/>
      <c r="AB148" s="657"/>
      <c r="AC148" s="612"/>
      <c r="AD148" s="614"/>
      <c r="AE148" s="662"/>
      <c r="AF148" s="621"/>
      <c r="AG148" s="612"/>
      <c r="AH148" s="612"/>
      <c r="AI148" s="612"/>
      <c r="AJ148" s="621"/>
      <c r="AK148" s="2"/>
      <c r="AL148" s="2"/>
    </row>
    <row r="149" spans="1:38" ht="15.75" thickBot="1">
      <c r="A149" s="112" t="s">
        <v>461</v>
      </c>
      <c r="B149" s="694">
        <v>3.83</v>
      </c>
      <c r="C149" s="549">
        <v>0</v>
      </c>
      <c r="D149" s="545">
        <v>0</v>
      </c>
      <c r="E149" s="367">
        <f t="shared" si="53"/>
        <v>0</v>
      </c>
      <c r="F149" s="528">
        <v>0</v>
      </c>
      <c r="G149" s="367">
        <f t="shared" si="54"/>
        <v>0</v>
      </c>
      <c r="H149" s="528"/>
      <c r="I149" s="367">
        <f t="shared" si="40"/>
        <v>0</v>
      </c>
      <c r="J149" s="817"/>
      <c r="K149" s="749"/>
      <c r="L149" s="528">
        <v>0.14981331673926571</v>
      </c>
      <c r="M149" s="367">
        <f t="shared" si="55"/>
        <v>0.57378500311138769</v>
      </c>
      <c r="N149" s="817"/>
      <c r="O149" s="749"/>
      <c r="P149" s="368"/>
      <c r="Q149" s="368"/>
      <c r="R149" s="111"/>
      <c r="S149" s="111"/>
      <c r="T149" s="111"/>
      <c r="U149" s="111"/>
      <c r="V149" s="111"/>
      <c r="W149" s="111"/>
      <c r="X149" s="111"/>
      <c r="Y149" s="111"/>
      <c r="AB149" s="657"/>
      <c r="AC149" s="612"/>
      <c r="AD149" s="614"/>
      <c r="AE149" s="662"/>
      <c r="AF149" s="621"/>
      <c r="AG149" s="612"/>
      <c r="AH149" s="612"/>
      <c r="AI149" s="612"/>
      <c r="AJ149" s="621"/>
      <c r="AK149" s="2"/>
      <c r="AL149" s="2"/>
    </row>
    <row r="150" spans="1:38">
      <c r="A150" s="112"/>
      <c r="B150" s="802"/>
      <c r="C150" s="803"/>
      <c r="D150" s="804"/>
      <c r="E150" s="367"/>
      <c r="F150" s="804"/>
      <c r="G150" s="367"/>
      <c r="H150" s="804"/>
      <c r="I150" s="367"/>
      <c r="J150" s="805"/>
      <c r="K150" s="367"/>
      <c r="L150" s="804"/>
      <c r="M150" s="367"/>
      <c r="N150" s="804"/>
      <c r="O150" s="367"/>
      <c r="P150" s="368"/>
      <c r="Q150" s="368"/>
      <c r="R150" s="111"/>
      <c r="S150" s="111"/>
      <c r="T150" s="111"/>
      <c r="U150" s="111"/>
      <c r="V150" s="111"/>
      <c r="W150" s="111"/>
      <c r="X150" s="111"/>
      <c r="Y150" s="111"/>
      <c r="AB150" s="780"/>
      <c r="AD150" s="111"/>
      <c r="AG150" s="427"/>
      <c r="AK150" s="2"/>
      <c r="AL150" s="2"/>
    </row>
    <row r="151" spans="1:38">
      <c r="A151" s="23" t="s">
        <v>249</v>
      </c>
      <c r="D151" s="677"/>
      <c r="E151" s="541" t="s">
        <v>250</v>
      </c>
      <c r="F151" s="33"/>
      <c r="G151" s="541" t="s">
        <v>250</v>
      </c>
      <c r="H151" s="753"/>
      <c r="I151" s="754" t="s">
        <v>250</v>
      </c>
      <c r="J151" s="753"/>
      <c r="K151" s="754" t="s">
        <v>250</v>
      </c>
      <c r="L151" s="30"/>
      <c r="M151" s="541" t="s">
        <v>250</v>
      </c>
      <c r="N151" s="753"/>
      <c r="O151" s="754" t="s">
        <v>250</v>
      </c>
      <c r="P151" s="368"/>
      <c r="Q151" s="368"/>
      <c r="R151" s="111"/>
      <c r="S151" s="111"/>
      <c r="T151" s="111"/>
      <c r="U151" s="111"/>
      <c r="V151" s="111"/>
      <c r="W151" s="111"/>
      <c r="X151" s="111"/>
      <c r="Y151" s="111"/>
      <c r="AB151" s="657"/>
      <c r="AC151" s="612"/>
      <c r="AD151" s="614"/>
      <c r="AE151" s="658"/>
      <c r="AF151" s="659"/>
      <c r="AG151" s="612"/>
      <c r="AH151" s="612"/>
      <c r="AI151" s="612"/>
      <c r="AJ151" s="612"/>
      <c r="AK151" s="2"/>
      <c r="AL151" s="2"/>
    </row>
    <row r="152" spans="1:38">
      <c r="A152" s="112" t="s">
        <v>363</v>
      </c>
      <c r="D152" s="677"/>
      <c r="E152" s="275">
        <f>SUM(E127:E137)</f>
        <v>0.34423291139240503</v>
      </c>
      <c r="F152" s="33"/>
      <c r="G152" s="275">
        <f>SUM(G127:G137)</f>
        <v>0.63341570595150953</v>
      </c>
      <c r="H152" s="753"/>
      <c r="I152" s="748">
        <f>SUM(I127:I137)</f>
        <v>0.46844430140382232</v>
      </c>
      <c r="J152" s="753"/>
      <c r="K152" s="748">
        <f>SUM(K127:K137)</f>
        <v>1.8986683937823836</v>
      </c>
      <c r="L152" s="30"/>
      <c r="M152" s="275">
        <f>SUM(M127:M137)</f>
        <v>0.28401991288114498</v>
      </c>
      <c r="N152" s="753"/>
      <c r="O152" s="748">
        <f>SUM(O127:O137)</f>
        <v>0</v>
      </c>
      <c r="P152" s="368"/>
      <c r="Q152" s="368"/>
      <c r="R152" s="111"/>
      <c r="S152" s="111"/>
      <c r="T152" s="111"/>
      <c r="U152" s="111"/>
      <c r="V152" s="111"/>
      <c r="W152" s="111"/>
      <c r="X152" s="111"/>
      <c r="Y152" s="111"/>
      <c r="AB152" s="657"/>
      <c r="AC152" s="612"/>
      <c r="AD152" s="614"/>
      <c r="AE152" s="658"/>
      <c r="AF152" s="659"/>
      <c r="AG152" s="612"/>
      <c r="AH152" s="612"/>
      <c r="AI152" s="612"/>
      <c r="AJ152" s="612"/>
      <c r="AK152" s="2"/>
      <c r="AL152" s="2"/>
    </row>
    <row r="153" spans="1:38">
      <c r="A153" s="112" t="s">
        <v>36</v>
      </c>
      <c r="D153" s="677"/>
      <c r="E153" s="375">
        <f>SUM(E138:E138)</f>
        <v>5.6514118792599814E-2</v>
      </c>
      <c r="F153" s="33"/>
      <c r="G153" s="375">
        <f>SUM(G138:G138)</f>
        <v>3.9874792780402686E-2</v>
      </c>
      <c r="H153" s="753"/>
      <c r="I153" s="755">
        <f>SUM(I138:I138)</f>
        <v>0</v>
      </c>
      <c r="J153" s="753"/>
      <c r="K153" s="755">
        <f>SUM(K138:K138)</f>
        <v>4.7621819999999995E-2</v>
      </c>
      <c r="L153" s="30"/>
      <c r="M153" s="375">
        <f>SUM(M138:M138)</f>
        <v>0</v>
      </c>
      <c r="N153" s="753"/>
      <c r="O153" s="755">
        <f>SUM(O138:O138)</f>
        <v>0</v>
      </c>
      <c r="P153" s="368"/>
      <c r="Q153" s="368"/>
      <c r="R153" s="111"/>
      <c r="S153" s="111"/>
      <c r="T153" s="111"/>
      <c r="U153" s="111"/>
      <c r="V153" s="111"/>
      <c r="W153" s="111"/>
      <c r="X153" s="111"/>
      <c r="Y153" s="111"/>
      <c r="AB153" s="657"/>
      <c r="AC153" s="612"/>
      <c r="AD153" s="614"/>
      <c r="AE153" s="658"/>
      <c r="AF153" s="659"/>
      <c r="AG153" s="612"/>
      <c r="AH153" s="612"/>
      <c r="AI153" s="612"/>
      <c r="AJ153" s="612"/>
      <c r="AK153" s="2"/>
      <c r="AL153" s="2"/>
    </row>
    <row r="154" spans="1:38">
      <c r="A154" s="112" t="s">
        <v>147</v>
      </c>
      <c r="D154" s="374"/>
      <c r="E154" s="377">
        <f>SUM(E139:E149)</f>
        <v>1.1303472898409607E-2</v>
      </c>
      <c r="F154" s="33"/>
      <c r="G154" s="377">
        <f>SUM(G139:G149)</f>
        <v>1.3940159564635509E-2</v>
      </c>
      <c r="H154" s="753"/>
      <c r="I154" s="756">
        <f>SUM(I139:I149)</f>
        <v>6.5721368654694298E-3</v>
      </c>
      <c r="J154" s="753"/>
      <c r="K154" s="756">
        <f>SUM(K139:K149)</f>
        <v>1.0133212500000001E-2</v>
      </c>
      <c r="L154" s="30"/>
      <c r="M154" s="377">
        <f>SUM(M139:M149)</f>
        <v>0.78698195395146242</v>
      </c>
      <c r="N154" s="753"/>
      <c r="O154" s="756">
        <f>SUM(O139:O149)</f>
        <v>0</v>
      </c>
      <c r="P154" s="368"/>
      <c r="Q154" s="368"/>
      <c r="R154" s="111"/>
      <c r="S154" s="111"/>
      <c r="T154" s="111"/>
      <c r="U154" s="111"/>
      <c r="V154" s="111"/>
      <c r="W154" s="111"/>
      <c r="X154" s="111"/>
      <c r="Y154" s="111"/>
      <c r="AB154" s="657"/>
      <c r="AC154" s="612"/>
      <c r="AD154" s="614"/>
      <c r="AE154" s="658"/>
      <c r="AF154" s="659"/>
      <c r="AG154" s="612"/>
      <c r="AH154" s="612"/>
      <c r="AI154" s="612"/>
      <c r="AJ154" s="612"/>
      <c r="AK154" s="2"/>
      <c r="AL154" s="2"/>
    </row>
    <row r="155" spans="1:38">
      <c r="A155" s="353" t="s">
        <v>251</v>
      </c>
      <c r="D155" s="371"/>
      <c r="E155" s="379">
        <f>SUM(E152:E154)</f>
        <v>0.41205050308341445</v>
      </c>
      <c r="F155" s="33"/>
      <c r="G155" s="379">
        <f>SUM(G152:G154)</f>
        <v>0.68723065829654773</v>
      </c>
      <c r="H155" s="753"/>
      <c r="I155" s="757">
        <f>SUM(I152:I154)</f>
        <v>0.47501643826929174</v>
      </c>
      <c r="J155" s="753"/>
      <c r="K155" s="757">
        <f>SUM(K152:K154)</f>
        <v>1.9564234262823836</v>
      </c>
      <c r="L155" s="30"/>
      <c r="M155" s="379">
        <f>SUM(M152:M154)</f>
        <v>1.0710018668326073</v>
      </c>
      <c r="N155" s="753"/>
      <c r="O155" s="757">
        <f>SUM(O152:O154)</f>
        <v>0</v>
      </c>
      <c r="P155" s="368"/>
      <c r="Q155" s="368"/>
      <c r="R155" s="111"/>
      <c r="S155" s="111"/>
      <c r="T155" s="111"/>
      <c r="U155" s="111"/>
      <c r="V155" s="111"/>
      <c r="W155" s="111"/>
      <c r="X155" s="111"/>
      <c r="Y155" s="111"/>
      <c r="AB155" s="657"/>
      <c r="AC155" s="612"/>
      <c r="AD155" s="614"/>
      <c r="AE155" s="658"/>
      <c r="AF155" s="659"/>
      <c r="AG155" s="612"/>
      <c r="AH155" s="663"/>
      <c r="AI155" s="612"/>
      <c r="AJ155" s="663"/>
      <c r="AK155" s="2"/>
      <c r="AL155" s="2"/>
    </row>
    <row r="156" spans="1:38">
      <c r="A156" s="491" t="s">
        <v>389</v>
      </c>
      <c r="D156" s="371"/>
      <c r="E156" s="379"/>
      <c r="F156" s="33"/>
      <c r="G156" s="379"/>
      <c r="H156" s="33"/>
      <c r="I156" s="379"/>
      <c r="J156" s="33"/>
      <c r="K156" s="379"/>
      <c r="L156" s="30"/>
      <c r="M156" s="379"/>
      <c r="N156" s="33"/>
      <c r="O156" s="379"/>
      <c r="AB156" s="612"/>
      <c r="AC156" s="612"/>
      <c r="AD156" s="612"/>
      <c r="AE156" s="658"/>
      <c r="AF156" s="660"/>
      <c r="AG156" s="612"/>
      <c r="AH156" s="660"/>
      <c r="AI156" s="612"/>
      <c r="AJ156" s="660"/>
      <c r="AK156" s="2"/>
      <c r="AL156" s="2"/>
    </row>
    <row r="157" spans="1:38">
      <c r="A157" s="492" t="s">
        <v>390</v>
      </c>
      <c r="D157" s="371"/>
      <c r="E157" s="379"/>
      <c r="F157" s="33"/>
      <c r="G157" s="379"/>
      <c r="H157" s="33"/>
      <c r="I157" s="379"/>
      <c r="J157" s="33"/>
      <c r="K157" s="379"/>
      <c r="L157" s="30"/>
      <c r="M157" s="379"/>
      <c r="N157" s="33"/>
      <c r="O157" s="379"/>
      <c r="P157" s="26"/>
      <c r="Q157" s="26"/>
      <c r="AK157" s="2"/>
      <c r="AL157" s="2"/>
    </row>
    <row r="158" spans="1:38" ht="12.75">
      <c r="A158" s="381"/>
      <c r="C158" s="41"/>
      <c r="D158" s="59"/>
      <c r="E158" s="42"/>
      <c r="F158" s="382"/>
      <c r="G158" s="383"/>
      <c r="H158" s="382"/>
      <c r="I158" s="383"/>
      <c r="J158" s="59"/>
      <c r="K158" s="42"/>
      <c r="L158" s="84"/>
      <c r="M158" s="87"/>
      <c r="N158" s="84"/>
      <c r="O158" s="87"/>
      <c r="P158" s="63"/>
      <c r="Q158" s="63"/>
      <c r="AK158" s="2"/>
      <c r="AL158" s="2"/>
    </row>
    <row r="159" spans="1:38" ht="12.75">
      <c r="A159" s="8"/>
      <c r="B159" s="1"/>
      <c r="C159" s="1"/>
      <c r="D159" s="1"/>
      <c r="E159" s="39"/>
      <c r="F159" s="43"/>
      <c r="G159" s="1"/>
      <c r="H159" s="806"/>
      <c r="P159" s="376"/>
      <c r="Q159" s="376"/>
      <c r="AK159" s="2"/>
      <c r="AL159" s="2"/>
    </row>
    <row r="160" spans="1:38">
      <c r="A160" s="385" t="s">
        <v>51</v>
      </c>
      <c r="B160" s="406"/>
      <c r="C160" s="406"/>
      <c r="D160" s="406"/>
      <c r="E160" s="406"/>
      <c r="F160" s="406"/>
      <c r="G160" s="406"/>
      <c r="H160" s="807"/>
      <c r="I160" s="406"/>
      <c r="J160" s="807"/>
      <c r="K160" s="406"/>
      <c r="L160" s="406"/>
      <c r="M160" s="406"/>
      <c r="N160" s="406"/>
      <c r="O160" s="407"/>
      <c r="P160" s="380"/>
      <c r="Q160" s="380"/>
      <c r="AK160" s="2"/>
      <c r="AL160" s="2"/>
    </row>
    <row r="161" spans="1:38">
      <c r="A161" s="30"/>
      <c r="F161" s="1"/>
      <c r="G161" s="1"/>
      <c r="H161" s="789"/>
      <c r="I161" s="1"/>
      <c r="J161" s="789"/>
      <c r="O161" s="25"/>
      <c r="P161" s="380"/>
      <c r="Q161" s="380"/>
      <c r="AK161" s="2"/>
      <c r="AL161" s="2"/>
    </row>
    <row r="162" spans="1:38">
      <c r="A162" s="30"/>
      <c r="D162" s="847" t="s">
        <v>327</v>
      </c>
      <c r="E162" s="848"/>
      <c r="F162" s="847" t="s">
        <v>410</v>
      </c>
      <c r="G162" s="848"/>
      <c r="H162" s="847" t="s">
        <v>329</v>
      </c>
      <c r="I162" s="848"/>
      <c r="J162" s="847" t="s">
        <v>330</v>
      </c>
      <c r="K162" s="848"/>
      <c r="L162" s="847" t="s">
        <v>328</v>
      </c>
      <c r="M162" s="848"/>
      <c r="N162" s="852" t="s">
        <v>332</v>
      </c>
      <c r="O162" s="853"/>
      <c r="P162" s="380"/>
      <c r="Q162" s="380"/>
      <c r="AK162" s="2"/>
      <c r="AL162" s="2"/>
    </row>
    <row r="163" spans="1:38" ht="13.15" customHeight="1">
      <c r="A163" s="30"/>
      <c r="B163" s="26" t="s">
        <v>252</v>
      </c>
      <c r="D163" s="387" t="s">
        <v>253</v>
      </c>
      <c r="E163" s="72" t="s">
        <v>245</v>
      </c>
      <c r="F163" s="387" t="s">
        <v>253</v>
      </c>
      <c r="G163" s="72" t="s">
        <v>245</v>
      </c>
      <c r="H163" s="387" t="s">
        <v>253</v>
      </c>
      <c r="I163" s="72" t="s">
        <v>245</v>
      </c>
      <c r="J163" s="386" t="s">
        <v>253</v>
      </c>
      <c r="K163" s="72" t="s">
        <v>245</v>
      </c>
      <c r="L163" s="386" t="s">
        <v>253</v>
      </c>
      <c r="M163" s="72" t="s">
        <v>245</v>
      </c>
      <c r="N163" s="682" t="s">
        <v>253</v>
      </c>
      <c r="O163" s="684" t="s">
        <v>245</v>
      </c>
      <c r="AC163" s="262"/>
      <c r="AE163" s="384"/>
      <c r="AG163" s="262"/>
      <c r="AI163" s="262"/>
      <c r="AK163" s="2"/>
      <c r="AL163" s="2"/>
    </row>
    <row r="164" spans="1:38">
      <c r="A164" s="30" t="s">
        <v>254</v>
      </c>
      <c r="B164" s="695">
        <v>0.29799999999999999</v>
      </c>
      <c r="C164" s="560"/>
      <c r="D164" s="820">
        <f>35552/1262940</f>
        <v>2.81501892409774E-2</v>
      </c>
      <c r="E164" s="389">
        <f>D164*$B164</f>
        <v>8.3887563938112655E-3</v>
      </c>
      <c r="F164" s="820">
        <f>126244/3572240</f>
        <v>3.5340290685956149E-2</v>
      </c>
      <c r="G164" s="389">
        <f>F164*$B164</f>
        <v>1.0531406624414931E-2</v>
      </c>
      <c r="H164" s="820">
        <f>5868/198210</f>
        <v>2.9604964431663387E-2</v>
      </c>
      <c r="I164" s="389">
        <f>H164*$B164</f>
        <v>8.8222794006356884E-3</v>
      </c>
      <c r="J164" s="820">
        <f>9968.531/160460</f>
        <v>6.2124710208151572E-2</v>
      </c>
      <c r="K164" s="389">
        <f>J164*$B164</f>
        <v>1.8513163642029169E-2</v>
      </c>
      <c r="L164" s="820">
        <f>12512/422600</f>
        <v>2.9607193563653572E-2</v>
      </c>
      <c r="M164" s="389">
        <f>L164*$B164</f>
        <v>8.8229436819687642E-3</v>
      </c>
      <c r="N164" s="685">
        <f>3724.874/98480</f>
        <v>3.7823659626320061E-2</v>
      </c>
      <c r="O164" s="687">
        <f>N164*$B164</f>
        <v>1.1271450568643378E-2</v>
      </c>
      <c r="AC164" s="262"/>
      <c r="AE164" s="384"/>
      <c r="AG164" s="262"/>
      <c r="AI164" s="262"/>
      <c r="AK164" s="2"/>
      <c r="AL164" s="2"/>
    </row>
    <row r="165" spans="1:38" ht="16.5">
      <c r="A165" s="30" t="s">
        <v>255</v>
      </c>
      <c r="B165" s="695">
        <v>5.2729999999999997</v>
      </c>
      <c r="C165" s="9"/>
      <c r="D165" s="820">
        <f>426/1262940</f>
        <v>3.3730818566202669E-4</v>
      </c>
      <c r="E165" s="392">
        <f>D165*$B165</f>
        <v>1.7786260629958667E-3</v>
      </c>
      <c r="F165" s="820">
        <f>1233/3572240</f>
        <v>3.4516157928918549E-4</v>
      </c>
      <c r="G165" s="392">
        <f>F165*$B165</f>
        <v>1.8200370075918751E-3</v>
      </c>
      <c r="H165" s="820">
        <f>143/198210</f>
        <v>7.2145704051258764E-4</v>
      </c>
      <c r="I165" s="392">
        <f>H165*$B165</f>
        <v>3.8042429746228744E-3</v>
      </c>
      <c r="J165" s="820">
        <f>38/160460</f>
        <v>2.3681914495824504E-4</v>
      </c>
      <c r="K165" s="392">
        <f>J165*$B165</f>
        <v>1.248747351364826E-3</v>
      </c>
      <c r="L165" s="820">
        <f>306/422600</f>
        <v>7.2408897302413632E-4</v>
      </c>
      <c r="M165" s="392">
        <f>L165*$B165</f>
        <v>3.8181211547562706E-3</v>
      </c>
      <c r="N165" s="685">
        <f>(63224/98480)/1000</f>
        <v>6.4199837530463032E-4</v>
      </c>
      <c r="O165" s="689">
        <f>N165*$B165</f>
        <v>3.3852574329813153E-3</v>
      </c>
      <c r="AK165" s="2"/>
      <c r="AL165" s="2"/>
    </row>
    <row r="166" spans="1:38">
      <c r="A166" s="30" t="s">
        <v>256</v>
      </c>
      <c r="B166" s="394"/>
      <c r="D166" s="395"/>
      <c r="E166" s="396">
        <f>SUM(E164:E165)</f>
        <v>1.0167382456807133E-2</v>
      </c>
      <c r="F166" s="395"/>
      <c r="G166" s="396">
        <f>SUM(G164:G165)</f>
        <v>1.2351443632006806E-2</v>
      </c>
      <c r="H166" s="395"/>
      <c r="I166" s="396">
        <f>SUM(I164:I165)</f>
        <v>1.2626522375258563E-2</v>
      </c>
      <c r="J166" s="395"/>
      <c r="K166" s="396">
        <f>SUM(K164:K165)</f>
        <v>1.9761910993393996E-2</v>
      </c>
      <c r="L166" s="395"/>
      <c r="M166" s="396">
        <f>SUM(M164:M165)</f>
        <v>1.2641064836725035E-2</v>
      </c>
      <c r="N166" s="690"/>
      <c r="O166" s="692">
        <f>SUM(O164:O165)</f>
        <v>1.4656708001624693E-2</v>
      </c>
      <c r="P166" s="5"/>
      <c r="Q166" s="5"/>
      <c r="R166" s="5"/>
      <c r="S166" s="5"/>
      <c r="V166" s="5"/>
      <c r="W166" s="5"/>
      <c r="X166" s="5"/>
      <c r="AK166" s="2"/>
      <c r="AL166" s="2"/>
    </row>
    <row r="167" spans="1:38" ht="12.75">
      <c r="A167" s="30"/>
      <c r="B167" s="1"/>
      <c r="D167" s="59"/>
      <c r="E167" s="41"/>
      <c r="F167" s="41"/>
      <c r="G167" s="41"/>
      <c r="H167" s="41"/>
      <c r="I167" s="41"/>
      <c r="J167" s="85"/>
      <c r="K167" s="85"/>
      <c r="L167" s="85"/>
      <c r="M167" s="85"/>
      <c r="N167" s="708"/>
      <c r="O167" s="801"/>
      <c r="P167" s="539"/>
      <c r="R167" s="846"/>
      <c r="S167" s="846"/>
      <c r="V167" s="1"/>
      <c r="W167" s="1"/>
      <c r="X167" s="1"/>
      <c r="AK167" s="2"/>
      <c r="AL167" s="2"/>
    </row>
    <row r="168" spans="1:38" ht="15" customHeight="1">
      <c r="A168" s="30"/>
      <c r="F168" s="1"/>
      <c r="G168" s="1"/>
      <c r="H168" s="1"/>
      <c r="I168" s="1"/>
      <c r="O168" s="25"/>
      <c r="P168" s="539"/>
      <c r="R168" s="846"/>
      <c r="S168" s="846"/>
      <c r="V168" s="1"/>
      <c r="W168" s="1"/>
      <c r="X168" s="1"/>
      <c r="AK168" s="2"/>
      <c r="AL168" s="2"/>
    </row>
    <row r="169" spans="1:38">
      <c r="A169" s="30"/>
      <c r="D169" s="847" t="s">
        <v>322</v>
      </c>
      <c r="E169" s="848"/>
      <c r="F169" s="847" t="s">
        <v>333</v>
      </c>
      <c r="G169" s="848"/>
      <c r="H169" s="852" t="s">
        <v>400</v>
      </c>
      <c r="I169" s="853"/>
      <c r="J169" s="852" t="s">
        <v>335</v>
      </c>
      <c r="K169" s="853"/>
      <c r="L169" s="847" t="s">
        <v>449</v>
      </c>
      <c r="M169" s="848"/>
      <c r="N169" s="852" t="s">
        <v>407</v>
      </c>
      <c r="O169" s="853"/>
      <c r="P169" s="539"/>
      <c r="R169" s="846"/>
      <c r="S169" s="846"/>
      <c r="V169" s="29"/>
      <c r="W169" s="1"/>
      <c r="X169" s="1"/>
      <c r="AA169" s="285"/>
      <c r="AK169" s="2"/>
      <c r="AL169" s="2"/>
    </row>
    <row r="170" spans="1:38" ht="30">
      <c r="A170" s="30"/>
      <c r="B170" s="26" t="s">
        <v>252</v>
      </c>
      <c r="D170" s="386" t="s">
        <v>253</v>
      </c>
      <c r="E170" s="72" t="s">
        <v>245</v>
      </c>
      <c r="F170" s="387" t="s">
        <v>253</v>
      </c>
      <c r="G170" s="72" t="s">
        <v>245</v>
      </c>
      <c r="H170" s="693" t="s">
        <v>253</v>
      </c>
      <c r="I170" s="683" t="s">
        <v>245</v>
      </c>
      <c r="J170" s="682" t="s">
        <v>253</v>
      </c>
      <c r="K170" s="683" t="s">
        <v>245</v>
      </c>
      <c r="L170" s="386" t="s">
        <v>253</v>
      </c>
      <c r="M170" s="72" t="s">
        <v>245</v>
      </c>
      <c r="N170" s="682" t="s">
        <v>253</v>
      </c>
      <c r="O170" s="684" t="s">
        <v>245</v>
      </c>
      <c r="P170" s="539"/>
      <c r="R170" s="846"/>
      <c r="S170" s="846"/>
      <c r="V170" s="1"/>
      <c r="W170" s="1"/>
      <c r="X170" s="1"/>
      <c r="AA170" s="785"/>
      <c r="AB170" s="785"/>
      <c r="AC170" s="593"/>
      <c r="AD170" s="593"/>
      <c r="AE170" s="593"/>
      <c r="AF170" s="786"/>
      <c r="AK170" s="2"/>
      <c r="AL170" s="2"/>
    </row>
    <row r="171" spans="1:38">
      <c r="A171" s="30" t="s">
        <v>254</v>
      </c>
      <c r="B171" s="695">
        <v>0.29799999999999999</v>
      </c>
      <c r="D171" s="820">
        <f>4995/123240</f>
        <v>4.0530671859785782E-2</v>
      </c>
      <c r="E171" s="389">
        <f>D171*$B171</f>
        <v>1.2078140214216162E-2</v>
      </c>
      <c r="F171" s="820">
        <f>62855/1352430</f>
        <v>4.6475603173546876E-2</v>
      </c>
      <c r="G171" s="389">
        <f>F171*$B171</f>
        <v>1.3849729745716969E-2</v>
      </c>
      <c r="H171" s="685">
        <f>194578.989/6033070</f>
        <v>3.225206884720383E-2</v>
      </c>
      <c r="I171" s="686">
        <f>H171*$B171</f>
        <v>9.6111165164667403E-3</v>
      </c>
      <c r="J171" s="685">
        <f>$D$164</f>
        <v>2.81501892409774E-2</v>
      </c>
      <c r="K171" s="686">
        <f>J171*$B171</f>
        <v>8.3887563938112655E-3</v>
      </c>
      <c r="L171" s="820">
        <v>0.15479153702551338</v>
      </c>
      <c r="M171" s="389">
        <f>L171*$B171</f>
        <v>4.6127878033602986E-2</v>
      </c>
      <c r="N171" s="685">
        <v>0</v>
      </c>
      <c r="O171" s="687">
        <f>N171*$B171</f>
        <v>0</v>
      </c>
      <c r="P171" s="539"/>
      <c r="R171" s="846"/>
      <c r="S171" s="846"/>
      <c r="V171" s="29"/>
      <c r="W171" s="1"/>
      <c r="X171" s="1"/>
      <c r="AA171" s="785"/>
      <c r="AB171" s="785"/>
      <c r="AC171" s="593"/>
      <c r="AD171" s="593"/>
      <c r="AE171" s="593"/>
      <c r="AF171" s="786"/>
      <c r="AK171" s="2"/>
      <c r="AL171" s="2"/>
    </row>
    <row r="172" spans="1:38" ht="16.5">
      <c r="A172" s="30" t="s">
        <v>255</v>
      </c>
      <c r="B172" s="695">
        <v>5.2729999999999997</v>
      </c>
      <c r="D172" s="820">
        <f>37/123240</f>
        <v>3.0022719896137615E-4</v>
      </c>
      <c r="E172" s="392">
        <f>D172*$B172</f>
        <v>1.5830980201233364E-3</v>
      </c>
      <c r="F172" s="820">
        <f>694/1352430</f>
        <v>5.1315040334804754E-4</v>
      </c>
      <c r="G172" s="392">
        <f>F172*$B172</f>
        <v>2.7058420768542547E-3</v>
      </c>
      <c r="H172" s="685">
        <f>(1539718/6033070)/1000</f>
        <v>2.5521301758474541E-4</v>
      </c>
      <c r="I172" s="688">
        <f>H172*$B172</f>
        <v>1.3457382417243625E-3</v>
      </c>
      <c r="J172" s="685">
        <f>$D$165</f>
        <v>3.3730818566202669E-4</v>
      </c>
      <c r="K172" s="688">
        <f>J172*$B172</f>
        <v>1.7786260629958667E-3</v>
      </c>
      <c r="L172" s="820">
        <v>3.8892345986309894E-4</v>
      </c>
      <c r="M172" s="392">
        <f>L172*$B172</f>
        <v>2.0507934038581205E-3</v>
      </c>
      <c r="N172" s="685">
        <v>0</v>
      </c>
      <c r="O172" s="689">
        <f>N172*$B172</f>
        <v>0</v>
      </c>
      <c r="P172" s="276"/>
      <c r="R172" s="276"/>
      <c r="V172" s="1"/>
      <c r="W172" s="1"/>
      <c r="X172" s="1"/>
      <c r="AA172" s="593"/>
      <c r="AB172" s="593"/>
      <c r="AC172" s="593"/>
      <c r="AD172" s="593"/>
      <c r="AE172" s="593"/>
      <c r="AF172" s="593"/>
      <c r="AK172" s="2"/>
      <c r="AL172" s="2"/>
    </row>
    <row r="173" spans="1:38">
      <c r="A173" s="30" t="s">
        <v>256</v>
      </c>
      <c r="B173" s="394"/>
      <c r="D173" s="395"/>
      <c r="E173" s="396">
        <f>SUM(E171:E172)</f>
        <v>1.3661238234339498E-2</v>
      </c>
      <c r="F173" s="395"/>
      <c r="G173" s="396">
        <f>SUM(G171:G172)</f>
        <v>1.6555571822571225E-2</v>
      </c>
      <c r="H173" s="690"/>
      <c r="I173" s="691">
        <f>SUM(I171:I172)</f>
        <v>1.0956854758191102E-2</v>
      </c>
      <c r="J173" s="690"/>
      <c r="K173" s="691">
        <f>SUM(K171:K172)</f>
        <v>1.0167382456807133E-2</v>
      </c>
      <c r="L173" s="395"/>
      <c r="M173" s="396">
        <f>SUM(M171:M172)</f>
        <v>4.8178671437461108E-2</v>
      </c>
      <c r="N173" s="690"/>
      <c r="O173" s="692">
        <f>SUM(O171:O172)</f>
        <v>0</v>
      </c>
      <c r="P173" s="539"/>
      <c r="R173" s="846"/>
      <c r="S173" s="846"/>
      <c r="V173" s="1"/>
      <c r="W173" s="1"/>
      <c r="X173" s="1"/>
      <c r="AA173" s="593"/>
      <c r="AB173" s="593"/>
      <c r="AC173" s="593"/>
      <c r="AD173" s="593"/>
      <c r="AE173" s="593"/>
      <c r="AF173" s="593"/>
      <c r="AK173" s="2"/>
      <c r="AL173" s="2"/>
    </row>
    <row r="174" spans="1:38" ht="12.75">
      <c r="A174" s="30"/>
      <c r="B174" s="1"/>
      <c r="D174" s="59"/>
      <c r="E174" s="41"/>
      <c r="F174" s="41"/>
      <c r="G174" s="41"/>
      <c r="H174" s="41"/>
      <c r="I174" s="41"/>
      <c r="J174" s="85"/>
      <c r="K174" s="85"/>
      <c r="L174" s="85"/>
      <c r="M174" s="85"/>
      <c r="N174" s="85"/>
      <c r="O174" s="87"/>
      <c r="P174" s="539"/>
      <c r="R174" s="846"/>
      <c r="S174" s="846"/>
      <c r="V174" s="1"/>
      <c r="W174" s="1"/>
      <c r="X174" s="1"/>
      <c r="AA174" s="593"/>
      <c r="AB174" s="593"/>
      <c r="AC174" s="593"/>
      <c r="AD174" s="593"/>
      <c r="AE174" s="593"/>
      <c r="AF174" s="593"/>
      <c r="AK174" s="2"/>
      <c r="AL174" s="2"/>
    </row>
    <row r="175" spans="1:38" ht="12.75">
      <c r="A175" s="59"/>
      <c r="B175" s="41"/>
      <c r="C175" s="41"/>
      <c r="D175" s="41"/>
      <c r="E175" s="41"/>
      <c r="F175" s="41"/>
      <c r="G175" s="41"/>
      <c r="H175" s="41"/>
      <c r="I175" s="41"/>
      <c r="J175" s="85"/>
      <c r="K175" s="85"/>
      <c r="L175" s="85"/>
      <c r="M175" s="85"/>
      <c r="N175" s="85"/>
      <c r="O175" s="87"/>
      <c r="P175" s="539"/>
      <c r="R175" s="846"/>
      <c r="S175" s="846"/>
      <c r="V175" s="1"/>
      <c r="W175" s="1"/>
      <c r="X175" s="1"/>
      <c r="AA175" s="593"/>
      <c r="AB175" s="593"/>
      <c r="AC175" s="593"/>
      <c r="AD175" s="593"/>
      <c r="AE175" s="593"/>
      <c r="AF175" s="593"/>
      <c r="AK175" s="2"/>
      <c r="AL175" s="2"/>
    </row>
    <row r="176" spans="1:38" ht="12.75">
      <c r="A176" s="1"/>
      <c r="B176" s="1"/>
      <c r="C176" s="1"/>
      <c r="D176" s="1"/>
      <c r="E176" s="1"/>
      <c r="F176" s="1"/>
      <c r="G176" s="1"/>
      <c r="H176" s="1"/>
      <c r="P176" s="539"/>
      <c r="R176" s="846"/>
      <c r="S176" s="846"/>
      <c r="V176" s="29"/>
      <c r="W176" s="1"/>
      <c r="X176" s="1"/>
      <c r="AA176" s="787"/>
      <c r="AB176" s="593"/>
      <c r="AC176" s="593"/>
      <c r="AD176" s="593"/>
      <c r="AE176" s="593"/>
      <c r="AF176" s="593"/>
      <c r="AK176" s="2"/>
      <c r="AL176" s="2"/>
    </row>
    <row r="177" spans="1:38" ht="12.75">
      <c r="A177" s="1"/>
      <c r="B177" s="1"/>
      <c r="C177" s="1"/>
      <c r="D177" s="1"/>
      <c r="E177" s="1"/>
      <c r="F177" s="1"/>
      <c r="G177" s="1"/>
      <c r="H177" s="1"/>
      <c r="P177" s="539"/>
      <c r="R177" s="846"/>
      <c r="S177" s="846"/>
      <c r="V177" s="1"/>
      <c r="W177" s="1"/>
      <c r="X177" s="1"/>
      <c r="AA177" s="785"/>
      <c r="AB177" s="785"/>
      <c r="AC177" s="593"/>
      <c r="AD177" s="593"/>
      <c r="AE177" s="593"/>
      <c r="AF177" s="786"/>
      <c r="AK177" s="2"/>
      <c r="AL177" s="2"/>
    </row>
    <row r="178" spans="1:38" ht="12.75">
      <c r="A178" s="385" t="s">
        <v>259</v>
      </c>
      <c r="B178" s="808"/>
      <c r="C178" s="809" t="s">
        <v>359</v>
      </c>
      <c r="D178" s="809"/>
      <c r="E178" s="406"/>
      <c r="F178" s="406"/>
      <c r="G178" s="406"/>
      <c r="H178" s="407"/>
      <c r="P178" s="539"/>
      <c r="R178" s="846"/>
      <c r="S178" s="846"/>
      <c r="V178" s="29"/>
      <c r="W178" s="1"/>
      <c r="X178" s="1"/>
      <c r="AA178" s="785"/>
      <c r="AB178" s="785"/>
      <c r="AC178" s="593"/>
      <c r="AD178" s="593"/>
      <c r="AE178" s="593"/>
      <c r="AF178" s="786"/>
      <c r="AK178" s="2"/>
      <c r="AL178" s="2"/>
    </row>
    <row r="179" spans="1:38" ht="12.75">
      <c r="A179" s="30" t="s">
        <v>63</v>
      </c>
      <c r="B179" s="679"/>
      <c r="C179" s="810" t="s">
        <v>360</v>
      </c>
      <c r="D179" s="811" t="s">
        <v>361</v>
      </c>
      <c r="G179" s="490" t="s">
        <v>64</v>
      </c>
      <c r="H179" s="81" t="s">
        <v>261</v>
      </c>
      <c r="M179" s="560"/>
      <c r="P179" s="276"/>
      <c r="R179" s="276"/>
      <c r="V179" s="1"/>
      <c r="W179" s="1"/>
      <c r="X179" s="1"/>
      <c r="AK179" s="2"/>
      <c r="AL179" s="2"/>
    </row>
    <row r="180" spans="1:38" ht="16.5">
      <c r="A180" s="30" t="s">
        <v>395</v>
      </c>
      <c r="B180" s="679">
        <v>27000000</v>
      </c>
      <c r="C180" s="812">
        <f>G180/B180</f>
        <v>9.2592592592592587E-3</v>
      </c>
      <c r="D180" s="813">
        <f>G239</f>
        <v>3.7874999999999999E-2</v>
      </c>
      <c r="E180" s="1"/>
      <c r="F180" s="1"/>
      <c r="G180" s="401">
        <v>250000</v>
      </c>
      <c r="H180" s="402">
        <f>G180/$B$64/1000</f>
        <v>1.6501650165016504E-2</v>
      </c>
      <c r="P180" s="539"/>
      <c r="R180" s="846"/>
      <c r="S180" s="846"/>
      <c r="V180" s="1"/>
      <c r="W180" s="1"/>
      <c r="X180" s="1"/>
      <c r="AK180" s="2"/>
      <c r="AL180" s="2"/>
    </row>
    <row r="181" spans="1:38" ht="12.75">
      <c r="A181" s="33"/>
      <c r="B181" s="1"/>
      <c r="C181" s="1"/>
      <c r="D181" s="1"/>
      <c r="E181" s="1"/>
      <c r="F181" s="1"/>
      <c r="G181" s="1"/>
      <c r="H181" s="403"/>
      <c r="J181" s="789"/>
      <c r="K181" s="789"/>
      <c r="P181" s="1"/>
      <c r="R181" s="846"/>
      <c r="S181" s="846"/>
      <c r="V181" s="1"/>
      <c r="W181" s="1"/>
      <c r="X181" s="1"/>
      <c r="AK181" s="2"/>
      <c r="AL181" s="2"/>
    </row>
    <row r="182" spans="1:38">
      <c r="A182" s="30" t="s">
        <v>264</v>
      </c>
      <c r="C182" s="430" t="s">
        <v>358</v>
      </c>
      <c r="H182" s="313"/>
      <c r="P182" s="1"/>
      <c r="R182" s="846"/>
      <c r="S182" s="846"/>
      <c r="V182" s="29"/>
      <c r="W182" s="1"/>
      <c r="X182" s="1"/>
      <c r="AJ182" s="398"/>
      <c r="AK182" s="2"/>
      <c r="AL182" s="2"/>
    </row>
    <row r="183" spans="1:38" ht="16.5">
      <c r="A183" s="30" t="s">
        <v>265</v>
      </c>
      <c r="C183" s="52">
        <f>G183/12</f>
        <v>1666.6666666666667</v>
      </c>
      <c r="G183" s="401">
        <v>20000</v>
      </c>
      <c r="H183" s="402">
        <f>G183/$B$64/1000</f>
        <v>1.3201320132013201E-3</v>
      </c>
      <c r="J183" s="788"/>
      <c r="K183" s="788"/>
      <c r="P183" s="1"/>
      <c r="R183" s="846"/>
      <c r="S183" s="846"/>
      <c r="V183" s="1"/>
      <c r="W183" s="1"/>
      <c r="X183" s="1"/>
      <c r="AC183" s="638"/>
      <c r="AD183" s="624"/>
      <c r="AE183" s="624"/>
      <c r="AF183" s="639"/>
      <c r="AG183" s="617"/>
      <c r="AH183" s="640"/>
      <c r="AI183" s="652"/>
      <c r="AK183" s="2"/>
      <c r="AL183" s="2"/>
    </row>
    <row r="184" spans="1:38">
      <c r="A184" s="33"/>
      <c r="B184" s="1"/>
      <c r="C184" s="1"/>
      <c r="D184" s="1"/>
      <c r="E184" s="1"/>
      <c r="F184" s="1"/>
      <c r="G184" s="1"/>
      <c r="H184" s="403"/>
      <c r="P184" s="1"/>
      <c r="R184" s="846"/>
      <c r="S184" s="846"/>
      <c r="V184" s="29"/>
      <c r="W184" s="1"/>
      <c r="X184" s="1"/>
      <c r="AC184" s="638"/>
      <c r="AD184" s="624"/>
      <c r="AE184" s="624"/>
      <c r="AF184" s="639"/>
      <c r="AG184" s="617"/>
      <c r="AH184" s="640"/>
      <c r="AI184" s="652"/>
      <c r="AK184" s="2"/>
      <c r="AL184" s="2"/>
    </row>
    <row r="185" spans="1:38">
      <c r="A185" s="30" t="s">
        <v>266</v>
      </c>
      <c r="C185" s="430" t="s">
        <v>358</v>
      </c>
      <c r="H185" s="313"/>
      <c r="P185" s="1"/>
      <c r="R185" s="846"/>
      <c r="S185" s="846"/>
      <c r="V185" s="29"/>
      <c r="W185" s="1"/>
      <c r="X185" s="1"/>
      <c r="AC185" s="638"/>
      <c r="AD185" s="624"/>
      <c r="AE185" s="624"/>
      <c r="AF185" s="639"/>
      <c r="AG185" s="617"/>
      <c r="AH185" s="640"/>
      <c r="AI185" s="652"/>
      <c r="AK185" s="2"/>
      <c r="AL185" s="2"/>
    </row>
    <row r="186" spans="1:38" ht="16.5">
      <c r="A186" s="30" t="s">
        <v>268</v>
      </c>
      <c r="C186" s="52">
        <f>G186/12</f>
        <v>29166.666666666668</v>
      </c>
      <c r="G186" s="401">
        <v>350000</v>
      </c>
      <c r="H186" s="402">
        <f>G186/$B$64/1000</f>
        <v>2.3102310231023104E-2</v>
      </c>
      <c r="J186" s="2" t="s">
        <v>7</v>
      </c>
      <c r="P186" s="5"/>
      <c r="AC186" s="638"/>
      <c r="AD186" s="624"/>
      <c r="AE186" s="624"/>
      <c r="AF186" s="639"/>
      <c r="AG186" s="617"/>
      <c r="AH186" s="640"/>
      <c r="AI186" s="652"/>
      <c r="AK186" s="2"/>
      <c r="AL186" s="2"/>
    </row>
    <row r="187" spans="1:38">
      <c r="A187" s="59"/>
      <c r="B187" s="41"/>
      <c r="C187" s="405"/>
      <c r="D187" s="41"/>
      <c r="E187" s="41"/>
      <c r="F187" s="41"/>
      <c r="G187" s="41"/>
      <c r="H187" s="42"/>
      <c r="Z187" s="404"/>
      <c r="AC187" s="638"/>
      <c r="AD187" s="624"/>
      <c r="AE187" s="624"/>
      <c r="AF187" s="639"/>
      <c r="AG187" s="617"/>
      <c r="AH187" s="640"/>
      <c r="AI187" s="652"/>
      <c r="AK187" s="2"/>
      <c r="AL187" s="2"/>
    </row>
    <row r="188" spans="1:38">
      <c r="A188" s="1"/>
      <c r="B188" s="1"/>
      <c r="C188" s="1"/>
      <c r="D188" s="1"/>
      <c r="E188" s="1"/>
      <c r="F188" s="8"/>
      <c r="G188" s="8"/>
      <c r="H188" s="1"/>
      <c r="AC188" s="638"/>
      <c r="AD188" s="624"/>
      <c r="AE188" s="624"/>
      <c r="AF188" s="639"/>
      <c r="AG188" s="617"/>
      <c r="AH188" s="640"/>
      <c r="AI188" s="652"/>
      <c r="AK188" s="2"/>
      <c r="AL188" s="2"/>
    </row>
    <row r="189" spans="1:38" ht="16.5">
      <c r="A189" s="1"/>
      <c r="B189" s="1"/>
      <c r="C189" s="1"/>
      <c r="D189" s="1"/>
      <c r="E189" s="1"/>
      <c r="F189" s="8"/>
      <c r="G189" s="8"/>
      <c r="H189" s="1"/>
      <c r="AC189" s="643"/>
      <c r="AD189" s="624"/>
      <c r="AE189" s="624"/>
      <c r="AF189" s="639"/>
      <c r="AG189" s="617"/>
      <c r="AH189" s="640"/>
      <c r="AI189" s="652"/>
      <c r="AJ189" s="83"/>
      <c r="AK189" s="2"/>
      <c r="AL189" s="2"/>
    </row>
    <row r="190" spans="1:38" ht="12.75">
      <c r="A190" s="385" t="s">
        <v>269</v>
      </c>
      <c r="B190" s="406"/>
      <c r="C190" s="406"/>
      <c r="D190" s="406"/>
      <c r="E190" s="406"/>
      <c r="F190" s="406"/>
      <c r="G190" s="406"/>
      <c r="H190" s="406"/>
      <c r="I190" s="406"/>
      <c r="J190" s="407"/>
      <c r="K190" s="30"/>
      <c r="Z190" s="404"/>
      <c r="AC190" s="612"/>
      <c r="AD190" s="624"/>
      <c r="AE190" s="624"/>
      <c r="AF190" s="639"/>
      <c r="AG190" s="624"/>
      <c r="AH190" s="624"/>
      <c r="AI190" s="1"/>
      <c r="AK190" s="2"/>
      <c r="AL190" s="2"/>
    </row>
    <row r="191" spans="1:38">
      <c r="A191" s="30" t="s">
        <v>271</v>
      </c>
      <c r="I191" s="356"/>
      <c r="J191" s="408"/>
      <c r="K191" s="409"/>
      <c r="L191" s="356"/>
      <c r="M191" s="356"/>
      <c r="N191" s="356"/>
      <c r="AC191" s="1"/>
      <c r="AD191" s="1"/>
      <c r="AE191" s="1"/>
      <c r="AF191" s="394"/>
      <c r="AG191" s="1"/>
      <c r="AH191" s="1"/>
      <c r="AI191" s="1"/>
      <c r="AK191" s="2"/>
      <c r="AL191" s="2"/>
    </row>
    <row r="192" spans="1:38" ht="16.5">
      <c r="A192" s="30"/>
      <c r="I192" s="356"/>
      <c r="J192" s="408"/>
      <c r="K192" s="409"/>
      <c r="L192" s="356"/>
      <c r="M192" s="356"/>
      <c r="N192" s="356"/>
      <c r="AC192" s="1"/>
      <c r="AD192" s="1"/>
      <c r="AE192" s="1"/>
      <c r="AF192" s="394"/>
      <c r="AG192" s="1"/>
      <c r="AH192" s="1"/>
      <c r="AI192" s="1"/>
      <c r="AJ192" s="398"/>
      <c r="AK192" s="2"/>
      <c r="AL192" s="2"/>
    </row>
    <row r="193" spans="1:38">
      <c r="A193" s="30" t="s">
        <v>274</v>
      </c>
      <c r="B193" s="26" t="s">
        <v>275</v>
      </c>
      <c r="C193" s="26" t="s">
        <v>43</v>
      </c>
      <c r="D193" s="356"/>
      <c r="E193" s="847" t="s">
        <v>276</v>
      </c>
      <c r="F193" s="848"/>
      <c r="G193" s="356"/>
      <c r="I193" s="26"/>
      <c r="J193" s="541"/>
      <c r="K193" s="540"/>
      <c r="L193" s="26"/>
      <c r="M193" s="26"/>
      <c r="N193" s="26"/>
      <c r="AC193" s="782"/>
      <c r="AD193" s="624"/>
      <c r="AE193" s="624"/>
      <c r="AF193" s="639"/>
      <c r="AG193" s="617"/>
      <c r="AH193" s="640"/>
      <c r="AI193" s="781"/>
      <c r="AK193" s="2"/>
      <c r="AL193" s="2"/>
    </row>
    <row r="194" spans="1:38" ht="16.5">
      <c r="A194" s="112" t="s">
        <v>277</v>
      </c>
      <c r="B194" s="417">
        <v>13</v>
      </c>
      <c r="C194" s="417">
        <v>4</v>
      </c>
      <c r="E194" s="30" t="s">
        <v>278</v>
      </c>
      <c r="F194" s="417">
        <f>D91/5</f>
        <v>33.524999999999999</v>
      </c>
      <c r="J194" s="25"/>
      <c r="K194" s="30"/>
      <c r="AC194" s="783"/>
      <c r="AD194" s="624"/>
      <c r="AE194" s="624"/>
      <c r="AF194" s="639"/>
      <c r="AG194" s="617"/>
      <c r="AH194" s="640"/>
      <c r="AI194" s="781"/>
      <c r="AJ194" s="83"/>
      <c r="AK194" s="2"/>
      <c r="AL194" s="2"/>
    </row>
    <row r="195" spans="1:38">
      <c r="A195" s="112" t="s">
        <v>279</v>
      </c>
      <c r="B195" s="823">
        <f>ROUND((30.33*1.04)*(1+$F$161),2)</f>
        <v>31.54</v>
      </c>
      <c r="C195" s="823">
        <f>ROUND((31.2*1.04)*(1+$F$161),2)</f>
        <v>32.450000000000003</v>
      </c>
      <c r="E195" s="30" t="s">
        <v>280</v>
      </c>
      <c r="F195" s="417">
        <v>40</v>
      </c>
      <c r="J195" s="25"/>
      <c r="K195" s="30"/>
      <c r="AC195" s="707"/>
      <c r="AD195" s="624"/>
      <c r="AE195" s="624"/>
      <c r="AF195" s="639"/>
      <c r="AG195" s="617"/>
      <c r="AH195" s="640"/>
      <c r="AK195" s="2"/>
      <c r="AL195" s="2"/>
    </row>
    <row r="196" spans="1:38">
      <c r="A196" s="112" t="s">
        <v>282</v>
      </c>
      <c r="B196" s="419">
        <v>0.1</v>
      </c>
      <c r="C196" s="420">
        <v>0.1</v>
      </c>
      <c r="E196" s="30" t="s">
        <v>283</v>
      </c>
      <c r="F196" s="421">
        <v>1.5</v>
      </c>
      <c r="J196" s="25"/>
      <c r="K196" s="30"/>
      <c r="AE196" s="6"/>
      <c r="AK196" s="2"/>
      <c r="AL196" s="2"/>
    </row>
    <row r="197" spans="1:38">
      <c r="A197" s="112" t="s">
        <v>285</v>
      </c>
      <c r="B197" s="419">
        <v>0</v>
      </c>
      <c r="E197" s="422" t="s">
        <v>286</v>
      </c>
      <c r="F197" s="763">
        <v>0.3</v>
      </c>
      <c r="H197" s="205"/>
      <c r="J197" s="25"/>
      <c r="K197" s="30"/>
      <c r="AE197" s="6"/>
      <c r="AK197" s="2"/>
      <c r="AL197" s="2"/>
    </row>
    <row r="198" spans="1:38">
      <c r="A198" s="112" t="s">
        <v>387</v>
      </c>
      <c r="B198" s="419">
        <v>0.3</v>
      </c>
      <c r="E198" s="1"/>
      <c r="F198" s="1"/>
      <c r="H198" s="205"/>
      <c r="J198" s="25"/>
      <c r="K198" s="30"/>
      <c r="AD198" s="410"/>
      <c r="AE198" s="410"/>
      <c r="AJ198" s="398"/>
      <c r="AK198" s="2"/>
      <c r="AL198" s="2"/>
    </row>
    <row r="199" spans="1:38" ht="12.75">
      <c r="A199" s="112"/>
      <c r="E199" s="1"/>
      <c r="F199" s="1"/>
      <c r="H199" s="205"/>
      <c r="J199" s="25"/>
      <c r="K199" s="30"/>
      <c r="AC199" s="638"/>
      <c r="AD199" s="641"/>
      <c r="AE199" s="641"/>
      <c r="AF199" s="642"/>
      <c r="AG199" s="617"/>
      <c r="AH199" s="640"/>
      <c r="AI199" s="650"/>
      <c r="AK199" s="2"/>
      <c r="AL199" s="2"/>
    </row>
    <row r="200" spans="1:38">
      <c r="A200" s="30"/>
      <c r="E200" s="1"/>
      <c r="F200" s="1"/>
      <c r="G200" s="1"/>
      <c r="H200" s="205"/>
      <c r="J200" s="25"/>
      <c r="K200" s="30"/>
      <c r="AC200" s="643"/>
      <c r="AD200" s="644"/>
      <c r="AE200" s="644"/>
      <c r="AF200" s="642"/>
      <c r="AG200" s="617"/>
      <c r="AH200" s="640"/>
      <c r="AI200" s="650"/>
      <c r="AJ200" s="83"/>
      <c r="AK200" s="2"/>
      <c r="AL200" s="2"/>
    </row>
    <row r="201" spans="1:38">
      <c r="A201" s="30" t="s">
        <v>388</v>
      </c>
      <c r="B201" s="533" t="s">
        <v>375</v>
      </c>
      <c r="C201" s="533" t="s">
        <v>376</v>
      </c>
      <c r="D201" s="266"/>
      <c r="E201" s="1"/>
      <c r="J201" s="25"/>
      <c r="K201" s="30"/>
      <c r="AC201" s="618"/>
      <c r="AD201" s="624"/>
      <c r="AE201" s="624"/>
      <c r="AF201" s="642"/>
      <c r="AG201" s="645"/>
      <c r="AH201" s="646"/>
      <c r="AK201" s="2"/>
      <c r="AL201" s="2"/>
    </row>
    <row r="202" spans="1:38" ht="12.75">
      <c r="A202" s="112" t="s">
        <v>377</v>
      </c>
      <c r="B202" s="196" t="s">
        <v>378</v>
      </c>
      <c r="C202" s="2">
        <f>ROUND(B198*B64,-2)</f>
        <v>4500</v>
      </c>
      <c r="J202" s="25"/>
      <c r="K202" s="30"/>
      <c r="AC202" s="624"/>
      <c r="AD202" s="641"/>
      <c r="AE202" s="641"/>
      <c r="AF202" s="639"/>
      <c r="AG202" s="624"/>
      <c r="AH202" s="624"/>
      <c r="AK202" s="2"/>
      <c r="AL202" s="2"/>
    </row>
    <row r="203" spans="1:38" ht="12.75">
      <c r="A203" s="112" t="s">
        <v>383</v>
      </c>
      <c r="B203" s="196" t="s">
        <v>378</v>
      </c>
      <c r="C203" s="2">
        <v>2600</v>
      </c>
      <c r="J203" s="25"/>
      <c r="K203" s="30"/>
      <c r="AC203" s="638"/>
      <c r="AD203" s="641"/>
      <c r="AE203" s="641"/>
      <c r="AF203" s="642"/>
      <c r="AG203" s="617"/>
      <c r="AH203" s="640"/>
      <c r="AI203" s="650"/>
      <c r="AK203" s="2"/>
      <c r="AL203" s="2"/>
    </row>
    <row r="204" spans="1:38">
      <c r="A204" s="112" t="s">
        <v>287</v>
      </c>
      <c r="B204" s="538">
        <f>ROUND(B194*B197,0)</f>
        <v>0</v>
      </c>
      <c r="C204" s="31">
        <f>(C202/(C203*4)*1000)/($F$194*$F$195)</f>
        <v>0.32266391326794014</v>
      </c>
      <c r="D204" s="537"/>
      <c r="E204" s="1"/>
      <c r="J204" s="25"/>
      <c r="K204" s="30"/>
      <c r="AC204" s="643"/>
      <c r="AD204" s="644"/>
      <c r="AE204" s="644"/>
      <c r="AF204" s="642"/>
      <c r="AG204" s="617"/>
      <c r="AH204" s="640"/>
      <c r="AI204" s="650"/>
      <c r="AJ204" s="83"/>
      <c r="AK204" s="2"/>
      <c r="AL204" s="2"/>
    </row>
    <row r="205" spans="1:38" ht="12.75">
      <c r="A205" s="112" t="s">
        <v>289</v>
      </c>
      <c r="B205" s="425">
        <f>(B204*$F$194*$F$195)</f>
        <v>0</v>
      </c>
      <c r="C205" s="425">
        <f>(C204*$F$194*$F$195)</f>
        <v>432.69230769230774</v>
      </c>
      <c r="J205" s="25"/>
      <c r="K205" s="30"/>
      <c r="AC205" s="618"/>
      <c r="AD205" s="644"/>
      <c r="AE205" s="644"/>
      <c r="AF205" s="642"/>
      <c r="AG205" s="645"/>
      <c r="AH205" s="646"/>
      <c r="AK205" s="2"/>
      <c r="AL205" s="2"/>
    </row>
    <row r="206" spans="1:38" ht="12.75">
      <c r="A206" s="112" t="s">
        <v>381</v>
      </c>
      <c r="B206" s="426">
        <f>(B204*$F$194*$F$195*$C$211)+((B204*$F$194*$F$195*$B$196)*$C$212)</f>
        <v>0</v>
      </c>
      <c r="C206" s="426">
        <f>$C$205*$C$215</f>
        <v>14267.438811188813</v>
      </c>
      <c r="D206" s="427"/>
      <c r="E206" s="428"/>
      <c r="J206" s="25"/>
      <c r="K206" s="30"/>
      <c r="AC206" s="634"/>
      <c r="AD206" s="414"/>
      <c r="AE206" s="414"/>
      <c r="AF206" s="635"/>
      <c r="AG206" s="636"/>
      <c r="AH206" s="637"/>
      <c r="AK206" s="2"/>
      <c r="AL206" s="2"/>
    </row>
    <row r="207" spans="1:38" ht="12.75">
      <c r="A207" s="112" t="s">
        <v>382</v>
      </c>
      <c r="B207" s="426">
        <f>B206*F197</f>
        <v>0</v>
      </c>
      <c r="C207" s="426">
        <f>$C$205*$I$215</f>
        <v>4740.3986935389921</v>
      </c>
      <c r="D207" s="427"/>
      <c r="E207" s="1"/>
      <c r="J207" s="25"/>
      <c r="K207" s="30"/>
      <c r="AC207" s="634"/>
      <c r="AD207" s="414"/>
      <c r="AE207" s="414"/>
      <c r="AF207" s="635"/>
      <c r="AG207" s="636"/>
      <c r="AH207" s="637"/>
      <c r="AK207" s="2"/>
      <c r="AL207" s="2"/>
    </row>
    <row r="208" spans="1:38">
      <c r="A208" s="30"/>
      <c r="B208" s="429"/>
      <c r="C208" s="70"/>
      <c r="D208" s="70"/>
      <c r="E208" s="1"/>
      <c r="J208" s="25"/>
      <c r="K208" s="30"/>
      <c r="AC208" s="634"/>
      <c r="AD208" s="213"/>
      <c r="AE208" s="213"/>
      <c r="AF208" s="635"/>
      <c r="AG208" s="636"/>
      <c r="AH208" s="637"/>
      <c r="AK208" s="2"/>
      <c r="AL208" s="2"/>
    </row>
    <row r="209" spans="1:38" ht="16.5">
      <c r="A209" s="30"/>
      <c r="B209" s="849" t="s">
        <v>14</v>
      </c>
      <c r="C209" s="849"/>
      <c r="D209" s="849"/>
      <c r="E209" s="850" t="s">
        <v>294</v>
      </c>
      <c r="F209" s="849"/>
      <c r="G209" s="851"/>
      <c r="H209" s="849" t="str">
        <f>CONCATENATE("Indirect Payroll Cost (IPC) at ",F197*100,"%")</f>
        <v>Indirect Payroll Cost (IPC) at 30%</v>
      </c>
      <c r="I209" s="849"/>
      <c r="J209" s="851"/>
      <c r="K209" s="30"/>
      <c r="AC209"/>
      <c r="AD209" s="410"/>
      <c r="AE209" s="410"/>
      <c r="AF209" s="424"/>
      <c r="AG209" s="213"/>
      <c r="AH209" s="215"/>
      <c r="AK209" s="2"/>
      <c r="AL209" s="2"/>
    </row>
    <row r="210" spans="1:38">
      <c r="A210" s="431" t="s">
        <v>296</v>
      </c>
      <c r="B210" s="432" t="s">
        <v>289</v>
      </c>
      <c r="C210" s="432" t="s">
        <v>297</v>
      </c>
      <c r="D210" s="433" t="s">
        <v>48</v>
      </c>
      <c r="E210" s="434" t="s">
        <v>289</v>
      </c>
      <c r="F210" s="432" t="s">
        <v>297</v>
      </c>
      <c r="G210" s="435" t="s">
        <v>48</v>
      </c>
      <c r="H210" s="432" t="s">
        <v>289</v>
      </c>
      <c r="I210" s="432" t="s">
        <v>297</v>
      </c>
      <c r="J210" s="435" t="s">
        <v>48</v>
      </c>
      <c r="K210" s="30"/>
      <c r="AC210" s="647"/>
      <c r="AD210" s="410"/>
      <c r="AE210" s="410"/>
      <c r="AF210" s="111"/>
      <c r="AG210" s="9"/>
      <c r="AH210" s="648"/>
      <c r="AI210" s="650"/>
      <c r="AK210" s="2"/>
      <c r="AL210" s="2"/>
    </row>
    <row r="211" spans="1:38">
      <c r="A211" s="436" t="s">
        <v>49</v>
      </c>
      <c r="B211" s="65">
        <f>$F$194*$F$195*B$194</f>
        <v>17433</v>
      </c>
      <c r="C211" s="53">
        <f>B195</f>
        <v>31.54</v>
      </c>
      <c r="D211" s="437">
        <f>B211*C211</f>
        <v>549836.81999999995</v>
      </c>
      <c r="E211" s="454">
        <f>$F$194*$F$195*C$194</f>
        <v>5364</v>
      </c>
      <c r="F211" s="53">
        <f>C$195</f>
        <v>32.450000000000003</v>
      </c>
      <c r="G211" s="438">
        <f>E211*F211</f>
        <v>174061.80000000002</v>
      </c>
      <c r="J211" s="25"/>
      <c r="K211" s="30"/>
      <c r="AC211" s="647"/>
      <c r="AD211" s="410"/>
      <c r="AE211" s="410"/>
      <c r="AF211" s="111"/>
      <c r="AG211" s="9"/>
      <c r="AH211" s="648"/>
      <c r="AI211" s="650"/>
      <c r="AJ211" s="398"/>
      <c r="AK211" s="2"/>
      <c r="AL211" s="2"/>
    </row>
    <row r="212" spans="1:38">
      <c r="A212" s="436" t="s">
        <v>50</v>
      </c>
      <c r="B212" s="356">
        <f>$F$194*$F$195*B$196*B$194</f>
        <v>1743.3</v>
      </c>
      <c r="C212" s="439">
        <f>B$195*$F$196</f>
        <v>47.31</v>
      </c>
      <c r="D212" s="440">
        <f>B212*C212</f>
        <v>82475.523000000001</v>
      </c>
      <c r="E212" s="409">
        <f>$F$194*$F$195*C$196*C$194</f>
        <v>536.4</v>
      </c>
      <c r="F212" s="441">
        <f>C$195*$F$196</f>
        <v>48.675000000000004</v>
      </c>
      <c r="G212" s="442">
        <f>E212*F212</f>
        <v>26109.27</v>
      </c>
      <c r="I212" s="29"/>
      <c r="J212" s="25"/>
      <c r="K212" s="30"/>
      <c r="AC212" s="638"/>
      <c r="AD212" s="641"/>
      <c r="AE212" s="641"/>
      <c r="AF212" s="614"/>
      <c r="AG212" s="617"/>
      <c r="AH212" s="640"/>
      <c r="AI212" s="650"/>
      <c r="AK212" s="2"/>
      <c r="AL212" s="2"/>
    </row>
    <row r="213" spans="1:38" ht="12.75">
      <c r="A213" s="443" t="s">
        <v>138</v>
      </c>
      <c r="B213" s="65">
        <f>SUM(B211:B212)</f>
        <v>19176.3</v>
      </c>
      <c r="C213" s="53">
        <f>D213/B213</f>
        <v>32.973636363636366</v>
      </c>
      <c r="D213" s="444">
        <f>SUM(D211:D212)</f>
        <v>632312.34299999999</v>
      </c>
      <c r="E213" s="454">
        <f>SUM(E211:E212)</f>
        <v>5900.4</v>
      </c>
      <c r="F213" s="53">
        <f>IF(E213&lt;&gt;0,G213/E213,0)</f>
        <v>33.925000000000004</v>
      </c>
      <c r="G213" s="445">
        <f>SUM(G211:G212)</f>
        <v>200171.07</v>
      </c>
      <c r="H213" s="65">
        <f>B213+E213</f>
        <v>25076.699999999997</v>
      </c>
      <c r="I213" s="53">
        <f>J213/H213</f>
        <v>10.955588091734558</v>
      </c>
      <c r="J213" s="446">
        <f>+(D213+G213+C243)*F197</f>
        <v>274729.99589999998</v>
      </c>
      <c r="K213" s="30"/>
      <c r="AC213" s="638"/>
      <c r="AD213" s="641"/>
      <c r="AE213" s="641"/>
      <c r="AF213" s="614"/>
      <c r="AG213" s="617"/>
      <c r="AH213" s="640"/>
      <c r="AI213" s="650"/>
      <c r="AK213" s="2"/>
      <c r="AL213" s="2"/>
    </row>
    <row r="214" spans="1:38">
      <c r="A214" s="443" t="s">
        <v>298</v>
      </c>
      <c r="B214" s="356">
        <f>-B205</f>
        <v>0</v>
      </c>
      <c r="C214" s="447">
        <f>IF(B214&lt;&gt;0,D214/B214,0)</f>
        <v>0</v>
      </c>
      <c r="D214" s="440">
        <f>-B206</f>
        <v>0</v>
      </c>
      <c r="E214" s="483">
        <v>0</v>
      </c>
      <c r="F214" s="447">
        <f>IF(E214&lt;&gt;0,(G214/E214),0)</f>
        <v>0</v>
      </c>
      <c r="G214" s="448">
        <v>0</v>
      </c>
      <c r="H214" s="356">
        <f>-B205</f>
        <v>0</v>
      </c>
      <c r="I214" s="447">
        <f>IF(H214&lt;&gt;0,J214/H214,0)</f>
        <v>0</v>
      </c>
      <c r="J214" s="449">
        <f>-B207</f>
        <v>0</v>
      </c>
      <c r="K214" s="30"/>
      <c r="R214" s="430"/>
      <c r="S214" s="430"/>
      <c r="T214" s="430"/>
      <c r="U214" s="430"/>
      <c r="V214" s="430"/>
      <c r="W214" s="430"/>
      <c r="X214" s="430"/>
      <c r="Y214" s="430"/>
      <c r="AC214" s="638"/>
      <c r="AD214" s="641"/>
      <c r="AE214" s="641"/>
      <c r="AF214" s="614"/>
      <c r="AG214" s="617"/>
      <c r="AH214" s="640"/>
      <c r="AI214" s="650"/>
      <c r="AK214" s="2"/>
      <c r="AL214" s="2"/>
    </row>
    <row r="215" spans="1:38" ht="12.75">
      <c r="A215" s="443" t="s">
        <v>386</v>
      </c>
      <c r="B215" s="342">
        <f>SUM(B213:B214)</f>
        <v>19176.3</v>
      </c>
      <c r="C215" s="179">
        <f>D215/B215</f>
        <v>32.973636363636366</v>
      </c>
      <c r="D215" s="534">
        <f>SUM(D213:D214)</f>
        <v>632312.34299999999</v>
      </c>
      <c r="E215" s="535">
        <f>SUM(E213:E214)</f>
        <v>5900.4</v>
      </c>
      <c r="F215" s="179">
        <f>IF(E215&lt;&gt;0,G215/E215,0)</f>
        <v>33.925000000000004</v>
      </c>
      <c r="G215" s="536">
        <f>SUM(G213:G214)</f>
        <v>200171.07</v>
      </c>
      <c r="H215" s="342">
        <f>SUM(H213:H214)</f>
        <v>25076.699999999997</v>
      </c>
      <c r="I215" s="179">
        <f>J215/H215</f>
        <v>10.955588091734558</v>
      </c>
      <c r="J215" s="536">
        <f>SUM(J213:J214)</f>
        <v>274729.99589999998</v>
      </c>
      <c r="K215" s="30"/>
      <c r="AC215" s="638"/>
      <c r="AD215" s="641"/>
      <c r="AE215" s="641"/>
      <c r="AF215" s="614"/>
      <c r="AG215" s="617"/>
      <c r="AH215" s="640"/>
      <c r="AI215" s="650"/>
      <c r="AK215" s="2"/>
      <c r="AL215" s="2"/>
    </row>
    <row r="216" spans="1:38">
      <c r="A216" s="443" t="s">
        <v>380</v>
      </c>
      <c r="B216" s="342">
        <f>C205</f>
        <v>432.69230769230774</v>
      </c>
      <c r="C216" s="450"/>
      <c r="D216" s="180">
        <f>B216*C215</f>
        <v>14267.438811188813</v>
      </c>
      <c r="E216" s="535">
        <v>0</v>
      </c>
      <c r="F216" s="450"/>
      <c r="G216" s="181">
        <f>E216*F215</f>
        <v>0</v>
      </c>
      <c r="H216" s="342">
        <f>B216+E216</f>
        <v>432.69230769230774</v>
      </c>
      <c r="I216" s="450"/>
      <c r="J216" s="536">
        <f>H216*I215</f>
        <v>4740.3986935389921</v>
      </c>
      <c r="K216" s="30"/>
      <c r="Q216" s="430"/>
      <c r="R216" s="29"/>
      <c r="S216" s="29"/>
      <c r="T216" s="29"/>
      <c r="U216" s="29"/>
      <c r="V216" s="29"/>
      <c r="W216" s="29"/>
      <c r="X216" s="29"/>
      <c r="Y216" s="29"/>
      <c r="AC216" s="638"/>
      <c r="AD216" s="641"/>
      <c r="AE216" s="641"/>
      <c r="AF216" s="614"/>
      <c r="AG216" s="617"/>
      <c r="AH216" s="640"/>
      <c r="AI216" s="650"/>
      <c r="AK216" s="2"/>
      <c r="AL216" s="2"/>
    </row>
    <row r="217" spans="1:38">
      <c r="A217" s="443" t="s">
        <v>379</v>
      </c>
      <c r="B217" s="342">
        <f>B215-B216</f>
        <v>18743.607692307691</v>
      </c>
      <c r="C217" s="450"/>
      <c r="D217" s="180">
        <f>B217*C215</f>
        <v>618044.9041888112</v>
      </c>
      <c r="E217" s="535">
        <f>E215-E216</f>
        <v>5900.4</v>
      </c>
      <c r="F217" s="450"/>
      <c r="G217" s="536">
        <f>E217*F215</f>
        <v>200171.07</v>
      </c>
      <c r="H217" s="342">
        <f>H215-H216</f>
        <v>24644.007692307689</v>
      </c>
      <c r="I217" s="450"/>
      <c r="J217" s="536">
        <f>H217*I215</f>
        <v>269989.59720646095</v>
      </c>
      <c r="K217" s="30"/>
      <c r="R217" s="29"/>
      <c r="S217" s="29"/>
      <c r="T217" s="29"/>
      <c r="U217" s="29"/>
      <c r="V217" s="29"/>
      <c r="W217" s="29"/>
      <c r="X217" s="29"/>
      <c r="Y217" s="29"/>
      <c r="AC217" s="643"/>
      <c r="AD217" s="644"/>
      <c r="AE217" s="644"/>
      <c r="AF217" s="614"/>
      <c r="AG217" s="617"/>
      <c r="AH217" s="640"/>
      <c r="AI217" s="650"/>
      <c r="AJ217" s="83"/>
      <c r="AK217" s="2"/>
      <c r="AL217" s="2"/>
    </row>
    <row r="218" spans="1:38" ht="12.75">
      <c r="A218" s="451"/>
      <c r="B218" s="342"/>
      <c r="C218" s="179"/>
      <c r="D218" s="176"/>
      <c r="E218" s="30"/>
      <c r="F218" s="342"/>
      <c r="G218" s="452"/>
      <c r="H218" s="176"/>
      <c r="J218" s="25"/>
      <c r="K218" s="30"/>
      <c r="Q218" s="29"/>
      <c r="R218" s="29"/>
      <c r="S218" s="29"/>
      <c r="T218" s="29"/>
      <c r="U218" s="29"/>
      <c r="V218" s="29"/>
      <c r="W218" s="29"/>
      <c r="X218" s="29"/>
      <c r="Y218" s="29"/>
      <c r="AC218" s="618"/>
      <c r="AD218" s="612"/>
      <c r="AE218" s="649"/>
      <c r="AF218" s="642"/>
      <c r="AG218" s="645"/>
      <c r="AH218" s="646"/>
      <c r="AK218" s="2"/>
      <c r="AL218" s="2"/>
    </row>
    <row r="219" spans="1:38" ht="12.75">
      <c r="A219" s="23" t="s">
        <v>299</v>
      </c>
      <c r="E219" s="33"/>
      <c r="F219" s="1"/>
      <c r="G219" s="38"/>
      <c r="H219" s="453"/>
      <c r="J219" s="25"/>
      <c r="Q219" s="29"/>
      <c r="AE219" s="6"/>
      <c r="AK219" s="2"/>
      <c r="AL219" s="2"/>
    </row>
    <row r="220" spans="1:38" ht="12.75">
      <c r="A220" s="112" t="s">
        <v>327</v>
      </c>
      <c r="B220" s="65">
        <f>ROUND($B$217*$E79,0)+1</f>
        <v>9729</v>
      </c>
      <c r="C220" s="53"/>
      <c r="D220" s="52">
        <f>ROUND($D$217*$E79,0)+1</f>
        <v>320776</v>
      </c>
      <c r="E220" s="454">
        <f>ROUND($E$217*$E79,0)-1</f>
        <v>3061</v>
      </c>
      <c r="F220" s="1"/>
      <c r="G220" s="54">
        <f t="shared" ref="G220:G231" si="56">ROUND($G$217*$E79,0)</f>
        <v>103892</v>
      </c>
      <c r="H220" s="65">
        <f>ROUND($H$217*$E79,0)+1</f>
        <v>12792</v>
      </c>
      <c r="J220" s="54">
        <f t="shared" ref="J220:J231" si="57">ROUND($J$217*$E79,0)</f>
        <v>140129</v>
      </c>
      <c r="Q220" s="29"/>
      <c r="AA220" s="780"/>
      <c r="AB220" s="780"/>
      <c r="AE220" s="6"/>
      <c r="AF220" s="74"/>
      <c r="AK220" s="2"/>
      <c r="AL220" s="2"/>
    </row>
    <row r="221" spans="1:38" ht="12.75">
      <c r="A221" s="112" t="s">
        <v>328</v>
      </c>
      <c r="B221" s="65">
        <f t="shared" ref="B221:B231" si="58">ROUND($B$217*$E80,0)</f>
        <v>0</v>
      </c>
      <c r="C221" s="53"/>
      <c r="D221" s="52">
        <f t="shared" ref="D221:D231" si="59">ROUND($D$217*$E80,0)</f>
        <v>0</v>
      </c>
      <c r="E221" s="454">
        <f t="shared" ref="E221:E231" si="60">ROUND($E$217*$E80,0)</f>
        <v>0</v>
      </c>
      <c r="F221" s="1"/>
      <c r="G221" s="54">
        <f t="shared" si="56"/>
        <v>0</v>
      </c>
      <c r="H221" s="65">
        <f t="shared" ref="H221:H231" si="61">ROUND($H$217*$E80,0)</f>
        <v>0</v>
      </c>
      <c r="J221" s="54">
        <f t="shared" si="57"/>
        <v>0</v>
      </c>
      <c r="AA221" s="780"/>
      <c r="AB221" s="780"/>
      <c r="AE221" s="6"/>
      <c r="AF221" s="74"/>
      <c r="AK221" s="2"/>
      <c r="AL221" s="2"/>
    </row>
    <row r="222" spans="1:38" ht="12.75">
      <c r="A222" s="112" t="s">
        <v>329</v>
      </c>
      <c r="B222" s="65">
        <f t="shared" si="58"/>
        <v>0</v>
      </c>
      <c r="C222" s="53"/>
      <c r="D222" s="52">
        <f t="shared" si="59"/>
        <v>0</v>
      </c>
      <c r="E222" s="454">
        <f t="shared" si="60"/>
        <v>0</v>
      </c>
      <c r="F222" s="1"/>
      <c r="G222" s="54">
        <f t="shared" si="56"/>
        <v>0</v>
      </c>
      <c r="H222" s="65">
        <f t="shared" si="61"/>
        <v>0</v>
      </c>
      <c r="J222" s="54">
        <f t="shared" si="57"/>
        <v>0</v>
      </c>
      <c r="AA222" s="780"/>
      <c r="AB222" s="780"/>
      <c r="AF222" s="74"/>
      <c r="AK222" s="2"/>
      <c r="AL222" s="2"/>
    </row>
    <row r="223" spans="1:38" ht="12.75">
      <c r="A223" s="112" t="s">
        <v>330</v>
      </c>
      <c r="B223" s="65">
        <f t="shared" si="58"/>
        <v>0</v>
      </c>
      <c r="C223" s="53"/>
      <c r="D223" s="52">
        <f t="shared" si="59"/>
        <v>0</v>
      </c>
      <c r="E223" s="454">
        <f t="shared" si="60"/>
        <v>0</v>
      </c>
      <c r="F223" s="1"/>
      <c r="G223" s="54">
        <f t="shared" si="56"/>
        <v>0</v>
      </c>
      <c r="H223" s="65">
        <f t="shared" si="61"/>
        <v>0</v>
      </c>
      <c r="J223" s="54">
        <f t="shared" si="57"/>
        <v>0</v>
      </c>
      <c r="AK223" s="2"/>
      <c r="AL223" s="2"/>
    </row>
    <row r="224" spans="1:38" ht="12.75">
      <c r="A224" s="112" t="s">
        <v>331</v>
      </c>
      <c r="B224" s="65">
        <f t="shared" si="58"/>
        <v>0</v>
      </c>
      <c r="C224" s="53"/>
      <c r="D224" s="52">
        <f t="shared" si="59"/>
        <v>0</v>
      </c>
      <c r="E224" s="454">
        <f t="shared" si="60"/>
        <v>0</v>
      </c>
      <c r="F224" s="1"/>
      <c r="G224" s="54">
        <f t="shared" si="56"/>
        <v>0</v>
      </c>
      <c r="H224" s="65">
        <f t="shared" si="61"/>
        <v>0</v>
      </c>
      <c r="J224" s="54">
        <f t="shared" si="57"/>
        <v>0</v>
      </c>
      <c r="AK224" s="2"/>
      <c r="AL224" s="2"/>
    </row>
    <row r="225" spans="1:38" ht="12.75">
      <c r="A225" s="112" t="s">
        <v>332</v>
      </c>
      <c r="B225" s="65">
        <f t="shared" si="58"/>
        <v>0</v>
      </c>
      <c r="C225" s="53"/>
      <c r="D225" s="52">
        <f t="shared" si="59"/>
        <v>0</v>
      </c>
      <c r="E225" s="454">
        <f t="shared" si="60"/>
        <v>0</v>
      </c>
      <c r="F225" s="1"/>
      <c r="G225" s="54">
        <f t="shared" si="56"/>
        <v>0</v>
      </c>
      <c r="H225" s="65">
        <f t="shared" si="61"/>
        <v>0</v>
      </c>
      <c r="J225" s="54">
        <f t="shared" si="57"/>
        <v>0</v>
      </c>
      <c r="AK225" s="2"/>
      <c r="AL225" s="2"/>
    </row>
    <row r="226" spans="1:38" ht="12.75">
      <c r="A226" s="112" t="s">
        <v>322</v>
      </c>
      <c r="B226" s="65">
        <f t="shared" si="58"/>
        <v>1328</v>
      </c>
      <c r="C226" s="53"/>
      <c r="D226" s="52">
        <f t="shared" si="59"/>
        <v>43784</v>
      </c>
      <c r="E226" s="454">
        <f t="shared" si="60"/>
        <v>418</v>
      </c>
      <c r="F226" s="1"/>
      <c r="G226" s="54">
        <f t="shared" si="56"/>
        <v>14181</v>
      </c>
      <c r="H226" s="65">
        <f t="shared" si="61"/>
        <v>1746</v>
      </c>
      <c r="J226" s="54">
        <f t="shared" si="57"/>
        <v>19127</v>
      </c>
      <c r="AE226" s="6"/>
      <c r="AK226" s="2"/>
      <c r="AL226" s="2"/>
    </row>
    <row r="227" spans="1:38" ht="12.75">
      <c r="A227" s="112" t="s">
        <v>333</v>
      </c>
      <c r="B227" s="65">
        <f t="shared" si="58"/>
        <v>7688</v>
      </c>
      <c r="C227" s="53"/>
      <c r="D227" s="52">
        <f t="shared" si="59"/>
        <v>253486</v>
      </c>
      <c r="E227" s="454">
        <f t="shared" si="60"/>
        <v>2420</v>
      </c>
      <c r="F227" s="1"/>
      <c r="G227" s="54">
        <f t="shared" si="56"/>
        <v>82099</v>
      </c>
      <c r="H227" s="65">
        <f t="shared" si="61"/>
        <v>10108</v>
      </c>
      <c r="J227" s="54">
        <f t="shared" si="57"/>
        <v>110734</v>
      </c>
      <c r="AE227" s="6"/>
      <c r="AK227" s="2"/>
      <c r="AL227" s="2"/>
    </row>
    <row r="228" spans="1:38" ht="12.75">
      <c r="A228" s="112" t="s">
        <v>334</v>
      </c>
      <c r="B228" s="65">
        <f t="shared" si="58"/>
        <v>0</v>
      </c>
      <c r="C228" s="53"/>
      <c r="D228" s="52">
        <f t="shared" si="59"/>
        <v>0</v>
      </c>
      <c r="E228" s="454">
        <f t="shared" si="60"/>
        <v>0</v>
      </c>
      <c r="F228" s="1"/>
      <c r="G228" s="54">
        <f t="shared" si="56"/>
        <v>0</v>
      </c>
      <c r="H228" s="65">
        <f t="shared" si="61"/>
        <v>0</v>
      </c>
      <c r="J228" s="54">
        <f t="shared" si="57"/>
        <v>0</v>
      </c>
      <c r="AE228" s="6"/>
      <c r="AK228" s="2"/>
      <c r="AL228" s="2"/>
    </row>
    <row r="229" spans="1:38" ht="12.75">
      <c r="A229" s="112" t="s">
        <v>335</v>
      </c>
      <c r="B229" s="65">
        <f t="shared" si="58"/>
        <v>0</v>
      </c>
      <c r="C229" s="53"/>
      <c r="D229" s="52">
        <f t="shared" si="59"/>
        <v>0</v>
      </c>
      <c r="E229" s="454">
        <f t="shared" si="60"/>
        <v>0</v>
      </c>
      <c r="F229" s="1"/>
      <c r="G229" s="54">
        <f t="shared" si="56"/>
        <v>0</v>
      </c>
      <c r="H229" s="65">
        <f t="shared" si="61"/>
        <v>0</v>
      </c>
      <c r="J229" s="54">
        <f t="shared" si="57"/>
        <v>0</v>
      </c>
      <c r="AE229" s="6"/>
      <c r="AK229" s="2"/>
      <c r="AL229" s="2"/>
    </row>
    <row r="230" spans="1:38" ht="12.75">
      <c r="A230" s="112" t="s">
        <v>326</v>
      </c>
      <c r="B230" s="65">
        <f t="shared" si="58"/>
        <v>0</v>
      </c>
      <c r="C230" s="53"/>
      <c r="D230" s="52">
        <f t="shared" si="59"/>
        <v>0</v>
      </c>
      <c r="E230" s="454">
        <f t="shared" si="60"/>
        <v>0</v>
      </c>
      <c r="F230" s="1"/>
      <c r="G230" s="54">
        <f t="shared" si="56"/>
        <v>0</v>
      </c>
      <c r="H230" s="65">
        <f t="shared" si="61"/>
        <v>0</v>
      </c>
      <c r="J230" s="54">
        <f t="shared" si="57"/>
        <v>0</v>
      </c>
      <c r="AE230" s="6"/>
      <c r="AK230" s="2"/>
      <c r="AL230" s="2"/>
    </row>
    <row r="231" spans="1:38" ht="12.75">
      <c r="A231" s="112" t="s">
        <v>400</v>
      </c>
      <c r="B231" s="65">
        <f t="shared" si="58"/>
        <v>0</v>
      </c>
      <c r="C231" s="53"/>
      <c r="D231" s="52">
        <f t="shared" si="59"/>
        <v>0</v>
      </c>
      <c r="E231" s="454">
        <f t="shared" si="60"/>
        <v>0</v>
      </c>
      <c r="F231" s="1"/>
      <c r="G231" s="54">
        <f t="shared" si="56"/>
        <v>0</v>
      </c>
      <c r="H231" s="65">
        <f t="shared" si="61"/>
        <v>0</v>
      </c>
      <c r="J231" s="54">
        <f t="shared" si="57"/>
        <v>0</v>
      </c>
      <c r="AE231" s="6"/>
      <c r="AK231" s="2"/>
      <c r="AL231" s="2"/>
    </row>
    <row r="232" spans="1:38">
      <c r="A232" s="112" t="s">
        <v>376</v>
      </c>
      <c r="B232" s="356">
        <f>B216</f>
        <v>432.69230769230774</v>
      </c>
      <c r="C232" s="53"/>
      <c r="D232" s="455">
        <f>D216</f>
        <v>14267.438811188813</v>
      </c>
      <c r="E232" s="409">
        <f>E216</f>
        <v>0</v>
      </c>
      <c r="F232" s="1"/>
      <c r="G232" s="456">
        <f>G216</f>
        <v>0</v>
      </c>
      <c r="H232" s="356">
        <f>H216</f>
        <v>432.69230769230774</v>
      </c>
      <c r="J232" s="456">
        <f>J216</f>
        <v>4740.3986935389921</v>
      </c>
      <c r="AE232" s="6"/>
      <c r="AK232" s="2"/>
      <c r="AL232" s="2"/>
    </row>
    <row r="233" spans="1:38">
      <c r="A233" s="353" t="s">
        <v>229</v>
      </c>
      <c r="B233" s="457">
        <f>SUM(B220:B232)</f>
        <v>19177.692307692309</v>
      </c>
      <c r="C233" s="53"/>
      <c r="D233" s="458">
        <f>SUM(D220:D232)</f>
        <v>632313.4388111888</v>
      </c>
      <c r="E233" s="459">
        <f>SUM(E220:E232)</f>
        <v>5899</v>
      </c>
      <c r="F233" s="1"/>
      <c r="G233" s="460">
        <f>SUM(G220:G232)</f>
        <v>200172</v>
      </c>
      <c r="H233" s="457">
        <f>SUM(H220:H232)</f>
        <v>25078.692307692309</v>
      </c>
      <c r="J233" s="460">
        <f>SUM(J220:J232)</f>
        <v>274730.39869353897</v>
      </c>
      <c r="AE233" s="6"/>
      <c r="AK233" s="2"/>
      <c r="AL233" s="2"/>
    </row>
    <row r="234" spans="1:38" ht="12.75">
      <c r="A234" s="84"/>
      <c r="B234" s="85"/>
      <c r="C234" s="85"/>
      <c r="D234" s="85"/>
      <c r="E234" s="85"/>
      <c r="F234" s="85"/>
      <c r="G234" s="85"/>
      <c r="H234" s="85"/>
      <c r="I234" s="85"/>
      <c r="J234" s="87"/>
      <c r="AE234" s="6"/>
      <c r="AK234" s="2"/>
      <c r="AL234" s="2"/>
    </row>
    <row r="235" spans="1:38" ht="12.75">
      <c r="A235" s="1"/>
      <c r="B235" s="1"/>
      <c r="C235" s="1"/>
      <c r="D235" s="1"/>
      <c r="E235" s="1"/>
      <c r="F235" s="1"/>
      <c r="G235" s="1"/>
      <c r="H235" s="1"/>
      <c r="AE235" s="6"/>
      <c r="AK235" s="2"/>
      <c r="AL235" s="2"/>
    </row>
    <row r="236" spans="1:38" ht="12.75">
      <c r="A236" s="1"/>
      <c r="B236" s="1"/>
      <c r="C236" s="1"/>
      <c r="D236" s="1"/>
      <c r="E236" s="1"/>
      <c r="F236" s="1"/>
      <c r="G236" s="1"/>
      <c r="H236" s="1"/>
      <c r="AE236" s="6"/>
      <c r="AK236" s="2"/>
      <c r="AL236" s="2"/>
    </row>
    <row r="237" spans="1:38" ht="12.75">
      <c r="A237" s="385" t="s">
        <v>301</v>
      </c>
      <c r="B237" s="406"/>
      <c r="C237" s="406"/>
      <c r="D237" s="406"/>
      <c r="E237" s="406"/>
      <c r="F237" s="406"/>
      <c r="G237" s="406"/>
      <c r="H237" s="407"/>
      <c r="AE237" s="6"/>
      <c r="AK237" s="2"/>
      <c r="AL237" s="2"/>
    </row>
    <row r="238" spans="1:38">
      <c r="A238" s="33"/>
      <c r="C238" s="345" t="s">
        <v>302</v>
      </c>
      <c r="H238" s="25"/>
      <c r="AE238" s="6"/>
      <c r="AK238" s="2"/>
      <c r="AL238" s="2"/>
    </row>
    <row r="239" spans="1:38" ht="12.75">
      <c r="A239" s="33"/>
      <c r="B239" s="2" t="s">
        <v>303</v>
      </c>
      <c r="C239" s="268">
        <f>B91</f>
        <v>15150</v>
      </c>
      <c r="E239" s="844" t="s">
        <v>304</v>
      </c>
      <c r="F239" s="844"/>
      <c r="G239" s="462">
        <f>C239/C240</f>
        <v>3.7874999999999999E-2</v>
      </c>
      <c r="H239" s="25"/>
      <c r="AK239" s="2"/>
      <c r="AL239" s="2"/>
    </row>
    <row r="240" spans="1:38">
      <c r="A240" s="33"/>
      <c r="B240" s="2" t="s">
        <v>305</v>
      </c>
      <c r="C240" s="268">
        <v>400000</v>
      </c>
      <c r="H240" s="45"/>
      <c r="AJ240" s="398"/>
      <c r="AK240" s="2"/>
      <c r="AL240" s="2"/>
    </row>
    <row r="241" spans="1:38" ht="12.75">
      <c r="A241" s="33"/>
      <c r="B241" s="1"/>
      <c r="C241" s="1"/>
      <c r="D241" s="463"/>
      <c r="E241" s="1"/>
      <c r="F241" s="65"/>
      <c r="G241" s="65"/>
      <c r="H241" s="464"/>
      <c r="AC241" s="631"/>
      <c r="AD241" s="624"/>
      <c r="AE241" s="624"/>
      <c r="AF241" s="612"/>
      <c r="AG241" s="617"/>
      <c r="AH241" s="640"/>
      <c r="AI241" s="653"/>
      <c r="AK241" s="2"/>
      <c r="AL241" s="2"/>
    </row>
    <row r="242" spans="1:38" ht="36.6" customHeight="1">
      <c r="A242" s="30"/>
      <c r="B242" s="465" t="s">
        <v>135</v>
      </c>
      <c r="C242" s="465" t="s">
        <v>136</v>
      </c>
      <c r="D242" s="465" t="s">
        <v>307</v>
      </c>
      <c r="E242" s="465" t="s">
        <v>308</v>
      </c>
      <c r="F242" s="285"/>
      <c r="G242" s="285"/>
      <c r="H242" s="38"/>
      <c r="AC242" s="643"/>
      <c r="AD242" s="624"/>
      <c r="AE242" s="624"/>
      <c r="AF242" s="639"/>
      <c r="AG242" s="617"/>
      <c r="AH242" s="640"/>
      <c r="AI242" s="652"/>
      <c r="AJ242" s="83"/>
      <c r="AK242" s="2"/>
      <c r="AL242" s="2"/>
    </row>
    <row r="243" spans="1:38">
      <c r="A243" s="30" t="s">
        <v>17</v>
      </c>
      <c r="B243" s="466">
        <f>C243/12</f>
        <v>6940.27</v>
      </c>
      <c r="C243" s="821">
        <v>83283.240000000005</v>
      </c>
      <c r="D243" s="65">
        <f>$B$64</f>
        <v>15150</v>
      </c>
      <c r="E243" s="282">
        <f>C243/D243/1000</f>
        <v>5.4972435643564363E-3</v>
      </c>
      <c r="F243" s="282"/>
      <c r="G243" s="282"/>
      <c r="H243" s="38"/>
      <c r="AC243" s="651"/>
      <c r="AD243" s="612"/>
      <c r="AE243" s="612"/>
      <c r="AF243" s="642"/>
      <c r="AG243" s="645"/>
      <c r="AH243" s="646"/>
      <c r="AI243" s="654"/>
      <c r="AK243" s="2"/>
      <c r="AL243" s="2"/>
    </row>
    <row r="244" spans="1:38">
      <c r="A244" s="30" t="s">
        <v>19</v>
      </c>
      <c r="B244" s="466">
        <f>C244/12</f>
        <v>9340</v>
      </c>
      <c r="C244" s="821">
        <f>9340*12</f>
        <v>112080</v>
      </c>
      <c r="D244" s="65">
        <f>$B$64</f>
        <v>15150</v>
      </c>
      <c r="E244" s="282">
        <f>C244/D244/1000</f>
        <v>7.398019801980198E-3</v>
      </c>
      <c r="F244" s="282"/>
      <c r="G244" s="282"/>
      <c r="H244" s="38"/>
      <c r="AK244" s="2"/>
      <c r="AL244" s="2"/>
    </row>
    <row r="245" spans="1:38" ht="16.5">
      <c r="A245" s="30" t="s">
        <v>18</v>
      </c>
      <c r="B245" s="466">
        <f>+C245/12</f>
        <v>33100</v>
      </c>
      <c r="C245" s="821">
        <f>33100*12</f>
        <v>397200</v>
      </c>
      <c r="D245" s="65">
        <f>$B$64</f>
        <v>15150</v>
      </c>
      <c r="E245" s="468">
        <f t="shared" ref="E245" si="62">C245/D245/1000</f>
        <v>2.6217821782178217E-2</v>
      </c>
      <c r="F245" s="282"/>
      <c r="G245" s="282"/>
      <c r="H245" s="38"/>
      <c r="AK245" s="2"/>
      <c r="AL245" s="2"/>
    </row>
    <row r="246" spans="1:38">
      <c r="A246" s="30" t="s">
        <v>72</v>
      </c>
      <c r="B246" s="63"/>
      <c r="C246" s="1"/>
      <c r="D246" s="63"/>
      <c r="E246" s="469">
        <f>SUM(E243:E245)</f>
        <v>3.9113085148514852E-2</v>
      </c>
      <c r="F246" s="282"/>
      <c r="G246" s="282"/>
      <c r="H246" s="38"/>
      <c r="AK246" s="2"/>
      <c r="AL246" s="2"/>
    </row>
    <row r="247" spans="1:38" ht="12.75">
      <c r="A247" s="59"/>
      <c r="B247" s="41"/>
      <c r="C247" s="41"/>
      <c r="D247" s="41"/>
      <c r="E247" s="41"/>
      <c r="F247" s="41"/>
      <c r="G247" s="41"/>
      <c r="H247" s="42"/>
      <c r="AK247" s="2"/>
      <c r="AL247" s="2"/>
    </row>
    <row r="248" spans="1:38">
      <c r="AJ248" s="398"/>
      <c r="AK248" s="2"/>
      <c r="AL248" s="2"/>
    </row>
    <row r="249" spans="1:38">
      <c r="B249" s="2" t="s">
        <v>7</v>
      </c>
      <c r="AC249" s="638"/>
      <c r="AD249" s="624"/>
      <c r="AE249" s="624"/>
      <c r="AF249" s="639"/>
      <c r="AG249" s="617"/>
      <c r="AH249" s="640"/>
      <c r="AI249" s="652"/>
      <c r="AK249" s="2"/>
      <c r="AL249" s="2"/>
    </row>
    <row r="250" spans="1:38">
      <c r="B250" s="2" t="s">
        <v>7</v>
      </c>
      <c r="AC250" s="638"/>
      <c r="AD250" s="624"/>
      <c r="AE250" s="624"/>
      <c r="AF250" s="639"/>
      <c r="AG250" s="617"/>
      <c r="AH250" s="640"/>
      <c r="AI250" s="652"/>
      <c r="AK250" s="2"/>
      <c r="AL250" s="2"/>
    </row>
    <row r="251" spans="1:38">
      <c r="B251" s="2" t="s">
        <v>7</v>
      </c>
      <c r="AC251" s="638"/>
      <c r="AD251" s="624"/>
      <c r="AE251" s="624"/>
      <c r="AF251" s="639"/>
      <c r="AG251" s="617"/>
      <c r="AH251" s="640"/>
      <c r="AI251" s="652"/>
      <c r="AK251" s="2"/>
      <c r="AL251" s="2"/>
    </row>
    <row r="252" spans="1:38">
      <c r="B252" s="2" t="s">
        <v>7</v>
      </c>
      <c r="H252" s="262"/>
      <c r="AC252" s="638"/>
      <c r="AD252" s="624"/>
      <c r="AE252" s="624"/>
      <c r="AF252" s="639"/>
      <c r="AG252" s="617"/>
      <c r="AH252" s="640"/>
      <c r="AI252" s="652"/>
      <c r="AK252" s="2"/>
      <c r="AL252" s="2"/>
    </row>
    <row r="253" spans="1:38">
      <c r="B253" s="2" t="s">
        <v>7</v>
      </c>
      <c r="H253" s="271"/>
      <c r="AC253" s="638"/>
      <c r="AD253" s="624"/>
      <c r="AE253" s="624"/>
      <c r="AF253" s="639"/>
      <c r="AG253" s="617"/>
      <c r="AH253" s="640"/>
      <c r="AI253" s="652"/>
      <c r="AK253" s="2"/>
      <c r="AL253" s="2"/>
    </row>
    <row r="254" spans="1:38">
      <c r="A254" s="1"/>
      <c r="B254" s="1"/>
      <c r="C254" s="1"/>
      <c r="D254" s="470"/>
      <c r="E254" s="1"/>
      <c r="F254" s="1"/>
      <c r="G254" s="1"/>
      <c r="H254" s="39"/>
      <c r="AC254" s="638"/>
      <c r="AD254" s="624"/>
      <c r="AE254" s="624"/>
      <c r="AF254" s="639"/>
      <c r="AG254" s="617"/>
      <c r="AH254" s="640"/>
      <c r="AI254" s="652"/>
      <c r="AK254" s="2"/>
      <c r="AL254" s="2"/>
    </row>
    <row r="255" spans="1:38" ht="16.5">
      <c r="A255" s="1"/>
      <c r="B255" s="1"/>
      <c r="C255" s="1"/>
      <c r="D255" s="1"/>
      <c r="E255" s="1"/>
      <c r="F255" s="1"/>
      <c r="G255" s="1"/>
      <c r="H255" s="1"/>
      <c r="AC255" s="643"/>
      <c r="AD255" s="624"/>
      <c r="AE255" s="624"/>
      <c r="AF255" s="639"/>
      <c r="AG255" s="617"/>
      <c r="AH255" s="640"/>
      <c r="AI255" s="652"/>
      <c r="AJ255" s="83"/>
      <c r="AK255" s="2"/>
      <c r="AL255" s="2"/>
    </row>
    <row r="256" spans="1:38">
      <c r="A256" s="1"/>
      <c r="B256" s="845"/>
      <c r="C256" s="845"/>
      <c r="D256" s="845"/>
      <c r="E256" s="1"/>
      <c r="F256" s="845"/>
      <c r="G256" s="845"/>
      <c r="H256" s="845"/>
      <c r="AC256" s="651"/>
      <c r="AD256" s="612"/>
      <c r="AE256" s="612"/>
      <c r="AF256" s="642"/>
      <c r="AG256" s="645"/>
      <c r="AH256" s="646"/>
      <c r="AI256" s="652"/>
      <c r="AK256" s="2"/>
      <c r="AL256" s="2"/>
    </row>
    <row r="257" spans="1:38" ht="12.75">
      <c r="A257" s="1"/>
      <c r="B257" s="471"/>
      <c r="C257" s="471"/>
      <c r="D257" s="472"/>
      <c r="E257" s="5"/>
      <c r="F257" s="471"/>
      <c r="G257" s="471"/>
      <c r="H257" s="472"/>
      <c r="AK257" s="2"/>
      <c r="AL257" s="2"/>
    </row>
    <row r="258" spans="1:38" ht="12.75">
      <c r="A258" s="1"/>
      <c r="B258" s="1"/>
      <c r="C258" s="473"/>
      <c r="D258" s="474"/>
      <c r="E258" s="1"/>
      <c r="F258" s="1"/>
      <c r="G258" s="473"/>
      <c r="H258" s="474"/>
      <c r="AK258" s="2"/>
      <c r="AL258" s="2"/>
    </row>
    <row r="259" spans="1:38" ht="12.75">
      <c r="A259" s="1"/>
      <c r="B259" s="1"/>
      <c r="C259" s="473"/>
      <c r="D259" s="463"/>
      <c r="E259" s="1"/>
      <c r="F259" s="1"/>
      <c r="G259" s="473"/>
      <c r="H259" s="463"/>
      <c r="AK259" s="2"/>
      <c r="AL259" s="2"/>
    </row>
    <row r="260" spans="1:38" ht="12.75">
      <c r="A260" s="1"/>
      <c r="B260" s="1"/>
      <c r="C260" s="475"/>
      <c r="D260" s="463"/>
      <c r="E260" s="1"/>
      <c r="F260" s="1"/>
      <c r="G260" s="475"/>
      <c r="H260" s="463"/>
      <c r="AK260" s="2"/>
      <c r="AL260" s="2"/>
    </row>
    <row r="261" spans="1:38" ht="12.75">
      <c r="A261" s="1"/>
      <c r="B261" s="1"/>
      <c r="C261" s="476"/>
      <c r="D261" s="463"/>
      <c r="E261" s="1"/>
      <c r="F261" s="1"/>
      <c r="G261" s="476"/>
      <c r="H261" s="463"/>
      <c r="AK261" s="2"/>
      <c r="AL261" s="2"/>
    </row>
    <row r="262" spans="1:38" ht="12.75">
      <c r="A262" s="1"/>
      <c r="B262" s="1"/>
      <c r="C262" s="477"/>
      <c r="D262" s="463"/>
      <c r="E262" s="1"/>
      <c r="F262" s="1"/>
      <c r="G262" s="477"/>
      <c r="H262" s="463"/>
      <c r="AK262" s="2"/>
      <c r="AL262" s="2"/>
    </row>
    <row r="263" spans="1:38" ht="12.75">
      <c r="A263" s="1"/>
      <c r="B263" s="1"/>
      <c r="C263" s="475"/>
      <c r="D263" s="463"/>
      <c r="E263" s="1"/>
      <c r="F263" s="1"/>
      <c r="G263" s="475"/>
      <c r="H263" s="463"/>
      <c r="AK263" s="2"/>
      <c r="AL263" s="2"/>
    </row>
    <row r="264" spans="1:38">
      <c r="A264" s="1"/>
      <c r="B264" s="1"/>
      <c r="C264" s="478"/>
      <c r="D264" s="479"/>
      <c r="E264" s="1"/>
      <c r="F264" s="1"/>
      <c r="G264" s="478"/>
      <c r="H264" s="479"/>
      <c r="AK264" s="2"/>
      <c r="AL264" s="2"/>
    </row>
    <row r="265" spans="1:38">
      <c r="A265" s="1"/>
      <c r="B265" s="1"/>
      <c r="C265" s="1"/>
      <c r="D265" s="480"/>
      <c r="E265" s="1"/>
      <c r="F265" s="1"/>
      <c r="G265" s="1"/>
      <c r="H265" s="480"/>
      <c r="AK265" s="2"/>
      <c r="AL265" s="2"/>
    </row>
    <row r="266" spans="1:38" ht="12.75">
      <c r="A266" s="1"/>
      <c r="B266" s="1"/>
      <c r="C266" s="1"/>
      <c r="D266" s="1"/>
      <c r="E266" s="1"/>
      <c r="F266" s="1"/>
      <c r="G266" s="1"/>
      <c r="H266" s="1"/>
      <c r="AK266" s="2"/>
      <c r="AL266" s="2"/>
    </row>
    <row r="267" spans="1:38" ht="12.75">
      <c r="A267" s="1"/>
      <c r="B267" s="1"/>
      <c r="C267" s="1"/>
      <c r="D267" s="1"/>
      <c r="E267" s="1"/>
      <c r="F267" s="1"/>
      <c r="G267" s="1"/>
      <c r="H267" s="1"/>
      <c r="AK267" s="2"/>
      <c r="AL267" s="2"/>
    </row>
    <row r="268" spans="1:38" ht="12.75">
      <c r="A268" s="1"/>
      <c r="B268" s="1"/>
      <c r="C268" s="1"/>
      <c r="D268" s="1"/>
      <c r="E268" s="1"/>
      <c r="F268" s="1"/>
      <c r="G268" s="1"/>
      <c r="H268" s="1"/>
      <c r="AK268" s="2"/>
      <c r="AL268" s="2"/>
    </row>
    <row r="269" spans="1:38" ht="12.75">
      <c r="A269" s="1"/>
      <c r="B269" s="1"/>
      <c r="C269" s="1"/>
      <c r="D269" s="1"/>
      <c r="E269" s="1"/>
      <c r="F269" s="1"/>
      <c r="G269" s="1"/>
      <c r="H269" s="1"/>
      <c r="AK269" s="2"/>
      <c r="AL269" s="2"/>
    </row>
    <row r="270" spans="1:38">
      <c r="A270" s="1"/>
      <c r="B270" s="481"/>
      <c r="C270" s="481"/>
      <c r="D270" s="1"/>
      <c r="E270" s="1"/>
      <c r="F270" s="1"/>
      <c r="G270" s="1"/>
      <c r="H270" s="1"/>
      <c r="AK270" s="2"/>
      <c r="AL270" s="2"/>
    </row>
    <row r="271" spans="1:38" ht="12.75">
      <c r="A271" s="1"/>
      <c r="B271" s="70"/>
      <c r="C271" s="70"/>
      <c r="D271" s="1"/>
      <c r="E271" s="1"/>
      <c r="F271" s="1"/>
      <c r="G271" s="1"/>
      <c r="H271" s="1"/>
      <c r="AK271" s="2"/>
      <c r="AL271" s="2"/>
    </row>
    <row r="272" spans="1:38" ht="12.75">
      <c r="A272" s="1"/>
      <c r="B272" s="70"/>
      <c r="C272" s="482"/>
      <c r="D272" s="1"/>
      <c r="E272" s="1"/>
      <c r="F272" s="1"/>
      <c r="G272" s="1"/>
      <c r="H272" s="1"/>
      <c r="AK272" s="2"/>
      <c r="AL272" s="2"/>
    </row>
    <row r="273" spans="1:38" ht="12.75">
      <c r="A273" s="1"/>
      <c r="B273" s="70"/>
      <c r="C273" s="70"/>
      <c r="D273" s="1"/>
      <c r="E273" s="1"/>
      <c r="F273" s="1"/>
      <c r="G273" s="1"/>
      <c r="H273" s="1"/>
      <c r="AK273" s="2"/>
      <c r="AL273" s="2"/>
    </row>
    <row r="274" spans="1:38" ht="12.75">
      <c r="A274" s="1"/>
      <c r="B274" s="70"/>
      <c r="C274" s="70"/>
      <c r="D274" s="1"/>
      <c r="E274" s="1"/>
      <c r="F274" s="1"/>
      <c r="G274" s="1"/>
      <c r="H274" s="1"/>
      <c r="AK274" s="2"/>
      <c r="AL274" s="2"/>
    </row>
    <row r="275" spans="1:38" ht="12.75">
      <c r="AK275" s="2"/>
      <c r="AL275" s="2"/>
    </row>
    <row r="276" spans="1:38" ht="12.75">
      <c r="AK276" s="2"/>
      <c r="AL276" s="2"/>
    </row>
    <row r="277" spans="1:38" ht="12.75">
      <c r="AK277" s="2"/>
      <c r="AL277" s="2"/>
    </row>
    <row r="278" spans="1:38" ht="12.75">
      <c r="AK278" s="2"/>
      <c r="AL278" s="2"/>
    </row>
    <row r="279" spans="1:38" ht="12.75">
      <c r="AK279" s="2"/>
      <c r="AL279" s="2"/>
    </row>
    <row r="280" spans="1:38" ht="12.75">
      <c r="AK280" s="2"/>
      <c r="AL280" s="2"/>
    </row>
  </sheetData>
  <sheetProtection formatCells="0" formatColumns="0" formatRows="0"/>
  <mergeCells count="66">
    <mergeCell ref="E239:F239"/>
    <mergeCell ref="B256:D256"/>
    <mergeCell ref="F256:H256"/>
    <mergeCell ref="R184:S184"/>
    <mergeCell ref="R185:S185"/>
    <mergeCell ref="E193:F193"/>
    <mergeCell ref="B209:D209"/>
    <mergeCell ref="E209:G209"/>
    <mergeCell ref="H209:J209"/>
    <mergeCell ref="R183:S183"/>
    <mergeCell ref="R170:S170"/>
    <mergeCell ref="R171:S171"/>
    <mergeCell ref="R173:S173"/>
    <mergeCell ref="R174:S174"/>
    <mergeCell ref="R175:S175"/>
    <mergeCell ref="R176:S176"/>
    <mergeCell ref="R177:S177"/>
    <mergeCell ref="R178:S178"/>
    <mergeCell ref="R180:S180"/>
    <mergeCell ref="R181:S181"/>
    <mergeCell ref="R182:S182"/>
    <mergeCell ref="R167:S167"/>
    <mergeCell ref="R168:S168"/>
    <mergeCell ref="D169:E169"/>
    <mergeCell ref="F169:G169"/>
    <mergeCell ref="H169:I169"/>
    <mergeCell ref="J169:K169"/>
    <mergeCell ref="L169:M169"/>
    <mergeCell ref="N169:O169"/>
    <mergeCell ref="R169:S169"/>
    <mergeCell ref="N162:O162"/>
    <mergeCell ref="D125:E125"/>
    <mergeCell ref="F125:G125"/>
    <mergeCell ref="H125:I125"/>
    <mergeCell ref="J125:K125"/>
    <mergeCell ref="L125:M125"/>
    <mergeCell ref="N125:O125"/>
    <mergeCell ref="D162:E162"/>
    <mergeCell ref="F162:G162"/>
    <mergeCell ref="H162:I162"/>
    <mergeCell ref="J162:K162"/>
    <mergeCell ref="L162:M162"/>
    <mergeCell ref="Q34:S34"/>
    <mergeCell ref="B67:D67"/>
    <mergeCell ref="D95:E95"/>
    <mergeCell ref="F95:G95"/>
    <mergeCell ref="H95:I95"/>
    <mergeCell ref="J95:K95"/>
    <mergeCell ref="L95:M95"/>
    <mergeCell ref="N95:O95"/>
    <mergeCell ref="B34:D34"/>
    <mergeCell ref="E34:G34"/>
    <mergeCell ref="H34:J34"/>
    <mergeCell ref="K34:M34"/>
    <mergeCell ref="N34:P34"/>
    <mergeCell ref="AA23:AB23"/>
    <mergeCell ref="AA24:AB24"/>
    <mergeCell ref="AA27:AB27"/>
    <mergeCell ref="AA28:AB28"/>
    <mergeCell ref="AA29:AB29"/>
    <mergeCell ref="Q3:S3"/>
    <mergeCell ref="B3:D3"/>
    <mergeCell ref="E3:G3"/>
    <mergeCell ref="H3:J3"/>
    <mergeCell ref="K3:M3"/>
    <mergeCell ref="N3:P3"/>
  </mergeCells>
  <printOptions horizontalCentered="1"/>
  <pageMargins left="0.25" right="0.25" top="0.5" bottom="0.25" header="0" footer="0"/>
  <pageSetup paperSize="5" scale="70" fitToHeight="4" orientation="landscape" r:id="rId1"/>
  <headerFooter alignWithMargins="0">
    <oddHeader>&amp;A</oddHeader>
  </headerFooter>
  <rowBreaks count="3" manualBreakCount="3">
    <brk id="92" max="15" man="1"/>
    <brk id="177" max="15" man="1"/>
    <brk id="189" max="15" man="1"/>
  </rowBreaks>
  <ignoredErrors>
    <ignoredError sqref="B98:B101" unlocked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77"/>
  <sheetViews>
    <sheetView zoomScaleNormal="100" workbookViewId="0">
      <pane xSplit="1" ySplit="2" topLeftCell="B33" activePane="bottomRight" state="frozenSplit"/>
      <selection pane="topRight" activeCell="B1" sqref="B1"/>
      <selection pane="bottomLeft" activeCell="A3" sqref="A3"/>
      <selection pane="bottomRight" activeCell="H47" sqref="H47:H52"/>
    </sheetView>
  </sheetViews>
  <sheetFormatPr defaultColWidth="10.7109375" defaultRowHeight="15" outlineLevelCol="1"/>
  <cols>
    <col min="1" max="1" width="35.7109375" style="2" bestFit="1" customWidth="1"/>
    <col min="2" max="2" width="15.28515625" style="2" customWidth="1"/>
    <col min="3" max="3" width="13.28515625" style="2" customWidth="1"/>
    <col min="4" max="5" width="12.28515625" style="2" customWidth="1"/>
    <col min="6" max="6" width="9.7109375" style="2" customWidth="1"/>
    <col min="7" max="8" width="12.28515625" style="2" customWidth="1"/>
    <col min="9" max="9" width="9.7109375" style="2" customWidth="1"/>
    <col min="10" max="10" width="12.28515625" style="2" customWidth="1"/>
    <col min="11" max="11" width="15" style="2" customWidth="1"/>
    <col min="12" max="12" width="9.7109375" style="2" customWidth="1"/>
    <col min="13" max="14" width="12.28515625" style="2" customWidth="1"/>
    <col min="15" max="15" width="9.7109375" style="2" customWidth="1"/>
    <col min="16" max="16" width="12.28515625" style="2" customWidth="1"/>
    <col min="17" max="17" width="13.28515625" style="2" customWidth="1"/>
    <col min="18" max="18" width="9.7109375" style="2" customWidth="1"/>
    <col min="19" max="19" width="12.28515625" style="2" customWidth="1"/>
    <col min="20" max="21" width="1.7109375" style="2" customWidth="1"/>
    <col min="22" max="22" width="10.7109375" style="2" customWidth="1"/>
    <col min="23" max="23" width="13" style="2" customWidth="1"/>
    <col min="24" max="24" width="12.7109375" style="2" customWidth="1"/>
    <col min="25" max="26" width="1.7109375" style="2" customWidth="1"/>
    <col min="27" max="27" width="4.7109375" style="2" customWidth="1" outlineLevel="1"/>
    <col min="28" max="28" width="7.7109375" style="2" customWidth="1" outlineLevel="1"/>
    <col min="29" max="29" width="12.28515625" style="2" customWidth="1" outlineLevel="1"/>
    <col min="30" max="30" width="15.28515625" style="2" customWidth="1" outlineLevel="1"/>
    <col min="31" max="31" width="12.28515625" style="2" customWidth="1" outlineLevel="1"/>
    <col min="32" max="33" width="12.42578125" style="2" customWidth="1" outlineLevel="1"/>
    <col min="34" max="34" width="11.7109375" style="2" bestFit="1" customWidth="1" outlineLevel="1"/>
    <col min="35" max="35" width="12.28515625" style="2" bestFit="1" customWidth="1" outlineLevel="1"/>
    <col min="36" max="36" width="10.7109375" style="2" customWidth="1" outlineLevel="1"/>
    <col min="37" max="37" width="11.28515625" customWidth="1" outlineLevel="1"/>
    <col min="38" max="38" width="11.28515625" customWidth="1"/>
    <col min="39" max="39" width="10.7109375" style="2" customWidth="1"/>
    <col min="40" max="40" width="11" style="2" customWidth="1"/>
    <col min="41" max="41" width="11.28515625" style="2" bestFit="1" customWidth="1"/>
    <col min="42" max="42" width="10.7109375" style="2" customWidth="1"/>
    <col min="43" max="245" width="8.7109375" style="2" customWidth="1"/>
    <col min="246" max="16384" width="10.7109375" style="2"/>
  </cols>
  <sheetData>
    <row r="1" spans="1:36" s="2" customFormat="1" ht="19.5">
      <c r="A1" s="239" t="s">
        <v>364</v>
      </c>
      <c r="B1" s="297"/>
      <c r="C1" s="297"/>
      <c r="D1" s="297"/>
      <c r="E1" s="297"/>
      <c r="F1" s="297"/>
      <c r="G1" s="297"/>
      <c r="H1" s="297"/>
      <c r="AA1" s="603"/>
      <c r="AB1" s="604" t="s">
        <v>210</v>
      </c>
      <c r="AC1" s="605">
        <v>10001005</v>
      </c>
      <c r="AD1" s="605">
        <v>10001005</v>
      </c>
      <c r="AE1" s="606" t="s">
        <v>211</v>
      </c>
      <c r="AF1" s="606" t="s">
        <v>212</v>
      </c>
      <c r="AG1" s="605">
        <v>10001005</v>
      </c>
      <c r="AH1" s="606" t="s">
        <v>184</v>
      </c>
      <c r="AI1" s="605">
        <v>10001005</v>
      </c>
      <c r="AJ1" s="606" t="s">
        <v>186</v>
      </c>
    </row>
    <row r="2" spans="1:36" s="2" customFormat="1" ht="15.75">
      <c r="A2" s="240" t="s">
        <v>437</v>
      </c>
      <c r="B2" s="288"/>
      <c r="C2" s="288"/>
      <c r="D2" s="288"/>
      <c r="E2" s="288"/>
      <c r="F2" s="288"/>
      <c r="G2" s="288"/>
      <c r="H2" s="288"/>
      <c r="AA2" s="607" t="s">
        <v>79</v>
      </c>
      <c r="AB2" s="608" t="s">
        <v>214</v>
      </c>
      <c r="AC2" s="609" t="s">
        <v>64</v>
      </c>
      <c r="AD2" s="609" t="s">
        <v>81</v>
      </c>
      <c r="AE2" s="610" t="s">
        <v>57</v>
      </c>
      <c r="AF2" s="606" t="s">
        <v>215</v>
      </c>
      <c r="AG2" s="609" t="s">
        <v>181</v>
      </c>
      <c r="AH2" s="610" t="s">
        <v>57</v>
      </c>
      <c r="AI2" s="611" t="s">
        <v>185</v>
      </c>
      <c r="AJ2" s="610" t="s">
        <v>187</v>
      </c>
    </row>
    <row r="3" spans="1:36" s="2" customFormat="1" ht="19.899999999999999" customHeight="1" thickBot="1">
      <c r="A3" s="1" t="s">
        <v>7</v>
      </c>
      <c r="B3" s="856" t="s">
        <v>316</v>
      </c>
      <c r="C3" s="857"/>
      <c r="D3" s="858"/>
      <c r="E3" s="860" t="s">
        <v>408</v>
      </c>
      <c r="F3" s="861"/>
      <c r="G3" s="862"/>
      <c r="H3" s="868" t="s">
        <v>318</v>
      </c>
      <c r="I3" s="869"/>
      <c r="J3" s="870"/>
      <c r="K3" s="856" t="s">
        <v>319</v>
      </c>
      <c r="L3" s="857"/>
      <c r="M3" s="858"/>
      <c r="N3" s="868" t="s">
        <v>440</v>
      </c>
      <c r="O3" s="869"/>
      <c r="P3" s="870"/>
      <c r="Q3" s="868" t="s">
        <v>321</v>
      </c>
      <c r="R3" s="869"/>
      <c r="S3" s="870"/>
      <c r="AA3" s="612"/>
      <c r="AB3" s="612"/>
      <c r="AC3" s="612"/>
      <c r="AD3" s="612"/>
      <c r="AE3" s="612"/>
      <c r="AF3" s="612"/>
      <c r="AG3" s="612"/>
      <c r="AH3" s="612"/>
      <c r="AI3" s="612"/>
      <c r="AJ3" s="612"/>
    </row>
    <row r="4" spans="1:36" s="4" customFormat="1">
      <c r="A4" s="5"/>
      <c r="B4" s="715" t="s">
        <v>432</v>
      </c>
      <c r="C4" s="716" t="s">
        <v>402</v>
      </c>
      <c r="D4" s="716" t="s">
        <v>432</v>
      </c>
      <c r="E4" s="304" t="s">
        <v>438</v>
      </c>
      <c r="F4" s="670" t="s">
        <v>402</v>
      </c>
      <c r="G4" s="306" t="str">
        <f>+D4</f>
        <v>21 Standard</v>
      </c>
      <c r="H4" s="304" t="s">
        <v>438</v>
      </c>
      <c r="I4" s="670" t="str">
        <f>+C4</f>
        <v>19 Actual</v>
      </c>
      <c r="J4" s="306" t="str">
        <f>+D4</f>
        <v>21 Standard</v>
      </c>
      <c r="K4" s="715" t="s">
        <v>432</v>
      </c>
      <c r="L4" s="716" t="s">
        <v>218</v>
      </c>
      <c r="M4" s="717" t="str">
        <f>+D4</f>
        <v>21 Standard</v>
      </c>
      <c r="N4" s="304" t="s">
        <v>438</v>
      </c>
      <c r="O4" s="305" t="s">
        <v>442</v>
      </c>
      <c r="P4" s="306" t="str">
        <f>+D4</f>
        <v>21 Standard</v>
      </c>
      <c r="Q4" s="304" t="s">
        <v>438</v>
      </c>
      <c r="R4" s="670" t="s">
        <v>218</v>
      </c>
      <c r="S4" s="306" t="str">
        <f>+D4</f>
        <v>21 Standard</v>
      </c>
      <c r="V4" s="530" t="s">
        <v>220</v>
      </c>
      <c r="W4" s="531" t="s">
        <v>183</v>
      </c>
      <c r="X4" s="532" t="s">
        <v>374</v>
      </c>
      <c r="AA4" s="613"/>
      <c r="AB4" s="613"/>
      <c r="AC4" s="613"/>
      <c r="AD4" s="613"/>
      <c r="AE4" s="613"/>
      <c r="AF4" s="613"/>
      <c r="AG4" s="613"/>
      <c r="AH4" s="613"/>
      <c r="AI4" s="613"/>
      <c r="AJ4" s="613"/>
    </row>
    <row r="5" spans="1:36" s="4" customFormat="1" ht="12.75">
      <c r="B5" s="718"/>
      <c r="C5" s="719" t="s">
        <v>401</v>
      </c>
      <c r="D5" s="720"/>
      <c r="E5" s="307"/>
      <c r="F5" s="394" t="s">
        <v>401</v>
      </c>
      <c r="G5" s="308"/>
      <c r="H5" s="307"/>
      <c r="I5" s="394" t="str">
        <f>+C5</f>
        <v>(Jan-Sept)</v>
      </c>
      <c r="J5" s="308"/>
      <c r="K5" s="718"/>
      <c r="L5" s="719" t="s">
        <v>221</v>
      </c>
      <c r="M5" s="720"/>
      <c r="N5" s="307"/>
      <c r="O5" s="111"/>
      <c r="P5" s="308"/>
      <c r="Q5" s="307"/>
      <c r="R5" s="394" t="s">
        <v>222</v>
      </c>
      <c r="S5" s="308"/>
      <c r="V5" s="309"/>
      <c r="W5" s="256"/>
      <c r="X5" s="310"/>
      <c r="AA5" s="614"/>
      <c r="AB5" s="612"/>
      <c r="AC5" s="615"/>
      <c r="AD5" s="613"/>
      <c r="AE5" s="613"/>
      <c r="AF5" s="613"/>
      <c r="AG5" s="615"/>
      <c r="AH5" s="613"/>
      <c r="AI5" s="615"/>
      <c r="AJ5" s="613"/>
    </row>
    <row r="6" spans="1:36">
      <c r="A6" s="6" t="s">
        <v>223</v>
      </c>
      <c r="B6" s="721">
        <f>E120</f>
        <v>0.18382013285525819</v>
      </c>
      <c r="C6" s="722">
        <v>0.16092997508923548</v>
      </c>
      <c r="D6" s="723">
        <v>0.16395289918884523</v>
      </c>
      <c r="E6" s="312">
        <f>G120</f>
        <v>0.1888436477955624</v>
      </c>
      <c r="F6" s="671">
        <v>0.15896740504648074</v>
      </c>
      <c r="G6" s="313">
        <v>0.13998073912350598</v>
      </c>
      <c r="H6" s="312">
        <f>+I120</f>
        <v>0.41938749418874949</v>
      </c>
      <c r="I6" s="671">
        <v>0.30191317244168803</v>
      </c>
      <c r="J6" s="313">
        <v>0.28067655000000002</v>
      </c>
      <c r="K6" s="721">
        <f>K120</f>
        <v>0.19651962793630773</v>
      </c>
      <c r="L6" s="722">
        <v>0.18307969415103262</v>
      </c>
      <c r="M6" s="723">
        <v>0.15362762099952701</v>
      </c>
      <c r="N6" s="312">
        <f>+M101</f>
        <v>0.80389422361692242</v>
      </c>
      <c r="O6" s="190">
        <v>0</v>
      </c>
      <c r="P6" s="313">
        <v>0</v>
      </c>
      <c r="Q6" s="312">
        <f>+O99</f>
        <v>0.19086145404663921</v>
      </c>
      <c r="R6" s="671">
        <v>0.15968840601565604</v>
      </c>
      <c r="S6" s="313">
        <v>0.14400712302208574</v>
      </c>
      <c r="V6" s="315">
        <f>($B6*$B$29+$E6*$E$29+$H6*$H$29+$K6*$K$29+$N6*$N$29+$Q6*$Q$29+$B37*$B$60+$E37*$E$60+$H37*$H$60+$K37*$K$60+$N37*$N$60+$Q37*$Q$60)/$B$64</f>
        <v>0.29305179806879972</v>
      </c>
      <c r="W6" s="249">
        <f>V6</f>
        <v>0.29305179806879972</v>
      </c>
      <c r="X6" s="316"/>
      <c r="AA6" s="614"/>
      <c r="AB6" s="612"/>
      <c r="AC6" s="616"/>
      <c r="AD6" s="612"/>
      <c r="AE6" s="612"/>
      <c r="AF6" s="612"/>
      <c r="AG6" s="616"/>
      <c r="AH6" s="612"/>
      <c r="AI6" s="616"/>
      <c r="AJ6" s="612"/>
    </row>
    <row r="7" spans="1:36">
      <c r="A7" s="500" t="s">
        <v>362</v>
      </c>
      <c r="B7" s="724">
        <f>$C98*D98</f>
        <v>0</v>
      </c>
      <c r="C7" s="725"/>
      <c r="D7" s="726">
        <v>0</v>
      </c>
      <c r="E7" s="317">
        <f>$C98*F98</f>
        <v>0</v>
      </c>
      <c r="F7" s="40"/>
      <c r="G7" s="318">
        <v>8.6431060398406367E-2</v>
      </c>
      <c r="H7" s="317">
        <f>$C98*I98</f>
        <v>0</v>
      </c>
      <c r="I7" s="40"/>
      <c r="J7" s="318">
        <v>0.22562455300000001</v>
      </c>
      <c r="K7" s="724">
        <f>$C98*J98</f>
        <v>0</v>
      </c>
      <c r="L7" s="725"/>
      <c r="M7" s="726">
        <v>9.4857323033265009E-2</v>
      </c>
      <c r="N7" s="317">
        <f>$C98*O98</f>
        <v>0</v>
      </c>
      <c r="O7" s="10"/>
      <c r="P7" s="318">
        <v>0</v>
      </c>
      <c r="Q7" s="317"/>
      <c r="R7" s="40"/>
      <c r="S7" s="318">
        <v>8.8917149785448915E-2</v>
      </c>
      <c r="V7" s="315">
        <v>0</v>
      </c>
      <c r="W7" s="249">
        <v>0</v>
      </c>
      <c r="X7" s="320"/>
      <c r="AA7" s="614"/>
      <c r="AB7" s="617"/>
      <c r="AC7" s="618"/>
      <c r="AD7" s="619"/>
      <c r="AE7" s="620"/>
      <c r="AF7" s="621"/>
      <c r="AG7" s="616"/>
      <c r="AH7" s="620"/>
      <c r="AI7" s="618"/>
      <c r="AJ7" s="622"/>
    </row>
    <row r="8" spans="1:36">
      <c r="A8" s="6" t="s">
        <v>373</v>
      </c>
      <c r="B8" s="724">
        <f>E121+E122</f>
        <v>4.3939979999999997E-2</v>
      </c>
      <c r="C8" s="725">
        <v>5.190379416087533E-2</v>
      </c>
      <c r="D8" s="726">
        <v>3.8078000000000001E-2</v>
      </c>
      <c r="E8" s="317">
        <f>G121+G122</f>
        <v>6.0015662025301911E-2</v>
      </c>
      <c r="F8" s="40">
        <v>5.3990670916334665E-2</v>
      </c>
      <c r="G8" s="318">
        <v>5.3042779181131469E-2</v>
      </c>
      <c r="H8" s="773">
        <f>+I121+I122</f>
        <v>5.6384154242212922E-2</v>
      </c>
      <c r="I8" s="40">
        <v>5.384575974113523E-2</v>
      </c>
      <c r="J8" s="318">
        <v>4.7107900000000008E-2</v>
      </c>
      <c r="K8" s="724">
        <f>K121+K122</f>
        <v>7.0148363999999991E-2</v>
      </c>
      <c r="L8" s="725">
        <v>7.1924562509853379E-2</v>
      </c>
      <c r="M8" s="726">
        <v>0.15903358032476744</v>
      </c>
      <c r="N8" s="773">
        <f>+M121+M122</f>
        <v>5.6384154242212922E-2</v>
      </c>
      <c r="O8" s="10">
        <v>0</v>
      </c>
      <c r="P8" s="318">
        <v>0</v>
      </c>
      <c r="Q8" s="773">
        <f>+O121+O122</f>
        <v>8.7415456104252401E-2</v>
      </c>
      <c r="R8" s="40">
        <v>7.2759576655744868E-2</v>
      </c>
      <c r="S8" s="318">
        <v>7.4666525309022111E-2</v>
      </c>
      <c r="V8" s="315">
        <f t="shared" ref="V8:V13" si="0">($B8*$B$29+$E8*$E$29+$H8*$H$29+$K8*$K$29+$N8*$N$29+$Q8*$Q$29+$B39*$B$60+$E39*$E$60+$H39*$H$60+$K39*$K$60+$N39*$N$60+$Q39*$Q$60)/$B$64</f>
        <v>5.9937246797306297E-2</v>
      </c>
      <c r="W8" s="249">
        <f>V8</f>
        <v>5.9937246797306297E-2</v>
      </c>
      <c r="X8" s="320">
        <f>V8-W8</f>
        <v>0</v>
      </c>
      <c r="AA8" s="614"/>
      <c r="AB8" s="617"/>
      <c r="AC8" s="618"/>
      <c r="AD8" s="619"/>
      <c r="AE8" s="620"/>
      <c r="AF8" s="621"/>
      <c r="AG8" s="616"/>
      <c r="AH8" s="620"/>
      <c r="AI8" s="618"/>
      <c r="AJ8" s="622"/>
    </row>
    <row r="9" spans="1:36">
      <c r="A9" s="6" t="s">
        <v>8</v>
      </c>
      <c r="B9" s="724">
        <f>E161</f>
        <v>1.0280976432887152E-2</v>
      </c>
      <c r="C9" s="725">
        <v>7.7075348490227361E-3</v>
      </c>
      <c r="D9" s="726">
        <v>5.9095494151563841E-3</v>
      </c>
      <c r="E9" s="317">
        <f>G161</f>
        <v>9.231472184193807E-3</v>
      </c>
      <c r="F9" s="40">
        <v>6.4153676654595138E-3</v>
      </c>
      <c r="G9" s="318">
        <v>1.0135435073031706E-2</v>
      </c>
      <c r="H9" s="317">
        <f>J161</f>
        <v>4.3221874010885529E-2</v>
      </c>
      <c r="I9" s="40">
        <v>2.3850561798671555E-2</v>
      </c>
      <c r="J9" s="318">
        <v>1.0725999999999999E-2</v>
      </c>
      <c r="K9" s="724">
        <f>K161</f>
        <v>1.0280976432887152E-2</v>
      </c>
      <c r="L9" s="725">
        <v>1.9218863313889327E-2</v>
      </c>
      <c r="M9" s="726">
        <v>1.0135435073031706E-2</v>
      </c>
      <c r="N9" s="317">
        <f>+M161</f>
        <v>6.73866203685338E-3</v>
      </c>
      <c r="O9" s="10">
        <v>0</v>
      </c>
      <c r="P9" s="318">
        <v>0</v>
      </c>
      <c r="Q9" s="317">
        <f>+O161</f>
        <v>8.9969294974531992E-3</v>
      </c>
      <c r="R9" s="40">
        <v>6.5255939569252705E-3</v>
      </c>
      <c r="S9" s="318">
        <v>1.0135435073031706E-2</v>
      </c>
      <c r="V9" s="315">
        <f t="shared" si="0"/>
        <v>9.0509841498527636E-3</v>
      </c>
      <c r="W9" s="249">
        <f t="shared" ref="W9:W13" si="1">V9</f>
        <v>9.0509841498527636E-3</v>
      </c>
      <c r="X9" s="320">
        <f t="shared" ref="X9:X13" si="2">V9-W9</f>
        <v>0</v>
      </c>
      <c r="AA9" s="614" t="s">
        <v>87</v>
      </c>
      <c r="AB9" s="617" t="s">
        <v>86</v>
      </c>
      <c r="AC9" s="618">
        <f>ROUND(((D161*B$29*1000)+(F161*E$29*1000)+(H161*H$29*1000)+(J161*K$29*1000)+(L161*N$29*1000)+(N161*Q$29*1000)+(D168*B$60*1000)+(F168*E$60*1000)+(H168*H$60*1000)+(J168*K$60*1000)+(L168*N$60*1000)+(N168*Q$60*1000))*$B161,0)</f>
        <v>302219</v>
      </c>
      <c r="AD9" s="619">
        <f>ROUND((D161*B$29*1000)+(F161*E$29*1000)+(H161*H$29*1000)+(J161*K$29*1000)+(L161*N$29*1000)+(N161*Q$29*1000)+(D168*B$60*1000)+(F168*E$60*1000)+(H168*H$60*1000)+(J168*K$60*1000)+(L168*N$60*1000)+(N168*Q$60*1000),0)</f>
        <v>1270548</v>
      </c>
      <c r="AE9" s="620">
        <f>AC9/AD9</f>
        <v>0.23786507869045484</v>
      </c>
      <c r="AF9" s="621">
        <f>ROUND(AD9/$B$64,3)</f>
        <v>36.720999999999997</v>
      </c>
      <c r="AG9" s="616">
        <f>ROUND(W9*$AC$29,0)</f>
        <v>313164</v>
      </c>
      <c r="AH9" s="620">
        <f>AG9/AD9</f>
        <v>0.24647947184994193</v>
      </c>
      <c r="AI9" s="618">
        <f>AC9-AG9</f>
        <v>-10945</v>
      </c>
      <c r="AJ9" s="622">
        <f>AH9*10000</f>
        <v>2464.7947184994191</v>
      </c>
    </row>
    <row r="10" spans="1:36">
      <c r="A10" s="2" t="s">
        <v>9</v>
      </c>
      <c r="B10" s="727">
        <f>E162</f>
        <v>1.761443721854303E-3</v>
      </c>
      <c r="C10" s="725">
        <v>9.6524486957919454E-4</v>
      </c>
      <c r="D10" s="726">
        <v>1.3242333138821752E-3</v>
      </c>
      <c r="E10" s="317">
        <f>G162</f>
        <v>1.5337500367519363E-3</v>
      </c>
      <c r="F10" s="40">
        <v>8.8623983064966974E-4</v>
      </c>
      <c r="G10" s="318">
        <v>1.124759091389829E-3</v>
      </c>
      <c r="H10" s="317">
        <f>J162</f>
        <v>2.942740697515945E-4</v>
      </c>
      <c r="I10" s="40">
        <v>1.1573682833829362E-3</v>
      </c>
      <c r="J10" s="318">
        <v>1.2600000000000001E-3</v>
      </c>
      <c r="K10" s="727">
        <f>K162</f>
        <v>1.761443721854303E-3</v>
      </c>
      <c r="L10" s="725">
        <v>1.1031846129591675E-3</v>
      </c>
      <c r="M10" s="726">
        <v>1.124759091389829E-3</v>
      </c>
      <c r="N10" s="317">
        <f>+M162</f>
        <v>1.3537383392442878E-3</v>
      </c>
      <c r="O10" s="10">
        <v>0</v>
      </c>
      <c r="P10" s="318">
        <v>0</v>
      </c>
      <c r="Q10" s="317">
        <f>+O162</f>
        <v>3.8428258683328191E-3</v>
      </c>
      <c r="R10" s="40">
        <v>1.1625954512427511E-3</v>
      </c>
      <c r="S10" s="318">
        <v>1.124759091389829E-3</v>
      </c>
      <c r="V10" s="315">
        <f t="shared" si="0"/>
        <v>1.5630109683207132E-3</v>
      </c>
      <c r="W10" s="249">
        <f t="shared" si="1"/>
        <v>1.5630109683207132E-3</v>
      </c>
      <c r="X10" s="320">
        <f t="shared" si="2"/>
        <v>0</v>
      </c>
      <c r="AA10" s="614" t="s">
        <v>89</v>
      </c>
      <c r="AB10" s="617" t="s">
        <v>88</v>
      </c>
      <c r="AC10" s="618">
        <f>ROUND(((D162*B$29*1000)+(F162*E$29*1000)+(H162*H$29*1000)+(J162*K$29*1000)+(L162*N$29*1000)+(N162*Q$29*1000)+(D169*B$60*1000)+(F169*E$60*1000)+(H169*H$60*1000)+(J169*K$60*1000)+(L169*N$60*1000)+(N169*Q$60*1000))*$B162,0)</f>
        <v>54398</v>
      </c>
      <c r="AD10" s="619">
        <f>ROUND(((D162*B$29*1000)+(F162*E$29*1000)+(H162*H$29*1000)+(J162*K$29*1000)+(L162*N$29*1000)+(N162*Q$29*1000)+(D169*B$60*1000)+(F169*E$60*1000)+(H169*H$60*1000)+(J169*K$60*1000)+(L169*N$60*1000)+(N169*Q$60*1000))*1000,0)</f>
        <v>9087958</v>
      </c>
      <c r="AE10" s="620">
        <f>AC10/AD10</f>
        <v>5.985723085427992E-3</v>
      </c>
      <c r="AF10" s="621">
        <f>ROUND(AD10/$B$64,3)</f>
        <v>262.65800000000002</v>
      </c>
      <c r="AG10" s="618">
        <f>ROUND(W10*$AC$29,0)</f>
        <v>54080</v>
      </c>
      <c r="AH10" s="620">
        <f>AG10/AD10</f>
        <v>5.9507317265330671E-3</v>
      </c>
      <c r="AI10" s="618">
        <f t="shared" ref="AI10:AI13" si="3">AC10-AG10</f>
        <v>318</v>
      </c>
      <c r="AJ10" s="622">
        <f t="shared" ref="AJ10:AJ13" si="4">AH10*10000</f>
        <v>59.50731726533067</v>
      </c>
    </row>
    <row r="11" spans="1:36">
      <c r="A11" s="6" t="s">
        <v>10</v>
      </c>
      <c r="B11" s="727">
        <f>$H$177</f>
        <v>3.4682080924855491E-3</v>
      </c>
      <c r="C11" s="725">
        <v>5.2601958836921477E-3</v>
      </c>
      <c r="D11" s="726">
        <v>6.0000000000000001E-3</v>
      </c>
      <c r="E11" s="323">
        <f>$H$177</f>
        <v>3.4682080924855491E-3</v>
      </c>
      <c r="F11" s="40">
        <v>5.124287625544087E-3</v>
      </c>
      <c r="G11" s="318">
        <v>8.670520231213872E-3</v>
      </c>
      <c r="H11" s="323">
        <f>$H$177</f>
        <v>3.4682080924855491E-3</v>
      </c>
      <c r="I11" s="40">
        <v>2.3215912931792065E-2</v>
      </c>
      <c r="J11" s="318">
        <v>9.9121126015991549E-3</v>
      </c>
      <c r="K11" s="727">
        <f>$H$177</f>
        <v>3.4682080924855491E-3</v>
      </c>
      <c r="L11" s="725">
        <v>2.6688593725366548E-2</v>
      </c>
      <c r="M11" s="726">
        <v>8.670520231213872E-3</v>
      </c>
      <c r="N11" s="323">
        <f>$H$177</f>
        <v>3.4682080924855491E-3</v>
      </c>
      <c r="O11" s="10">
        <v>0</v>
      </c>
      <c r="P11" s="318">
        <v>0</v>
      </c>
      <c r="Q11" s="323">
        <f>$H$177</f>
        <v>3.4682080924855491E-3</v>
      </c>
      <c r="R11" s="40">
        <v>1.6241103327255528E-2</v>
      </c>
      <c r="S11" s="318">
        <v>8.670520231213872E-3</v>
      </c>
      <c r="V11" s="315">
        <f t="shared" si="0"/>
        <v>3.4682080924855491E-3</v>
      </c>
      <c r="W11" s="249">
        <f t="shared" si="1"/>
        <v>3.4682080924855491E-3</v>
      </c>
      <c r="X11" s="320">
        <f t="shared" si="2"/>
        <v>0</v>
      </c>
      <c r="AA11" s="614" t="s">
        <v>91</v>
      </c>
      <c r="AB11" s="617" t="s">
        <v>90</v>
      </c>
      <c r="AC11" s="618">
        <f>ROUND(G177,0)</f>
        <v>120000</v>
      </c>
      <c r="AD11" s="612">
        <f>$B$64*1000</f>
        <v>34600000</v>
      </c>
      <c r="AE11" s="620">
        <f>AC11/AD11</f>
        <v>3.4682080924855491E-3</v>
      </c>
      <c r="AF11" s="621">
        <f>ROUND(AD11/$B$64,3)</f>
        <v>1000</v>
      </c>
      <c r="AG11" s="618">
        <f>ROUND(W11*$AC$29,0)</f>
        <v>120000</v>
      </c>
      <c r="AH11" s="620">
        <f>AG11/AD11</f>
        <v>3.4682080924855491E-3</v>
      </c>
      <c r="AI11" s="618">
        <f t="shared" si="3"/>
        <v>0</v>
      </c>
      <c r="AJ11" s="622">
        <f t="shared" si="4"/>
        <v>34.682080924855491</v>
      </c>
    </row>
    <row r="12" spans="1:36">
      <c r="A12" s="6" t="s">
        <v>11</v>
      </c>
      <c r="B12" s="727">
        <f>$H$180</f>
        <v>2.8901734104046245E-4</v>
      </c>
      <c r="C12" s="725">
        <v>2.8145605276015071E-4</v>
      </c>
      <c r="D12" s="726">
        <v>2E-3</v>
      </c>
      <c r="E12" s="323">
        <f>$H$180</f>
        <v>2.8901734104046245E-4</v>
      </c>
      <c r="F12" s="40">
        <v>1.6132370454116404E-4</v>
      </c>
      <c r="G12" s="318">
        <v>4.3352601156069364E-4</v>
      </c>
      <c r="H12" s="323">
        <f>$H$180</f>
        <v>2.8901734104046245E-4</v>
      </c>
      <c r="I12" s="40">
        <v>7.6914756979652537E-4</v>
      </c>
      <c r="J12" s="318">
        <v>4.956056300799577E-4</v>
      </c>
      <c r="K12" s="727">
        <f>$H$180</f>
        <v>2.8901734104046245E-4</v>
      </c>
      <c r="L12" s="725">
        <v>1.3365915182090493E-3</v>
      </c>
      <c r="M12" s="726">
        <v>4.3352601156069364E-4</v>
      </c>
      <c r="N12" s="323">
        <f>$H$180</f>
        <v>2.8901734104046245E-4</v>
      </c>
      <c r="O12" s="10">
        <v>0</v>
      </c>
      <c r="P12" s="318">
        <v>0</v>
      </c>
      <c r="Q12" s="323">
        <f>$H$180</f>
        <v>2.8901734104046245E-4</v>
      </c>
      <c r="R12" s="40">
        <v>5.3366327132144272E-4</v>
      </c>
      <c r="S12" s="318">
        <v>4.3352601156069364E-4</v>
      </c>
      <c r="V12" s="315">
        <f t="shared" si="0"/>
        <v>2.890173410404625E-4</v>
      </c>
      <c r="W12" s="249">
        <f t="shared" si="1"/>
        <v>2.890173410404625E-4</v>
      </c>
      <c r="X12" s="320">
        <f t="shared" si="2"/>
        <v>0</v>
      </c>
      <c r="AA12" s="614" t="s">
        <v>91</v>
      </c>
      <c r="AB12" s="617" t="s">
        <v>92</v>
      </c>
      <c r="AC12" s="618">
        <f>ROUND(G180,0)</f>
        <v>10000</v>
      </c>
      <c r="AD12" s="612">
        <f>$B$64*1000</f>
        <v>34600000</v>
      </c>
      <c r="AE12" s="620">
        <f>AC12/AD12</f>
        <v>2.8901734104046245E-4</v>
      </c>
      <c r="AF12" s="621">
        <f>ROUND(AD12/$B$64,3)</f>
        <v>1000</v>
      </c>
      <c r="AG12" s="618">
        <f>ROUND(W12*$AC$29,0)</f>
        <v>10000</v>
      </c>
      <c r="AH12" s="620">
        <f>AG12/AD12</f>
        <v>2.8901734104046245E-4</v>
      </c>
      <c r="AI12" s="618">
        <f t="shared" si="3"/>
        <v>0</v>
      </c>
      <c r="AJ12" s="622">
        <f t="shared" si="4"/>
        <v>2.8901734104046244</v>
      </c>
    </row>
    <row r="13" spans="1:36" ht="16.5">
      <c r="A13" s="6" t="s">
        <v>12</v>
      </c>
      <c r="B13" s="728">
        <f>$H$183</f>
        <v>4.335260115606936E-3</v>
      </c>
      <c r="C13" s="729">
        <v>5.5392710451476149E-3</v>
      </c>
      <c r="D13" s="730">
        <v>6.0000000000000001E-3</v>
      </c>
      <c r="E13" s="324">
        <f>$H$183</f>
        <v>4.335260115606936E-3</v>
      </c>
      <c r="F13" s="672">
        <v>4.7523717432735738E-3</v>
      </c>
      <c r="G13" s="325">
        <v>5.7803468208092491E-3</v>
      </c>
      <c r="H13" s="324">
        <f>$H$183</f>
        <v>4.335260115606936E-3</v>
      </c>
      <c r="I13" s="672">
        <v>1.7048252551882647E-2</v>
      </c>
      <c r="J13" s="325">
        <v>6.6080750677327688E-3</v>
      </c>
      <c r="K13" s="728">
        <f>$H$183</f>
        <v>4.335260115606936E-3</v>
      </c>
      <c r="L13" s="729">
        <v>2.682161437805455E-2</v>
      </c>
      <c r="M13" s="730">
        <v>5.7803468208092491E-3</v>
      </c>
      <c r="N13" s="324">
        <f>$H$183</f>
        <v>4.335260115606936E-3</v>
      </c>
      <c r="O13" s="14">
        <v>0</v>
      </c>
      <c r="P13" s="325">
        <v>0</v>
      </c>
      <c r="Q13" s="324">
        <f>$H$183</f>
        <v>4.335260115606936E-3</v>
      </c>
      <c r="R13" s="672">
        <v>5.9964108961792087E-3</v>
      </c>
      <c r="S13" s="325">
        <v>5.7803468208092491E-3</v>
      </c>
      <c r="V13" s="326">
        <f t="shared" si="0"/>
        <v>4.335260115606936E-3</v>
      </c>
      <c r="W13" s="250">
        <f t="shared" si="1"/>
        <v>4.335260115606936E-3</v>
      </c>
      <c r="X13" s="327">
        <f t="shared" si="2"/>
        <v>0</v>
      </c>
      <c r="AA13" s="614" t="s">
        <v>91</v>
      </c>
      <c r="AB13" s="617" t="s">
        <v>93</v>
      </c>
      <c r="AC13" s="623">
        <f>ROUND(G183,0)</f>
        <v>150000</v>
      </c>
      <c r="AD13" s="612">
        <f>$B$64*1000</f>
        <v>34600000</v>
      </c>
      <c r="AE13" s="620">
        <f>AC13/AD13</f>
        <v>4.335260115606936E-3</v>
      </c>
      <c r="AF13" s="621">
        <f>ROUND(AD13/$B$64,3)</f>
        <v>1000</v>
      </c>
      <c r="AG13" s="623">
        <f>ROUND(W13*$AC$29,0)</f>
        <v>150000</v>
      </c>
      <c r="AH13" s="620">
        <f>AG13/AD13</f>
        <v>4.335260115606936E-3</v>
      </c>
      <c r="AI13" s="623">
        <f t="shared" si="3"/>
        <v>0</v>
      </c>
      <c r="AJ13" s="622">
        <f t="shared" si="4"/>
        <v>43.352601156069362</v>
      </c>
    </row>
    <row r="14" spans="1:36">
      <c r="A14" s="328" t="s">
        <v>224</v>
      </c>
      <c r="B14" s="725">
        <f t="shared" ref="B14:R14" si="5">SUM(B6:B13)</f>
        <v>0.2478950185591326</v>
      </c>
      <c r="C14" s="725">
        <f t="shared" si="5"/>
        <v>0.23258747195031265</v>
      </c>
      <c r="D14" s="726">
        <f>SUM(D6:D13)</f>
        <v>0.22326468191788382</v>
      </c>
      <c r="E14" s="10">
        <f t="shared" si="5"/>
        <v>0.26771701759094296</v>
      </c>
      <c r="F14" s="40">
        <f t="shared" si="5"/>
        <v>0.23029766653228345</v>
      </c>
      <c r="G14" s="318">
        <v>0.30559916593104919</v>
      </c>
      <c r="H14" s="10">
        <f t="shared" si="5"/>
        <v>0.52738028206073251</v>
      </c>
      <c r="I14" s="40">
        <f t="shared" si="5"/>
        <v>0.42180017531834896</v>
      </c>
      <c r="J14" s="318">
        <f t="shared" si="5"/>
        <v>0.58241079629941195</v>
      </c>
      <c r="K14" s="725">
        <f t="shared" si="5"/>
        <v>0.28680289764018219</v>
      </c>
      <c r="L14" s="725">
        <f t="shared" si="5"/>
        <v>0.33017310420936458</v>
      </c>
      <c r="M14" s="726">
        <v>0.43366311158556486</v>
      </c>
      <c r="N14" s="10">
        <f t="shared" ref="N14" si="6">SUM(N6:N13)</f>
        <v>0.8764632637843659</v>
      </c>
      <c r="O14" s="10">
        <f t="shared" si="5"/>
        <v>0</v>
      </c>
      <c r="P14" s="318">
        <f t="shared" si="5"/>
        <v>0</v>
      </c>
      <c r="Q14" s="10">
        <f t="shared" si="5"/>
        <v>0.29920915106581059</v>
      </c>
      <c r="R14" s="40">
        <f t="shared" si="5"/>
        <v>0.26290734957432504</v>
      </c>
      <c r="S14" s="318">
        <v>0.33373538534456215</v>
      </c>
      <c r="V14" s="315">
        <f>SUM(V6:V13)</f>
        <v>0.37169552553341245</v>
      </c>
      <c r="W14" s="249">
        <f>SUM(W6:W13)</f>
        <v>0.37169552553341245</v>
      </c>
      <c r="X14" s="320">
        <f>SUM(X6:X13)</f>
        <v>0</v>
      </c>
      <c r="AA14" s="614"/>
      <c r="AB14" s="617"/>
      <c r="AC14" s="618">
        <f>SUM(AC9:AC13)</f>
        <v>636617</v>
      </c>
      <c r="AD14" s="612"/>
      <c r="AE14" s="612"/>
      <c r="AF14" s="612"/>
      <c r="AG14" s="618">
        <f>SUM(AG9:AG13)</f>
        <v>647244</v>
      </c>
      <c r="AH14" s="612"/>
      <c r="AI14" s="618">
        <f>SUM(AI9:AI13)</f>
        <v>-10627</v>
      </c>
      <c r="AJ14" s="622"/>
    </row>
    <row r="15" spans="1:36" ht="7.15" customHeight="1">
      <c r="A15" s="514"/>
      <c r="B15" s="727"/>
      <c r="C15" s="725"/>
      <c r="D15" s="726"/>
      <c r="E15" s="323"/>
      <c r="F15" s="40"/>
      <c r="G15" s="318"/>
      <c r="H15" s="323"/>
      <c r="I15" s="40"/>
      <c r="J15" s="318"/>
      <c r="K15" s="727"/>
      <c r="L15" s="725"/>
      <c r="M15" s="726"/>
      <c r="N15" s="323"/>
      <c r="O15" s="10"/>
      <c r="P15" s="318"/>
      <c r="Q15" s="323"/>
      <c r="R15" s="40"/>
      <c r="S15" s="318"/>
      <c r="V15" s="315"/>
      <c r="W15" s="249"/>
      <c r="X15" s="320"/>
      <c r="AA15" s="614"/>
      <c r="AB15" s="617"/>
      <c r="AC15" s="618"/>
      <c r="AD15" s="612"/>
      <c r="AE15" s="612"/>
      <c r="AF15" s="612"/>
      <c r="AG15" s="618"/>
      <c r="AH15" s="612"/>
      <c r="AI15" s="618"/>
      <c r="AJ15" s="622"/>
    </row>
    <row r="16" spans="1:36">
      <c r="A16" s="6" t="s">
        <v>14</v>
      </c>
      <c r="B16" s="727">
        <f>$D$214/$B$64/1000</f>
        <v>1.8490042038885969E-2</v>
      </c>
      <c r="C16" s="725">
        <v>1.8200142276386267E-2</v>
      </c>
      <c r="D16" s="726">
        <v>3.5940794790209792E-2</v>
      </c>
      <c r="E16" s="323">
        <f>$D$214/$B$64/1000</f>
        <v>1.8490042038885969E-2</v>
      </c>
      <c r="F16" s="40">
        <v>2.0063712828685257E-2</v>
      </c>
      <c r="G16" s="318">
        <v>1.1741675249605885E-2</v>
      </c>
      <c r="H16" s="323">
        <f>$D$214/$B$64/1000</f>
        <v>1.8490042038885969E-2</v>
      </c>
      <c r="I16" s="40">
        <v>1.2521634745348524E-2</v>
      </c>
      <c r="J16" s="318">
        <v>1.4552450935042623E-2</v>
      </c>
      <c r="K16" s="727">
        <f>$D$214/$B$64/1000</f>
        <v>1.8490042038885969E-2</v>
      </c>
      <c r="L16" s="725">
        <v>3.2785826895790633E-2</v>
      </c>
      <c r="M16" s="726">
        <v>1.1741675249605885E-2</v>
      </c>
      <c r="N16" s="323">
        <f>$D$214/$B$64/1000</f>
        <v>1.8490042038885969E-2</v>
      </c>
      <c r="O16" s="10">
        <v>0</v>
      </c>
      <c r="P16" s="318">
        <v>0</v>
      </c>
      <c r="Q16" s="323">
        <f>$D$214/$B$64/1000</f>
        <v>1.8490042038885969E-2</v>
      </c>
      <c r="R16" s="40">
        <v>1.3727222625885965E-2</v>
      </c>
      <c r="S16" s="318">
        <v>1.1741675249605885E-2</v>
      </c>
      <c r="V16" s="315">
        <f>($B16*$B$29+$E16*$E$29+$H16*$H$29+$K16*$K$29+$N16*$N$29+$Q16*$Q$29+$B47*$B$60+$E47*$E$60+$H47*$H$60+$K47*$K$60+$N47*$N$60+$Q47*$Q$60)/$B$64</f>
        <v>1.8490042038885966E-2</v>
      </c>
      <c r="W16" s="704">
        <f>+W24-W14</f>
        <v>3.1093519332693553E-2</v>
      </c>
      <c r="X16" s="320">
        <f t="shared" ref="X16:X21" si="7">V16-W16</f>
        <v>-1.2603477293807588E-2</v>
      </c>
      <c r="AA16" s="614" t="s">
        <v>95</v>
      </c>
      <c r="AB16" s="617" t="s">
        <v>94</v>
      </c>
      <c r="AC16" s="618">
        <f>ROUND(D212,0)</f>
        <v>670220</v>
      </c>
      <c r="AD16" s="612">
        <f>ROUND(B212,0)</f>
        <v>22000</v>
      </c>
      <c r="AE16" s="620">
        <f t="shared" ref="AE16:AE21" si="8">AC16/AD16</f>
        <v>30.464545454545455</v>
      </c>
      <c r="AF16" s="621">
        <f>ROUND(AD16/$B$64,3)</f>
        <v>0.63600000000000001</v>
      </c>
      <c r="AG16" s="618">
        <f t="shared" ref="AG16:AG21" si="9">ROUND(W16*$AC$29,0)</f>
        <v>1075836</v>
      </c>
      <c r="AH16" s="620">
        <f t="shared" ref="AH16:AH21" si="10">AG16/AD16</f>
        <v>48.901636363636364</v>
      </c>
      <c r="AI16" s="618">
        <f t="shared" ref="AI16:AI21" si="11">AC16-AG16</f>
        <v>-405616</v>
      </c>
      <c r="AJ16" s="622">
        <f t="shared" ref="AJ16:AJ21" si="12">AH16*10000</f>
        <v>489016.36363636365</v>
      </c>
    </row>
    <row r="17" spans="1:36">
      <c r="A17" s="6" t="s">
        <v>15</v>
      </c>
      <c r="B17" s="727">
        <f>$G$214/$B$64/1000</f>
        <v>4.4936416184971099E-3</v>
      </c>
      <c r="C17" s="725">
        <v>4.8304191095260513E-3</v>
      </c>
      <c r="D17" s="726">
        <v>1.13712E-2</v>
      </c>
      <c r="E17" s="323">
        <f>$G$214/$B$64/1000</f>
        <v>4.4936416184971099E-3</v>
      </c>
      <c r="F17" s="40">
        <v>4.4471790908216062E-3</v>
      </c>
      <c r="G17" s="318">
        <v>4.1080924855491328E-3</v>
      </c>
      <c r="H17" s="323">
        <f>$G$214/$B$64/1000</f>
        <v>4.4936416184971099E-3</v>
      </c>
      <c r="I17" s="40">
        <v>4.4303097747335034E-3</v>
      </c>
      <c r="J17" s="318">
        <v>4.6963589506376791E-3</v>
      </c>
      <c r="K17" s="727">
        <f>$G$214/$B$64/1000</f>
        <v>4.4936416184971099E-3</v>
      </c>
      <c r="L17" s="725">
        <v>8.8578354091124068E-3</v>
      </c>
      <c r="M17" s="726">
        <v>4.1080924855491328E-3</v>
      </c>
      <c r="N17" s="323">
        <f>$G$214/$B$64/1000</f>
        <v>4.4936416184971099E-3</v>
      </c>
      <c r="O17" s="10">
        <v>0</v>
      </c>
      <c r="P17" s="318">
        <v>0</v>
      </c>
      <c r="Q17" s="323">
        <f>$G$214/$B$64/1000</f>
        <v>4.4936416184971099E-3</v>
      </c>
      <c r="R17" s="40">
        <v>1.6693747172449721E-3</v>
      </c>
      <c r="S17" s="318">
        <v>4.1080924855491328E-3</v>
      </c>
      <c r="V17" s="315">
        <f t="shared" ref="V17:V21" si="13">($B17*$B$29+$E17*$E$29+$H17*$H$29+$K17*$K$29+$N17*$N$29+$Q17*$Q$29+$B48*$B$60+$E48*$E$60+$H48*$H$60+$K48*$K$60+$N48*$N$60+$Q48*$Q$60)/$B$64</f>
        <v>4.4936416184971108E-3</v>
      </c>
      <c r="W17" s="249">
        <v>0</v>
      </c>
      <c r="X17" s="320">
        <f t="shared" si="7"/>
        <v>4.4936416184971108E-3</v>
      </c>
      <c r="AA17" s="614" t="s">
        <v>95</v>
      </c>
      <c r="AB17" s="617" t="s">
        <v>96</v>
      </c>
      <c r="AC17" s="618">
        <f>ROUND(G212,0)</f>
        <v>155480</v>
      </c>
      <c r="AD17" s="612">
        <f>ROUND(E212,0)</f>
        <v>4400</v>
      </c>
      <c r="AE17" s="620">
        <f t="shared" si="8"/>
        <v>35.336363636363636</v>
      </c>
      <c r="AF17" s="621">
        <f>ROUND(AD17/$B$64,3)</f>
        <v>0.127</v>
      </c>
      <c r="AG17" s="618">
        <f t="shared" si="9"/>
        <v>0</v>
      </c>
      <c r="AH17" s="620">
        <f t="shared" si="10"/>
        <v>0</v>
      </c>
      <c r="AI17" s="618">
        <f t="shared" si="11"/>
        <v>155480</v>
      </c>
      <c r="AJ17" s="622">
        <f t="shared" si="12"/>
        <v>0</v>
      </c>
    </row>
    <row r="18" spans="1:36">
      <c r="A18" s="6" t="s">
        <v>16</v>
      </c>
      <c r="B18" s="727">
        <f>$J$214/$B$64/1000</f>
        <v>8.1804217025748804E-3</v>
      </c>
      <c r="C18" s="725">
        <v>6.8508297256488276E-3</v>
      </c>
      <c r="D18" s="726">
        <v>1.4188877003496501E-2</v>
      </c>
      <c r="E18" s="323">
        <f>$J$214/$B$64/1000</f>
        <v>8.1804217025748804E-3</v>
      </c>
      <c r="F18" s="40">
        <v>5.9757404668890251E-3</v>
      </c>
      <c r="G18" s="318">
        <v>7.259843652712092E-3</v>
      </c>
      <c r="H18" s="323">
        <f>$J$214/$B$64/1000</f>
        <v>8.1804217025748804E-3</v>
      </c>
      <c r="I18" s="40">
        <v>1.4238166270196374E-2</v>
      </c>
      <c r="J18" s="318">
        <v>8.7651909820467295E-3</v>
      </c>
      <c r="K18" s="727">
        <f>$J$214/$B$64/1000</f>
        <v>8.1804217025748804E-3</v>
      </c>
      <c r="L18" s="725">
        <v>3.8686583635503702E-2</v>
      </c>
      <c r="M18" s="726">
        <v>7.259843652712092E-3</v>
      </c>
      <c r="N18" s="323">
        <f>$J$214/$B$64/1000</f>
        <v>8.1804217025748804E-3</v>
      </c>
      <c r="O18" s="10">
        <v>0</v>
      </c>
      <c r="P18" s="318">
        <v>0</v>
      </c>
      <c r="Q18" s="323">
        <f>$J$214/$B$64/1000</f>
        <v>8.1804217025748804E-3</v>
      </c>
      <c r="R18" s="40">
        <v>5.663317933180703E-3</v>
      </c>
      <c r="S18" s="318">
        <v>7.259843652712092E-3</v>
      </c>
      <c r="V18" s="315">
        <f t="shared" si="13"/>
        <v>8.1804217025748804E-3</v>
      </c>
      <c r="W18" s="249">
        <v>0</v>
      </c>
      <c r="X18" s="320">
        <f t="shared" si="7"/>
        <v>8.1804217025748804E-3</v>
      </c>
      <c r="AA18" s="614" t="s">
        <v>95</v>
      </c>
      <c r="AB18" s="617" t="s">
        <v>97</v>
      </c>
      <c r="AC18" s="618">
        <f>ROUND(J212,0)</f>
        <v>294186</v>
      </c>
      <c r="AD18" s="612">
        <f>ROUND(H212,0)</f>
        <v>26400</v>
      </c>
      <c r="AE18" s="620">
        <f t="shared" si="8"/>
        <v>11.14340909090909</v>
      </c>
      <c r="AF18" s="621">
        <f>ROUND(AD18/$B$64,3)</f>
        <v>0.76300000000000001</v>
      </c>
      <c r="AG18" s="618">
        <f t="shared" si="9"/>
        <v>0</v>
      </c>
      <c r="AH18" s="620">
        <f t="shared" si="10"/>
        <v>0</v>
      </c>
      <c r="AI18" s="618">
        <f t="shared" si="11"/>
        <v>294186</v>
      </c>
      <c r="AJ18" s="622">
        <f t="shared" si="12"/>
        <v>0</v>
      </c>
    </row>
    <row r="19" spans="1:36">
      <c r="A19" s="2" t="s">
        <v>17</v>
      </c>
      <c r="B19" s="727">
        <f>$E$240</f>
        <v>4.4774566473988441E-3</v>
      </c>
      <c r="C19" s="725">
        <v>2.2776301313225766E-3</v>
      </c>
      <c r="D19" s="726">
        <v>0</v>
      </c>
      <c r="E19" s="323">
        <f>$E$240</f>
        <v>4.4774566473988441E-3</v>
      </c>
      <c r="F19" s="40">
        <v>1.9225049068814621E-3</v>
      </c>
      <c r="G19" s="318">
        <v>2.4498520231213874E-3</v>
      </c>
      <c r="H19" s="323">
        <f>$E$240</f>
        <v>4.4774566473988441E-3</v>
      </c>
      <c r="I19" s="40">
        <v>9.2721692692489689E-3</v>
      </c>
      <c r="J19" s="318">
        <v>2.8006634507368004E-3</v>
      </c>
      <c r="K19" s="727">
        <f>$E$240</f>
        <v>4.4774566473988441E-3</v>
      </c>
      <c r="L19" s="725">
        <v>1.2541660097745547E-2</v>
      </c>
      <c r="M19" s="726">
        <v>2.4498520231213874E-3</v>
      </c>
      <c r="N19" s="323">
        <f>$E$240</f>
        <v>4.4774566473988441E-3</v>
      </c>
      <c r="O19" s="10">
        <v>0</v>
      </c>
      <c r="P19" s="318">
        <v>0</v>
      </c>
      <c r="Q19" s="323">
        <f>$E$240</f>
        <v>4.4774566473988441E-3</v>
      </c>
      <c r="R19" s="40">
        <v>2.3710733038125658E-3</v>
      </c>
      <c r="S19" s="318">
        <v>2.4498520231213874E-3</v>
      </c>
      <c r="V19" s="315">
        <f t="shared" si="13"/>
        <v>4.4774566473988441E-3</v>
      </c>
      <c r="W19" s="249">
        <v>0</v>
      </c>
      <c r="X19" s="320">
        <f t="shared" si="7"/>
        <v>4.4774566473988441E-3</v>
      </c>
      <c r="AA19" s="614" t="s">
        <v>91</v>
      </c>
      <c r="AB19" s="617" t="s">
        <v>98</v>
      </c>
      <c r="AC19" s="618">
        <f>ROUND(C240,0)</f>
        <v>154920</v>
      </c>
      <c r="AD19" s="612">
        <f>$B$64*1000</f>
        <v>34600000</v>
      </c>
      <c r="AE19" s="620">
        <f t="shared" si="8"/>
        <v>4.4774566473988441E-3</v>
      </c>
      <c r="AF19" s="621">
        <f>ROUND(AD19/$B$64,3)</f>
        <v>1000</v>
      </c>
      <c r="AG19" s="618">
        <f t="shared" si="9"/>
        <v>0</v>
      </c>
      <c r="AH19" s="620">
        <f t="shared" si="10"/>
        <v>0</v>
      </c>
      <c r="AI19" s="618">
        <f t="shared" si="11"/>
        <v>154920</v>
      </c>
      <c r="AJ19" s="622">
        <f t="shared" si="12"/>
        <v>0</v>
      </c>
    </row>
    <row r="20" spans="1:36">
      <c r="A20" s="2" t="s">
        <v>19</v>
      </c>
      <c r="B20" s="727">
        <f>$E$241</f>
        <v>3.2393063583815028E-3</v>
      </c>
      <c r="C20" s="725">
        <v>6.1012872106399337E-2</v>
      </c>
      <c r="D20" s="726">
        <v>1.0390480000000001E-2</v>
      </c>
      <c r="E20" s="323">
        <f>$E$241</f>
        <v>3.2393063583815028E-3</v>
      </c>
      <c r="F20" s="40">
        <v>5.149888380217553E-2</v>
      </c>
      <c r="G20" s="318">
        <v>6.3670520231213876E-2</v>
      </c>
      <c r="H20" s="323">
        <f>$E$241</f>
        <v>3.2393063583815028E-3</v>
      </c>
      <c r="I20" s="40">
        <v>0.24870656391536544</v>
      </c>
      <c r="J20" s="318">
        <v>7.2787946871076453E-2</v>
      </c>
      <c r="K20" s="727">
        <f>$E$241</f>
        <v>3.2393063583815028E-3</v>
      </c>
      <c r="L20" s="725">
        <v>0.34045175784329179</v>
      </c>
      <c r="M20" s="726">
        <v>6.3670520231213876E-2</v>
      </c>
      <c r="N20" s="323">
        <f>$E$241</f>
        <v>3.2393063583815028E-3</v>
      </c>
      <c r="O20" s="10">
        <v>0</v>
      </c>
      <c r="P20" s="318">
        <v>0</v>
      </c>
      <c r="Q20" s="323">
        <f>$E$241</f>
        <v>3.2393063583815028E-3</v>
      </c>
      <c r="R20" s="40">
        <v>6.4182394472396251E-2</v>
      </c>
      <c r="S20" s="318">
        <v>6.3670520231213876E-2</v>
      </c>
      <c r="V20" s="315">
        <f t="shared" si="13"/>
        <v>3.2393063583815028E-3</v>
      </c>
      <c r="W20" s="249">
        <f>W24-W14-W16-W17-W18-W19-W21</f>
        <v>0</v>
      </c>
      <c r="X20" s="320">
        <f t="shared" si="7"/>
        <v>3.2393063583815028E-3</v>
      </c>
      <c r="AA20" s="614" t="s">
        <v>91</v>
      </c>
      <c r="AB20" s="617" t="s">
        <v>100</v>
      </c>
      <c r="AC20" s="618">
        <f>ROUND(C241,0)</f>
        <v>112080</v>
      </c>
      <c r="AD20" s="612">
        <f>($B$29+$E$29+$H$29+$K$29+$N$29+B60+E60+H60+K60+N60+$Q$29+Q60)*1000</f>
        <v>34600000</v>
      </c>
      <c r="AE20" s="620">
        <f>AC20/AD20</f>
        <v>3.2393063583815028E-3</v>
      </c>
      <c r="AF20" s="621">
        <f>ROUND(AD20/($B$29+$E$29+$H$29+$K$29+$N$29+B60+E60+H60+K60+N60),3)</f>
        <v>1029.7619999999999</v>
      </c>
      <c r="AG20" s="618">
        <f t="shared" si="9"/>
        <v>0</v>
      </c>
      <c r="AH20" s="620">
        <f>AG20/AD20</f>
        <v>0</v>
      </c>
      <c r="AI20" s="618">
        <f>AC20-AG20</f>
        <v>112080</v>
      </c>
      <c r="AJ20" s="622">
        <f>AH20*10000</f>
        <v>0</v>
      </c>
    </row>
    <row r="21" spans="1:36" ht="16.5">
      <c r="A21" s="2" t="s">
        <v>18</v>
      </c>
      <c r="B21" s="728">
        <f>$E$242</f>
        <v>1.6269364161849712E-2</v>
      </c>
      <c r="C21" s="729">
        <v>1.5477890159406295E-2</v>
      </c>
      <c r="D21" s="730">
        <v>3.7630079999999996E-2</v>
      </c>
      <c r="E21" s="324">
        <f>$E$242</f>
        <v>1.6269364161849712E-2</v>
      </c>
      <c r="F21" s="672">
        <v>1.2959418954210666E-2</v>
      </c>
      <c r="G21" s="325">
        <v>1.4046242774566474E-2</v>
      </c>
      <c r="H21" s="324">
        <f>$E$242</f>
        <v>1.6269364161849712E-2</v>
      </c>
      <c r="I21" s="672">
        <v>6.4467031704184413E-2</v>
      </c>
      <c r="J21" s="325">
        <v>1.8172206436265118E-2</v>
      </c>
      <c r="K21" s="728">
        <f>$E$242</f>
        <v>1.6269364161849712E-2</v>
      </c>
      <c r="L21" s="729">
        <v>8.3528141258079766E-2</v>
      </c>
      <c r="M21" s="730">
        <v>1.4046242774566474E-2</v>
      </c>
      <c r="N21" s="324">
        <f>$E$242</f>
        <v>1.6269364161849712E-2</v>
      </c>
      <c r="O21" s="14">
        <v>0</v>
      </c>
      <c r="P21" s="325">
        <v>0</v>
      </c>
      <c r="Q21" s="324">
        <f>$E$242</f>
        <v>1.6269364161849712E-2</v>
      </c>
      <c r="R21" s="672">
        <v>1.5675971649095871E-2</v>
      </c>
      <c r="S21" s="325">
        <v>1.4046242774566474E-2</v>
      </c>
      <c r="V21" s="326">
        <f t="shared" si="13"/>
        <v>1.6269364161849709E-2</v>
      </c>
      <c r="W21" s="250">
        <f>W24-W14-W16-W17-W18-W19</f>
        <v>0</v>
      </c>
      <c r="X21" s="327">
        <f t="shared" si="7"/>
        <v>1.6269364161849709E-2</v>
      </c>
      <c r="AA21" s="614" t="s">
        <v>91</v>
      </c>
      <c r="AB21" s="617" t="s">
        <v>99</v>
      </c>
      <c r="AC21" s="623">
        <f>ROUND(C242,0)</f>
        <v>562920</v>
      </c>
      <c r="AD21" s="612">
        <f>$B$64*1000</f>
        <v>34600000</v>
      </c>
      <c r="AE21" s="620">
        <f t="shared" si="8"/>
        <v>1.6269364161849712E-2</v>
      </c>
      <c r="AF21" s="621">
        <f>ROUND(AD21/$B$64,3)</f>
        <v>1000</v>
      </c>
      <c r="AG21" s="623">
        <f t="shared" si="9"/>
        <v>0</v>
      </c>
      <c r="AH21" s="620">
        <f t="shared" si="10"/>
        <v>0</v>
      </c>
      <c r="AI21" s="623">
        <f t="shared" si="11"/>
        <v>562920</v>
      </c>
      <c r="AJ21" s="622">
        <f t="shared" si="12"/>
        <v>0</v>
      </c>
    </row>
    <row r="22" spans="1:36" ht="16.5">
      <c r="A22" s="328" t="s">
        <v>225</v>
      </c>
      <c r="B22" s="727">
        <f t="shared" ref="B22:K22" si="14">SUM(B16:B21)</f>
        <v>5.5150232527588022E-2</v>
      </c>
      <c r="C22" s="725">
        <f t="shared" si="14"/>
        <v>0.10864978350868934</v>
      </c>
      <c r="D22" s="726">
        <f>SUM(D16:D21)</f>
        <v>0.10952143179370628</v>
      </c>
      <c r="E22" s="323">
        <f t="shared" si="14"/>
        <v>5.5150232527588022E-2</v>
      </c>
      <c r="F22" s="40">
        <f t="shared" si="14"/>
        <v>9.686744004966355E-2</v>
      </c>
      <c r="G22" s="318">
        <v>0.10327622641676884</v>
      </c>
      <c r="H22" s="323">
        <f t="shared" si="14"/>
        <v>5.5150232527588022E-2</v>
      </c>
      <c r="I22" s="40">
        <f t="shared" ref="I22:J22" si="15">SUM(I16:I21)</f>
        <v>0.35363587567907728</v>
      </c>
      <c r="J22" s="318">
        <f t="shared" si="15"/>
        <v>0.1217748176258054</v>
      </c>
      <c r="K22" s="727">
        <f t="shared" si="14"/>
        <v>5.5150232527588022E-2</v>
      </c>
      <c r="L22" s="725">
        <f t="shared" ref="L22:P22" si="16">SUM(L16:L21)</f>
        <v>0.51685180513952378</v>
      </c>
      <c r="M22" s="726">
        <v>0.10327622641676884</v>
      </c>
      <c r="N22" s="323">
        <f t="shared" ref="N22" si="17">SUM(N16:N21)</f>
        <v>5.5150232527588022E-2</v>
      </c>
      <c r="O22" s="10">
        <f t="shared" si="16"/>
        <v>0</v>
      </c>
      <c r="P22" s="318">
        <f t="shared" si="16"/>
        <v>0</v>
      </c>
      <c r="Q22" s="323">
        <f t="shared" ref="Q22" si="18">SUM(Q16:Q21)</f>
        <v>5.5150232527588022E-2</v>
      </c>
      <c r="R22" s="40">
        <f t="shared" ref="R22" si="19">SUM(R16:R21)</f>
        <v>0.10328935470161633</v>
      </c>
      <c r="S22" s="318">
        <v>0.10327622641676884</v>
      </c>
      <c r="V22" s="315">
        <f>SUM(V16:V21)</f>
        <v>5.5150232527588008E-2</v>
      </c>
      <c r="W22" s="249">
        <f>SUM(W16:W21)</f>
        <v>3.1093519332693553E-2</v>
      </c>
      <c r="X22" s="320">
        <f>SUM(X16:X21)</f>
        <v>2.4056713194894459E-2</v>
      </c>
      <c r="AA22" s="624"/>
      <c r="AB22" s="625"/>
      <c r="AC22" s="623">
        <f>SUM(AC16:AC21)</f>
        <v>1949806</v>
      </c>
      <c r="AD22" s="626"/>
      <c r="AE22" s="612"/>
      <c r="AF22" s="612"/>
      <c r="AG22" s="623">
        <f>SUM(AG16:AG21)</f>
        <v>1075836</v>
      </c>
      <c r="AH22" s="612"/>
      <c r="AI22" s="623">
        <f>SUM(AI16:AI21)</f>
        <v>873970</v>
      </c>
      <c r="AJ22" s="612"/>
    </row>
    <row r="23" spans="1:36">
      <c r="A23" s="509"/>
      <c r="B23" s="727"/>
      <c r="C23" s="725"/>
      <c r="D23" s="726"/>
      <c r="E23" s="323"/>
      <c r="F23" s="40"/>
      <c r="G23" s="318"/>
      <c r="H23" s="323"/>
      <c r="I23" s="40"/>
      <c r="J23" s="318"/>
      <c r="K23" s="727"/>
      <c r="L23" s="725"/>
      <c r="M23" s="726"/>
      <c r="N23" s="323"/>
      <c r="O23" s="10"/>
      <c r="P23" s="318"/>
      <c r="Q23" s="323"/>
      <c r="R23" s="40"/>
      <c r="S23" s="318"/>
      <c r="V23" s="315"/>
      <c r="W23" s="249"/>
      <c r="X23" s="320"/>
      <c r="AA23" s="866" t="s">
        <v>226</v>
      </c>
      <c r="AB23" s="866"/>
      <c r="AC23" s="627">
        <f>AC14+AC22</f>
        <v>2586423</v>
      </c>
      <c r="AD23" s="626"/>
      <c r="AE23" s="612"/>
      <c r="AF23" s="612"/>
      <c r="AG23" s="627">
        <f>AG14+AG22</f>
        <v>1723080</v>
      </c>
      <c r="AH23" s="612"/>
      <c r="AI23" s="628">
        <f>AI14+AI22</f>
        <v>863343</v>
      </c>
      <c r="AJ23" s="612"/>
    </row>
    <row r="24" spans="1:36" ht="15.75" thickBot="1">
      <c r="A24" s="526" t="s">
        <v>365</v>
      </c>
      <c r="B24" s="731">
        <f t="shared" ref="B24:P24" si="20">B14+B22</f>
        <v>0.30304525108672065</v>
      </c>
      <c r="C24" s="732">
        <f t="shared" si="20"/>
        <v>0.34123725545900196</v>
      </c>
      <c r="D24" s="733">
        <f t="shared" si="20"/>
        <v>0.33278611371159011</v>
      </c>
      <c r="E24" s="502">
        <f t="shared" si="20"/>
        <v>0.32286725011853101</v>
      </c>
      <c r="F24" s="769">
        <f t="shared" si="20"/>
        <v>0.32716510658194697</v>
      </c>
      <c r="G24" s="504">
        <f t="shared" si="20"/>
        <v>0.408875392347818</v>
      </c>
      <c r="H24" s="502">
        <f t="shared" si="20"/>
        <v>0.5825305145883205</v>
      </c>
      <c r="I24" s="769">
        <f t="shared" si="20"/>
        <v>0.7754360509974263</v>
      </c>
      <c r="J24" s="504">
        <f t="shared" si="20"/>
        <v>0.70418561392521739</v>
      </c>
      <c r="K24" s="731">
        <f t="shared" si="20"/>
        <v>0.34195313016777018</v>
      </c>
      <c r="L24" s="732">
        <f t="shared" si="20"/>
        <v>0.84702490934888841</v>
      </c>
      <c r="M24" s="733">
        <f t="shared" si="20"/>
        <v>0.53693933800233373</v>
      </c>
      <c r="N24" s="502">
        <f t="shared" si="20"/>
        <v>0.93161349631195389</v>
      </c>
      <c r="O24" s="503">
        <f t="shared" si="20"/>
        <v>0</v>
      </c>
      <c r="P24" s="504">
        <f t="shared" si="20"/>
        <v>0</v>
      </c>
      <c r="Q24" s="502">
        <f>Q14+Q22</f>
        <v>0.35435938359339858</v>
      </c>
      <c r="R24" s="769">
        <f t="shared" ref="R24:S24" si="21">R14+R22</f>
        <v>0.36619670427594136</v>
      </c>
      <c r="S24" s="504">
        <f t="shared" si="21"/>
        <v>0.43701161176133096</v>
      </c>
      <c r="V24" s="333">
        <f>V14+V22</f>
        <v>0.42684575806100045</v>
      </c>
      <c r="W24" s="334">
        <f>0.0498+V6+V7+V8</f>
        <v>0.40278904486610601</v>
      </c>
      <c r="X24" s="335">
        <f>X14+X22</f>
        <v>2.4056713194894459E-2</v>
      </c>
      <c r="AA24" s="866" t="s">
        <v>227</v>
      </c>
      <c r="AB24" s="866"/>
      <c r="AC24" s="629">
        <f>ROUND(AC23/AC29,5)</f>
        <v>7.4749999999999997E-2</v>
      </c>
      <c r="AD24" s="630"/>
      <c r="AE24" s="612"/>
      <c r="AF24" s="612"/>
      <c r="AG24" s="629">
        <f>ROUND(AG23/AC29,5)</f>
        <v>4.9799999999999997E-2</v>
      </c>
      <c r="AH24" s="612"/>
      <c r="AI24" s="629">
        <f>ROUND(AI23/AC29,5)</f>
        <v>2.495E-2</v>
      </c>
      <c r="AJ24" s="612"/>
    </row>
    <row r="25" spans="1:36">
      <c r="A25" s="501" t="s">
        <v>368</v>
      </c>
      <c r="B25" s="734">
        <f>-B7</f>
        <v>0</v>
      </c>
      <c r="C25" s="735"/>
      <c r="D25" s="736">
        <v>0</v>
      </c>
      <c r="E25" s="494">
        <f>-E7</f>
        <v>0</v>
      </c>
      <c r="F25" s="770"/>
      <c r="G25" s="498">
        <v>-2.8073919999999999E-2</v>
      </c>
      <c r="H25" s="494">
        <f>-H7</f>
        <v>0</v>
      </c>
      <c r="I25" s="770"/>
      <c r="J25" s="498">
        <v>-0.22562455300000001</v>
      </c>
      <c r="K25" s="734">
        <f>-K7</f>
        <v>0</v>
      </c>
      <c r="L25" s="735"/>
      <c r="M25" s="736">
        <v>-2.8869620053602395E-2</v>
      </c>
      <c r="N25" s="494">
        <f>-N7</f>
        <v>0</v>
      </c>
      <c r="O25" s="497"/>
      <c r="P25" s="498"/>
      <c r="Q25" s="494">
        <f>-Q7</f>
        <v>0</v>
      </c>
      <c r="R25" s="770"/>
      <c r="S25" s="498">
        <v>-2.7061741239049669E-2</v>
      </c>
      <c r="V25" s="499">
        <v>0</v>
      </c>
      <c r="W25" s="493"/>
      <c r="X25" s="493"/>
      <c r="AA25" s="631"/>
      <c r="AB25" s="631"/>
      <c r="AC25" s="629"/>
      <c r="AD25" s="630"/>
      <c r="AE25" s="612"/>
      <c r="AF25" s="612"/>
      <c r="AG25" s="629"/>
      <c r="AH25" s="612"/>
      <c r="AI25" s="629"/>
      <c r="AJ25" s="612"/>
    </row>
    <row r="26" spans="1:36">
      <c r="A26" s="328" t="s">
        <v>367</v>
      </c>
      <c r="B26" s="727">
        <f t="shared" ref="B26:S26" si="22">IF(B9+B10+B11+B12+B13+B22&gt;0.0498,0.0498-B9-B10-B11-B12-B13-B22,0)</f>
        <v>-2.5485138231462423E-2</v>
      </c>
      <c r="C26" s="737">
        <v>-7.9184631924661131E-2</v>
      </c>
      <c r="D26" s="726">
        <v>-8.1000000000000003E-2</v>
      </c>
      <c r="E26" s="323">
        <v>0</v>
      </c>
      <c r="F26" s="771">
        <f t="shared" si="22"/>
        <v>-6.4407030619131556E-2</v>
      </c>
      <c r="G26" s="318">
        <f t="shared" si="22"/>
        <v>-7.9620813644774191E-2</v>
      </c>
      <c r="H26" s="323">
        <v>0</v>
      </c>
      <c r="I26" s="771">
        <v>-0.36723742753134692</v>
      </c>
      <c r="J26" s="318">
        <f t="shared" si="22"/>
        <v>-0.10097661092521729</v>
      </c>
      <c r="K26" s="727">
        <f t="shared" si="22"/>
        <v>-2.5485138231462423E-2</v>
      </c>
      <c r="L26" s="737">
        <f t="shared" si="22"/>
        <v>-0.54222065268800246</v>
      </c>
      <c r="M26" s="726">
        <f t="shared" si="22"/>
        <v>-7.9620813644774191E-2</v>
      </c>
      <c r="N26" s="323">
        <v>0</v>
      </c>
      <c r="O26" s="544">
        <f t="shared" si="22"/>
        <v>0</v>
      </c>
      <c r="P26" s="318">
        <f t="shared" si="22"/>
        <v>0</v>
      </c>
      <c r="Q26" s="323">
        <v>0</v>
      </c>
      <c r="R26" s="771">
        <f t="shared" si="22"/>
        <v>-8.3948721604540533E-2</v>
      </c>
      <c r="S26" s="318">
        <f t="shared" si="22"/>
        <v>-7.9620813644774191E-2</v>
      </c>
      <c r="V26" s="499">
        <f>($B26*$B$29+$E26*$E$29+$H26*$H$29+$K26*$K$29+$N26*$N$29+$Q26*$Q$29+$B57*$B$60+$E57*$E$60+$H57*$H$60+$K57*$K$60+$N57*$N$60+$Q57*$Q$60)/$B$64</f>
        <v>0</v>
      </c>
      <c r="W26" s="495"/>
      <c r="X26" s="495"/>
      <c r="AA26" s="612"/>
      <c r="AB26" s="612"/>
      <c r="AC26" s="632"/>
      <c r="AD26" s="625"/>
      <c r="AE26" s="612"/>
      <c r="AF26" s="612"/>
      <c r="AG26" s="632"/>
      <c r="AH26" s="612"/>
      <c r="AI26" s="632"/>
      <c r="AJ26" s="612"/>
    </row>
    <row r="27" spans="1:36" ht="15.75" thickBot="1">
      <c r="A27" s="526" t="s">
        <v>366</v>
      </c>
      <c r="B27" s="731">
        <f t="shared" ref="B27:S27" si="23">SUM(B24:B26)</f>
        <v>0.27756011285525822</v>
      </c>
      <c r="C27" s="732">
        <f t="shared" si="23"/>
        <v>0.26205262353434083</v>
      </c>
      <c r="D27" s="733">
        <f t="shared" si="23"/>
        <v>0.2517861137115901</v>
      </c>
      <c r="E27" s="502">
        <f t="shared" si="23"/>
        <v>0.32286725011853101</v>
      </c>
      <c r="F27" s="769">
        <f t="shared" si="23"/>
        <v>0.26275807596281542</v>
      </c>
      <c r="G27" s="504">
        <f t="shared" si="23"/>
        <v>0.30118065870304384</v>
      </c>
      <c r="H27" s="502">
        <f t="shared" si="23"/>
        <v>0.5825305145883205</v>
      </c>
      <c r="I27" s="769">
        <f t="shared" si="23"/>
        <v>0.40819862346607938</v>
      </c>
      <c r="J27" s="504">
        <f t="shared" si="23"/>
        <v>0.37758445000000007</v>
      </c>
      <c r="K27" s="731">
        <f t="shared" si="23"/>
        <v>0.31646799193630776</v>
      </c>
      <c r="L27" s="732">
        <f t="shared" si="23"/>
        <v>0.30480425666088595</v>
      </c>
      <c r="M27" s="733">
        <f t="shared" si="23"/>
        <v>0.42844890430395716</v>
      </c>
      <c r="N27" s="502">
        <f t="shared" si="23"/>
        <v>0.93161349631195389</v>
      </c>
      <c r="O27" s="503">
        <f t="shared" si="23"/>
        <v>0</v>
      </c>
      <c r="P27" s="504">
        <f t="shared" si="23"/>
        <v>0</v>
      </c>
      <c r="Q27" s="502">
        <f t="shared" si="23"/>
        <v>0.35435938359339858</v>
      </c>
      <c r="R27" s="769">
        <f t="shared" si="23"/>
        <v>0.28224798267140083</v>
      </c>
      <c r="S27" s="504">
        <f t="shared" si="23"/>
        <v>0.33032905687750708</v>
      </c>
      <c r="V27" s="333">
        <f>SUM(V24:V26)</f>
        <v>0.42684575806100045</v>
      </c>
      <c r="W27" s="334"/>
      <c r="X27" s="335"/>
      <c r="AA27" s="866"/>
      <c r="AB27" s="866"/>
      <c r="AC27" s="629"/>
      <c r="AD27" s="630"/>
      <c r="AE27" s="612"/>
      <c r="AF27" s="612"/>
      <c r="AG27" s="629"/>
      <c r="AH27" s="612"/>
      <c r="AI27" s="629"/>
      <c r="AJ27" s="612"/>
    </row>
    <row r="28" spans="1:36" ht="15.75" thickBot="1">
      <c r="A28" s="509"/>
      <c r="B28" s="738"/>
      <c r="C28" s="712"/>
      <c r="D28" s="739"/>
      <c r="E28" s="558"/>
      <c r="F28" s="1"/>
      <c r="G28" s="25"/>
      <c r="H28" s="558"/>
      <c r="I28" s="1"/>
      <c r="J28" s="25"/>
      <c r="K28" s="738"/>
      <c r="L28" s="712"/>
      <c r="M28" s="739"/>
      <c r="N28" s="558"/>
      <c r="P28" s="25"/>
      <c r="Q28" s="558"/>
      <c r="R28" s="1"/>
      <c r="S28" s="25"/>
      <c r="AA28" s="866" t="s">
        <v>228</v>
      </c>
      <c r="AB28" s="866"/>
      <c r="AC28" s="629">
        <f>ROUND((AC24+(B8*B29+E8*E29+H8*H29+K8*K29+N8*N29+Q8*Q29+B39*B60+E39*E60+H39*H60)/B64),5)</f>
        <v>0.13469</v>
      </c>
      <c r="AD28" s="624"/>
      <c r="AE28" s="612"/>
      <c r="AF28" s="612"/>
      <c r="AG28" s="629">
        <f>ROUND(AG24+W8,5)</f>
        <v>0.10974</v>
      </c>
      <c r="AH28" s="612"/>
      <c r="AI28" s="629">
        <f>ROUND(AI24+X8,5)</f>
        <v>2.495E-2</v>
      </c>
      <c r="AJ28" s="612"/>
    </row>
    <row r="29" spans="1:36" ht="15.75" thickBot="1">
      <c r="A29" s="526" t="s">
        <v>392</v>
      </c>
      <c r="B29" s="740">
        <v>0</v>
      </c>
      <c r="C29" s="741">
        <v>15431</v>
      </c>
      <c r="D29" s="742">
        <v>3000</v>
      </c>
      <c r="E29" s="517">
        <v>25500</v>
      </c>
      <c r="F29" s="772">
        <v>9412</v>
      </c>
      <c r="G29" s="519">
        <v>10000</v>
      </c>
      <c r="H29" s="517">
        <f>+B81</f>
        <v>300</v>
      </c>
      <c r="I29" s="772">
        <v>74</v>
      </c>
      <c r="J29" s="519">
        <v>0</v>
      </c>
      <c r="K29" s="740">
        <f>+B82</f>
        <v>0</v>
      </c>
      <c r="L29" s="741">
        <v>254</v>
      </c>
      <c r="M29" s="742">
        <v>1000</v>
      </c>
      <c r="N29" s="517">
        <f>+B80</f>
        <v>5000</v>
      </c>
      <c r="O29" s="518">
        <v>0</v>
      </c>
      <c r="P29" s="519">
        <v>0</v>
      </c>
      <c r="Q29" s="517">
        <f>+B84</f>
        <v>1000</v>
      </c>
      <c r="R29" s="772">
        <v>3647.15</v>
      </c>
      <c r="S29" s="519">
        <v>1300</v>
      </c>
      <c r="V29" s="339">
        <f>B29+E29+H29+K29+N29+Q29+B60+E60+H60+K60+N60+Q60</f>
        <v>34600</v>
      </c>
      <c r="AA29" s="867" t="s">
        <v>215</v>
      </c>
      <c r="AB29" s="867"/>
      <c r="AC29" s="633">
        <f>ROUND($B$64*1000,0)</f>
        <v>34600000</v>
      </c>
      <c r="AD29" s="624"/>
      <c r="AE29" s="612"/>
      <c r="AF29" s="612"/>
      <c r="AG29" s="631"/>
      <c r="AH29" s="612"/>
      <c r="AI29" s="631"/>
      <c r="AJ29" s="612"/>
    </row>
    <row r="30" spans="1:36">
      <c r="A30" s="505"/>
      <c r="B30" s="743"/>
      <c r="C30" s="744"/>
      <c r="D30" s="745"/>
      <c r="E30" s="557"/>
      <c r="F30" s="4"/>
      <c r="G30" s="561"/>
      <c r="H30" s="557"/>
      <c r="I30" s="4"/>
      <c r="J30" s="561"/>
      <c r="K30" s="743"/>
      <c r="L30" s="744"/>
      <c r="M30" s="745"/>
      <c r="N30" s="766"/>
      <c r="O30" s="767"/>
      <c r="P30" s="768"/>
      <c r="Q30" s="557"/>
      <c r="R30" s="4"/>
      <c r="S30" s="561"/>
      <c r="AA30" s="341"/>
      <c r="AB30" s="341"/>
      <c r="AC30" s="342"/>
      <c r="AD30" s="1"/>
      <c r="AG30" s="176"/>
      <c r="AI30" s="176"/>
    </row>
    <row r="31" spans="1:36">
      <c r="A31" s="564"/>
      <c r="B31" s="502"/>
      <c r="C31" s="543"/>
      <c r="D31" s="556"/>
      <c r="E31" s="502"/>
      <c r="F31" s="543"/>
      <c r="G31" s="504"/>
      <c r="H31" s="502"/>
      <c r="I31" s="543"/>
      <c r="J31" s="556"/>
      <c r="K31" s="502"/>
      <c r="L31" s="543"/>
      <c r="M31" s="556"/>
      <c r="N31" s="502"/>
      <c r="O31" s="543"/>
      <c r="P31" s="504"/>
      <c r="Q31" s="502"/>
      <c r="R31" s="543"/>
      <c r="S31" s="556"/>
      <c r="AA31" s="341"/>
      <c r="AB31" s="341"/>
      <c r="AC31" s="342"/>
      <c r="AD31" s="1"/>
      <c r="AG31" s="176"/>
      <c r="AI31" s="176"/>
    </row>
    <row r="32" spans="1:36">
      <c r="A32" s="505"/>
      <c r="B32" s="515"/>
      <c r="C32" s="507"/>
      <c r="D32" s="507"/>
      <c r="E32" s="509"/>
      <c r="F32" s="509"/>
      <c r="G32" s="509"/>
      <c r="H32" s="516"/>
      <c r="I32" s="509"/>
      <c r="J32" s="509"/>
      <c r="K32" s="509"/>
      <c r="L32" s="509"/>
      <c r="M32" s="509"/>
      <c r="N32" s="509"/>
      <c r="O32" s="509"/>
      <c r="P32" s="509"/>
      <c r="Q32" s="509"/>
      <c r="R32" s="509"/>
      <c r="S32" s="509"/>
      <c r="AA32" s="341"/>
      <c r="AB32" s="341"/>
      <c r="AC32" s="342"/>
      <c r="AD32" s="1"/>
      <c r="AG32" s="176"/>
      <c r="AI32" s="176"/>
    </row>
    <row r="33" spans="1:35">
      <c r="A33" s="505"/>
      <c r="B33" s="515"/>
      <c r="C33" s="507"/>
      <c r="D33" s="507"/>
      <c r="E33" s="509"/>
      <c r="F33" s="509"/>
      <c r="G33" s="509"/>
      <c r="H33" s="516"/>
      <c r="I33" s="509"/>
      <c r="J33" s="509"/>
      <c r="K33" s="509"/>
      <c r="L33" s="509"/>
      <c r="M33" s="509"/>
      <c r="N33" s="509"/>
      <c r="O33" s="509"/>
      <c r="P33" s="509"/>
      <c r="Q33" s="509"/>
      <c r="R33" s="509"/>
      <c r="S33" s="509"/>
      <c r="AA33" s="341"/>
      <c r="AB33" s="341"/>
      <c r="AC33" s="342"/>
      <c r="AD33" s="1"/>
      <c r="AG33" s="176"/>
      <c r="AI33" s="176"/>
    </row>
    <row r="34" spans="1:35" ht="16.899999999999999" customHeight="1">
      <c r="A34" s="340"/>
      <c r="B34" s="860" t="s">
        <v>322</v>
      </c>
      <c r="C34" s="861"/>
      <c r="D34" s="862"/>
      <c r="E34" s="860" t="s">
        <v>323</v>
      </c>
      <c r="F34" s="861"/>
      <c r="G34" s="862"/>
      <c r="H34" s="860" t="s">
        <v>400</v>
      </c>
      <c r="I34" s="861"/>
      <c r="J34" s="862"/>
      <c r="K34" s="863" t="s">
        <v>325</v>
      </c>
      <c r="L34" s="864"/>
      <c r="M34" s="865"/>
      <c r="N34" s="856" t="s">
        <v>407</v>
      </c>
      <c r="O34" s="857"/>
      <c r="P34" s="858"/>
      <c r="Q34" s="856" t="s">
        <v>407</v>
      </c>
      <c r="R34" s="857"/>
      <c r="S34" s="858"/>
      <c r="AA34" s="341"/>
      <c r="AB34" s="341"/>
      <c r="AC34" s="342"/>
      <c r="AD34" s="1"/>
      <c r="AG34" s="176"/>
      <c r="AI34" s="176"/>
    </row>
    <row r="35" spans="1:35" ht="15" customHeight="1">
      <c r="A35" s="340"/>
      <c r="B35" s="304" t="s">
        <v>438</v>
      </c>
      <c r="C35" s="670" t="s">
        <v>402</v>
      </c>
      <c r="D35" s="306" t="str">
        <f>+D4</f>
        <v>21 Standard</v>
      </c>
      <c r="E35" s="304" t="s">
        <v>438</v>
      </c>
      <c r="F35" s="670" t="s">
        <v>402</v>
      </c>
      <c r="G35" s="306" t="str">
        <f>+D4</f>
        <v>21 Standard</v>
      </c>
      <c r="H35" s="304" t="s">
        <v>438</v>
      </c>
      <c r="I35" s="670" t="s">
        <v>402</v>
      </c>
      <c r="J35" s="306" t="str">
        <f>+D4</f>
        <v>21 Standard</v>
      </c>
      <c r="K35" s="715" t="str">
        <f>+B4</f>
        <v>21 Standard</v>
      </c>
      <c r="L35" s="716" t="s">
        <v>402</v>
      </c>
      <c r="M35" s="717" t="str">
        <f>+D4</f>
        <v>21 Standard</v>
      </c>
      <c r="N35" s="715" t="str">
        <f>+B4</f>
        <v>21 Standard</v>
      </c>
      <c r="O35" s="716" t="s">
        <v>402</v>
      </c>
      <c r="P35" s="717" t="str">
        <f>+D4</f>
        <v>21 Standard</v>
      </c>
      <c r="Q35" s="715" t="str">
        <f>+B4</f>
        <v>21 Standard</v>
      </c>
      <c r="R35" s="716" t="s">
        <v>402</v>
      </c>
      <c r="S35" s="717" t="str">
        <f>+D4</f>
        <v>21 Standard</v>
      </c>
      <c r="AA35" s="341"/>
      <c r="AB35" s="341"/>
      <c r="AC35" s="342"/>
      <c r="AD35" s="1"/>
      <c r="AG35" s="176"/>
      <c r="AI35" s="176"/>
    </row>
    <row r="36" spans="1:35">
      <c r="A36" s="340"/>
      <c r="B36" s="307"/>
      <c r="C36" s="394" t="s">
        <v>401</v>
      </c>
      <c r="D36" s="308"/>
      <c r="E36" s="307"/>
      <c r="F36" s="394" t="s">
        <v>401</v>
      </c>
      <c r="G36" s="308"/>
      <c r="H36" s="307"/>
      <c r="I36" s="394" t="s">
        <v>401</v>
      </c>
      <c r="J36" s="308"/>
      <c r="K36" s="718"/>
      <c r="L36" s="719" t="s">
        <v>401</v>
      </c>
      <c r="M36" s="720"/>
      <c r="N36" s="718"/>
      <c r="O36" s="719"/>
      <c r="P36" s="720"/>
      <c r="Q36" s="718"/>
      <c r="R36" s="719"/>
      <c r="S36" s="720"/>
      <c r="AA36" s="341"/>
      <c r="AB36" s="341"/>
      <c r="AC36" s="342"/>
      <c r="AD36" s="1"/>
      <c r="AG36" s="176"/>
      <c r="AI36" s="176"/>
    </row>
    <row r="37" spans="1:35">
      <c r="A37" s="6" t="s">
        <v>223</v>
      </c>
      <c r="B37" s="312">
        <f>E149</f>
        <v>0.21326582278481013</v>
      </c>
      <c r="C37" s="671">
        <v>0.34054143154143152</v>
      </c>
      <c r="D37" s="313">
        <v>0.22007722007722005</v>
      </c>
      <c r="E37" s="312">
        <f>G149</f>
        <v>0.51387049217579917</v>
      </c>
      <c r="F37" s="671">
        <v>0.41049999999999998</v>
      </c>
      <c r="G37" s="313">
        <v>0.41282107222012276</v>
      </c>
      <c r="H37" s="312">
        <f>I149</f>
        <v>0.4112240411354216</v>
      </c>
      <c r="I37" s="671">
        <v>0.26541432306194557</v>
      </c>
      <c r="J37" s="313">
        <v>0.28800983748819542</v>
      </c>
      <c r="K37" s="721"/>
      <c r="L37" s="722">
        <v>0</v>
      </c>
      <c r="M37" s="723">
        <v>1.8829093264248706</v>
      </c>
      <c r="N37" s="721"/>
      <c r="O37" s="722">
        <v>0</v>
      </c>
      <c r="P37" s="723">
        <v>0</v>
      </c>
      <c r="Q37" s="721"/>
      <c r="R37" s="722">
        <v>0</v>
      </c>
      <c r="S37" s="723">
        <v>0</v>
      </c>
      <c r="AA37" s="341"/>
      <c r="AB37" s="341"/>
      <c r="AC37" s="342"/>
      <c r="AD37" s="1"/>
      <c r="AG37" s="176"/>
      <c r="AI37" s="176"/>
    </row>
    <row r="38" spans="1:35">
      <c r="A38" s="500" t="s">
        <v>362</v>
      </c>
      <c r="B38" s="317">
        <f>$C135*D135</f>
        <v>0</v>
      </c>
      <c r="C38" s="40"/>
      <c r="D38" s="318">
        <v>0</v>
      </c>
      <c r="E38" s="317">
        <f>$C133*F133</f>
        <v>0</v>
      </c>
      <c r="F38" s="40"/>
      <c r="G38" s="318">
        <v>4.6029189145022416E-2</v>
      </c>
      <c r="H38" s="317">
        <f>$C130*H130</f>
        <v>0</v>
      </c>
      <c r="I38" s="40"/>
      <c r="J38" s="318">
        <v>9.3327229569345554E-2</v>
      </c>
      <c r="K38" s="724"/>
      <c r="L38" s="725"/>
      <c r="M38" s="726">
        <v>0.16177979274611401</v>
      </c>
      <c r="N38" s="724"/>
      <c r="O38" s="725"/>
      <c r="P38" s="726">
        <v>0</v>
      </c>
      <c r="Q38" s="724"/>
      <c r="R38" s="725"/>
      <c r="S38" s="726">
        <v>0</v>
      </c>
      <c r="AA38" s="341"/>
      <c r="AB38" s="341"/>
      <c r="AC38" s="342"/>
      <c r="AD38" s="1"/>
      <c r="AG38" s="176"/>
      <c r="AI38" s="176"/>
    </row>
    <row r="39" spans="1:35">
      <c r="A39" s="6" t="s">
        <v>373</v>
      </c>
      <c r="B39" s="317">
        <f>E150+E151</f>
        <v>6.7925472249269717E-2</v>
      </c>
      <c r="C39" s="40">
        <v>9.3737946737946748E-2</v>
      </c>
      <c r="D39" s="318">
        <v>4.6760700000000009E-2</v>
      </c>
      <c r="E39" s="317">
        <f>G150+G151</f>
        <v>4.2530519676702988E-2</v>
      </c>
      <c r="F39" s="40">
        <v>4.389437130396593E-2</v>
      </c>
      <c r="G39" s="318">
        <v>4.2218479904809571E-2</v>
      </c>
      <c r="H39" s="317">
        <f>I150+I151</f>
        <v>5.9336936180632077E-3</v>
      </c>
      <c r="I39" s="40">
        <v>4.8438019813532553E-2</v>
      </c>
      <c r="J39" s="318">
        <v>8.7585249999999996E-3</v>
      </c>
      <c r="K39" s="724"/>
      <c r="L39" s="725">
        <v>0</v>
      </c>
      <c r="M39" s="726">
        <v>4.2578634824999996E-2</v>
      </c>
      <c r="N39" s="724"/>
      <c r="O39" s="725">
        <v>0</v>
      </c>
      <c r="P39" s="726">
        <v>0</v>
      </c>
      <c r="Q39" s="724"/>
      <c r="R39" s="725">
        <v>0</v>
      </c>
      <c r="S39" s="726">
        <v>0</v>
      </c>
      <c r="AA39" s="341"/>
      <c r="AB39" s="341"/>
      <c r="AC39" s="342"/>
      <c r="AD39" s="1"/>
      <c r="AG39" s="176"/>
      <c r="AI39" s="176"/>
    </row>
    <row r="40" spans="1:35">
      <c r="A40" s="6" t="s">
        <v>8</v>
      </c>
      <c r="B40" s="317">
        <f>E168</f>
        <v>9.6417790461842366E-3</v>
      </c>
      <c r="C40" s="40">
        <v>2.6041382041382042E-2</v>
      </c>
      <c r="D40" s="318">
        <v>5.9095494151563841E-3</v>
      </c>
      <c r="E40" s="317">
        <f>G168</f>
        <v>5.8784926413087768E-3</v>
      </c>
      <c r="F40" s="40">
        <v>1.4645894009708308E-2</v>
      </c>
      <c r="G40" s="318">
        <v>5.9095494151563841E-3</v>
      </c>
      <c r="H40" s="317">
        <f>I168</f>
        <v>7.6716423643835201E-3</v>
      </c>
      <c r="I40" s="40">
        <v>1.0462455295705731E-2</v>
      </c>
      <c r="J40" s="318">
        <v>5.9095494151563841E-3</v>
      </c>
      <c r="K40" s="724"/>
      <c r="L40" s="725">
        <v>0</v>
      </c>
      <c r="M40" s="726">
        <v>1.0135435073031706E-2</v>
      </c>
      <c r="N40" s="724"/>
      <c r="O40" s="725">
        <v>0</v>
      </c>
      <c r="P40" s="726">
        <v>0</v>
      </c>
      <c r="Q40" s="724"/>
      <c r="R40" s="725">
        <v>0</v>
      </c>
      <c r="S40" s="726">
        <v>0</v>
      </c>
      <c r="AA40" s="341"/>
      <c r="AB40" s="341"/>
      <c r="AC40" s="342"/>
      <c r="AD40" s="1"/>
      <c r="AG40" s="176"/>
      <c r="AI40" s="176"/>
    </row>
    <row r="41" spans="1:35">
      <c r="A41" s="2" t="s">
        <v>9</v>
      </c>
      <c r="B41" s="317">
        <f>E169</f>
        <v>1.7836722906349686E-3</v>
      </c>
      <c r="C41" s="40">
        <v>1.6828036828036826E-3</v>
      </c>
      <c r="D41" s="318">
        <v>1.3242333138821752E-3</v>
      </c>
      <c r="E41" s="317">
        <f>G169</f>
        <v>1.2263425733000934E-3</v>
      </c>
      <c r="F41" s="40">
        <v>5.5474856174528601E-3</v>
      </c>
      <c r="G41" s="318">
        <v>1.3242333138821752E-3</v>
      </c>
      <c r="H41" s="317">
        <f>I169</f>
        <v>1.5276349966533394E-3</v>
      </c>
      <c r="I41" s="40">
        <v>8.430598374822016E-4</v>
      </c>
      <c r="J41" s="318">
        <v>1.3242333138821752E-3</v>
      </c>
      <c r="K41" s="724"/>
      <c r="L41" s="725">
        <v>0</v>
      </c>
      <c r="M41" s="726">
        <v>1.124759091389829E-3</v>
      </c>
      <c r="N41" s="724"/>
      <c r="O41" s="725">
        <v>0</v>
      </c>
      <c r="P41" s="726">
        <v>0</v>
      </c>
      <c r="Q41" s="724"/>
      <c r="R41" s="725">
        <v>0</v>
      </c>
      <c r="S41" s="726">
        <v>0</v>
      </c>
      <c r="AA41" s="341"/>
      <c r="AB41" s="341"/>
      <c r="AC41" s="342"/>
      <c r="AD41" s="1"/>
      <c r="AG41" s="176"/>
      <c r="AI41" s="176"/>
    </row>
    <row r="42" spans="1:35">
      <c r="A42" s="6" t="s">
        <v>10</v>
      </c>
      <c r="B42" s="323">
        <f>$H$177</f>
        <v>3.4682080924855491E-3</v>
      </c>
      <c r="C42" s="40">
        <v>1.9710325710325712E-2</v>
      </c>
      <c r="D42" s="318">
        <v>6.0000000000000001E-3</v>
      </c>
      <c r="E42" s="323">
        <f>$H$177</f>
        <v>3.4682080924855491E-3</v>
      </c>
      <c r="F42" s="40">
        <v>1.2018642132290923E-2</v>
      </c>
      <c r="G42" s="318">
        <v>6.0000000000000001E-3</v>
      </c>
      <c r="H42" s="323">
        <f>$H$177</f>
        <v>3.4682080924855491E-3</v>
      </c>
      <c r="I42" s="40">
        <v>7.3389729203708108E-3</v>
      </c>
      <c r="J42" s="318">
        <v>6.0000000000000001E-3</v>
      </c>
      <c r="K42" s="727"/>
      <c r="L42" s="725">
        <v>0</v>
      </c>
      <c r="M42" s="726">
        <v>8.670520231213872E-3</v>
      </c>
      <c r="N42" s="727"/>
      <c r="O42" s="725">
        <v>0</v>
      </c>
      <c r="P42" s="726">
        <v>0</v>
      </c>
      <c r="Q42" s="727"/>
      <c r="R42" s="725">
        <v>0</v>
      </c>
      <c r="S42" s="726">
        <v>0</v>
      </c>
      <c r="AA42" s="341"/>
      <c r="AB42" s="341"/>
      <c r="AC42" s="342"/>
      <c r="AD42" s="1"/>
      <c r="AG42" s="176"/>
      <c r="AI42" s="176"/>
    </row>
    <row r="43" spans="1:35">
      <c r="A43" s="6" t="s">
        <v>11</v>
      </c>
      <c r="B43" s="323">
        <f>$H$180</f>
        <v>2.8901734104046245E-4</v>
      </c>
      <c r="C43" s="40">
        <v>2.4000594000594001E-3</v>
      </c>
      <c r="D43" s="318">
        <v>2E-3</v>
      </c>
      <c r="E43" s="323">
        <f>$H$180</f>
        <v>2.8901734104046245E-4</v>
      </c>
      <c r="F43" s="40">
        <v>7.8089620468290593E-4</v>
      </c>
      <c r="G43" s="318">
        <v>2E-3</v>
      </c>
      <c r="H43" s="323">
        <f>$H$180</f>
        <v>2.8901734104046245E-4</v>
      </c>
      <c r="I43" s="40">
        <v>6.3205420772589004E-4</v>
      </c>
      <c r="J43" s="318">
        <v>2E-3</v>
      </c>
      <c r="K43" s="727"/>
      <c r="L43" s="725">
        <v>0</v>
      </c>
      <c r="M43" s="726">
        <v>4.3352601156069364E-4</v>
      </c>
      <c r="N43" s="727"/>
      <c r="O43" s="725">
        <v>0</v>
      </c>
      <c r="P43" s="726">
        <v>0</v>
      </c>
      <c r="Q43" s="727"/>
      <c r="R43" s="725">
        <v>0</v>
      </c>
      <c r="S43" s="726">
        <v>0</v>
      </c>
      <c r="AA43" s="341"/>
      <c r="AB43" s="341"/>
      <c r="AC43" s="342"/>
      <c r="AD43" s="1"/>
      <c r="AG43" s="176"/>
      <c r="AI43" s="176"/>
    </row>
    <row r="44" spans="1:35" ht="16.5">
      <c r="A44" s="6" t="s">
        <v>12</v>
      </c>
      <c r="B44" s="324">
        <f>$H$183</f>
        <v>4.335260115606936E-3</v>
      </c>
      <c r="C44" s="672">
        <v>2.6652311652311654E-2</v>
      </c>
      <c r="D44" s="325">
        <v>6.0000000000000001E-3</v>
      </c>
      <c r="E44" s="324">
        <f>$H$183</f>
        <v>4.335260115606936E-3</v>
      </c>
      <c r="F44" s="672">
        <v>2.6473850543307895E-2</v>
      </c>
      <c r="G44" s="325">
        <v>6.0000000000000001E-3</v>
      </c>
      <c r="H44" s="324">
        <f>$H$183</f>
        <v>4.335260115606936E-3</v>
      </c>
      <c r="I44" s="672">
        <v>9.4086246314516973E-3</v>
      </c>
      <c r="J44" s="325">
        <v>6.0000000000000001E-3</v>
      </c>
      <c r="K44" s="728"/>
      <c r="L44" s="729">
        <v>0</v>
      </c>
      <c r="M44" s="730">
        <v>5.7803468208092491E-3</v>
      </c>
      <c r="N44" s="728"/>
      <c r="O44" s="729">
        <v>0</v>
      </c>
      <c r="P44" s="730">
        <v>0</v>
      </c>
      <c r="Q44" s="728"/>
      <c r="R44" s="729">
        <v>0</v>
      </c>
      <c r="S44" s="730">
        <v>0</v>
      </c>
      <c r="AA44" s="341"/>
      <c r="AB44" s="341"/>
      <c r="AC44" s="342"/>
      <c r="AD44" s="1"/>
      <c r="AG44" s="176"/>
      <c r="AI44" s="176"/>
    </row>
    <row r="45" spans="1:35">
      <c r="A45" s="328" t="s">
        <v>224</v>
      </c>
      <c r="B45" s="10">
        <f t="shared" ref="B45:S45" si="24">SUM(B37:B44)</f>
        <v>0.30070923192003202</v>
      </c>
      <c r="C45" s="40">
        <f t="shared" si="24"/>
        <v>0.51076626076626075</v>
      </c>
      <c r="D45" s="318">
        <f>SUM(D37:D44)</f>
        <v>0.2880717028062586</v>
      </c>
      <c r="E45" s="10">
        <f t="shared" si="24"/>
        <v>0.57159833261624404</v>
      </c>
      <c r="F45" s="40">
        <f t="shared" si="24"/>
        <v>0.5138611398114088</v>
      </c>
      <c r="G45" s="318">
        <f>SUM(G37:G44)</f>
        <v>0.52230252399899335</v>
      </c>
      <c r="H45" s="10">
        <f t="shared" si="24"/>
        <v>0.43444949766365459</v>
      </c>
      <c r="I45" s="40">
        <f t="shared" si="24"/>
        <v>0.34253750976821445</v>
      </c>
      <c r="J45" s="318">
        <f>SUM(J37:J44)</f>
        <v>0.41132937478657955</v>
      </c>
      <c r="K45" s="725"/>
      <c r="L45" s="725">
        <f t="shared" si="24"/>
        <v>0</v>
      </c>
      <c r="M45" s="726">
        <v>2.1134123412239898</v>
      </c>
      <c r="N45" s="725"/>
      <c r="O45" s="725">
        <f t="shared" si="24"/>
        <v>0</v>
      </c>
      <c r="P45" s="726">
        <f t="shared" si="24"/>
        <v>0</v>
      </c>
      <c r="Q45" s="725"/>
      <c r="R45" s="725">
        <f t="shared" si="24"/>
        <v>0</v>
      </c>
      <c r="S45" s="726">
        <f t="shared" si="24"/>
        <v>0</v>
      </c>
      <c r="AA45" s="341"/>
      <c r="AB45" s="341"/>
      <c r="AC45" s="342"/>
      <c r="AD45" s="1"/>
      <c r="AG45" s="176"/>
      <c r="AI45" s="176"/>
    </row>
    <row r="46" spans="1:35">
      <c r="A46" s="514"/>
      <c r="B46" s="323"/>
      <c r="C46" s="40"/>
      <c r="D46" s="513"/>
      <c r="E46" s="323"/>
      <c r="F46" s="40"/>
      <c r="G46" s="513"/>
      <c r="H46" s="323"/>
      <c r="I46" s="40"/>
      <c r="J46" s="513"/>
      <c r="K46" s="727"/>
      <c r="L46" s="725"/>
      <c r="M46" s="726"/>
      <c r="N46" s="727"/>
      <c r="O46" s="725"/>
      <c r="P46" s="726"/>
      <c r="Q46" s="727"/>
      <c r="R46" s="725"/>
      <c r="S46" s="726"/>
      <c r="AA46" s="341"/>
      <c r="AB46" s="341"/>
      <c r="AC46" s="342"/>
      <c r="AD46" s="1"/>
      <c r="AG46" s="176"/>
      <c r="AI46" s="176"/>
    </row>
    <row r="47" spans="1:35">
      <c r="A47" s="6" t="s">
        <v>14</v>
      </c>
      <c r="B47" s="323">
        <f>$D$214/$B$64/1000</f>
        <v>1.8490042038885969E-2</v>
      </c>
      <c r="C47" s="40">
        <v>2.099801999802E-2</v>
      </c>
      <c r="D47" s="318">
        <v>3.5940794790209792E-2</v>
      </c>
      <c r="E47" s="323">
        <f>$D$214/$B$64/1000</f>
        <v>1.8490042038885969E-2</v>
      </c>
      <c r="F47" s="40">
        <v>2.0095412332871935E-2</v>
      </c>
      <c r="G47" s="318">
        <v>3.5940794790209792E-2</v>
      </c>
      <c r="H47" s="323">
        <f>$D$214/$B$64/1000</f>
        <v>1.8490042038885969E-2</v>
      </c>
      <c r="I47" s="40">
        <v>1.7675634101440085E-2</v>
      </c>
      <c r="J47" s="318">
        <v>3.5940794790209792E-2</v>
      </c>
      <c r="K47" s="727"/>
      <c r="L47" s="725">
        <v>0</v>
      </c>
      <c r="M47" s="726">
        <v>1.1741675249605885E-2</v>
      </c>
      <c r="N47" s="727"/>
      <c r="O47" s="725">
        <v>0</v>
      </c>
      <c r="P47" s="726">
        <v>0</v>
      </c>
      <c r="Q47" s="727"/>
      <c r="R47" s="725">
        <v>0</v>
      </c>
      <c r="S47" s="726">
        <v>0</v>
      </c>
      <c r="AA47" s="341"/>
      <c r="AB47" s="341"/>
      <c r="AC47" s="342"/>
      <c r="AD47" s="1"/>
      <c r="AG47" s="176"/>
      <c r="AI47" s="176"/>
    </row>
    <row r="48" spans="1:35">
      <c r="A48" s="6" t="s">
        <v>15</v>
      </c>
      <c r="B48" s="323">
        <f>$G$214/$B$64/1000</f>
        <v>4.4936416184971099E-3</v>
      </c>
      <c r="C48" s="40">
        <v>1.0055044055044055E-2</v>
      </c>
      <c r="D48" s="318">
        <v>1.13712E-2</v>
      </c>
      <c r="E48" s="323">
        <f>$G$214/$B$64/1000</f>
        <v>4.4936416184971099E-3</v>
      </c>
      <c r="F48" s="40">
        <v>3.1155541912019176E-3</v>
      </c>
      <c r="G48" s="318">
        <v>1.13712E-2</v>
      </c>
      <c r="H48" s="323">
        <f>$G$214/$B$64/1000</f>
        <v>4.4936416184971099E-3</v>
      </c>
      <c r="I48" s="40">
        <v>4.7406695199083797E-3</v>
      </c>
      <c r="J48" s="318">
        <v>1.13712E-2</v>
      </c>
      <c r="K48" s="727"/>
      <c r="L48" s="725">
        <v>0</v>
      </c>
      <c r="M48" s="726">
        <v>4.1080924855491328E-3</v>
      </c>
      <c r="N48" s="727"/>
      <c r="O48" s="725">
        <v>0</v>
      </c>
      <c r="P48" s="726">
        <v>0</v>
      </c>
      <c r="Q48" s="727"/>
      <c r="R48" s="725">
        <v>0</v>
      </c>
      <c r="S48" s="726">
        <v>0</v>
      </c>
      <c r="AA48" s="341"/>
      <c r="AB48" s="341"/>
      <c r="AC48" s="342"/>
      <c r="AD48" s="1"/>
      <c r="AG48" s="176"/>
      <c r="AI48" s="176"/>
    </row>
    <row r="49" spans="1:35">
      <c r="A49" s="6" t="s">
        <v>16</v>
      </c>
      <c r="B49" s="323">
        <f>$J$214/$B$64/1000</f>
        <v>8.1804217025748804E-3</v>
      </c>
      <c r="C49" s="40">
        <v>2.0373428373428374E-2</v>
      </c>
      <c r="D49" s="318">
        <v>1.4188877003496501E-2</v>
      </c>
      <c r="E49" s="323">
        <f>$J$214/$B$64/1000</f>
        <v>8.1804217025748804E-3</v>
      </c>
      <c r="F49" s="40">
        <v>1.9136350366755813E-2</v>
      </c>
      <c r="G49" s="318">
        <v>1.4188877003496501E-2</v>
      </c>
      <c r="H49" s="323">
        <f>$J$214/$B$64/1000</f>
        <v>8.1804217025748804E-3</v>
      </c>
      <c r="I49" s="40">
        <v>7.6540782228782531E-3</v>
      </c>
      <c r="J49" s="318">
        <v>1.4188877003496501E-2</v>
      </c>
      <c r="K49" s="727"/>
      <c r="L49" s="725">
        <v>0</v>
      </c>
      <c r="M49" s="726">
        <v>7.259843652712092E-3</v>
      </c>
      <c r="N49" s="727"/>
      <c r="O49" s="725">
        <v>0</v>
      </c>
      <c r="P49" s="726">
        <v>0</v>
      </c>
      <c r="Q49" s="727"/>
      <c r="R49" s="725">
        <v>0</v>
      </c>
      <c r="S49" s="726">
        <v>0</v>
      </c>
      <c r="AA49" s="341"/>
      <c r="AB49" s="341"/>
      <c r="AC49" s="342"/>
      <c r="AD49" s="1"/>
      <c r="AG49" s="176"/>
      <c r="AI49" s="176"/>
    </row>
    <row r="50" spans="1:35">
      <c r="A50" s="2" t="s">
        <v>17</v>
      </c>
      <c r="B50" s="323">
        <f>$E$240</f>
        <v>4.4774566473988441E-3</v>
      </c>
      <c r="C50" s="40">
        <v>6.8127908127908121E-3</v>
      </c>
      <c r="D50" s="318">
        <v>0</v>
      </c>
      <c r="E50" s="323">
        <f>$E$240</f>
        <v>4.4774566473988441E-3</v>
      </c>
      <c r="F50" s="40">
        <v>8.2982661615873012E-3</v>
      </c>
      <c r="G50" s="318">
        <v>0</v>
      </c>
      <c r="H50" s="323">
        <f>$E$240</f>
        <v>4.4774566473988441E-3</v>
      </c>
      <c r="I50" s="40">
        <v>2.8565150594799908E-3</v>
      </c>
      <c r="J50" s="318">
        <v>0</v>
      </c>
      <c r="K50" s="727"/>
      <c r="L50" s="725">
        <v>0</v>
      </c>
      <c r="M50" s="726">
        <v>2.4498520231213874E-3</v>
      </c>
      <c r="N50" s="727"/>
      <c r="O50" s="725">
        <v>0</v>
      </c>
      <c r="P50" s="726">
        <v>0</v>
      </c>
      <c r="Q50" s="727"/>
      <c r="R50" s="725">
        <v>0</v>
      </c>
      <c r="S50" s="726">
        <v>0</v>
      </c>
      <c r="AA50" s="341"/>
      <c r="AB50" s="341"/>
      <c r="AC50" s="342"/>
      <c r="AD50" s="1"/>
      <c r="AG50" s="176"/>
      <c r="AI50" s="176"/>
    </row>
    <row r="51" spans="1:35">
      <c r="A51" s="2" t="s">
        <v>19</v>
      </c>
      <c r="B51" s="323">
        <f>$E$241</f>
        <v>3.2393063583815028E-3</v>
      </c>
      <c r="C51" s="40">
        <v>0.18195762795762796</v>
      </c>
      <c r="D51" s="318">
        <v>1.0390480000000001E-2</v>
      </c>
      <c r="E51" s="323">
        <f>$E$241</f>
        <v>3.2393063583815028E-3</v>
      </c>
      <c r="F51" s="40">
        <v>0.22264847113850061</v>
      </c>
      <c r="G51" s="318">
        <v>1.0390480000000001E-2</v>
      </c>
      <c r="H51" s="323">
        <f>$E$241</f>
        <v>3.2393063583815028E-3</v>
      </c>
      <c r="I51" s="40">
        <v>7.6403529716540047E-2</v>
      </c>
      <c r="J51" s="318">
        <v>1.0390480000000001E-2</v>
      </c>
      <c r="K51" s="727"/>
      <c r="L51" s="725">
        <v>0</v>
      </c>
      <c r="M51" s="726">
        <v>6.3670520231213876E-2</v>
      </c>
      <c r="N51" s="727"/>
      <c r="O51" s="725">
        <v>0</v>
      </c>
      <c r="P51" s="726">
        <v>0</v>
      </c>
      <c r="Q51" s="727"/>
      <c r="R51" s="725">
        <v>0</v>
      </c>
      <c r="S51" s="726">
        <v>0</v>
      </c>
      <c r="AA51" s="341"/>
      <c r="AB51" s="341"/>
      <c r="AC51" s="342"/>
      <c r="AD51" s="1"/>
      <c r="AG51" s="176"/>
      <c r="AI51" s="176"/>
    </row>
    <row r="52" spans="1:35" ht="16.5">
      <c r="A52" s="2" t="s">
        <v>18</v>
      </c>
      <c r="B52" s="324">
        <f>$E$242</f>
        <v>1.6269364161849712E-2</v>
      </c>
      <c r="C52" s="672">
        <v>4.5121869121869121E-2</v>
      </c>
      <c r="D52" s="325">
        <v>3.7630079999999996E-2</v>
      </c>
      <c r="E52" s="324">
        <f>$E$242</f>
        <v>1.6269364161849712E-2</v>
      </c>
      <c r="F52" s="672">
        <v>6.4601783897952583E-2</v>
      </c>
      <c r="G52" s="325">
        <v>3.7630079999999996E-2</v>
      </c>
      <c r="H52" s="324">
        <f>$E$242</f>
        <v>1.6269364161849712E-2</v>
      </c>
      <c r="I52" s="672">
        <v>1.9244873615765976E-2</v>
      </c>
      <c r="J52" s="325">
        <v>3.7630079999999996E-2</v>
      </c>
      <c r="K52" s="728"/>
      <c r="L52" s="729">
        <v>0</v>
      </c>
      <c r="M52" s="730">
        <v>1.4046242774566474E-2</v>
      </c>
      <c r="N52" s="728"/>
      <c r="O52" s="729">
        <v>0</v>
      </c>
      <c r="P52" s="730">
        <v>0</v>
      </c>
      <c r="Q52" s="728"/>
      <c r="R52" s="729">
        <v>0</v>
      </c>
      <c r="S52" s="730">
        <v>0</v>
      </c>
      <c r="AA52" s="341"/>
      <c r="AB52" s="341"/>
      <c r="AC52" s="342"/>
      <c r="AD52" s="1"/>
      <c r="AG52" s="176"/>
      <c r="AI52" s="176"/>
    </row>
    <row r="53" spans="1:35">
      <c r="A53" s="328" t="s">
        <v>225</v>
      </c>
      <c r="B53" s="323">
        <f t="shared" ref="B53:L53" si="25">SUM(B47:B52)</f>
        <v>5.5150232527588022E-2</v>
      </c>
      <c r="C53" s="40">
        <f t="shared" si="25"/>
        <v>0.28531878031878033</v>
      </c>
      <c r="D53" s="318">
        <f>SUM(D47:D52)</f>
        <v>0.10952143179370628</v>
      </c>
      <c r="E53" s="323">
        <f t="shared" si="25"/>
        <v>5.5150232527588022E-2</v>
      </c>
      <c r="F53" s="40">
        <f t="shared" si="25"/>
        <v>0.33789583808887014</v>
      </c>
      <c r="G53" s="318">
        <f>SUM(G47:G52)</f>
        <v>0.10952143179370628</v>
      </c>
      <c r="H53" s="323">
        <f>SUM(H47:H52)</f>
        <v>5.5150232527588022E-2</v>
      </c>
      <c r="I53" s="40">
        <f t="shared" ref="I53" si="26">SUM(I47:I52)</f>
        <v>0.12857530023601271</v>
      </c>
      <c r="J53" s="10">
        <f>SUM(J47:J52)</f>
        <v>0.10952143179370628</v>
      </c>
      <c r="K53" s="727"/>
      <c r="L53" s="725">
        <f t="shared" si="25"/>
        <v>0</v>
      </c>
      <c r="M53" s="726">
        <v>0.10327622641676884</v>
      </c>
      <c r="N53" s="727"/>
      <c r="O53" s="725">
        <f t="shared" ref="O53:P53" si="27">SUM(O47:O52)</f>
        <v>0</v>
      </c>
      <c r="P53" s="726">
        <f t="shared" si="27"/>
        <v>0</v>
      </c>
      <c r="Q53" s="727"/>
      <c r="R53" s="725">
        <f t="shared" ref="R53:S53" si="28">SUM(R47:R52)</f>
        <v>0</v>
      </c>
      <c r="S53" s="726">
        <f t="shared" si="28"/>
        <v>0</v>
      </c>
      <c r="AA53" s="341"/>
      <c r="AB53" s="341"/>
      <c r="AC53" s="342"/>
      <c r="AD53" s="1"/>
      <c r="AG53" s="176"/>
      <c r="AI53" s="176"/>
    </row>
    <row r="54" spans="1:35">
      <c r="A54" s="509"/>
      <c r="B54" s="323"/>
      <c r="C54" s="10"/>
      <c r="D54" s="513"/>
      <c r="E54" s="323"/>
      <c r="F54" s="10"/>
      <c r="G54" s="513"/>
      <c r="H54" s="323"/>
      <c r="I54" s="10"/>
      <c r="J54" s="513"/>
      <c r="K54" s="727"/>
      <c r="L54" s="725"/>
      <c r="M54" s="726"/>
      <c r="N54" s="727"/>
      <c r="O54" s="725"/>
      <c r="P54" s="726"/>
      <c r="Q54" s="727"/>
      <c r="R54" s="725"/>
      <c r="S54" s="726"/>
      <c r="AA54" s="341"/>
      <c r="AB54" s="341"/>
      <c r="AC54" s="342"/>
      <c r="AD54" s="1"/>
      <c r="AG54" s="176"/>
      <c r="AI54" s="176"/>
    </row>
    <row r="55" spans="1:35">
      <c r="A55" s="526" t="s">
        <v>365</v>
      </c>
      <c r="B55" s="502">
        <f t="shared" ref="B55:P55" si="29">B45+B53</f>
        <v>0.35585946444762007</v>
      </c>
      <c r="C55" s="769">
        <f t="shared" si="29"/>
        <v>0.79608504108504108</v>
      </c>
      <c r="D55" s="504">
        <f t="shared" si="29"/>
        <v>0.39759313459996487</v>
      </c>
      <c r="E55" s="502">
        <f t="shared" si="29"/>
        <v>0.62674856514383204</v>
      </c>
      <c r="F55" s="769">
        <f t="shared" si="29"/>
        <v>0.85175697790027893</v>
      </c>
      <c r="G55" s="504">
        <f t="shared" si="29"/>
        <v>0.63182395579269968</v>
      </c>
      <c r="H55" s="502">
        <f t="shared" si="29"/>
        <v>0.48959973019124259</v>
      </c>
      <c r="I55" s="769">
        <f t="shared" si="29"/>
        <v>0.47111281000422717</v>
      </c>
      <c r="J55" s="504">
        <f t="shared" si="29"/>
        <v>0.52085080658028582</v>
      </c>
      <c r="K55" s="731">
        <f t="shared" si="29"/>
        <v>0</v>
      </c>
      <c r="L55" s="732">
        <f t="shared" si="29"/>
        <v>0</v>
      </c>
      <c r="M55" s="733">
        <f t="shared" si="29"/>
        <v>2.2166885676407588</v>
      </c>
      <c r="N55" s="731">
        <f t="shared" si="29"/>
        <v>0</v>
      </c>
      <c r="O55" s="732">
        <f t="shared" si="29"/>
        <v>0</v>
      </c>
      <c r="P55" s="733">
        <f t="shared" si="29"/>
        <v>0</v>
      </c>
      <c r="Q55" s="731">
        <f>Q45+Q53</f>
        <v>0</v>
      </c>
      <c r="R55" s="732">
        <f t="shared" ref="R55:S55" si="30">R45+R53</f>
        <v>0</v>
      </c>
      <c r="S55" s="733">
        <f t="shared" si="30"/>
        <v>0</v>
      </c>
      <c r="AA55" s="341"/>
      <c r="AB55" s="341"/>
      <c r="AC55" s="342"/>
      <c r="AD55" s="1"/>
      <c r="AG55" s="176"/>
      <c r="AI55" s="176"/>
    </row>
    <row r="56" spans="1:35">
      <c r="A56" s="501" t="s">
        <v>368</v>
      </c>
      <c r="B56" s="494">
        <f>-B38</f>
        <v>0</v>
      </c>
      <c r="C56" s="770">
        <f>-C38</f>
        <v>0</v>
      </c>
      <c r="D56" s="498">
        <v>0</v>
      </c>
      <c r="E56" s="494">
        <f>-E38</f>
        <v>0</v>
      </c>
      <c r="F56" s="770"/>
      <c r="G56" s="498">
        <v>-4.5999999999999999E-2</v>
      </c>
      <c r="H56" s="497">
        <f>-H38</f>
        <v>0</v>
      </c>
      <c r="I56" s="770"/>
      <c r="J56" s="498">
        <v>-9.3327229569345554E-2</v>
      </c>
      <c r="K56" s="734">
        <f>-K38</f>
        <v>0</v>
      </c>
      <c r="L56" s="735"/>
      <c r="M56" s="736">
        <v>-7.4705958549222806E-3</v>
      </c>
      <c r="N56" s="734">
        <f>-N38</f>
        <v>0</v>
      </c>
      <c r="O56" s="735"/>
      <c r="P56" s="736">
        <v>0</v>
      </c>
      <c r="Q56" s="734">
        <f>-Q38</f>
        <v>0</v>
      </c>
      <c r="R56" s="735"/>
      <c r="S56" s="736"/>
      <c r="AA56" s="341"/>
      <c r="AB56" s="341"/>
      <c r="AC56" s="342"/>
      <c r="AD56" s="1"/>
      <c r="AG56" s="176"/>
      <c r="AI56" s="176"/>
    </row>
    <row r="57" spans="1:35">
      <c r="A57" s="328" t="s">
        <v>367</v>
      </c>
      <c r="B57" s="323">
        <v>0</v>
      </c>
      <c r="C57" s="771">
        <v>-0.31205821205821205</v>
      </c>
      <c r="D57" s="318">
        <f t="shared" ref="D57:G57" si="31">IF(D40+D41+D42+D43+D44+D53&gt;0.0498,0.0498-D40-D41-D42-D43-D44-D53,0)</f>
        <v>-8.0955214522744845E-2</v>
      </c>
      <c r="E57" s="323">
        <v>0</v>
      </c>
      <c r="F57" s="771">
        <f>IF(F40+F41+F42+F43+F44+F53&gt;0.0498,0.0498-F40-F41-F42-F43-F44-F53,0)</f>
        <v>-0.34756260659631305</v>
      </c>
      <c r="G57" s="318">
        <f t="shared" si="31"/>
        <v>-8.0955214522744845E-2</v>
      </c>
      <c r="H57" s="323">
        <v>0</v>
      </c>
      <c r="I57" s="771">
        <f>IF(I40+I41+I42+I43+I44+I53&gt;0.0498,0.0498-I40-I41-I42-I43-I44-I53,0)</f>
        <v>-0.10746046712874904</v>
      </c>
      <c r="J57" s="318">
        <v>-8.0955214522744845E-2</v>
      </c>
      <c r="K57" s="727">
        <f t="shared" ref="K57:S57" si="32">IF(K40+K41+K42+K43+K44+K53&gt;0.0498,0.0498-K40-K41-K42-K43-K44-K53,0)</f>
        <v>0</v>
      </c>
      <c r="L57" s="737">
        <f t="shared" si="32"/>
        <v>0</v>
      </c>
      <c r="M57" s="726">
        <f t="shared" si="32"/>
        <v>-7.9620813644774191E-2</v>
      </c>
      <c r="N57" s="727">
        <f t="shared" si="32"/>
        <v>0</v>
      </c>
      <c r="O57" s="737">
        <v>0</v>
      </c>
      <c r="P57" s="726">
        <f t="shared" si="32"/>
        <v>0</v>
      </c>
      <c r="Q57" s="727">
        <f t="shared" si="32"/>
        <v>0</v>
      </c>
      <c r="R57" s="737">
        <v>0</v>
      </c>
      <c r="S57" s="726">
        <f t="shared" si="32"/>
        <v>0</v>
      </c>
      <c r="AA57" s="341"/>
      <c r="AB57" s="341"/>
      <c r="AC57" s="342"/>
      <c r="AD57" s="1"/>
      <c r="AG57" s="176"/>
      <c r="AI57" s="176"/>
    </row>
    <row r="58" spans="1:35">
      <c r="A58" s="526" t="s">
        <v>366</v>
      </c>
      <c r="B58" s="502">
        <f t="shared" ref="B58:S58" si="33">SUM(B55:B57)</f>
        <v>0.35585946444762007</v>
      </c>
      <c r="C58" s="769">
        <f t="shared" si="33"/>
        <v>0.48402682902682903</v>
      </c>
      <c r="D58" s="504">
        <f t="shared" si="33"/>
        <v>0.31663792007722003</v>
      </c>
      <c r="E58" s="502">
        <f t="shared" si="33"/>
        <v>0.62674856514383204</v>
      </c>
      <c r="F58" s="769">
        <f t="shared" si="33"/>
        <v>0.50419437130396583</v>
      </c>
      <c r="G58" s="504">
        <f>SUM(G55:G57)</f>
        <v>0.50486874126995485</v>
      </c>
      <c r="H58" s="502">
        <f t="shared" si="33"/>
        <v>0.48959973019124259</v>
      </c>
      <c r="I58" s="769">
        <f t="shared" ref="I58:J58" si="34">SUM(I55:I57)</f>
        <v>0.3636523428754781</v>
      </c>
      <c r="J58" s="504">
        <f t="shared" si="34"/>
        <v>0.34656836248819539</v>
      </c>
      <c r="K58" s="731">
        <f t="shared" si="33"/>
        <v>0</v>
      </c>
      <c r="L58" s="732">
        <f t="shared" si="33"/>
        <v>0</v>
      </c>
      <c r="M58" s="733">
        <f t="shared" si="33"/>
        <v>2.1295971581410624</v>
      </c>
      <c r="N58" s="731">
        <f t="shared" si="33"/>
        <v>0</v>
      </c>
      <c r="O58" s="732">
        <f t="shared" ref="O58" si="35">SUM(O55:O57)</f>
        <v>0</v>
      </c>
      <c r="P58" s="733">
        <f t="shared" si="33"/>
        <v>0</v>
      </c>
      <c r="Q58" s="731">
        <f t="shared" si="33"/>
        <v>0</v>
      </c>
      <c r="R58" s="732">
        <f t="shared" si="33"/>
        <v>0</v>
      </c>
      <c r="S58" s="733">
        <f t="shared" si="33"/>
        <v>0</v>
      </c>
      <c r="AA58" s="341"/>
      <c r="AB58" s="341"/>
      <c r="AC58" s="342"/>
      <c r="AD58" s="1"/>
      <c r="AG58" s="176"/>
      <c r="AI58" s="176"/>
    </row>
    <row r="59" spans="1:35">
      <c r="A59" s="509"/>
      <c r="B59" s="558"/>
      <c r="C59" s="1"/>
      <c r="D59" s="511"/>
      <c r="E59" s="558"/>
      <c r="F59" s="1"/>
      <c r="G59" s="511"/>
      <c r="H59" s="558"/>
      <c r="I59" s="1"/>
      <c r="J59" s="511"/>
      <c r="K59" s="738"/>
      <c r="L59" s="712"/>
      <c r="M59" s="739"/>
      <c r="N59" s="738"/>
      <c r="O59" s="712"/>
      <c r="P59" s="739"/>
      <c r="Q59" s="738"/>
      <c r="R59" s="712"/>
      <c r="S59" s="739"/>
      <c r="AA59" s="341"/>
      <c r="AB59" s="341"/>
      <c r="AC59" s="342"/>
      <c r="AD59" s="1"/>
      <c r="AG59" s="176"/>
      <c r="AI59" s="176"/>
    </row>
    <row r="60" spans="1:35">
      <c r="A60" s="526" t="s">
        <v>392</v>
      </c>
      <c r="B60" s="517">
        <f>+B85</f>
        <v>1500</v>
      </c>
      <c r="C60" s="772">
        <v>101</v>
      </c>
      <c r="D60" s="519">
        <v>1100</v>
      </c>
      <c r="E60" s="517">
        <f>+B86</f>
        <v>1300</v>
      </c>
      <c r="F60" s="772">
        <v>979</v>
      </c>
      <c r="G60" s="519">
        <v>1700</v>
      </c>
      <c r="H60" s="517">
        <v>0</v>
      </c>
      <c r="I60" s="772">
        <v>2743</v>
      </c>
      <c r="J60" s="519">
        <v>5500</v>
      </c>
      <c r="K60" s="740">
        <f>+B88</f>
        <v>0</v>
      </c>
      <c r="L60" s="741">
        <v>0</v>
      </c>
      <c r="M60" s="742">
        <v>100</v>
      </c>
      <c r="N60" s="740">
        <v>0</v>
      </c>
      <c r="O60" s="741">
        <v>0</v>
      </c>
      <c r="P60" s="742">
        <v>0</v>
      </c>
      <c r="Q60" s="740">
        <v>0</v>
      </c>
      <c r="R60" s="741">
        <v>0</v>
      </c>
      <c r="S60" s="742">
        <v>0</v>
      </c>
      <c r="AA60" s="341"/>
      <c r="AB60" s="341"/>
      <c r="AC60" s="342"/>
      <c r="AD60" s="1"/>
      <c r="AG60" s="176"/>
      <c r="AI60" s="176"/>
    </row>
    <row r="61" spans="1:35">
      <c r="A61" s="505"/>
      <c r="B61" s="506"/>
      <c r="C61" s="507"/>
      <c r="D61" s="508"/>
      <c r="E61" s="557"/>
      <c r="F61" s="4"/>
      <c r="G61" s="508"/>
      <c r="H61" s="557"/>
      <c r="I61" s="4"/>
      <c r="J61" s="561"/>
      <c r="K61" s="743"/>
      <c r="L61" s="744"/>
      <c r="M61" s="745"/>
      <c r="N61" s="743"/>
      <c r="O61" s="744"/>
      <c r="P61" s="745"/>
      <c r="Q61" s="743"/>
      <c r="R61" s="744"/>
      <c r="S61" s="745"/>
      <c r="AA61" s="341"/>
      <c r="AB61" s="341"/>
      <c r="AC61" s="342"/>
      <c r="AD61" s="1"/>
      <c r="AG61" s="176"/>
      <c r="AI61" s="176"/>
    </row>
    <row r="62" spans="1:35">
      <c r="A62" s="564"/>
      <c r="B62" s="502"/>
      <c r="C62" s="543"/>
      <c r="D62" s="504"/>
      <c r="E62" s="502"/>
      <c r="F62" s="543"/>
      <c r="G62" s="556"/>
      <c r="H62" s="502"/>
      <c r="I62" s="543"/>
      <c r="J62" s="504"/>
      <c r="K62" s="502"/>
      <c r="L62" s="543"/>
      <c r="M62" s="556"/>
      <c r="N62" s="502"/>
      <c r="O62" s="543"/>
      <c r="P62" s="504"/>
      <c r="Q62" s="502"/>
      <c r="R62" s="543"/>
      <c r="S62" s="504"/>
      <c r="AA62" s="341"/>
      <c r="AB62" s="341"/>
      <c r="AC62" s="342"/>
      <c r="AD62" s="1"/>
      <c r="AG62" s="176"/>
      <c r="AI62" s="176"/>
    </row>
    <row r="63" spans="1:35" ht="15.75" thickBot="1">
      <c r="A63" s="523"/>
      <c r="B63" s="524"/>
      <c r="C63" s="509"/>
      <c r="D63" s="509"/>
      <c r="E63" s="525"/>
      <c r="H63" s="525"/>
      <c r="K63" s="338"/>
      <c r="N63" s="338"/>
      <c r="Q63" s="338"/>
      <c r="AA63" s="341"/>
      <c r="AB63" s="341"/>
      <c r="AC63" s="342"/>
      <c r="AD63" s="1"/>
      <c r="AG63" s="176"/>
      <c r="AI63" s="176"/>
    </row>
    <row r="64" spans="1:35" ht="15.75" thickBot="1">
      <c r="A64" s="527" t="s">
        <v>391</v>
      </c>
      <c r="B64" s="520">
        <f>B29+E29+H29+K29+N29+Q29+B60+E60+H60+K60+N60+Q60</f>
        <v>34600</v>
      </c>
      <c r="C64" s="521">
        <f>C29+F29+I29+L29+O29+R29+C60+F60+I60+L60+O60+R60</f>
        <v>32641.15</v>
      </c>
      <c r="D64" s="522">
        <f>D29+G29+J29+M29+P29+S29+D60+G60+J60+M60+P60+S60</f>
        <v>23700</v>
      </c>
      <c r="H64" s="52"/>
      <c r="AA64" s="341"/>
      <c r="AB64" s="341"/>
      <c r="AC64" s="342"/>
      <c r="AD64" s="1"/>
      <c r="AG64" s="176"/>
      <c r="AI64" s="176"/>
    </row>
    <row r="65" spans="1:35">
      <c r="A65" s="340"/>
      <c r="B65" s="196"/>
      <c r="C65" s="4"/>
      <c r="D65" s="4"/>
      <c r="H65" s="52"/>
      <c r="K65" s="562"/>
      <c r="O65" s="2" t="s">
        <v>7</v>
      </c>
      <c r="AG65" s="176"/>
      <c r="AI65" s="176"/>
    </row>
    <row r="66" spans="1:35" ht="16.5">
      <c r="A66" s="6"/>
      <c r="B66" s="26" t="s">
        <v>229</v>
      </c>
      <c r="C66" s="26" t="s">
        <v>230</v>
      </c>
      <c r="D66" s="26" t="s">
        <v>231</v>
      </c>
      <c r="H66" s="52"/>
      <c r="I66" s="560"/>
      <c r="K66" s="562"/>
      <c r="V66" s="1">
        <v>2078820</v>
      </c>
      <c r="W66" s="791">
        <v>2289955</v>
      </c>
      <c r="X66" s="1"/>
      <c r="Y66" s="1"/>
      <c r="Z66" s="1"/>
      <c r="AA66" s="792"/>
      <c r="AB66" s="792"/>
      <c r="AC66" s="793">
        <v>1.1020000000000001</v>
      </c>
      <c r="AD66" s="794">
        <v>9.9000000000000005E-2</v>
      </c>
      <c r="AE66" s="795">
        <f>+AC66-AD66</f>
        <v>1.0030000000000001</v>
      </c>
      <c r="AG66" s="176"/>
      <c r="AI66" s="176"/>
    </row>
    <row r="67" spans="1:35">
      <c r="A67" s="343" t="s">
        <v>232</v>
      </c>
      <c r="B67" s="859" t="s">
        <v>233</v>
      </c>
      <c r="C67" s="859"/>
      <c r="D67" s="859"/>
      <c r="H67" s="52"/>
      <c r="I67" s="560"/>
      <c r="J67" s="83"/>
      <c r="K67" s="602"/>
      <c r="V67" s="1">
        <v>22566</v>
      </c>
      <c r="W67" s="791">
        <v>22313</v>
      </c>
      <c r="X67" s="1"/>
      <c r="Y67" s="1"/>
      <c r="Z67" s="1"/>
      <c r="AA67" s="792"/>
      <c r="AB67" s="792"/>
      <c r="AC67" s="793">
        <v>0.98899999999999999</v>
      </c>
      <c r="AD67" s="794">
        <v>0</v>
      </c>
      <c r="AE67" s="795">
        <f t="shared" ref="AE67:AE72" si="36">+AC67-AD67</f>
        <v>0.98899999999999999</v>
      </c>
      <c r="AG67" s="176"/>
      <c r="AI67" s="176"/>
    </row>
    <row r="68" spans="1:35">
      <c r="A68" s="328" t="s">
        <v>234</v>
      </c>
      <c r="B68" s="344">
        <f>SUM(C68:D68)</f>
        <v>13936.500952367267</v>
      </c>
      <c r="C68" s="344">
        <f>W14*$V$29</f>
        <v>12860.665183456071</v>
      </c>
      <c r="D68" s="344">
        <f>W22*$V$29</f>
        <v>1075.835768911197</v>
      </c>
      <c r="H68" s="52"/>
      <c r="I68" s="560"/>
      <c r="K68" s="562"/>
      <c r="V68" s="1">
        <v>469400</v>
      </c>
      <c r="W68" s="791">
        <v>521591</v>
      </c>
      <c r="X68" s="1"/>
      <c r="Y68" s="1"/>
      <c r="Z68" s="1"/>
      <c r="AA68" s="792"/>
      <c r="AB68" s="792"/>
      <c r="AC68" s="793">
        <v>1.111</v>
      </c>
      <c r="AD68" s="794">
        <v>7.0000000000000007E-2</v>
      </c>
      <c r="AE68" s="795">
        <f t="shared" si="36"/>
        <v>1.0409999999999999</v>
      </c>
      <c r="AG68" s="176"/>
      <c r="AI68" s="176"/>
    </row>
    <row r="69" spans="1:35">
      <c r="A69" s="328" t="s">
        <v>235</v>
      </c>
      <c r="B69" s="196">
        <f>SUM(C69:D69)</f>
        <v>832.36227654334823</v>
      </c>
      <c r="C69" s="196">
        <f>X14*$V$29</f>
        <v>0</v>
      </c>
      <c r="D69" s="196">
        <f>X22*$V$29</f>
        <v>832.36227654334823</v>
      </c>
      <c r="J69" s="176"/>
      <c r="K69" s="176"/>
      <c r="V69" s="1">
        <v>514675</v>
      </c>
      <c r="W69" s="791">
        <v>642354</v>
      </c>
      <c r="X69" s="1"/>
      <c r="Y69" s="1"/>
      <c r="Z69" s="1"/>
      <c r="AA69" s="792"/>
      <c r="AB69" s="792"/>
      <c r="AC69" s="793">
        <v>1.248</v>
      </c>
      <c r="AD69" s="794">
        <v>1.4999999999999999E-2</v>
      </c>
      <c r="AE69" s="795">
        <f t="shared" si="36"/>
        <v>1.2330000000000001</v>
      </c>
      <c r="AG69" s="176"/>
      <c r="AI69" s="176"/>
    </row>
    <row r="70" spans="1:35" ht="16.5">
      <c r="A70" s="328" t="s">
        <v>236</v>
      </c>
      <c r="B70" s="345">
        <f>SUM(C70:D70)</f>
        <v>0</v>
      </c>
      <c r="C70" s="345">
        <v>0</v>
      </c>
      <c r="D70" s="345">
        <v>0</v>
      </c>
      <c r="V70" s="1">
        <v>62400</v>
      </c>
      <c r="W70" s="791">
        <v>68640</v>
      </c>
      <c r="X70" s="1"/>
      <c r="Y70" s="1"/>
      <c r="Z70" s="1"/>
      <c r="AA70" s="792"/>
      <c r="AB70" s="792"/>
      <c r="AC70" s="793">
        <v>1.1000000000000001</v>
      </c>
      <c r="AD70" s="794">
        <v>0.158</v>
      </c>
      <c r="AE70" s="795">
        <f t="shared" si="36"/>
        <v>0.94200000000000006</v>
      </c>
      <c r="AG70" s="176"/>
      <c r="AI70" s="176"/>
    </row>
    <row r="71" spans="1:35">
      <c r="A71" s="340" t="s">
        <v>64</v>
      </c>
      <c r="B71" s="344">
        <f>SUM(B68:B70)</f>
        <v>14768.863228910615</v>
      </c>
      <c r="C71" s="344">
        <f>SUM(C68:C70)</f>
        <v>12860.665183456071</v>
      </c>
      <c r="D71" s="344">
        <f>SUM(D68:D70)</f>
        <v>1908.1980454545451</v>
      </c>
      <c r="V71" s="1">
        <v>22275</v>
      </c>
      <c r="W71" s="791">
        <v>27844</v>
      </c>
      <c r="X71" s="1"/>
      <c r="Y71" s="1"/>
      <c r="Z71" s="1"/>
      <c r="AA71" s="792"/>
      <c r="AB71" s="792"/>
      <c r="AC71" s="793">
        <v>1.25</v>
      </c>
      <c r="AD71" s="794">
        <v>0</v>
      </c>
      <c r="AE71" s="795">
        <f t="shared" si="36"/>
        <v>1.25</v>
      </c>
      <c r="AG71" s="176"/>
      <c r="AI71" s="176"/>
    </row>
    <row r="72" spans="1:35" ht="16.5">
      <c r="A72" s="340" t="s">
        <v>237</v>
      </c>
      <c r="B72" s="346">
        <f>SUM(C72:D72)</f>
        <v>-112.08</v>
      </c>
      <c r="C72" s="346">
        <v>0</v>
      </c>
      <c r="D72" s="346">
        <f>-V20*V29</f>
        <v>-112.08</v>
      </c>
      <c r="V72" s="1">
        <v>10980</v>
      </c>
      <c r="W72" s="791">
        <v>13725</v>
      </c>
      <c r="X72" s="1"/>
      <c r="Y72" s="1"/>
      <c r="Z72" s="1"/>
      <c r="AA72" s="792"/>
      <c r="AB72" s="792"/>
      <c r="AC72" s="793">
        <v>1.25</v>
      </c>
      <c r="AD72" s="794">
        <v>0</v>
      </c>
      <c r="AE72" s="795">
        <f t="shared" si="36"/>
        <v>1.25</v>
      </c>
      <c r="AG72" s="176"/>
      <c r="AI72" s="176"/>
    </row>
    <row r="73" spans="1:35" ht="16.5">
      <c r="A73" s="340" t="s">
        <v>238</v>
      </c>
      <c r="B73" s="347">
        <f>SUM(B71:B72)</f>
        <v>14656.783228910615</v>
      </c>
      <c r="C73" s="347">
        <f>SUM(C71:C72)</f>
        <v>12860.665183456071</v>
      </c>
      <c r="D73" s="347">
        <f>SUM(D71:D72)</f>
        <v>1796.1180454545452</v>
      </c>
      <c r="J73" s="764"/>
      <c r="K73" s="83"/>
      <c r="V73" s="1"/>
      <c r="W73" s="791"/>
      <c r="X73" s="1"/>
      <c r="Y73" s="1"/>
      <c r="Z73" s="1"/>
      <c r="AA73" s="792"/>
      <c r="AB73" s="792"/>
      <c r="AC73" s="796"/>
      <c r="AD73" s="1"/>
      <c r="AE73" s="795">
        <f>AVERAGE(AE66:AE72)</f>
        <v>1.1011428571428572</v>
      </c>
      <c r="AG73" s="176"/>
      <c r="AI73" s="176"/>
    </row>
    <row r="74" spans="1:35">
      <c r="V74" s="1">
        <f>SUM(V66:V73)</f>
        <v>3181116</v>
      </c>
      <c r="W74" s="791">
        <f>SUM(W66:W73)</f>
        <v>3586422</v>
      </c>
      <c r="X74" s="1"/>
      <c r="Y74" s="1"/>
      <c r="Z74" s="1"/>
      <c r="AA74" s="792"/>
      <c r="AB74" s="792"/>
      <c r="AC74" s="796"/>
      <c r="AD74" s="1"/>
      <c r="AE74" s="1"/>
      <c r="AG74" s="342"/>
      <c r="AI74" s="342"/>
    </row>
    <row r="75" spans="1:35">
      <c r="V75" s="1">
        <v>3233726</v>
      </c>
      <c r="W75" s="791">
        <v>1569174</v>
      </c>
      <c r="X75" s="797">
        <f>+W75/V75</f>
        <v>0.485252615713267</v>
      </c>
      <c r="Y75" s="1"/>
      <c r="Z75" s="1"/>
      <c r="AA75" s="792"/>
      <c r="AB75" s="792"/>
      <c r="AC75" s="796"/>
      <c r="AD75" s="1"/>
      <c r="AE75" s="1"/>
      <c r="AG75" s="342"/>
      <c r="AI75" s="342"/>
    </row>
    <row r="76" spans="1:35">
      <c r="V76" s="1">
        <f>+V74-V75</f>
        <v>-52610</v>
      </c>
      <c r="W76" s="791">
        <f>+W74-W75</f>
        <v>2017248</v>
      </c>
      <c r="X76" s="1"/>
      <c r="Y76" s="1"/>
      <c r="Z76" s="1"/>
      <c r="AA76" s="1"/>
      <c r="AB76" s="1"/>
      <c r="AC76" s="1"/>
      <c r="AD76" s="1"/>
      <c r="AE76" s="1"/>
      <c r="AG76" s="342"/>
      <c r="AI76" s="342"/>
    </row>
    <row r="77" spans="1:35">
      <c r="A77" s="1"/>
      <c r="B77" s="111" t="s">
        <v>356</v>
      </c>
      <c r="C77" s="111" t="s">
        <v>297</v>
      </c>
      <c r="D77" s="1"/>
      <c r="E77" s="1"/>
      <c r="F77" s="1"/>
      <c r="G77" s="1"/>
      <c r="H77" s="1"/>
    </row>
    <row r="78" spans="1:35" ht="16.5">
      <c r="A78" s="348" t="s">
        <v>239</v>
      </c>
      <c r="B78" s="305" t="s">
        <v>357</v>
      </c>
      <c r="C78" s="3" t="s">
        <v>394</v>
      </c>
      <c r="D78" s="3" t="s">
        <v>240</v>
      </c>
      <c r="E78" s="3" t="s">
        <v>241</v>
      </c>
      <c r="J78" s="176"/>
      <c r="AA78" s="6"/>
      <c r="AB78" s="6"/>
    </row>
    <row r="79" spans="1:35">
      <c r="A79" s="112" t="s">
        <v>327</v>
      </c>
      <c r="B79" s="349">
        <v>25500</v>
      </c>
      <c r="C79" s="350">
        <v>350</v>
      </c>
      <c r="D79" s="65">
        <f>IF(C79&lt;&gt;0,B79/C79,0)</f>
        <v>72.857142857142861</v>
      </c>
      <c r="E79" s="351">
        <f>IF($D$91&lt;&gt;0,D79/$D$91,0)</f>
        <v>0.66753926701570665</v>
      </c>
      <c r="AA79" s="6"/>
      <c r="AB79" s="6"/>
    </row>
    <row r="80" spans="1:35">
      <c r="A80" s="112" t="s">
        <v>439</v>
      </c>
      <c r="B80" s="349">
        <v>5000</v>
      </c>
      <c r="C80" s="350">
        <f>350</f>
        <v>350</v>
      </c>
      <c r="D80" s="65">
        <f>IF(C80&lt;&gt;0,B80/C80,0)</f>
        <v>14.285714285714286</v>
      </c>
      <c r="E80" s="352">
        <f>IF($D$91&lt;&gt;0,D80/$D$91,0)</f>
        <v>0.13089005235602091</v>
      </c>
      <c r="J80" s="9"/>
      <c r="AA80" s="6"/>
      <c r="AB80" s="6"/>
    </row>
    <row r="81" spans="1:42">
      <c r="A81" s="112" t="s">
        <v>329</v>
      </c>
      <c r="B81" s="349">
        <v>300</v>
      </c>
      <c r="C81" s="350">
        <f>350</f>
        <v>350</v>
      </c>
      <c r="D81" s="65">
        <f t="shared" ref="D81:D89" si="37">IF(C81&lt;&gt;0,B81/C81,0)</f>
        <v>0.8571428571428571</v>
      </c>
      <c r="E81" s="352">
        <f>IF($D$91&lt;&gt;0,D81/$D$91,0)</f>
        <v>7.8534031413612544E-3</v>
      </c>
      <c r="AA81" s="6"/>
      <c r="AB81" s="6"/>
    </row>
    <row r="82" spans="1:42">
      <c r="A82" s="112" t="s">
        <v>330</v>
      </c>
      <c r="B82" s="349">
        <v>0</v>
      </c>
      <c r="C82" s="350">
        <f>350</f>
        <v>350</v>
      </c>
      <c r="D82" s="65">
        <f t="shared" si="37"/>
        <v>0</v>
      </c>
      <c r="E82" s="352">
        <f>IF($D$91&lt;&gt;0,D82/$D$91,0)</f>
        <v>0</v>
      </c>
      <c r="AA82" s="6"/>
      <c r="AB82" s="6"/>
    </row>
    <row r="83" spans="1:42">
      <c r="A83" s="112" t="s">
        <v>331</v>
      </c>
      <c r="B83" s="349">
        <v>0</v>
      </c>
      <c r="C83" s="350">
        <f>350</f>
        <v>350</v>
      </c>
      <c r="D83" s="65">
        <f t="shared" si="37"/>
        <v>0</v>
      </c>
      <c r="E83" s="352">
        <f>IF($D$91&lt;&gt;0,D83/$D$91,0)</f>
        <v>0</v>
      </c>
      <c r="AA83" s="6"/>
      <c r="AB83" s="6"/>
    </row>
    <row r="84" spans="1:42">
      <c r="A84" s="112" t="s">
        <v>332</v>
      </c>
      <c r="B84" s="349">
        <v>1000</v>
      </c>
      <c r="C84" s="350">
        <f>350</f>
        <v>350</v>
      </c>
      <c r="D84" s="65">
        <f t="shared" si="37"/>
        <v>2.8571428571428572</v>
      </c>
      <c r="E84" s="352">
        <f t="shared" ref="E84:E89" si="38">IF($D$91&lt;&gt;0,D84/$D$91,0)</f>
        <v>2.6178010471204185E-2</v>
      </c>
      <c r="AA84" s="6"/>
      <c r="AB84" s="6"/>
    </row>
    <row r="85" spans="1:42">
      <c r="A85" s="112" t="s">
        <v>370</v>
      </c>
      <c r="B85" s="349">
        <v>1500</v>
      </c>
      <c r="C85" s="350">
        <f>350</f>
        <v>350</v>
      </c>
      <c r="D85" s="65">
        <f t="shared" si="37"/>
        <v>4.2857142857142856</v>
      </c>
      <c r="E85" s="352">
        <f t="shared" si="38"/>
        <v>3.9267015706806276E-2</v>
      </c>
      <c r="AA85" s="6"/>
      <c r="AB85" s="6"/>
    </row>
    <row r="86" spans="1:42">
      <c r="A86" s="112" t="s">
        <v>333</v>
      </c>
      <c r="B86" s="349">
        <v>1300</v>
      </c>
      <c r="C86" s="350">
        <f>350</f>
        <v>350</v>
      </c>
      <c r="D86" s="65">
        <f t="shared" si="37"/>
        <v>3.7142857142857144</v>
      </c>
      <c r="E86" s="352">
        <f t="shared" si="38"/>
        <v>3.4031413612565439E-2</v>
      </c>
      <c r="AA86" s="6"/>
      <c r="AB86" s="6"/>
    </row>
    <row r="87" spans="1:42">
      <c r="A87" s="112" t="s">
        <v>334</v>
      </c>
      <c r="B87" s="349">
        <v>0</v>
      </c>
      <c r="C87" s="350">
        <f>350</f>
        <v>350</v>
      </c>
      <c r="D87" s="65">
        <f t="shared" si="37"/>
        <v>0</v>
      </c>
      <c r="E87" s="352">
        <f t="shared" si="38"/>
        <v>0</v>
      </c>
      <c r="AA87" s="6"/>
      <c r="AB87" s="6"/>
    </row>
    <row r="88" spans="1:42">
      <c r="A88" s="112" t="s">
        <v>335</v>
      </c>
      <c r="B88" s="349">
        <v>0</v>
      </c>
      <c r="C88" s="350">
        <f>350</f>
        <v>350</v>
      </c>
      <c r="D88" s="65">
        <f t="shared" si="37"/>
        <v>0</v>
      </c>
      <c r="E88" s="352">
        <f t="shared" si="38"/>
        <v>0</v>
      </c>
      <c r="AA88" s="6"/>
      <c r="AB88" s="6"/>
    </row>
    <row r="89" spans="1:42">
      <c r="A89" s="112" t="s">
        <v>326</v>
      </c>
      <c r="B89" s="349">
        <v>0</v>
      </c>
      <c r="C89" s="350">
        <f>350</f>
        <v>350</v>
      </c>
      <c r="D89" s="65">
        <f t="shared" si="37"/>
        <v>0</v>
      </c>
      <c r="E89" s="352">
        <f t="shared" si="38"/>
        <v>0</v>
      </c>
      <c r="AA89" s="6"/>
      <c r="AB89" s="6"/>
    </row>
    <row r="90" spans="1:42">
      <c r="A90" s="112" t="s">
        <v>400</v>
      </c>
      <c r="B90" s="349">
        <v>3600</v>
      </c>
      <c r="C90" s="350">
        <f>350</f>
        <v>350</v>
      </c>
      <c r="D90" s="65">
        <f>IF(C90&lt;&gt;0,B90/C90,0)</f>
        <v>10.285714285714286</v>
      </c>
      <c r="E90" s="352">
        <f>IF($D$91&lt;&gt;0,D90/$D$91,0)</f>
        <v>9.4240837696335067E-2</v>
      </c>
      <c r="AA90" s="6"/>
      <c r="AB90" s="6"/>
    </row>
    <row r="91" spans="1:42" ht="15.75" thickBot="1">
      <c r="A91" s="353" t="s">
        <v>229</v>
      </c>
      <c r="B91" s="354">
        <f>SUM(B79:B90)</f>
        <v>38200</v>
      </c>
      <c r="C91" s="354">
        <f>B91/D91</f>
        <v>349.99999999999994</v>
      </c>
      <c r="D91" s="354">
        <f>SUM(D79:D90)</f>
        <v>109.14285714285717</v>
      </c>
      <c r="E91" s="355">
        <f>IF($D$91&lt;&gt;0,D91/$D$91,0)</f>
        <v>1</v>
      </c>
      <c r="AA91" s="6"/>
      <c r="AB91" s="6"/>
    </row>
    <row r="92" spans="1:42" ht="16.5">
      <c r="C92" s="356"/>
      <c r="D92" s="356"/>
      <c r="AA92" s="6"/>
      <c r="AB92" s="6"/>
    </row>
    <row r="93" spans="1:42">
      <c r="A93" s="23"/>
      <c r="B93" s="351"/>
      <c r="C93" s="351"/>
      <c r="D93" s="351"/>
      <c r="E93" s="1"/>
      <c r="F93" s="357"/>
      <c r="G93" s="1"/>
      <c r="H93" s="1"/>
      <c r="L93" s="85"/>
      <c r="AA93" s="6"/>
      <c r="AB93" s="6"/>
    </row>
    <row r="94" spans="1:42">
      <c r="A94" s="358" t="s">
        <v>242</v>
      </c>
      <c r="B94" s="406"/>
      <c r="C94" s="406"/>
      <c r="D94" s="406"/>
      <c r="E94" s="406"/>
      <c r="F94" s="406"/>
      <c r="G94" s="406"/>
      <c r="H94" s="406"/>
      <c r="I94" s="406"/>
      <c r="J94" s="406"/>
      <c r="K94" s="406"/>
      <c r="L94" s="406"/>
      <c r="M94" s="406"/>
      <c r="N94" s="406"/>
      <c r="O94" s="407"/>
      <c r="AA94" s="6"/>
      <c r="AB94" s="6"/>
    </row>
    <row r="95" spans="1:42">
      <c r="A95" s="30"/>
      <c r="B95" s="359"/>
      <c r="C95" s="359"/>
      <c r="D95" s="360"/>
      <c r="E95" s="360"/>
      <c r="F95" s="1"/>
      <c r="G95" s="8"/>
      <c r="H95" s="1"/>
      <c r="I95" s="8"/>
      <c r="J95" s="1"/>
      <c r="K95" s="70"/>
      <c r="O95" s="25"/>
      <c r="Q95" s="601"/>
      <c r="AA95" s="6"/>
      <c r="AB95" s="6"/>
    </row>
    <row r="96" spans="1:42" ht="15.75" thickBot="1">
      <c r="A96" s="30"/>
      <c r="B96" s="1"/>
      <c r="C96" s="1"/>
      <c r="D96" s="852" t="s">
        <v>327</v>
      </c>
      <c r="E96" s="853"/>
      <c r="F96" s="847" t="s">
        <v>410</v>
      </c>
      <c r="G96" s="848"/>
      <c r="H96" s="847" t="s">
        <v>329</v>
      </c>
      <c r="I96" s="848"/>
      <c r="J96" s="852" t="s">
        <v>330</v>
      </c>
      <c r="K96" s="853"/>
      <c r="L96" s="847" t="s">
        <v>439</v>
      </c>
      <c r="M96" s="848"/>
      <c r="N96" s="847" t="s">
        <v>332</v>
      </c>
      <c r="O96" s="848"/>
      <c r="AA96" s="6"/>
      <c r="AB96" s="664"/>
      <c r="AC96" s="663"/>
      <c r="AD96" s="663"/>
      <c r="AE96" s="708"/>
      <c r="AF96" s="708" t="s">
        <v>423</v>
      </c>
      <c r="AG96" s="663"/>
      <c r="AH96" s="663" t="s">
        <v>424</v>
      </c>
      <c r="AI96" s="663"/>
      <c r="AJ96" s="663" t="s">
        <v>444</v>
      </c>
      <c r="AK96" s="708"/>
      <c r="AL96" s="708" t="s">
        <v>425</v>
      </c>
      <c r="AM96" s="663"/>
      <c r="AN96" s="663" t="s">
        <v>445</v>
      </c>
      <c r="AO96" s="663"/>
      <c r="AP96" s="663" t="s">
        <v>426</v>
      </c>
    </row>
    <row r="97" spans="1:42" ht="30">
      <c r="A97" s="30" t="s">
        <v>243</v>
      </c>
      <c r="B97" s="550" t="s">
        <v>27</v>
      </c>
      <c r="C97" s="551" t="s">
        <v>396</v>
      </c>
      <c r="D97" s="758" t="s">
        <v>244</v>
      </c>
      <c r="E97" s="684" t="s">
        <v>245</v>
      </c>
      <c r="F97" s="48" t="s">
        <v>244</v>
      </c>
      <c r="G97" s="362" t="s">
        <v>245</v>
      </c>
      <c r="H97" s="48" t="s">
        <v>244</v>
      </c>
      <c r="I97" s="362" t="s">
        <v>245</v>
      </c>
      <c r="J97" s="746" t="s">
        <v>244</v>
      </c>
      <c r="K97" s="684" t="s">
        <v>245</v>
      </c>
      <c r="L97" s="48" t="s">
        <v>244</v>
      </c>
      <c r="M97" s="362" t="s">
        <v>245</v>
      </c>
      <c r="N97" s="48" t="s">
        <v>244</v>
      </c>
      <c r="O97" s="362" t="s">
        <v>245</v>
      </c>
      <c r="P97" s="72"/>
      <c r="Q97" s="72"/>
      <c r="AA97" s="111"/>
      <c r="AB97" s="655" t="s">
        <v>246</v>
      </c>
      <c r="AC97" s="612"/>
      <c r="AD97" s="612"/>
      <c r="AE97" s="709" t="s">
        <v>247</v>
      </c>
      <c r="AF97" s="709" t="s">
        <v>248</v>
      </c>
      <c r="AG97" s="656" t="s">
        <v>247</v>
      </c>
      <c r="AH97" s="656" t="s">
        <v>248</v>
      </c>
      <c r="AI97" s="656" t="s">
        <v>247</v>
      </c>
      <c r="AJ97" s="656" t="s">
        <v>248</v>
      </c>
      <c r="AK97" s="709" t="s">
        <v>247</v>
      </c>
      <c r="AL97" s="709" t="s">
        <v>248</v>
      </c>
      <c r="AM97" s="656" t="s">
        <v>247</v>
      </c>
      <c r="AN97" s="656" t="s">
        <v>248</v>
      </c>
      <c r="AO97" s="656" t="s">
        <v>247</v>
      </c>
      <c r="AP97" s="656" t="s">
        <v>248</v>
      </c>
    </row>
    <row r="98" spans="1:42">
      <c r="A98" s="112" t="s">
        <v>336</v>
      </c>
      <c r="B98" s="665">
        <f>0.1586+0.032-C98</f>
        <v>0.19059999999999999</v>
      </c>
      <c r="C98" s="547">
        <v>0</v>
      </c>
      <c r="D98" s="747">
        <v>0.96442881875791298</v>
      </c>
      <c r="E98" s="748">
        <f t="shared" ref="E98:E117" si="39">$B98*D98</f>
        <v>0.18382013285525819</v>
      </c>
      <c r="F98" s="528">
        <v>0.99078514058532219</v>
      </c>
      <c r="G98" s="275">
        <f t="shared" ref="G98:G117" si="40">$B98*F98</f>
        <v>0.1888436477955624</v>
      </c>
      <c r="H98" s="528">
        <v>0</v>
      </c>
      <c r="I98" s="275">
        <f t="shared" ref="I98:I117" si="41">$B98*H98</f>
        <v>0</v>
      </c>
      <c r="J98" s="747">
        <v>1.0310578590572284</v>
      </c>
      <c r="K98" s="748">
        <f t="shared" ref="K98:K117" si="42">$B98*J98</f>
        <v>0.19651962793630773</v>
      </c>
      <c r="L98" s="528">
        <v>0</v>
      </c>
      <c r="M98" s="275">
        <f t="shared" ref="M98:M117" si="43">$B98*L98</f>
        <v>0</v>
      </c>
      <c r="N98" s="528">
        <v>0</v>
      </c>
      <c r="O98" s="275">
        <f t="shared" ref="O98:O117" si="44">$B98*N98</f>
        <v>0</v>
      </c>
      <c r="P98" s="63"/>
      <c r="Q98" s="63"/>
      <c r="AB98" s="657" t="s">
        <v>422</v>
      </c>
      <c r="AC98" s="612"/>
      <c r="AD98" s="614"/>
      <c r="AE98" s="714">
        <f>B98*1000</f>
        <v>190.6</v>
      </c>
      <c r="AF98" s="711">
        <f>E98/$B$98*1000</f>
        <v>964.42881875791295</v>
      </c>
      <c r="AG98" s="658">
        <f>+B98*1000</f>
        <v>190.6</v>
      </c>
      <c r="AH98" s="621">
        <f>G98/B98*1000</f>
        <v>990.78514058532221</v>
      </c>
      <c r="AI98" s="658"/>
      <c r="AJ98" s="621"/>
      <c r="AK98" s="710"/>
      <c r="AL98" s="711">
        <f>K98/B98*1000</f>
        <v>1031.0578590572284</v>
      </c>
      <c r="AM98" s="661"/>
      <c r="AN98" s="621"/>
      <c r="AO98" s="661"/>
      <c r="AP98" s="621"/>
    </row>
    <row r="99" spans="1:42">
      <c r="A99" s="112" t="s">
        <v>337</v>
      </c>
      <c r="B99" s="665">
        <f>0.1586+0.032-C99</f>
        <v>0.19059999999999999</v>
      </c>
      <c r="C99" s="547">
        <v>0</v>
      </c>
      <c r="D99" s="759">
        <v>0</v>
      </c>
      <c r="E99" s="749">
        <f t="shared" si="39"/>
        <v>0</v>
      </c>
      <c r="F99" s="545">
        <v>0</v>
      </c>
      <c r="G99" s="367">
        <f t="shared" si="40"/>
        <v>0</v>
      </c>
      <c r="H99" s="545">
        <v>0</v>
      </c>
      <c r="I99" s="367">
        <f t="shared" si="41"/>
        <v>0</v>
      </c>
      <c r="J99" s="747">
        <v>0</v>
      </c>
      <c r="K99" s="749">
        <f t="shared" si="42"/>
        <v>0</v>
      </c>
      <c r="L99" s="545">
        <v>0</v>
      </c>
      <c r="M99" s="367">
        <f t="shared" si="43"/>
        <v>0</v>
      </c>
      <c r="N99" s="545">
        <f>262800/262440</f>
        <v>1.0013717421124828</v>
      </c>
      <c r="O99" s="367">
        <f t="shared" si="44"/>
        <v>0.19086145404663921</v>
      </c>
      <c r="P99" s="368"/>
      <c r="Q99" s="368"/>
      <c r="AB99" s="657"/>
      <c r="AC99" s="612"/>
      <c r="AD99" s="614"/>
      <c r="AE99" s="714"/>
      <c r="AF99" s="711"/>
      <c r="AG99" s="661"/>
      <c r="AH99" s="798"/>
      <c r="AI99" s="658"/>
      <c r="AJ99" s="621"/>
      <c r="AK99" s="710"/>
      <c r="AL99" s="711"/>
      <c r="AM99" s="661"/>
      <c r="AN99" s="621"/>
      <c r="AO99" s="658">
        <f>+B99*1000</f>
        <v>190.6</v>
      </c>
      <c r="AP99" s="621">
        <f>O99/B99*1000</f>
        <v>1001.3717421124828</v>
      </c>
    </row>
    <row r="100" spans="1:42">
      <c r="A100" s="112" t="s">
        <v>338</v>
      </c>
      <c r="B100" s="665">
        <f>0.378+0.032-C100</f>
        <v>0.41000000000000003</v>
      </c>
      <c r="C100" s="547">
        <v>0</v>
      </c>
      <c r="D100" s="759">
        <v>0</v>
      </c>
      <c r="E100" s="749">
        <f t="shared" si="39"/>
        <v>0</v>
      </c>
      <c r="F100" s="545">
        <v>0</v>
      </c>
      <c r="G100" s="367">
        <f t="shared" si="40"/>
        <v>0</v>
      </c>
      <c r="H100" s="545">
        <f>880100/860400</f>
        <v>1.0228963272896328</v>
      </c>
      <c r="I100" s="367">
        <f t="shared" si="41"/>
        <v>0.41938749418874949</v>
      </c>
      <c r="J100" s="747">
        <v>0</v>
      </c>
      <c r="K100" s="749">
        <f t="shared" si="42"/>
        <v>0</v>
      </c>
      <c r="L100" s="545">
        <v>0</v>
      </c>
      <c r="M100" s="367">
        <f t="shared" si="43"/>
        <v>0</v>
      </c>
      <c r="N100" s="545">
        <v>0</v>
      </c>
      <c r="O100" s="367">
        <f t="shared" si="44"/>
        <v>0</v>
      </c>
      <c r="P100" s="368"/>
      <c r="Q100" s="368"/>
      <c r="AB100" s="657"/>
      <c r="AC100" s="612"/>
      <c r="AD100" s="614"/>
      <c r="AE100" s="714"/>
      <c r="AF100" s="711"/>
      <c r="AG100" s="661"/>
      <c r="AH100" s="798"/>
      <c r="AI100" s="658">
        <f t="shared" ref="AI100" si="45">+B100*1000</f>
        <v>410.00000000000006</v>
      </c>
      <c r="AJ100" s="621">
        <f>I100/B100*1000</f>
        <v>1022.8963272896327</v>
      </c>
      <c r="AK100" s="710"/>
      <c r="AL100" s="711"/>
      <c r="AM100" s="661" t="s">
        <v>7</v>
      </c>
      <c r="AN100" s="621" t="s">
        <v>7</v>
      </c>
      <c r="AO100" s="661"/>
      <c r="AP100" s="621"/>
    </row>
    <row r="101" spans="1:42">
      <c r="A101" s="112" t="s">
        <v>441</v>
      </c>
      <c r="B101" s="665">
        <f>0.7539+0.032-C101</f>
        <v>0.78590000000000004</v>
      </c>
      <c r="C101" s="547">
        <v>0</v>
      </c>
      <c r="D101" s="759">
        <v>0</v>
      </c>
      <c r="E101" s="749">
        <f t="shared" ref="E101" si="46">$B101*D101</f>
        <v>0</v>
      </c>
      <c r="F101" s="545">
        <v>0</v>
      </c>
      <c r="G101" s="367">
        <f t="shared" ref="G101" si="47">$B101*F101</f>
        <v>0</v>
      </c>
      <c r="H101" s="545">
        <v>0</v>
      </c>
      <c r="I101" s="367">
        <f t="shared" ref="I101" si="48">$B101*H101</f>
        <v>0</v>
      </c>
      <c r="J101" s="747">
        <v>0</v>
      </c>
      <c r="K101" s="749">
        <f t="shared" ref="K101" si="49">$B101*J101</f>
        <v>0</v>
      </c>
      <c r="L101" s="774">
        <f>+H100</f>
        <v>1.0228963272896328</v>
      </c>
      <c r="M101" s="367">
        <f t="shared" ref="M101" si="50">$B101*L101</f>
        <v>0.80389422361692242</v>
      </c>
      <c r="N101" s="545">
        <v>0</v>
      </c>
      <c r="O101" s="367">
        <f t="shared" ref="O101" si="51">$B101*N101</f>
        <v>0</v>
      </c>
      <c r="P101" s="368"/>
      <c r="Q101" s="368"/>
      <c r="AB101" s="657"/>
      <c r="AC101" s="612"/>
      <c r="AD101" s="614"/>
      <c r="AE101" s="714"/>
      <c r="AF101" s="711"/>
      <c r="AG101" s="661"/>
      <c r="AH101" s="798"/>
      <c r="AI101" s="661"/>
      <c r="AJ101" s="621"/>
      <c r="AK101" s="710"/>
      <c r="AL101" s="711"/>
      <c r="AM101" s="658">
        <f>+B102*1000</f>
        <v>232</v>
      </c>
      <c r="AN101" s="621">
        <f>M101/B101*1000</f>
        <v>1022.8963272896327</v>
      </c>
      <c r="AO101" s="661"/>
      <c r="AP101" s="621"/>
    </row>
    <row r="102" spans="1:42">
      <c r="A102" s="112" t="s">
        <v>339</v>
      </c>
      <c r="B102" s="665">
        <f>0.2+0.032-C102</f>
        <v>0.23200000000000001</v>
      </c>
      <c r="C102" s="547">
        <v>0</v>
      </c>
      <c r="D102" s="759">
        <v>0</v>
      </c>
      <c r="E102" s="749">
        <f t="shared" si="39"/>
        <v>0</v>
      </c>
      <c r="F102" s="545">
        <v>0</v>
      </c>
      <c r="G102" s="367">
        <f t="shared" si="40"/>
        <v>0</v>
      </c>
      <c r="H102" s="545">
        <v>0</v>
      </c>
      <c r="I102" s="367">
        <f t="shared" si="41"/>
        <v>0</v>
      </c>
      <c r="J102" s="747">
        <v>0</v>
      </c>
      <c r="K102" s="749">
        <f t="shared" si="42"/>
        <v>0</v>
      </c>
      <c r="L102" s="545">
        <v>0</v>
      </c>
      <c r="M102" s="367">
        <f t="shared" si="43"/>
        <v>0</v>
      </c>
      <c r="N102" s="545">
        <v>0</v>
      </c>
      <c r="O102" s="367">
        <f t="shared" si="44"/>
        <v>0</v>
      </c>
      <c r="P102" s="368"/>
      <c r="Q102" s="368"/>
      <c r="AB102" s="657"/>
      <c r="AC102" s="612"/>
      <c r="AD102" s="614"/>
      <c r="AE102" s="714"/>
      <c r="AF102" s="711"/>
      <c r="AG102" s="661"/>
      <c r="AH102" s="798"/>
      <c r="AI102" s="661"/>
      <c r="AJ102" s="621"/>
      <c r="AK102" s="710"/>
      <c r="AL102" s="711"/>
      <c r="AM102" s="661"/>
      <c r="AN102" s="621"/>
      <c r="AO102" s="661"/>
      <c r="AP102" s="621"/>
    </row>
    <row r="103" spans="1:42">
      <c r="A103" s="112" t="s">
        <v>340</v>
      </c>
      <c r="B103" s="667">
        <v>0</v>
      </c>
      <c r="C103" s="547">
        <v>0</v>
      </c>
      <c r="D103" s="759">
        <v>0</v>
      </c>
      <c r="E103" s="749">
        <f t="shared" si="39"/>
        <v>0</v>
      </c>
      <c r="F103" s="545">
        <v>0</v>
      </c>
      <c r="G103" s="367">
        <f t="shared" si="40"/>
        <v>0</v>
      </c>
      <c r="H103" s="545">
        <v>0</v>
      </c>
      <c r="I103" s="367">
        <f t="shared" si="41"/>
        <v>0</v>
      </c>
      <c r="J103" s="747">
        <v>0</v>
      </c>
      <c r="K103" s="749">
        <f t="shared" si="42"/>
        <v>0</v>
      </c>
      <c r="L103" s="545">
        <v>0</v>
      </c>
      <c r="M103" s="367">
        <f t="shared" si="43"/>
        <v>0</v>
      </c>
      <c r="N103" s="545">
        <v>0</v>
      </c>
      <c r="O103" s="367">
        <f t="shared" si="44"/>
        <v>0</v>
      </c>
      <c r="P103" s="368"/>
      <c r="Q103" s="368"/>
      <c r="AB103" s="657"/>
      <c r="AC103" s="612"/>
      <c r="AD103" s="614"/>
      <c r="AE103" s="714"/>
      <c r="AF103" s="711"/>
      <c r="AG103" s="661"/>
      <c r="AH103" s="798"/>
      <c r="AI103" s="661"/>
      <c r="AJ103" s="621"/>
      <c r="AK103" s="710"/>
      <c r="AL103" s="711"/>
      <c r="AM103" s="661"/>
      <c r="AN103" s="621"/>
      <c r="AO103" s="661"/>
      <c r="AP103" s="621"/>
    </row>
    <row r="104" spans="1:42">
      <c r="A104" s="112" t="s">
        <v>343</v>
      </c>
      <c r="B104" s="665">
        <f>0.5084-C104</f>
        <v>0.50839999999999996</v>
      </c>
      <c r="C104" s="547">
        <v>0</v>
      </c>
      <c r="D104" s="759">
        <v>0</v>
      </c>
      <c r="E104" s="749">
        <f t="shared" si="39"/>
        <v>0</v>
      </c>
      <c r="F104" s="545">
        <v>0</v>
      </c>
      <c r="G104" s="367">
        <f t="shared" si="40"/>
        <v>0</v>
      </c>
      <c r="H104" s="545">
        <v>0</v>
      </c>
      <c r="I104" s="367">
        <f t="shared" si="41"/>
        <v>0</v>
      </c>
      <c r="J104" s="747">
        <v>0</v>
      </c>
      <c r="K104" s="749">
        <f t="shared" si="42"/>
        <v>0</v>
      </c>
      <c r="L104" s="545">
        <v>0</v>
      </c>
      <c r="M104" s="367">
        <f t="shared" si="43"/>
        <v>0</v>
      </c>
      <c r="N104" s="545">
        <v>0</v>
      </c>
      <c r="O104" s="367">
        <f t="shared" si="44"/>
        <v>0</v>
      </c>
      <c r="P104" s="368"/>
      <c r="Q104" s="368"/>
      <c r="AB104" s="657"/>
      <c r="AC104" s="612"/>
      <c r="AD104" s="614"/>
      <c r="AE104" s="714"/>
      <c r="AF104" s="711"/>
      <c r="AG104" s="661"/>
      <c r="AH104" s="798"/>
      <c r="AI104" s="661"/>
      <c r="AJ104" s="621"/>
      <c r="AK104" s="710"/>
      <c r="AL104" s="711"/>
      <c r="AM104" s="661"/>
      <c r="AN104" s="621"/>
      <c r="AO104" s="661"/>
      <c r="AP104" s="621"/>
    </row>
    <row r="105" spans="1:42">
      <c r="A105" s="112" t="s">
        <v>397</v>
      </c>
      <c r="B105" s="665">
        <f>1.9036-C105</f>
        <v>1.9036</v>
      </c>
      <c r="C105" s="547">
        <v>0</v>
      </c>
      <c r="D105" s="759">
        <v>0</v>
      </c>
      <c r="E105" s="749">
        <f t="shared" si="39"/>
        <v>0</v>
      </c>
      <c r="F105" s="545">
        <v>0</v>
      </c>
      <c r="G105" s="367">
        <f t="shared" si="40"/>
        <v>0</v>
      </c>
      <c r="H105" s="545">
        <v>0</v>
      </c>
      <c r="I105" s="367">
        <f t="shared" si="41"/>
        <v>0</v>
      </c>
      <c r="J105" s="747">
        <v>0</v>
      </c>
      <c r="K105" s="749">
        <f t="shared" si="42"/>
        <v>0</v>
      </c>
      <c r="L105" s="545">
        <v>0</v>
      </c>
      <c r="M105" s="367">
        <f t="shared" si="43"/>
        <v>0</v>
      </c>
      <c r="N105" s="545">
        <v>0</v>
      </c>
      <c r="O105" s="367">
        <f t="shared" si="44"/>
        <v>0</v>
      </c>
      <c r="P105" s="368"/>
      <c r="Q105" s="368"/>
      <c r="AB105" s="657"/>
      <c r="AC105" s="612"/>
      <c r="AD105" s="614"/>
      <c r="AE105" s="714"/>
      <c r="AF105" s="711"/>
      <c r="AG105" s="661"/>
      <c r="AH105" s="798"/>
      <c r="AI105" s="661"/>
      <c r="AJ105" s="621"/>
      <c r="AK105" s="710"/>
      <c r="AL105" s="711"/>
      <c r="AM105" s="661"/>
      <c r="AN105" s="621"/>
      <c r="AO105" s="661"/>
      <c r="AP105" s="621"/>
    </row>
    <row r="106" spans="1:42">
      <c r="A106" s="112" t="s">
        <v>345</v>
      </c>
      <c r="B106" s="665">
        <f>0.1586+0.032-C106+0.02</f>
        <v>0.21059999999999998</v>
      </c>
      <c r="C106" s="547">
        <v>0</v>
      </c>
      <c r="D106" s="759">
        <v>0</v>
      </c>
      <c r="E106" s="749">
        <f t="shared" si="39"/>
        <v>0</v>
      </c>
      <c r="F106" s="545">
        <v>0</v>
      </c>
      <c r="G106" s="367">
        <f t="shared" si="40"/>
        <v>0</v>
      </c>
      <c r="H106" s="545">
        <v>0</v>
      </c>
      <c r="I106" s="367">
        <f t="shared" si="41"/>
        <v>0</v>
      </c>
      <c r="J106" s="747">
        <v>0</v>
      </c>
      <c r="K106" s="749">
        <f t="shared" si="42"/>
        <v>0</v>
      </c>
      <c r="L106" s="545">
        <v>0</v>
      </c>
      <c r="M106" s="367">
        <f t="shared" si="43"/>
        <v>0</v>
      </c>
      <c r="N106" s="545">
        <v>0</v>
      </c>
      <c r="O106" s="367">
        <f t="shared" si="44"/>
        <v>0</v>
      </c>
      <c r="P106" s="368"/>
      <c r="Q106" s="368"/>
      <c r="AB106" s="657"/>
      <c r="AC106" s="612"/>
      <c r="AD106" s="614"/>
      <c r="AE106" s="714"/>
      <c r="AF106" s="711"/>
      <c r="AG106" s="661"/>
      <c r="AH106" s="798"/>
      <c r="AI106" s="661"/>
      <c r="AJ106" s="621"/>
      <c r="AK106" s="710"/>
      <c r="AL106" s="711"/>
      <c r="AM106" s="661"/>
      <c r="AN106" s="621"/>
      <c r="AO106" s="661"/>
      <c r="AP106" s="621"/>
    </row>
    <row r="107" spans="1:42">
      <c r="A107" s="112" t="s">
        <v>403</v>
      </c>
      <c r="B107" s="665">
        <f>1506/1000</f>
        <v>1.506</v>
      </c>
      <c r="C107" s="547">
        <v>0</v>
      </c>
      <c r="D107" s="747">
        <v>0</v>
      </c>
      <c r="E107" s="749">
        <f t="shared" si="39"/>
        <v>0</v>
      </c>
      <c r="F107" s="528">
        <v>3.0157074078755359E-2</v>
      </c>
      <c r="G107" s="367">
        <f>$B107*F107</f>
        <v>4.5416553562605572E-2</v>
      </c>
      <c r="H107" s="669">
        <v>0</v>
      </c>
      <c r="I107" s="367">
        <f t="shared" si="41"/>
        <v>0</v>
      </c>
      <c r="J107" s="747">
        <v>0</v>
      </c>
      <c r="K107" s="749">
        <f t="shared" si="42"/>
        <v>0</v>
      </c>
      <c r="L107" s="669">
        <v>0</v>
      </c>
      <c r="M107" s="367">
        <f t="shared" si="43"/>
        <v>0</v>
      </c>
      <c r="N107" s="528">
        <v>0</v>
      </c>
      <c r="O107" s="367">
        <f t="shared" si="44"/>
        <v>0</v>
      </c>
      <c r="P107" s="368"/>
      <c r="Q107" s="368"/>
      <c r="AB107" s="657">
        <v>30090</v>
      </c>
      <c r="AC107" s="612"/>
      <c r="AD107" s="614"/>
      <c r="AE107" s="714">
        <f t="shared" ref="AE107:AE114" si="52">B107*1000</f>
        <v>1506</v>
      </c>
      <c r="AF107" s="711">
        <f>E107/B107*1000</f>
        <v>0</v>
      </c>
      <c r="AG107" s="658">
        <f>+B107*1000</f>
        <v>1506</v>
      </c>
      <c r="AH107" s="621">
        <f>G107/B107*1000</f>
        <v>30.157074078755358</v>
      </c>
      <c r="AI107" s="658">
        <f t="shared" ref="AI107" si="53">+B107*1000</f>
        <v>1506</v>
      </c>
      <c r="AJ107" s="621">
        <f>I107/B107*1000</f>
        <v>0</v>
      </c>
      <c r="AK107" s="710"/>
      <c r="AL107" s="711"/>
      <c r="AM107" s="658" t="s">
        <v>7</v>
      </c>
      <c r="AN107" s="621">
        <f>M107/B107*1000</f>
        <v>0</v>
      </c>
      <c r="AO107" s="658" t="s">
        <v>7</v>
      </c>
      <c r="AP107" s="621">
        <f>O107/B107*1000</f>
        <v>0</v>
      </c>
    </row>
    <row r="108" spans="1:42">
      <c r="A108" s="112" t="s">
        <v>404</v>
      </c>
      <c r="B108" s="665">
        <v>1.262</v>
      </c>
      <c r="C108" s="547">
        <v>0</v>
      </c>
      <c r="D108" s="747">
        <v>3.1699999999999999E-2</v>
      </c>
      <c r="E108" s="749">
        <f t="shared" si="39"/>
        <v>4.0005399999999997E-2</v>
      </c>
      <c r="F108" s="528">
        <v>5.2246952165370163E-3</v>
      </c>
      <c r="G108" s="367">
        <f t="shared" si="40"/>
        <v>6.5935653632697147E-3</v>
      </c>
      <c r="H108" s="528">
        <f>31125/860400</f>
        <v>3.6175034867503487E-2</v>
      </c>
      <c r="I108" s="367">
        <f t="shared" si="41"/>
        <v>4.56528940027894E-2</v>
      </c>
      <c r="J108" s="747">
        <v>0</v>
      </c>
      <c r="K108" s="749">
        <f t="shared" si="42"/>
        <v>0</v>
      </c>
      <c r="L108" s="553">
        <f>+H108</f>
        <v>3.6175034867503487E-2</v>
      </c>
      <c r="M108" s="367">
        <f t="shared" si="43"/>
        <v>4.56528940027894E-2</v>
      </c>
      <c r="N108" s="528">
        <f>10645/262440</f>
        <v>4.0561652187166591E-2</v>
      </c>
      <c r="O108" s="367">
        <f t="shared" si="44"/>
        <v>5.1188805060204241E-2</v>
      </c>
      <c r="P108" s="368"/>
      <c r="Q108" s="368"/>
      <c r="AB108" s="657">
        <v>30120</v>
      </c>
      <c r="AC108" s="612"/>
      <c r="AD108" s="614"/>
      <c r="AE108" s="714">
        <f t="shared" si="52"/>
        <v>1262</v>
      </c>
      <c r="AF108" s="711">
        <f>E108/B108*1000</f>
        <v>31.7</v>
      </c>
      <c r="AG108" s="658">
        <f t="shared" ref="AG108:AG111" si="54">+B108*1000</f>
        <v>1262</v>
      </c>
      <c r="AH108" s="621">
        <f t="shared" ref="AH108:AH114" si="55">G108/B108*1000</f>
        <v>5.2246952165370164</v>
      </c>
      <c r="AI108" s="658">
        <f t="shared" ref="AI108:AI111" si="56">+B108*1000</f>
        <v>1262</v>
      </c>
      <c r="AJ108" s="621">
        <f t="shared" ref="AJ108:AJ114" si="57">I108/B108*1000</f>
        <v>36.175034867503484</v>
      </c>
      <c r="AK108" s="710"/>
      <c r="AL108" s="711" t="s">
        <v>7</v>
      </c>
      <c r="AM108" s="658">
        <f t="shared" ref="AM108:AM111" si="58">+B109*1000</f>
        <v>788.32999999999993</v>
      </c>
      <c r="AN108" s="621">
        <f t="shared" ref="AN108:AN117" si="59">M108/B108*1000</f>
        <v>36.175034867503484</v>
      </c>
      <c r="AO108" s="658">
        <f t="shared" ref="AO108:AO117" si="60">+B108*1000</f>
        <v>1262</v>
      </c>
      <c r="AP108" s="621">
        <f t="shared" ref="AP108:AP117" si="61">O108/B108*1000</f>
        <v>40.561652187166594</v>
      </c>
    </row>
    <row r="109" spans="1:42">
      <c r="A109" s="112" t="s">
        <v>346</v>
      </c>
      <c r="B109" s="665">
        <v>0.78832999999999998</v>
      </c>
      <c r="C109" s="547">
        <v>0</v>
      </c>
      <c r="D109" s="747">
        <v>4.4000000000000003E-3</v>
      </c>
      <c r="E109" s="749">
        <f t="shared" si="39"/>
        <v>3.468652E-3</v>
      </c>
      <c r="F109" s="528">
        <v>6.1505934803341416E-3</v>
      </c>
      <c r="G109" s="367">
        <f t="shared" si="40"/>
        <v>4.8486973583518134E-3</v>
      </c>
      <c r="H109" s="528">
        <f>4307/860400</f>
        <v>5.0058112505811251E-3</v>
      </c>
      <c r="I109" s="367">
        <f t="shared" si="41"/>
        <v>3.9462311831706181E-3</v>
      </c>
      <c r="J109" s="747">
        <v>0</v>
      </c>
      <c r="K109" s="749">
        <f t="shared" si="42"/>
        <v>0</v>
      </c>
      <c r="L109" s="553">
        <f t="shared" ref="L109:L111" si="62">+H109</f>
        <v>5.0058112505811251E-3</v>
      </c>
      <c r="M109" s="367">
        <f t="shared" si="43"/>
        <v>3.9462311831706181E-3</v>
      </c>
      <c r="N109" s="528">
        <f>1190/262440</f>
        <v>4.5343697607072089E-3</v>
      </c>
      <c r="O109" s="367">
        <f t="shared" si="44"/>
        <v>3.5745797134583137E-3</v>
      </c>
      <c r="P109" s="368"/>
      <c r="Q109" s="368"/>
      <c r="AB109" s="657">
        <v>30362</v>
      </c>
      <c r="AC109" s="612"/>
      <c r="AD109" s="614"/>
      <c r="AE109" s="714">
        <f t="shared" si="52"/>
        <v>788.32999999999993</v>
      </c>
      <c r="AF109" s="711">
        <f>E109/B109*1000</f>
        <v>4.4000000000000004</v>
      </c>
      <c r="AG109" s="658">
        <f t="shared" si="54"/>
        <v>788.32999999999993</v>
      </c>
      <c r="AH109" s="621">
        <f t="shared" si="55"/>
        <v>6.150593480334142</v>
      </c>
      <c r="AI109" s="658">
        <f t="shared" si="56"/>
        <v>788.32999999999993</v>
      </c>
      <c r="AJ109" s="621">
        <f t="shared" si="57"/>
        <v>5.0058112505811252</v>
      </c>
      <c r="AK109" s="710"/>
      <c r="AL109" s="711" t="s">
        <v>7</v>
      </c>
      <c r="AM109" s="658">
        <f t="shared" si="58"/>
        <v>4460</v>
      </c>
      <c r="AN109" s="621">
        <f t="shared" si="59"/>
        <v>5.0058112505811252</v>
      </c>
      <c r="AO109" s="658">
        <f t="shared" si="60"/>
        <v>788.32999999999993</v>
      </c>
      <c r="AP109" s="621">
        <f t="shared" si="61"/>
        <v>4.5343697607072091</v>
      </c>
    </row>
    <row r="110" spans="1:42">
      <c r="A110" s="112" t="s">
        <v>347</v>
      </c>
      <c r="B110" s="665">
        <v>4.46</v>
      </c>
      <c r="C110" s="547">
        <v>0</v>
      </c>
      <c r="D110" s="747">
        <v>0</v>
      </c>
      <c r="E110" s="749">
        <f t="shared" si="39"/>
        <v>0</v>
      </c>
      <c r="F110" s="528">
        <v>5.2718059497408913E-4</v>
      </c>
      <c r="G110" s="367">
        <f t="shared" si="40"/>
        <v>2.3512254535844376E-3</v>
      </c>
      <c r="H110" s="528">
        <f>1031/860400</f>
        <v>1.198279869827987E-3</v>
      </c>
      <c r="I110" s="367">
        <f t="shared" si="41"/>
        <v>5.3443282194328224E-3</v>
      </c>
      <c r="J110" s="747">
        <v>0</v>
      </c>
      <c r="K110" s="749">
        <f t="shared" si="42"/>
        <v>0</v>
      </c>
      <c r="L110" s="553">
        <f t="shared" si="62"/>
        <v>1.198279869827987E-3</v>
      </c>
      <c r="M110" s="367">
        <f t="shared" si="43"/>
        <v>5.3443282194328224E-3</v>
      </c>
      <c r="N110" s="528">
        <f>320/262440</f>
        <v>1.2193263222069807E-3</v>
      </c>
      <c r="O110" s="367">
        <f t="shared" si="44"/>
        <v>5.4381953970431334E-3</v>
      </c>
      <c r="P110" s="368"/>
      <c r="Q110" s="368"/>
      <c r="R110" s="111"/>
      <c r="S110" s="111"/>
      <c r="T110" s="111"/>
      <c r="U110" s="111"/>
      <c r="V110" s="111"/>
      <c r="W110" s="111"/>
      <c r="X110" s="111"/>
      <c r="Y110" s="111"/>
      <c r="AB110" s="657">
        <v>30360</v>
      </c>
      <c r="AC110" s="612"/>
      <c r="AD110" s="614"/>
      <c r="AE110" s="714"/>
      <c r="AF110" s="711"/>
      <c r="AG110" s="658">
        <f t="shared" si="54"/>
        <v>4460</v>
      </c>
      <c r="AH110" s="621">
        <f t="shared" si="55"/>
        <v>0.52718059497408909</v>
      </c>
      <c r="AI110" s="658">
        <f t="shared" si="56"/>
        <v>4460</v>
      </c>
      <c r="AJ110" s="621">
        <f t="shared" si="57"/>
        <v>1.1982798698279871</v>
      </c>
      <c r="AK110" s="710"/>
      <c r="AL110" s="711" t="s">
        <v>7</v>
      </c>
      <c r="AM110" s="658">
        <f t="shared" si="58"/>
        <v>1449.8</v>
      </c>
      <c r="AN110" s="621">
        <f t="shared" si="59"/>
        <v>1.1982798698279871</v>
      </c>
      <c r="AO110" s="658">
        <f t="shared" si="60"/>
        <v>4460</v>
      </c>
      <c r="AP110" s="621">
        <f t="shared" si="61"/>
        <v>1.2193263222069808</v>
      </c>
    </row>
    <row r="111" spans="1:42">
      <c r="A111" s="112" t="s">
        <v>348</v>
      </c>
      <c r="B111" s="665">
        <f>1449.8/1000</f>
        <v>1.4498</v>
      </c>
      <c r="C111" s="547">
        <v>0</v>
      </c>
      <c r="D111" s="747">
        <v>0</v>
      </c>
      <c r="E111" s="749">
        <f t="shared" si="39"/>
        <v>0</v>
      </c>
      <c r="F111" s="528">
        <v>5.5567684335106689E-4</v>
      </c>
      <c r="G111" s="367">
        <f t="shared" si="40"/>
        <v>8.0562028749037672E-4</v>
      </c>
      <c r="H111" s="528">
        <f>855/860400</f>
        <v>9.9372384937238488E-4</v>
      </c>
      <c r="I111" s="367">
        <f t="shared" si="41"/>
        <v>1.4407008368200835E-3</v>
      </c>
      <c r="J111" s="747">
        <v>0</v>
      </c>
      <c r="K111" s="749">
        <f t="shared" si="42"/>
        <v>0</v>
      </c>
      <c r="L111" s="553">
        <f t="shared" si="62"/>
        <v>9.9372384937238488E-4</v>
      </c>
      <c r="M111" s="367">
        <f t="shared" si="43"/>
        <v>1.4407008368200835E-3</v>
      </c>
      <c r="N111" s="528">
        <f>542/262440</f>
        <v>2.0652339582380736E-3</v>
      </c>
      <c r="O111" s="367">
        <f t="shared" si="44"/>
        <v>2.9941761926535592E-3</v>
      </c>
      <c r="P111" s="368"/>
      <c r="Q111" s="368"/>
      <c r="R111" s="111"/>
      <c r="S111" s="111"/>
      <c r="T111" s="111"/>
      <c r="U111" s="111"/>
      <c r="V111" s="111"/>
      <c r="W111" s="111"/>
      <c r="X111" s="111"/>
      <c r="Y111" s="111"/>
      <c r="AB111" s="657">
        <v>30361</v>
      </c>
      <c r="AC111" s="612"/>
      <c r="AD111" s="614"/>
      <c r="AE111" s="714"/>
      <c r="AF111" s="711"/>
      <c r="AG111" s="658">
        <f t="shared" si="54"/>
        <v>1449.8</v>
      </c>
      <c r="AH111" s="621">
        <f t="shared" si="55"/>
        <v>0.55567684335106693</v>
      </c>
      <c r="AI111" s="658">
        <f t="shared" si="56"/>
        <v>1449.8</v>
      </c>
      <c r="AJ111" s="621">
        <f t="shared" si="57"/>
        <v>0.99372384937238489</v>
      </c>
      <c r="AK111" s="710"/>
      <c r="AL111" s="711" t="s">
        <v>427</v>
      </c>
      <c r="AM111" s="658">
        <f t="shared" si="58"/>
        <v>1164.82</v>
      </c>
      <c r="AN111" s="621">
        <f t="shared" si="59"/>
        <v>0.99372384937238489</v>
      </c>
      <c r="AO111" s="658">
        <f t="shared" si="60"/>
        <v>1449.8</v>
      </c>
      <c r="AP111" s="621">
        <f t="shared" si="61"/>
        <v>2.0652339582380734</v>
      </c>
    </row>
    <row r="112" spans="1:42">
      <c r="A112" s="112" t="s">
        <v>405</v>
      </c>
      <c r="B112" s="665">
        <f>1164.82/1000</f>
        <v>1.16482</v>
      </c>
      <c r="C112" s="547">
        <v>0</v>
      </c>
      <c r="D112" s="747">
        <v>4.0000000000000002E-4</v>
      </c>
      <c r="E112" s="749">
        <f t="shared" si="39"/>
        <v>4.65928E-4</v>
      </c>
      <c r="F112" s="528">
        <v>0</v>
      </c>
      <c r="G112" s="367">
        <f t="shared" si="40"/>
        <v>0</v>
      </c>
      <c r="H112" s="528">
        <v>0</v>
      </c>
      <c r="I112" s="367">
        <f t="shared" si="41"/>
        <v>0</v>
      </c>
      <c r="J112" s="747">
        <v>0</v>
      </c>
      <c r="K112" s="749">
        <f t="shared" si="42"/>
        <v>0</v>
      </c>
      <c r="L112" s="528">
        <v>0</v>
      </c>
      <c r="M112" s="367">
        <f t="shared" si="43"/>
        <v>0</v>
      </c>
      <c r="N112" s="528">
        <v>0</v>
      </c>
      <c r="O112" s="367">
        <f t="shared" si="44"/>
        <v>0</v>
      </c>
      <c r="P112" s="368"/>
      <c r="Q112" s="368"/>
      <c r="R112" s="111"/>
      <c r="S112" s="111"/>
      <c r="T112" s="111"/>
      <c r="U112" s="111"/>
      <c r="V112" s="111"/>
      <c r="W112" s="111"/>
      <c r="X112" s="111"/>
      <c r="Y112" s="111"/>
      <c r="AB112" s="657">
        <v>30054</v>
      </c>
      <c r="AC112" s="612"/>
      <c r="AD112" s="614"/>
      <c r="AE112" s="714">
        <f>B112*1000</f>
        <v>1164.82</v>
      </c>
      <c r="AF112" s="711">
        <f t="shared" ref="AF112:AF114" si="63">E112/B112*1000</f>
        <v>0.4</v>
      </c>
      <c r="AG112" s="658"/>
      <c r="AH112" s="621">
        <f t="shared" si="55"/>
        <v>0</v>
      </c>
      <c r="AI112" s="658"/>
      <c r="AJ112" s="621">
        <f t="shared" si="57"/>
        <v>0</v>
      </c>
      <c r="AK112" s="714"/>
      <c r="AL112" s="711"/>
      <c r="AM112" s="658"/>
      <c r="AN112" s="621">
        <f t="shared" si="59"/>
        <v>0</v>
      </c>
      <c r="AO112" s="658"/>
      <c r="AP112" s="621">
        <f t="shared" si="61"/>
        <v>0</v>
      </c>
    </row>
    <row r="113" spans="1:42">
      <c r="A113" s="112" t="s">
        <v>409</v>
      </c>
      <c r="B113" s="665">
        <f>1096.46/1000</f>
        <v>1.09646</v>
      </c>
      <c r="C113" s="547">
        <v>0</v>
      </c>
      <c r="D113" s="747">
        <v>0</v>
      </c>
      <c r="E113" s="749">
        <f t="shared" si="39"/>
        <v>0</v>
      </c>
      <c r="F113" s="528">
        <v>0</v>
      </c>
      <c r="G113" s="367">
        <f t="shared" si="40"/>
        <v>0</v>
      </c>
      <c r="H113" s="528">
        <v>0</v>
      </c>
      <c r="I113" s="367">
        <f t="shared" si="41"/>
        <v>0</v>
      </c>
      <c r="J113" s="747">
        <v>0</v>
      </c>
      <c r="K113" s="749">
        <f t="shared" si="42"/>
        <v>0</v>
      </c>
      <c r="L113" s="528">
        <v>0</v>
      </c>
      <c r="M113" s="367">
        <f t="shared" si="43"/>
        <v>0</v>
      </c>
      <c r="N113" s="528">
        <v>0</v>
      </c>
      <c r="O113" s="367">
        <f t="shared" si="44"/>
        <v>0</v>
      </c>
      <c r="P113" s="368"/>
      <c r="Q113" s="368"/>
      <c r="AB113" s="657">
        <v>30055</v>
      </c>
      <c r="AC113" s="612"/>
      <c r="AD113" s="614"/>
      <c r="AE113" s="714">
        <f t="shared" si="52"/>
        <v>1096.46</v>
      </c>
      <c r="AF113" s="711">
        <f t="shared" si="63"/>
        <v>0</v>
      </c>
      <c r="AG113" s="658"/>
      <c r="AH113" s="621">
        <f t="shared" si="55"/>
        <v>0</v>
      </c>
      <c r="AI113" s="658"/>
      <c r="AJ113" s="621">
        <f t="shared" si="57"/>
        <v>0</v>
      </c>
      <c r="AK113" s="714"/>
      <c r="AL113" s="711"/>
      <c r="AM113" s="658"/>
      <c r="AN113" s="621">
        <f t="shared" si="59"/>
        <v>0</v>
      </c>
      <c r="AO113" s="658"/>
      <c r="AP113" s="621">
        <f t="shared" si="61"/>
        <v>0</v>
      </c>
    </row>
    <row r="114" spans="1:42">
      <c r="A114" s="112" t="s">
        <v>406</v>
      </c>
      <c r="B114" s="665">
        <f>4019.96/1000</f>
        <v>4.0199600000000002</v>
      </c>
      <c r="C114" s="547">
        <v>0</v>
      </c>
      <c r="D114" s="747">
        <v>0</v>
      </c>
      <c r="E114" s="749">
        <f t="shared" si="39"/>
        <v>0</v>
      </c>
      <c r="F114" s="528">
        <v>0</v>
      </c>
      <c r="G114" s="367">
        <f t="shared" si="40"/>
        <v>0</v>
      </c>
      <c r="H114" s="528">
        <v>0</v>
      </c>
      <c r="I114" s="367">
        <f t="shared" si="41"/>
        <v>0</v>
      </c>
      <c r="J114" s="747">
        <v>0</v>
      </c>
      <c r="K114" s="749">
        <f t="shared" si="42"/>
        <v>0</v>
      </c>
      <c r="L114" s="528">
        <v>0</v>
      </c>
      <c r="M114" s="367">
        <f t="shared" si="43"/>
        <v>0</v>
      </c>
      <c r="N114" s="528">
        <v>0</v>
      </c>
      <c r="O114" s="367">
        <f t="shared" si="44"/>
        <v>0</v>
      </c>
      <c r="P114" s="368"/>
      <c r="Q114" s="368"/>
      <c r="R114" s="111"/>
      <c r="S114" s="111"/>
      <c r="T114" s="111"/>
      <c r="U114" s="111"/>
      <c r="V114" s="111"/>
      <c r="W114" s="111"/>
      <c r="X114" s="111"/>
      <c r="Y114" s="111"/>
      <c r="AB114" s="657">
        <v>30058</v>
      </c>
      <c r="AC114" s="612"/>
      <c r="AD114" s="614"/>
      <c r="AE114" s="714">
        <f t="shared" si="52"/>
        <v>4019.96</v>
      </c>
      <c r="AF114" s="711">
        <f t="shared" si="63"/>
        <v>0</v>
      </c>
      <c r="AG114" s="658"/>
      <c r="AH114" s="621">
        <f t="shared" si="55"/>
        <v>0</v>
      </c>
      <c r="AI114" s="658"/>
      <c r="AJ114" s="621">
        <f t="shared" si="57"/>
        <v>0</v>
      </c>
      <c r="AK114" s="714"/>
      <c r="AL114" s="711"/>
      <c r="AM114" s="658"/>
      <c r="AN114" s="621">
        <f t="shared" si="59"/>
        <v>0</v>
      </c>
      <c r="AO114" s="658"/>
      <c r="AP114" s="621">
        <f t="shared" si="61"/>
        <v>0</v>
      </c>
    </row>
    <row r="115" spans="1:42">
      <c r="A115" s="112" t="s">
        <v>411</v>
      </c>
      <c r="B115" s="665">
        <v>16.504000000000001</v>
      </c>
      <c r="C115" s="547">
        <v>0</v>
      </c>
      <c r="D115" s="759">
        <v>0</v>
      </c>
      <c r="E115" s="749">
        <f t="shared" si="39"/>
        <v>0</v>
      </c>
      <c r="F115" s="545">
        <v>0</v>
      </c>
      <c r="G115" s="367">
        <f t="shared" si="40"/>
        <v>0</v>
      </c>
      <c r="H115" s="545">
        <v>0</v>
      </c>
      <c r="I115" s="367">
        <f t="shared" si="41"/>
        <v>0</v>
      </c>
      <c r="J115" s="747">
        <v>0</v>
      </c>
      <c r="K115" s="749">
        <f>$B115*J115</f>
        <v>0</v>
      </c>
      <c r="L115" s="545">
        <v>0</v>
      </c>
      <c r="M115" s="367">
        <f t="shared" si="43"/>
        <v>0</v>
      </c>
      <c r="N115" s="545">
        <v>0</v>
      </c>
      <c r="O115" s="367">
        <f t="shared" si="44"/>
        <v>0</v>
      </c>
      <c r="P115" s="368"/>
      <c r="Q115" s="368"/>
      <c r="R115" s="111"/>
      <c r="S115" s="111"/>
      <c r="T115" s="111"/>
      <c r="U115" s="111"/>
      <c r="V115" s="111"/>
      <c r="W115" s="111"/>
      <c r="X115" s="111"/>
      <c r="Y115" s="111"/>
      <c r="AB115" s="657">
        <v>30454</v>
      </c>
      <c r="AC115" s="612"/>
      <c r="AD115" s="614"/>
      <c r="AE115" s="712"/>
      <c r="AF115" s="712"/>
      <c r="AG115" s="658"/>
      <c r="AH115" s="612"/>
      <c r="AI115" s="612"/>
      <c r="AJ115" s="612"/>
      <c r="AK115" s="712"/>
      <c r="AL115" s="711">
        <f>K115/B115*1000</f>
        <v>0</v>
      </c>
      <c r="AM115" s="658"/>
      <c r="AN115" s="621">
        <f t="shared" si="59"/>
        <v>0</v>
      </c>
      <c r="AO115" s="658"/>
      <c r="AP115" s="621">
        <f t="shared" si="61"/>
        <v>0</v>
      </c>
    </row>
    <row r="116" spans="1:42">
      <c r="A116" s="112" t="s">
        <v>354</v>
      </c>
      <c r="B116" s="673">
        <f>8993.38/1000</f>
        <v>8.9933799999999984</v>
      </c>
      <c r="C116" s="674"/>
      <c r="D116" s="759"/>
      <c r="E116" s="749"/>
      <c r="F116" s="545"/>
      <c r="G116" s="367"/>
      <c r="H116" s="545"/>
      <c r="I116" s="367"/>
      <c r="J116" s="747">
        <v>7.7999999999999996E-3</v>
      </c>
      <c r="K116" s="749">
        <f>$B116*J116</f>
        <v>7.0148363999999991E-2</v>
      </c>
      <c r="L116" s="545"/>
      <c r="M116" s="367"/>
      <c r="N116" s="545"/>
      <c r="O116" s="367"/>
      <c r="P116" s="368"/>
      <c r="Q116" s="368"/>
      <c r="R116" s="111"/>
      <c r="S116" s="111"/>
      <c r="T116" s="111"/>
      <c r="U116" s="111"/>
      <c r="V116" s="111"/>
      <c r="W116" s="111"/>
      <c r="X116" s="111"/>
      <c r="Y116" s="111"/>
      <c r="AB116" s="657"/>
      <c r="AC116" s="612"/>
      <c r="AD116" s="614"/>
      <c r="AE116" s="712"/>
      <c r="AF116" s="712"/>
      <c r="AG116" s="658"/>
      <c r="AH116" s="612"/>
      <c r="AI116" s="612"/>
      <c r="AJ116" s="612"/>
      <c r="AK116" s="712"/>
      <c r="AL116" s="711"/>
      <c r="AM116" s="658"/>
      <c r="AN116" s="621">
        <f t="shared" si="59"/>
        <v>0</v>
      </c>
      <c r="AO116" s="658"/>
      <c r="AP116" s="621">
        <f t="shared" si="61"/>
        <v>0</v>
      </c>
    </row>
    <row r="117" spans="1:42" ht="15.75" thickBot="1">
      <c r="A117" s="112" t="s">
        <v>355</v>
      </c>
      <c r="B117" s="666">
        <v>10.218999999999999</v>
      </c>
      <c r="C117" s="549">
        <v>0</v>
      </c>
      <c r="D117" s="759">
        <v>0</v>
      </c>
      <c r="E117" s="749">
        <f t="shared" si="39"/>
        <v>0</v>
      </c>
      <c r="F117" s="545">
        <v>0</v>
      </c>
      <c r="G117" s="367">
        <f t="shared" si="40"/>
        <v>0</v>
      </c>
      <c r="H117" s="545">
        <v>0</v>
      </c>
      <c r="I117" s="367">
        <f t="shared" si="41"/>
        <v>0</v>
      </c>
      <c r="J117" s="747">
        <v>0</v>
      </c>
      <c r="K117" s="749">
        <f t="shared" si="42"/>
        <v>0</v>
      </c>
      <c r="L117" s="545">
        <v>0</v>
      </c>
      <c r="M117" s="367">
        <f t="shared" si="43"/>
        <v>0</v>
      </c>
      <c r="N117" s="545">
        <f>622/262440</f>
        <v>2.3700655387898185E-3</v>
      </c>
      <c r="O117" s="367">
        <f t="shared" si="44"/>
        <v>2.4219699740893153E-2</v>
      </c>
      <c r="P117" s="368"/>
      <c r="Q117" s="368"/>
      <c r="R117" s="111"/>
      <c r="S117" s="111"/>
      <c r="T117" s="111"/>
      <c r="U117" s="111"/>
      <c r="V117" s="111"/>
      <c r="W117" s="111"/>
      <c r="X117" s="111"/>
      <c r="Y117" s="111"/>
      <c r="AB117" s="657">
        <v>30242</v>
      </c>
      <c r="AC117" s="612"/>
      <c r="AD117" s="614"/>
      <c r="AE117" s="712"/>
      <c r="AF117" s="712"/>
      <c r="AG117" s="658"/>
      <c r="AH117" s="612"/>
      <c r="AI117" s="612"/>
      <c r="AJ117" s="612"/>
      <c r="AK117" s="712"/>
      <c r="AL117" s="712"/>
      <c r="AM117" s="658"/>
      <c r="AN117" s="621">
        <f t="shared" si="59"/>
        <v>0</v>
      </c>
      <c r="AO117" s="658">
        <f t="shared" si="60"/>
        <v>10219</v>
      </c>
      <c r="AP117" s="621">
        <f t="shared" si="61"/>
        <v>2.3700655387898184</v>
      </c>
    </row>
    <row r="118" spans="1:42" ht="12.75">
      <c r="A118" s="23"/>
      <c r="D118" s="760"/>
      <c r="E118" s="761"/>
      <c r="F118" s="30"/>
      <c r="G118" s="25"/>
      <c r="H118" s="30"/>
      <c r="I118" s="25"/>
      <c r="J118" s="752">
        <f>3355.5/427740</f>
        <v>7.8447187543835041E-3</v>
      </c>
      <c r="K118" s="739"/>
      <c r="L118" s="30"/>
      <c r="M118" s="25"/>
      <c r="N118" s="30"/>
      <c r="O118" s="25"/>
      <c r="P118" s="368"/>
      <c r="Q118" s="368"/>
      <c r="R118" s="111"/>
      <c r="S118" s="111"/>
      <c r="T118" s="111"/>
      <c r="U118" s="111"/>
      <c r="V118" s="111"/>
      <c r="W118" s="111"/>
      <c r="X118" s="111"/>
      <c r="Y118" s="111"/>
      <c r="AB118" s="657"/>
      <c r="AC118" s="612"/>
      <c r="AD118" s="614"/>
      <c r="AE118" s="712"/>
      <c r="AF118" s="712"/>
      <c r="AG118" s="658"/>
      <c r="AH118" s="612"/>
      <c r="AI118" s="612"/>
      <c r="AJ118" s="612"/>
      <c r="AK118" s="712"/>
      <c r="AL118" s="712"/>
      <c r="AM118" s="612"/>
      <c r="AN118" s="612"/>
      <c r="AO118" s="612"/>
      <c r="AP118" s="612"/>
    </row>
    <row r="119" spans="1:42">
      <c r="A119" s="23" t="s">
        <v>249</v>
      </c>
      <c r="D119" s="762"/>
      <c r="E119" s="754" t="s">
        <v>250</v>
      </c>
      <c r="F119" s="33"/>
      <c r="G119" s="541" t="s">
        <v>250</v>
      </c>
      <c r="H119" s="33"/>
      <c r="I119" s="541" t="s">
        <v>250</v>
      </c>
      <c r="J119" s="753"/>
      <c r="K119" s="754" t="s">
        <v>250</v>
      </c>
      <c r="L119" s="33"/>
      <c r="M119" s="541" t="s">
        <v>250</v>
      </c>
      <c r="N119" s="33"/>
      <c r="O119" s="541" t="s">
        <v>250</v>
      </c>
      <c r="P119" s="368"/>
      <c r="Q119" s="368"/>
      <c r="R119" s="111"/>
      <c r="S119" s="111"/>
      <c r="T119" s="111"/>
      <c r="U119" s="111"/>
      <c r="V119" s="111"/>
      <c r="W119" s="111"/>
      <c r="X119" s="111"/>
      <c r="Y119" s="111"/>
      <c r="AB119" s="657"/>
      <c r="AC119" s="612"/>
      <c r="AD119" s="614"/>
      <c r="AE119" s="712"/>
      <c r="AF119" s="712"/>
      <c r="AG119" s="658"/>
      <c r="AH119" s="612"/>
      <c r="AI119" s="612"/>
      <c r="AJ119" s="612"/>
      <c r="AK119" s="712"/>
      <c r="AL119" s="712"/>
      <c r="AM119" s="612"/>
      <c r="AN119" s="612"/>
      <c r="AO119" s="612"/>
      <c r="AP119" s="612"/>
    </row>
    <row r="120" spans="1:42" ht="12.75">
      <c r="A120" s="112" t="s">
        <v>363</v>
      </c>
      <c r="C120" s="668"/>
      <c r="D120" s="762"/>
      <c r="E120" s="748">
        <f>SUM(E98:E106)</f>
        <v>0.18382013285525819</v>
      </c>
      <c r="F120" s="33"/>
      <c r="G120" s="275">
        <f>SUM(G98:G106)</f>
        <v>0.1888436477955624</v>
      </c>
      <c r="H120" s="33"/>
      <c r="I120" s="275">
        <f>SUM(I98:I106)</f>
        <v>0.41938749418874949</v>
      </c>
      <c r="J120" s="753"/>
      <c r="K120" s="748">
        <f>SUM(K98:K106)</f>
        <v>0.19651962793630773</v>
      </c>
      <c r="L120" s="33"/>
      <c r="M120" s="275">
        <f>SUM(M98:M106)</f>
        <v>0.80389422361692242</v>
      </c>
      <c r="N120" s="33"/>
      <c r="O120" s="275">
        <f>SUM(O98:O106)</f>
        <v>0.19086145404663921</v>
      </c>
      <c r="P120" s="368"/>
      <c r="Q120" s="368"/>
      <c r="R120" s="111"/>
      <c r="S120" s="111"/>
      <c r="T120" s="111"/>
      <c r="U120" s="111"/>
      <c r="V120" s="111"/>
      <c r="W120" s="111"/>
      <c r="X120" s="111"/>
      <c r="Y120" s="111"/>
      <c r="AB120" s="657"/>
      <c r="AC120" s="612"/>
      <c r="AD120" s="614"/>
      <c r="AE120" s="712"/>
      <c r="AF120" s="712"/>
      <c r="AG120" s="658"/>
      <c r="AH120" s="612"/>
      <c r="AI120" s="612"/>
      <c r="AJ120" s="612"/>
      <c r="AK120" s="712"/>
      <c r="AL120" s="712"/>
      <c r="AM120" s="612"/>
      <c r="AN120" s="612"/>
      <c r="AO120" s="612"/>
      <c r="AP120" s="612"/>
    </row>
    <row r="121" spans="1:42" ht="12.75">
      <c r="A121" s="112" t="s">
        <v>36</v>
      </c>
      <c r="D121" s="762"/>
      <c r="E121" s="755">
        <f>SUM(E107:E108)</f>
        <v>4.0005399999999997E-2</v>
      </c>
      <c r="F121" s="33"/>
      <c r="G121" s="375">
        <f>SUM(G107:G108)</f>
        <v>5.2010118925875287E-2</v>
      </c>
      <c r="H121" s="33"/>
      <c r="I121" s="375">
        <f>SUM(I107:I108)</f>
        <v>4.56528940027894E-2</v>
      </c>
      <c r="J121" s="753"/>
      <c r="K121" s="755">
        <f>SUM(K107:K108)</f>
        <v>0</v>
      </c>
      <c r="L121" s="33"/>
      <c r="M121" s="375">
        <f>SUM(M107:M108)</f>
        <v>4.56528940027894E-2</v>
      </c>
      <c r="N121" s="33"/>
      <c r="O121" s="375">
        <f>SUM(O107:O108)</f>
        <v>5.1188805060204241E-2</v>
      </c>
      <c r="AB121" s="612"/>
      <c r="AC121" s="612"/>
      <c r="AD121" s="612"/>
      <c r="AE121" s="712"/>
      <c r="AF121" s="713">
        <f>SUM(AF98:AF115)</f>
        <v>1000.9288187579129</v>
      </c>
      <c r="AG121" s="658"/>
      <c r="AH121" s="660">
        <f>SUM(AH98:AH115)</f>
        <v>1033.400360799274</v>
      </c>
      <c r="AI121" s="621"/>
      <c r="AJ121" s="621"/>
      <c r="AK121" s="712"/>
      <c r="AL121" s="713">
        <f>SUM(AL98:AL115)</f>
        <v>1031.0578590572284</v>
      </c>
      <c r="AM121" s="612"/>
      <c r="AN121" s="660">
        <f>SUM(AN98:AN118)</f>
        <v>1066.2691771269176</v>
      </c>
      <c r="AO121" s="612"/>
      <c r="AP121" s="660">
        <f>SUM(AP98:AP118)</f>
        <v>1052.1223898795913</v>
      </c>
    </row>
    <row r="122" spans="1:42" ht="16.5">
      <c r="A122" s="112" t="s">
        <v>147</v>
      </c>
      <c r="D122" s="762"/>
      <c r="E122" s="756">
        <f>SUM(E109:E117)</f>
        <v>3.93458E-3</v>
      </c>
      <c r="F122" s="33"/>
      <c r="G122" s="377">
        <f>SUM(G109:G117)</f>
        <v>8.005543099426627E-3</v>
      </c>
      <c r="H122" s="33"/>
      <c r="I122" s="377">
        <f>SUM(I109:I117)</f>
        <v>1.0731260239423524E-2</v>
      </c>
      <c r="J122" s="753"/>
      <c r="K122" s="756">
        <f>SUM(K109:K117)</f>
        <v>7.0148363999999991E-2</v>
      </c>
      <c r="L122" s="33"/>
      <c r="M122" s="377">
        <f>SUM(M109:M117)</f>
        <v>1.0731260239423524E-2</v>
      </c>
      <c r="N122" s="33"/>
      <c r="O122" s="377">
        <f>SUM(O109:O117)</f>
        <v>3.622665104404816E-2</v>
      </c>
      <c r="P122" s="26"/>
      <c r="Q122" s="26"/>
    </row>
    <row r="123" spans="1:42" ht="16.5">
      <c r="A123" s="353" t="s">
        <v>251</v>
      </c>
      <c r="D123" s="760"/>
      <c r="E123" s="757">
        <f>SUM(E120:E122)</f>
        <v>0.22776011285525818</v>
      </c>
      <c r="F123" s="33"/>
      <c r="G123" s="379">
        <f>SUM(G120:G122)</f>
        <v>0.24885930982086432</v>
      </c>
      <c r="H123" s="33"/>
      <c r="I123" s="379">
        <f>SUM(I120:I122)</f>
        <v>0.47577164843096237</v>
      </c>
      <c r="J123" s="753"/>
      <c r="K123" s="757">
        <f>SUM(K120:K122)</f>
        <v>0.26666799193630775</v>
      </c>
      <c r="L123" s="33"/>
      <c r="M123" s="379">
        <f>SUM(M120:M122)</f>
        <v>0.8602783778591353</v>
      </c>
      <c r="N123" s="33"/>
      <c r="O123" s="379">
        <f>SUM(O120:O122)</f>
        <v>0.27827691015089162</v>
      </c>
      <c r="P123" s="63"/>
      <c r="Q123" s="63"/>
    </row>
    <row r="124" spans="1:42">
      <c r="A124" s="491" t="s">
        <v>389</v>
      </c>
      <c r="B124" s="1"/>
      <c r="C124" s="1"/>
      <c r="D124" s="33"/>
      <c r="E124" s="1"/>
      <c r="F124" s="371"/>
      <c r="G124" s="484"/>
      <c r="H124" s="371"/>
      <c r="I124" s="484"/>
      <c r="J124" s="371"/>
      <c r="K124" s="484"/>
      <c r="L124" s="371"/>
      <c r="M124" s="484"/>
      <c r="N124" s="371"/>
      <c r="O124" s="484"/>
      <c r="P124" s="376"/>
      <c r="Q124" s="376"/>
      <c r="V124" s="579">
        <f>($E121*$B$29+$G121*$E$29+$I121*$H$29+$K121*$K$29+$M121*$N$29+$O121*$Q$29+$E150*$B$60+$G150*$E$60+$I150*$H$60+$K150*$K$60+$M150*$N$60+$O150*$Q$60)/$B$64</f>
        <v>5.0548359369563874E-2</v>
      </c>
      <c r="W124" s="2" t="s">
        <v>433</v>
      </c>
    </row>
    <row r="125" spans="1:42" ht="16.5">
      <c r="A125" s="492" t="s">
        <v>390</v>
      </c>
      <c r="B125" s="359"/>
      <c r="C125" s="359"/>
      <c r="D125" s="485"/>
      <c r="E125" s="486"/>
      <c r="F125" s="59"/>
      <c r="G125" s="487"/>
      <c r="H125" s="59"/>
      <c r="I125" s="487"/>
      <c r="J125" s="59"/>
      <c r="K125" s="487"/>
      <c r="L125" s="59"/>
      <c r="M125" s="487"/>
      <c r="N125" s="59"/>
      <c r="O125" s="487"/>
      <c r="P125" s="378"/>
      <c r="Q125" s="378"/>
      <c r="V125" s="579">
        <f>($E122*$B$29+$G122*$E$29+$I122*$H$29+$K122*$K$29+$M122*$N$29+$O122*$Q$29+$E151*$B$60+$G151*$E$60+$I151*$H$60+$K151*$K$60+$M151*$N$60+$O151*$Q$60)/$B$64</f>
        <v>9.3888874277424338E-3</v>
      </c>
      <c r="W125" s="2" t="s">
        <v>434</v>
      </c>
    </row>
    <row r="126" spans="1:42" ht="17.25" thickBot="1">
      <c r="A126" s="30"/>
      <c r="B126" s="1"/>
      <c r="C126" s="1"/>
      <c r="D126" s="847" t="s">
        <v>322</v>
      </c>
      <c r="E126" s="848"/>
      <c r="F126" s="847" t="s">
        <v>333</v>
      </c>
      <c r="G126" s="848"/>
      <c r="H126" s="847" t="s">
        <v>400</v>
      </c>
      <c r="I126" s="848"/>
      <c r="J126" s="852" t="s">
        <v>335</v>
      </c>
      <c r="K126" s="853"/>
      <c r="L126" s="852" t="s">
        <v>407</v>
      </c>
      <c r="M126" s="853"/>
      <c r="N126" s="852" t="s">
        <v>407</v>
      </c>
      <c r="O126" s="853"/>
      <c r="P126" s="380"/>
      <c r="Q126" s="380"/>
      <c r="AB126" s="663"/>
      <c r="AC126" s="663"/>
      <c r="AD126" s="663"/>
      <c r="AE126" s="663"/>
      <c r="AF126" s="663" t="s">
        <v>322</v>
      </c>
      <c r="AG126" s="663"/>
      <c r="AH126" s="663" t="s">
        <v>430</v>
      </c>
      <c r="AI126" s="663"/>
      <c r="AJ126" s="663" t="s">
        <v>400</v>
      </c>
    </row>
    <row r="127" spans="1:42" ht="30">
      <c r="A127" s="30" t="s">
        <v>243</v>
      </c>
      <c r="B127" s="550" t="s">
        <v>27</v>
      </c>
      <c r="C127" s="551" t="s">
        <v>396</v>
      </c>
      <c r="D127" s="48" t="s">
        <v>244</v>
      </c>
      <c r="E127" s="362" t="s">
        <v>245</v>
      </c>
      <c r="F127" s="361" t="s">
        <v>244</v>
      </c>
      <c r="G127" s="362" t="s">
        <v>245</v>
      </c>
      <c r="H127" s="361" t="s">
        <v>244</v>
      </c>
      <c r="I127" s="362" t="s">
        <v>245</v>
      </c>
      <c r="J127" s="746" t="s">
        <v>244</v>
      </c>
      <c r="K127" s="684" t="s">
        <v>245</v>
      </c>
      <c r="L127" s="746" t="s">
        <v>244</v>
      </c>
      <c r="M127" s="684" t="s">
        <v>245</v>
      </c>
      <c r="N127" s="746" t="s">
        <v>244</v>
      </c>
      <c r="O127" s="684" t="s">
        <v>245</v>
      </c>
      <c r="AB127" s="655" t="s">
        <v>246</v>
      </c>
      <c r="AC127" s="612"/>
      <c r="AD127" s="612"/>
      <c r="AE127" s="656" t="s">
        <v>247</v>
      </c>
      <c r="AF127" s="656" t="s">
        <v>248</v>
      </c>
      <c r="AG127" s="656" t="s">
        <v>247</v>
      </c>
      <c r="AH127" s="656" t="s">
        <v>248</v>
      </c>
      <c r="AI127" s="656" t="s">
        <v>247</v>
      </c>
      <c r="AJ127" s="656" t="s">
        <v>248</v>
      </c>
      <c r="AK127" s="2"/>
      <c r="AL127" s="2"/>
    </row>
    <row r="128" spans="1:42">
      <c r="A128" s="112" t="s">
        <v>336</v>
      </c>
      <c r="B128" s="665">
        <f>0.1586+0.032-C128</f>
        <v>0.19059999999999999</v>
      </c>
      <c r="C128" s="547">
        <v>0</v>
      </c>
      <c r="D128" s="545">
        <v>0</v>
      </c>
      <c r="E128" s="275">
        <f t="shared" ref="E128:E146" si="64">$B128*D128</f>
        <v>0</v>
      </c>
      <c r="F128" s="528">
        <v>0</v>
      </c>
      <c r="G128" s="275">
        <f t="shared" ref="G128:G146" si="65">$B128*F128</f>
        <v>0</v>
      </c>
      <c r="H128" s="528">
        <v>0</v>
      </c>
      <c r="I128" s="275">
        <f t="shared" ref="I128:I146" si="66">$B128*H128</f>
        <v>0</v>
      </c>
      <c r="J128" s="747">
        <v>0</v>
      </c>
      <c r="K128" s="748">
        <f t="shared" ref="K128:K146" si="67">$B128*J128</f>
        <v>0</v>
      </c>
      <c r="L128" s="747">
        <v>0</v>
      </c>
      <c r="M128" s="748">
        <f t="shared" ref="M128:M146" si="68">$B128*L128</f>
        <v>0</v>
      </c>
      <c r="N128" s="747">
        <v>0</v>
      </c>
      <c r="O128" s="748">
        <f t="shared" ref="O128:O146" si="69">$B128*N128</f>
        <v>0</v>
      </c>
      <c r="AA128" s="6"/>
      <c r="AB128" s="655"/>
      <c r="AC128" s="612"/>
      <c r="AD128" s="612"/>
      <c r="AE128" s="656"/>
      <c r="AF128" s="656"/>
      <c r="AG128" s="612"/>
      <c r="AH128" s="612"/>
      <c r="AI128" s="612"/>
      <c r="AJ128" s="612"/>
      <c r="AK128" s="2"/>
      <c r="AL128" s="2"/>
    </row>
    <row r="129" spans="1:38">
      <c r="A129" s="112" t="s">
        <v>337</v>
      </c>
      <c r="B129" s="665">
        <f>0.1586+0.032-C129</f>
        <v>0.19059999999999999</v>
      </c>
      <c r="C129" s="547">
        <v>0</v>
      </c>
      <c r="D129" s="545">
        <v>0</v>
      </c>
      <c r="E129" s="367">
        <f t="shared" si="64"/>
        <v>0</v>
      </c>
      <c r="F129" s="528">
        <v>0</v>
      </c>
      <c r="G129" s="367">
        <f t="shared" si="65"/>
        <v>0</v>
      </c>
      <c r="H129" s="528">
        <v>0</v>
      </c>
      <c r="I129" s="367">
        <f t="shared" si="66"/>
        <v>0</v>
      </c>
      <c r="J129" s="747">
        <v>0</v>
      </c>
      <c r="K129" s="749">
        <f t="shared" si="67"/>
        <v>0</v>
      </c>
      <c r="L129" s="747">
        <v>0</v>
      </c>
      <c r="M129" s="749">
        <f t="shared" si="68"/>
        <v>0</v>
      </c>
      <c r="N129" s="747">
        <v>0</v>
      </c>
      <c r="O129" s="749">
        <f t="shared" si="69"/>
        <v>0</v>
      </c>
      <c r="AA129" s="6"/>
      <c r="AB129" s="649"/>
      <c r="AC129" s="612"/>
      <c r="AD129" s="612"/>
      <c r="AE129" s="612"/>
      <c r="AF129" s="612"/>
      <c r="AG129" s="612"/>
      <c r="AH129" s="612"/>
      <c r="AI129" s="612"/>
      <c r="AJ129" s="612"/>
      <c r="AK129" s="2"/>
      <c r="AL129" s="2"/>
    </row>
    <row r="130" spans="1:38" ht="16.5">
      <c r="A130" s="112" t="s">
        <v>338</v>
      </c>
      <c r="B130" s="665">
        <f>0.378+0.032-C130</f>
        <v>0.41000000000000003</v>
      </c>
      <c r="C130" s="547">
        <v>0</v>
      </c>
      <c r="D130" s="545">
        <v>0</v>
      </c>
      <c r="E130" s="367">
        <f t="shared" si="64"/>
        <v>0</v>
      </c>
      <c r="F130" s="528">
        <v>0</v>
      </c>
      <c r="G130" s="367">
        <f t="shared" si="65"/>
        <v>0</v>
      </c>
      <c r="H130" s="528">
        <f>5161293/5145930</f>
        <v>1.002985466183955</v>
      </c>
      <c r="I130" s="367">
        <f>$B130*H130</f>
        <v>0.4112240411354216</v>
      </c>
      <c r="J130" s="747">
        <v>0</v>
      </c>
      <c r="K130" s="749">
        <f t="shared" si="67"/>
        <v>0</v>
      </c>
      <c r="L130" s="747">
        <v>0</v>
      </c>
      <c r="M130" s="749">
        <f t="shared" si="68"/>
        <v>0</v>
      </c>
      <c r="N130" s="747">
        <v>0</v>
      </c>
      <c r="O130" s="749">
        <f t="shared" si="69"/>
        <v>0</v>
      </c>
      <c r="P130" s="72"/>
      <c r="Q130" s="601"/>
      <c r="AA130" s="111"/>
      <c r="AB130" s="649" t="s">
        <v>428</v>
      </c>
      <c r="AC130" s="612"/>
      <c r="AD130" s="612"/>
      <c r="AE130" s="662"/>
      <c r="AF130" s="656" t="s">
        <v>7</v>
      </c>
      <c r="AG130" s="612"/>
      <c r="AH130" s="621"/>
      <c r="AI130" s="612">
        <f>+B130*1000</f>
        <v>410.00000000000006</v>
      </c>
      <c r="AJ130" s="621">
        <f>I130/B130*1000</f>
        <v>1002.9854661839551</v>
      </c>
      <c r="AK130" s="2"/>
      <c r="AL130" s="2"/>
    </row>
    <row r="131" spans="1:38">
      <c r="A131" s="112" t="s">
        <v>339</v>
      </c>
      <c r="B131" s="665">
        <f>0.2+0.032-C131</f>
        <v>0.23200000000000001</v>
      </c>
      <c r="C131" s="547">
        <v>0</v>
      </c>
      <c r="D131" s="545">
        <v>0</v>
      </c>
      <c r="E131" s="367">
        <f t="shared" si="64"/>
        <v>0</v>
      </c>
      <c r="F131" s="528">
        <v>0</v>
      </c>
      <c r="G131" s="367">
        <f t="shared" si="65"/>
        <v>0</v>
      </c>
      <c r="H131" s="528">
        <v>0</v>
      </c>
      <c r="I131" s="367">
        <f t="shared" si="66"/>
        <v>0</v>
      </c>
      <c r="J131" s="747">
        <v>0</v>
      </c>
      <c r="K131" s="749">
        <f t="shared" si="67"/>
        <v>0</v>
      </c>
      <c r="L131" s="747">
        <v>0</v>
      </c>
      <c r="M131" s="749">
        <f t="shared" si="68"/>
        <v>0</v>
      </c>
      <c r="N131" s="747">
        <v>0</v>
      </c>
      <c r="O131" s="749">
        <f t="shared" si="69"/>
        <v>0</v>
      </c>
      <c r="P131" s="63"/>
      <c r="Q131" s="601"/>
      <c r="AB131" s="657" t="s">
        <v>7</v>
      </c>
      <c r="AC131" s="612"/>
      <c r="AD131" s="614"/>
      <c r="AE131" s="662"/>
      <c r="AF131" s="621">
        <f>E128/B128*1000</f>
        <v>0</v>
      </c>
      <c r="AG131" s="612"/>
      <c r="AH131" s="621"/>
      <c r="AI131" s="612"/>
      <c r="AJ131" s="621">
        <f t="shared" ref="AJ131:AJ146" si="70">I131/B131*1000</f>
        <v>0</v>
      </c>
      <c r="AK131" s="2"/>
      <c r="AL131" s="2"/>
    </row>
    <row r="132" spans="1:38">
      <c r="A132" s="112" t="s">
        <v>340</v>
      </c>
      <c r="B132" s="667">
        <v>0</v>
      </c>
      <c r="C132" s="547">
        <v>0</v>
      </c>
      <c r="D132" s="545">
        <v>0</v>
      </c>
      <c r="E132" s="367">
        <f t="shared" si="64"/>
        <v>0</v>
      </c>
      <c r="F132" s="528">
        <v>0</v>
      </c>
      <c r="G132" s="367">
        <f t="shared" si="65"/>
        <v>0</v>
      </c>
      <c r="H132" s="528">
        <v>0</v>
      </c>
      <c r="I132" s="367">
        <f t="shared" si="66"/>
        <v>0</v>
      </c>
      <c r="J132" s="747">
        <v>0</v>
      </c>
      <c r="K132" s="749">
        <f t="shared" si="67"/>
        <v>0</v>
      </c>
      <c r="L132" s="747">
        <v>0</v>
      </c>
      <c r="M132" s="749">
        <f t="shared" si="68"/>
        <v>0</v>
      </c>
      <c r="N132" s="747">
        <v>0</v>
      </c>
      <c r="O132" s="749">
        <f t="shared" si="69"/>
        <v>0</v>
      </c>
      <c r="P132" s="368"/>
      <c r="AB132" s="657" t="s">
        <v>7</v>
      </c>
      <c r="AC132" s="612"/>
      <c r="AD132" s="614"/>
      <c r="AE132" s="662"/>
      <c r="AF132" s="621"/>
      <c r="AG132" s="612"/>
      <c r="AH132" s="621"/>
      <c r="AI132" s="612"/>
      <c r="AJ132" s="621" t="e">
        <f t="shared" si="70"/>
        <v>#DIV/0!</v>
      </c>
      <c r="AK132" s="2"/>
      <c r="AL132" s="2"/>
    </row>
    <row r="133" spans="1:38">
      <c r="A133" s="112" t="s">
        <v>343</v>
      </c>
      <c r="B133" s="665">
        <f>0.5084-C133</f>
        <v>0.50839999999999996</v>
      </c>
      <c r="C133" s="547">
        <v>0</v>
      </c>
      <c r="D133" s="545">
        <v>0</v>
      </c>
      <c r="E133" s="367">
        <f t="shared" si="64"/>
        <v>0</v>
      </c>
      <c r="F133" s="528">
        <f>391427/387260</f>
        <v>1.0107602127769457</v>
      </c>
      <c r="G133" s="367">
        <f>$B133*F133</f>
        <v>0.51387049217579917</v>
      </c>
      <c r="H133" s="528">
        <v>0</v>
      </c>
      <c r="I133" s="367">
        <f t="shared" si="66"/>
        <v>0</v>
      </c>
      <c r="J133" s="747">
        <v>0</v>
      </c>
      <c r="K133" s="749">
        <f t="shared" si="67"/>
        <v>0</v>
      </c>
      <c r="L133" s="747">
        <v>0</v>
      </c>
      <c r="M133" s="749">
        <f t="shared" si="68"/>
        <v>0</v>
      </c>
      <c r="N133" s="747">
        <v>0</v>
      </c>
      <c r="O133" s="749">
        <f t="shared" si="69"/>
        <v>0</v>
      </c>
      <c r="P133" s="368"/>
      <c r="AB133" s="657"/>
      <c r="AC133" s="612"/>
      <c r="AD133" s="614"/>
      <c r="AE133" s="662"/>
      <c r="AF133" s="621"/>
      <c r="AG133" s="612">
        <f>+B133*1000</f>
        <v>508.4</v>
      </c>
      <c r="AH133" s="621">
        <f>G133/B133*1000</f>
        <v>1010.7602127769458</v>
      </c>
      <c r="AI133" s="612"/>
      <c r="AJ133" s="621">
        <f t="shared" si="70"/>
        <v>0</v>
      </c>
      <c r="AK133" s="2"/>
      <c r="AL133" s="2"/>
    </row>
    <row r="134" spans="1:38">
      <c r="A134" s="112" t="s">
        <v>344</v>
      </c>
      <c r="B134" s="665">
        <f>1.9036-C134</f>
        <v>1.9036</v>
      </c>
      <c r="C134" s="547">
        <v>0</v>
      </c>
      <c r="D134" s="545">
        <v>0</v>
      </c>
      <c r="E134" s="367">
        <f t="shared" si="64"/>
        <v>0</v>
      </c>
      <c r="F134" s="528">
        <v>0</v>
      </c>
      <c r="G134" s="367">
        <f t="shared" si="65"/>
        <v>0</v>
      </c>
      <c r="H134" s="528">
        <v>0</v>
      </c>
      <c r="I134" s="367">
        <f t="shared" si="66"/>
        <v>0</v>
      </c>
      <c r="J134" s="747">
        <v>0.99740932642487057</v>
      </c>
      <c r="K134" s="749">
        <f t="shared" si="67"/>
        <v>1.8986683937823836</v>
      </c>
      <c r="L134" s="747">
        <v>0</v>
      </c>
      <c r="M134" s="749">
        <f t="shared" si="68"/>
        <v>0</v>
      </c>
      <c r="N134" s="747">
        <v>0</v>
      </c>
      <c r="O134" s="749">
        <f t="shared" si="69"/>
        <v>0</v>
      </c>
      <c r="P134" s="368"/>
      <c r="Q134" s="368"/>
      <c r="AB134" s="657"/>
      <c r="AC134" s="612"/>
      <c r="AD134" s="614"/>
      <c r="AE134" s="662"/>
      <c r="AF134" s="621"/>
      <c r="AG134" s="612"/>
      <c r="AH134" s="621">
        <f t="shared" ref="AH134:AH144" si="71">G134/B134*1000</f>
        <v>0</v>
      </c>
      <c r="AI134" s="612"/>
      <c r="AJ134" s="621">
        <f t="shared" si="70"/>
        <v>0</v>
      </c>
      <c r="AK134" s="2"/>
      <c r="AL134" s="2"/>
    </row>
    <row r="135" spans="1:38">
      <c r="A135" s="112" t="s">
        <v>345</v>
      </c>
      <c r="B135" s="665">
        <f>0.1586+0.032-C135+0.02</f>
        <v>0.21059999999999998</v>
      </c>
      <c r="C135" s="547">
        <v>0</v>
      </c>
      <c r="D135" s="545">
        <f>124800/123240</f>
        <v>1.0126582278481013</v>
      </c>
      <c r="E135" s="367">
        <f t="shared" si="64"/>
        <v>0.21326582278481013</v>
      </c>
      <c r="F135" s="528">
        <v>0</v>
      </c>
      <c r="G135" s="367">
        <f t="shared" si="65"/>
        <v>0</v>
      </c>
      <c r="H135" s="528">
        <v>0</v>
      </c>
      <c r="I135" s="367">
        <f t="shared" si="66"/>
        <v>0</v>
      </c>
      <c r="J135" s="747">
        <v>0</v>
      </c>
      <c r="K135" s="749">
        <f t="shared" si="67"/>
        <v>0</v>
      </c>
      <c r="L135" s="747">
        <v>0</v>
      </c>
      <c r="M135" s="749">
        <f t="shared" si="68"/>
        <v>0</v>
      </c>
      <c r="N135" s="747">
        <v>0</v>
      </c>
      <c r="O135" s="749">
        <f t="shared" si="69"/>
        <v>0</v>
      </c>
      <c r="P135" s="368"/>
      <c r="Q135" s="368"/>
      <c r="AB135" s="657" t="s">
        <v>429</v>
      </c>
      <c r="AC135" s="612"/>
      <c r="AD135" s="614"/>
      <c r="AE135" s="662">
        <f t="shared" ref="AE135" si="72">+B135*1000</f>
        <v>210.6</v>
      </c>
      <c r="AF135" s="621">
        <f>+E135/B135*1000</f>
        <v>1012.6582278481013</v>
      </c>
      <c r="AG135" s="612"/>
      <c r="AH135" s="621">
        <f t="shared" si="71"/>
        <v>0</v>
      </c>
      <c r="AI135" s="612"/>
      <c r="AJ135" s="621">
        <f t="shared" si="70"/>
        <v>0</v>
      </c>
      <c r="AK135" s="2"/>
      <c r="AL135" s="2"/>
    </row>
    <row r="136" spans="1:38" s="1" customFormat="1">
      <c r="A136" s="112" t="s">
        <v>403</v>
      </c>
      <c r="B136" s="665">
        <f>1506/1000</f>
        <v>1.506</v>
      </c>
      <c r="C136" s="547">
        <v>0</v>
      </c>
      <c r="D136" s="545">
        <f>4800/123240</f>
        <v>3.8948393378773129E-2</v>
      </c>
      <c r="E136" s="367">
        <f t="shared" si="64"/>
        <v>5.8656280428432329E-2</v>
      </c>
      <c r="F136" s="528">
        <f>8225/387260</f>
        <v>2.1238960904818468E-2</v>
      </c>
      <c r="G136" s="367">
        <f t="shared" si="65"/>
        <v>3.1985875122656611E-2</v>
      </c>
      <c r="H136" s="528">
        <v>0</v>
      </c>
      <c r="I136" s="367">
        <f t="shared" si="66"/>
        <v>0</v>
      </c>
      <c r="J136" s="747">
        <v>3.2819999999999995E-2</v>
      </c>
      <c r="K136" s="749">
        <f t="shared" si="67"/>
        <v>4.9426919999999992E-2</v>
      </c>
      <c r="L136" s="747">
        <v>0</v>
      </c>
      <c r="M136" s="749">
        <f t="shared" si="68"/>
        <v>0</v>
      </c>
      <c r="N136" s="747">
        <v>0</v>
      </c>
      <c r="O136" s="749">
        <f t="shared" si="69"/>
        <v>0</v>
      </c>
      <c r="P136" s="559"/>
      <c r="Q136" s="559"/>
      <c r="AB136" s="657">
        <v>30090</v>
      </c>
      <c r="AC136" s="624"/>
      <c r="AD136" s="639"/>
      <c r="AE136" s="662">
        <f t="shared" ref="AE136:AE140" si="73">+B136*1000</f>
        <v>1506</v>
      </c>
      <c r="AF136" s="621">
        <f t="shared" ref="AF136:AF144" si="74">+E136/B136*1000</f>
        <v>38.948393378773126</v>
      </c>
      <c r="AG136" s="612">
        <f t="shared" ref="AG136:AG140" si="75">+B136*1000</f>
        <v>1506</v>
      </c>
      <c r="AH136" s="621">
        <f t="shared" si="71"/>
        <v>21.23896090481847</v>
      </c>
      <c r="AI136" s="612"/>
      <c r="AJ136" s="621">
        <f t="shared" si="70"/>
        <v>0</v>
      </c>
    </row>
    <row r="137" spans="1:38" s="1" customFormat="1">
      <c r="A137" s="112" t="s">
        <v>404</v>
      </c>
      <c r="B137" s="665">
        <v>1.262</v>
      </c>
      <c r="C137" s="547">
        <v>0</v>
      </c>
      <c r="D137" s="545">
        <v>0</v>
      </c>
      <c r="E137" s="367">
        <f t="shared" si="64"/>
        <v>0</v>
      </c>
      <c r="F137" s="528">
        <v>0</v>
      </c>
      <c r="G137" s="367">
        <f t="shared" si="65"/>
        <v>0</v>
      </c>
      <c r="H137" s="528">
        <v>0</v>
      </c>
      <c r="I137" s="367">
        <f t="shared" si="66"/>
        <v>0</v>
      </c>
      <c r="J137" s="747">
        <v>0</v>
      </c>
      <c r="K137" s="749">
        <f t="shared" si="67"/>
        <v>0</v>
      </c>
      <c r="L137" s="747">
        <v>0</v>
      </c>
      <c r="M137" s="749">
        <f t="shared" si="68"/>
        <v>0</v>
      </c>
      <c r="N137" s="747">
        <v>0</v>
      </c>
      <c r="O137" s="749">
        <f t="shared" si="69"/>
        <v>0</v>
      </c>
      <c r="P137" s="559"/>
      <c r="Q137" s="559"/>
      <c r="AB137" s="657">
        <v>30120</v>
      </c>
      <c r="AC137" s="624"/>
      <c r="AD137" s="639"/>
      <c r="AE137" s="662"/>
      <c r="AF137" s="621">
        <f t="shared" si="74"/>
        <v>0</v>
      </c>
      <c r="AG137" s="612"/>
      <c r="AH137" s="621">
        <f t="shared" si="71"/>
        <v>0</v>
      </c>
      <c r="AI137" s="612"/>
      <c r="AJ137" s="621">
        <f t="shared" si="70"/>
        <v>0</v>
      </c>
    </row>
    <row r="138" spans="1:38">
      <c r="A138" s="112" t="s">
        <v>346</v>
      </c>
      <c r="B138" s="665">
        <v>0.78832999999999998</v>
      </c>
      <c r="C138" s="547">
        <v>0</v>
      </c>
      <c r="D138" s="545">
        <f>640/123240</f>
        <v>5.19311911716975E-3</v>
      </c>
      <c r="E138" s="367">
        <f t="shared" si="64"/>
        <v>4.0938915936384289E-3</v>
      </c>
      <c r="F138" s="528">
        <f>1425/387260</f>
        <v>3.6796983938439292E-3</v>
      </c>
      <c r="G138" s="367">
        <f t="shared" si="65"/>
        <v>2.9008166348189848E-3</v>
      </c>
      <c r="H138" s="528">
        <v>0</v>
      </c>
      <c r="I138" s="367">
        <f t="shared" si="66"/>
        <v>0</v>
      </c>
      <c r="J138" s="747">
        <v>0</v>
      </c>
      <c r="K138" s="749">
        <f t="shared" si="67"/>
        <v>0</v>
      </c>
      <c r="L138" s="747">
        <v>0</v>
      </c>
      <c r="M138" s="749">
        <f t="shared" si="68"/>
        <v>0</v>
      </c>
      <c r="N138" s="747">
        <v>0</v>
      </c>
      <c r="O138" s="749">
        <f t="shared" si="69"/>
        <v>0</v>
      </c>
      <c r="P138" s="368"/>
      <c r="Q138" s="368"/>
      <c r="AB138" s="657">
        <v>30362</v>
      </c>
      <c r="AC138" s="612"/>
      <c r="AD138" s="614"/>
      <c r="AE138" s="662">
        <f t="shared" si="73"/>
        <v>788.32999999999993</v>
      </c>
      <c r="AF138" s="621">
        <f t="shared" si="74"/>
        <v>5.1931191171697497</v>
      </c>
      <c r="AG138" s="612">
        <f t="shared" si="75"/>
        <v>788.32999999999993</v>
      </c>
      <c r="AH138" s="621">
        <f t="shared" si="71"/>
        <v>3.6796983938439296</v>
      </c>
      <c r="AI138" s="612"/>
      <c r="AJ138" s="621">
        <f t="shared" si="70"/>
        <v>0</v>
      </c>
      <c r="AK138" s="2"/>
      <c r="AL138" s="2"/>
    </row>
    <row r="139" spans="1:38">
      <c r="A139" s="112" t="s">
        <v>347</v>
      </c>
      <c r="B139" s="665">
        <v>4.46</v>
      </c>
      <c r="C139" s="547">
        <v>0</v>
      </c>
      <c r="D139" s="545">
        <f>117/123240</f>
        <v>9.493670886075949E-4</v>
      </c>
      <c r="E139" s="367">
        <f t="shared" si="64"/>
        <v>4.2341772151898733E-3</v>
      </c>
      <c r="F139" s="528">
        <f>613/387260</f>
        <v>1.5829158704746165E-3</v>
      </c>
      <c r="G139" s="367">
        <f t="shared" si="65"/>
        <v>7.0598047823167897E-3</v>
      </c>
      <c r="H139" s="528">
        <v>0</v>
      </c>
      <c r="I139" s="367">
        <f t="shared" si="66"/>
        <v>0</v>
      </c>
      <c r="J139" s="747">
        <v>0</v>
      </c>
      <c r="K139" s="749">
        <f t="shared" si="67"/>
        <v>0</v>
      </c>
      <c r="L139" s="747">
        <v>0</v>
      </c>
      <c r="M139" s="749">
        <f t="shared" si="68"/>
        <v>0</v>
      </c>
      <c r="N139" s="747">
        <v>0</v>
      </c>
      <c r="O139" s="749">
        <f t="shared" si="69"/>
        <v>0</v>
      </c>
      <c r="P139" s="368"/>
      <c r="Q139" s="368"/>
      <c r="AB139" s="657">
        <v>30360</v>
      </c>
      <c r="AC139" s="612"/>
      <c r="AD139" s="614"/>
      <c r="AE139" s="662">
        <f t="shared" si="73"/>
        <v>4460</v>
      </c>
      <c r="AF139" s="621">
        <f t="shared" si="74"/>
        <v>0.94936708860759489</v>
      </c>
      <c r="AG139" s="612">
        <f t="shared" si="75"/>
        <v>4460</v>
      </c>
      <c r="AH139" s="621">
        <f t="shared" si="71"/>
        <v>1.5829158704746165</v>
      </c>
      <c r="AI139" s="612"/>
      <c r="AJ139" s="621">
        <f t="shared" si="70"/>
        <v>0</v>
      </c>
      <c r="AK139" s="2"/>
      <c r="AL139" s="2"/>
    </row>
    <row r="140" spans="1:38">
      <c r="A140" s="112" t="s">
        <v>348</v>
      </c>
      <c r="B140" s="665">
        <f>1449.8/1000</f>
        <v>1.4498</v>
      </c>
      <c r="C140" s="547">
        <v>0</v>
      </c>
      <c r="D140" s="545">
        <f>80/123240</f>
        <v>6.4913988964621875E-4</v>
      </c>
      <c r="E140" s="367">
        <f t="shared" si="64"/>
        <v>9.4112301200908793E-4</v>
      </c>
      <c r="F140" s="528">
        <f>156/387260</f>
        <v>4.0283013995765117E-4</v>
      </c>
      <c r="G140" s="367">
        <f t="shared" si="65"/>
        <v>5.8402313691060268E-4</v>
      </c>
      <c r="H140" s="528">
        <v>0</v>
      </c>
      <c r="I140" s="367">
        <f t="shared" si="66"/>
        <v>0</v>
      </c>
      <c r="J140" s="747">
        <v>0</v>
      </c>
      <c r="K140" s="749">
        <f t="shared" si="67"/>
        <v>0</v>
      </c>
      <c r="L140" s="747">
        <v>0</v>
      </c>
      <c r="M140" s="749">
        <f t="shared" si="68"/>
        <v>0</v>
      </c>
      <c r="N140" s="747">
        <v>0</v>
      </c>
      <c r="O140" s="749">
        <f t="shared" si="69"/>
        <v>0</v>
      </c>
      <c r="P140" s="368"/>
      <c r="Q140" s="368"/>
      <c r="AB140" s="657">
        <v>30361</v>
      </c>
      <c r="AC140" s="612"/>
      <c r="AD140" s="614"/>
      <c r="AE140" s="662">
        <f t="shared" si="73"/>
        <v>1449.8</v>
      </c>
      <c r="AF140" s="621">
        <f t="shared" si="74"/>
        <v>0.64913988964621872</v>
      </c>
      <c r="AG140" s="612">
        <f t="shared" si="75"/>
        <v>1449.8</v>
      </c>
      <c r="AH140" s="621">
        <f t="shared" si="71"/>
        <v>0.40283013995765116</v>
      </c>
      <c r="AI140" s="612"/>
      <c r="AJ140" s="621">
        <f t="shared" si="70"/>
        <v>0</v>
      </c>
      <c r="AK140" s="2"/>
      <c r="AL140" s="2"/>
    </row>
    <row r="141" spans="1:38">
      <c r="A141" s="112" t="s">
        <v>405</v>
      </c>
      <c r="B141" s="665">
        <f>1164.82/1000</f>
        <v>1.16482</v>
      </c>
      <c r="C141" s="547">
        <v>0</v>
      </c>
      <c r="D141" s="545">
        <v>0</v>
      </c>
      <c r="E141" s="367">
        <f t="shared" si="64"/>
        <v>0</v>
      </c>
      <c r="F141" s="528">
        <v>0</v>
      </c>
      <c r="G141" s="367">
        <f t="shared" si="65"/>
        <v>0</v>
      </c>
      <c r="H141" s="528">
        <v>0</v>
      </c>
      <c r="I141" s="367">
        <f t="shared" si="66"/>
        <v>0</v>
      </c>
      <c r="J141" s="747">
        <v>1.8374999999999999E-4</v>
      </c>
      <c r="K141" s="749">
        <f t="shared" si="67"/>
        <v>2.1403567499999999E-4</v>
      </c>
      <c r="L141" s="747">
        <v>0</v>
      </c>
      <c r="M141" s="749">
        <f t="shared" si="68"/>
        <v>0</v>
      </c>
      <c r="N141" s="747">
        <v>0</v>
      </c>
      <c r="O141" s="749">
        <f t="shared" si="69"/>
        <v>0</v>
      </c>
      <c r="P141" s="368"/>
      <c r="Q141" s="368"/>
      <c r="AB141" s="657">
        <v>30054</v>
      </c>
      <c r="AC141" s="612"/>
      <c r="AD141" s="614"/>
      <c r="AE141" s="662"/>
      <c r="AF141" s="621">
        <f t="shared" si="74"/>
        <v>0</v>
      </c>
      <c r="AG141" s="612"/>
      <c r="AH141" s="621">
        <f t="shared" si="71"/>
        <v>0</v>
      </c>
      <c r="AI141" s="612"/>
      <c r="AJ141" s="621">
        <f t="shared" si="70"/>
        <v>0</v>
      </c>
      <c r="AK141" s="2"/>
      <c r="AL141" s="2"/>
    </row>
    <row r="142" spans="1:38">
      <c r="A142" s="112" t="s">
        <v>409</v>
      </c>
      <c r="B142" s="665">
        <f>1096.46/1000</f>
        <v>1.09646</v>
      </c>
      <c r="C142" s="547">
        <v>0</v>
      </c>
      <c r="D142" s="528">
        <v>0</v>
      </c>
      <c r="E142" s="367">
        <f t="shared" si="64"/>
        <v>0</v>
      </c>
      <c r="F142" s="568">
        <v>0</v>
      </c>
      <c r="G142" s="367">
        <f t="shared" si="65"/>
        <v>0</v>
      </c>
      <c r="H142" s="528">
        <v>0</v>
      </c>
      <c r="I142" s="367">
        <f t="shared" si="66"/>
        <v>0</v>
      </c>
      <c r="J142" s="747">
        <v>4.2187500000000003E-3</v>
      </c>
      <c r="K142" s="749">
        <f t="shared" si="67"/>
        <v>4.6256906250000005E-3</v>
      </c>
      <c r="L142" s="747">
        <v>0</v>
      </c>
      <c r="M142" s="749">
        <f t="shared" si="68"/>
        <v>0</v>
      </c>
      <c r="N142" s="747">
        <v>0</v>
      </c>
      <c r="O142" s="749">
        <f t="shared" si="69"/>
        <v>0</v>
      </c>
      <c r="P142" s="368"/>
      <c r="Q142" s="368"/>
      <c r="AB142" s="657">
        <v>30055</v>
      </c>
      <c r="AC142" s="612"/>
      <c r="AD142" s="614"/>
      <c r="AE142" s="662"/>
      <c r="AF142" s="621">
        <f t="shared" si="74"/>
        <v>0</v>
      </c>
      <c r="AG142" s="612"/>
      <c r="AH142" s="621">
        <f t="shared" si="71"/>
        <v>0</v>
      </c>
      <c r="AI142" s="612"/>
      <c r="AJ142" s="621">
        <f t="shared" si="70"/>
        <v>0</v>
      </c>
      <c r="AK142" s="2"/>
      <c r="AL142" s="2"/>
    </row>
    <row r="143" spans="1:38">
      <c r="A143" s="112" t="s">
        <v>406</v>
      </c>
      <c r="B143" s="665">
        <f>4019.96/1000</f>
        <v>4.0199600000000002</v>
      </c>
      <c r="C143" s="547">
        <v>0</v>
      </c>
      <c r="D143" s="545">
        <v>0</v>
      </c>
      <c r="E143" s="367">
        <f t="shared" si="64"/>
        <v>0</v>
      </c>
      <c r="F143" s="568">
        <v>0</v>
      </c>
      <c r="G143" s="367">
        <f t="shared" si="65"/>
        <v>0</v>
      </c>
      <c r="H143" s="528">
        <v>0</v>
      </c>
      <c r="I143" s="367">
        <f t="shared" si="66"/>
        <v>0</v>
      </c>
      <c r="J143" s="747">
        <v>2.7375000000000001E-4</v>
      </c>
      <c r="K143" s="749">
        <f t="shared" si="67"/>
        <v>1.10046405E-3</v>
      </c>
      <c r="L143" s="747">
        <v>0</v>
      </c>
      <c r="M143" s="749">
        <f t="shared" si="68"/>
        <v>0</v>
      </c>
      <c r="N143" s="747">
        <v>0</v>
      </c>
      <c r="O143" s="749">
        <f t="shared" si="69"/>
        <v>0</v>
      </c>
      <c r="P143" s="368"/>
      <c r="Q143" s="368"/>
      <c r="R143" s="111"/>
      <c r="S143" s="111"/>
      <c r="T143" s="111"/>
      <c r="U143" s="111"/>
      <c r="V143" s="111"/>
      <c r="W143" s="111"/>
      <c r="X143" s="111"/>
      <c r="Y143" s="111"/>
      <c r="AB143" s="657">
        <v>30058</v>
      </c>
      <c r="AC143" s="612"/>
      <c r="AD143" s="614"/>
      <c r="AE143" s="662"/>
      <c r="AF143" s="621">
        <f t="shared" si="74"/>
        <v>0</v>
      </c>
      <c r="AG143" s="612"/>
      <c r="AH143" s="621">
        <f t="shared" si="71"/>
        <v>0</v>
      </c>
      <c r="AI143" s="612"/>
      <c r="AJ143" s="621">
        <f t="shared" si="70"/>
        <v>0</v>
      </c>
      <c r="AK143" s="2"/>
      <c r="AL143" s="2"/>
    </row>
    <row r="144" spans="1:38">
      <c r="A144" s="112" t="s">
        <v>411</v>
      </c>
      <c r="B144" s="665">
        <v>16.504000000000001</v>
      </c>
      <c r="C144" s="547">
        <v>0</v>
      </c>
      <c r="D144" s="676">
        <v>0</v>
      </c>
      <c r="E144" s="367">
        <f t="shared" si="64"/>
        <v>0</v>
      </c>
      <c r="F144" s="528">
        <v>0</v>
      </c>
      <c r="G144" s="367">
        <f t="shared" si="65"/>
        <v>0</v>
      </c>
      <c r="H144" s="528">
        <v>0</v>
      </c>
      <c r="I144" s="367">
        <f t="shared" si="66"/>
        <v>0</v>
      </c>
      <c r="J144" s="747">
        <v>0</v>
      </c>
      <c r="K144" s="749">
        <f t="shared" si="67"/>
        <v>0</v>
      </c>
      <c r="L144" s="747">
        <v>0</v>
      </c>
      <c r="M144" s="749">
        <f t="shared" si="68"/>
        <v>0</v>
      </c>
      <c r="N144" s="747">
        <v>0</v>
      </c>
      <c r="O144" s="749">
        <f t="shared" si="69"/>
        <v>0</v>
      </c>
      <c r="P144" s="368"/>
      <c r="Q144" s="368"/>
      <c r="R144" s="111"/>
      <c r="S144" s="111"/>
      <c r="T144" s="111"/>
      <c r="U144" s="111"/>
      <c r="V144" s="111"/>
      <c r="W144" s="111"/>
      <c r="X144" s="111"/>
      <c r="Y144" s="111"/>
      <c r="AB144" s="657">
        <v>30454</v>
      </c>
      <c r="AC144" s="612"/>
      <c r="AD144" s="614"/>
      <c r="AE144" s="662"/>
      <c r="AF144" s="621">
        <f t="shared" si="74"/>
        <v>0</v>
      </c>
      <c r="AG144" s="612"/>
      <c r="AH144" s="621">
        <f t="shared" si="71"/>
        <v>0</v>
      </c>
      <c r="AI144" s="612"/>
      <c r="AJ144" s="621">
        <f t="shared" si="70"/>
        <v>0</v>
      </c>
      <c r="AK144" s="2"/>
      <c r="AL144" s="2"/>
    </row>
    <row r="145" spans="1:38" ht="16.5">
      <c r="A145" s="112" t="s">
        <v>354</v>
      </c>
      <c r="B145" s="673">
        <f>8993.38/1000</f>
        <v>8.9933799999999984</v>
      </c>
      <c r="C145" s="674"/>
      <c r="D145" s="545"/>
      <c r="E145" s="367"/>
      <c r="F145" s="528"/>
      <c r="G145" s="367"/>
      <c r="H145" s="528"/>
      <c r="I145" s="367"/>
      <c r="J145" s="747">
        <v>0</v>
      </c>
      <c r="K145" s="749">
        <f>$B145*J145</f>
        <v>0</v>
      </c>
      <c r="L145" s="747"/>
      <c r="M145" s="749"/>
      <c r="N145" s="747"/>
      <c r="O145" s="749"/>
      <c r="P145" s="368"/>
      <c r="Q145" s="368"/>
      <c r="R145" s="111"/>
      <c r="S145" s="111"/>
      <c r="T145" s="111"/>
      <c r="U145" s="111"/>
      <c r="V145" s="111"/>
      <c r="W145" s="111"/>
      <c r="X145" s="111"/>
      <c r="Y145" s="111"/>
      <c r="AB145" s="657"/>
      <c r="AC145" s="612"/>
      <c r="AD145" s="614"/>
      <c r="AE145" s="658"/>
      <c r="AF145" s="659"/>
      <c r="AG145" s="612"/>
      <c r="AH145" s="612"/>
      <c r="AI145" s="612"/>
      <c r="AJ145" s="621">
        <f t="shared" si="70"/>
        <v>0</v>
      </c>
      <c r="AK145" s="2"/>
      <c r="AL145" s="2"/>
    </row>
    <row r="146" spans="1:38" ht="15.75" thickBot="1">
      <c r="A146" s="112" t="s">
        <v>355</v>
      </c>
      <c r="B146" s="666">
        <v>10.218999999999999</v>
      </c>
      <c r="C146" s="549">
        <v>0</v>
      </c>
      <c r="D146" s="545">
        <v>0</v>
      </c>
      <c r="E146" s="367">
        <f t="shared" si="64"/>
        <v>0</v>
      </c>
      <c r="F146" s="528">
        <v>0</v>
      </c>
      <c r="G146" s="367">
        <f t="shared" si="65"/>
        <v>0</v>
      </c>
      <c r="H146" s="528">
        <f>2988/5145930</f>
        <v>5.8065305979677147E-4</v>
      </c>
      <c r="I146" s="367">
        <f t="shared" si="66"/>
        <v>5.9336936180632077E-3</v>
      </c>
      <c r="J146" s="747">
        <v>0</v>
      </c>
      <c r="K146" s="749">
        <f t="shared" si="67"/>
        <v>0</v>
      </c>
      <c r="L146" s="747">
        <v>0</v>
      </c>
      <c r="M146" s="749">
        <f t="shared" si="68"/>
        <v>0</v>
      </c>
      <c r="N146" s="747">
        <v>0</v>
      </c>
      <c r="O146" s="749">
        <f t="shared" si="69"/>
        <v>0</v>
      </c>
      <c r="P146" s="368"/>
      <c r="Q146" s="368"/>
      <c r="R146" s="111"/>
      <c r="S146" s="111"/>
      <c r="T146" s="111"/>
      <c r="U146" s="111"/>
      <c r="V146" s="111"/>
      <c r="W146" s="111"/>
      <c r="X146" s="111"/>
      <c r="Y146" s="111"/>
      <c r="AB146" s="657">
        <v>30242</v>
      </c>
      <c r="AC146" s="612"/>
      <c r="AD146" s="614"/>
      <c r="AE146" s="662" t="s">
        <v>7</v>
      </c>
      <c r="AF146" s="621" t="s">
        <v>7</v>
      </c>
      <c r="AG146" s="612"/>
      <c r="AH146" s="612"/>
      <c r="AI146" s="612">
        <f t="shared" ref="AI146" si="76">+B146*1000</f>
        <v>10219</v>
      </c>
      <c r="AJ146" s="621">
        <f t="shared" si="70"/>
        <v>0.58065305979677151</v>
      </c>
      <c r="AK146" s="2"/>
      <c r="AL146" s="2"/>
    </row>
    <row r="147" spans="1:38">
      <c r="A147" s="23"/>
      <c r="B147" s="370"/>
      <c r="C147" s="370"/>
      <c r="D147" s="677"/>
      <c r="E147" s="372"/>
      <c r="F147" s="30"/>
      <c r="G147" s="25"/>
      <c r="H147" s="678"/>
      <c r="I147" s="25"/>
      <c r="J147" s="751"/>
      <c r="K147" s="739"/>
      <c r="L147" s="751"/>
      <c r="M147" s="739"/>
      <c r="N147" s="751"/>
      <c r="O147" s="739"/>
      <c r="P147" s="368"/>
      <c r="Q147" s="368"/>
      <c r="R147" s="111"/>
      <c r="S147" s="111"/>
      <c r="T147" s="111"/>
      <c r="U147" s="111"/>
      <c r="V147" s="111"/>
      <c r="W147" s="111"/>
      <c r="X147" s="111"/>
      <c r="Y147" s="111"/>
      <c r="AB147" s="657"/>
      <c r="AC147" s="612"/>
      <c r="AD147" s="614"/>
      <c r="AE147" s="658"/>
      <c r="AF147" s="659"/>
      <c r="AG147" s="612"/>
      <c r="AH147" s="612"/>
      <c r="AI147" s="612"/>
      <c r="AJ147" s="612"/>
      <c r="AK147" s="2"/>
      <c r="AL147" s="2"/>
    </row>
    <row r="148" spans="1:38">
      <c r="A148" s="23" t="s">
        <v>249</v>
      </c>
      <c r="D148" s="677"/>
      <c r="E148" s="541" t="s">
        <v>250</v>
      </c>
      <c r="F148" s="33"/>
      <c r="G148" s="541" t="s">
        <v>250</v>
      </c>
      <c r="H148" s="33"/>
      <c r="I148" s="541" t="s">
        <v>250</v>
      </c>
      <c r="J148" s="753"/>
      <c r="K148" s="754" t="s">
        <v>250</v>
      </c>
      <c r="L148" s="751"/>
      <c r="M148" s="754" t="s">
        <v>250</v>
      </c>
      <c r="N148" s="753"/>
      <c r="O148" s="754" t="s">
        <v>250</v>
      </c>
      <c r="P148" s="368"/>
      <c r="Q148" s="368"/>
      <c r="R148" s="111"/>
      <c r="S148" s="111"/>
      <c r="T148" s="111"/>
      <c r="U148" s="111"/>
      <c r="V148" s="111"/>
      <c r="W148" s="111"/>
      <c r="X148" s="111"/>
      <c r="Y148" s="111"/>
      <c r="AB148" s="657"/>
      <c r="AC148" s="612"/>
      <c r="AD148" s="614"/>
      <c r="AE148" s="658"/>
      <c r="AF148" s="659"/>
      <c r="AG148" s="612"/>
      <c r="AH148" s="612"/>
      <c r="AI148" s="612"/>
      <c r="AJ148" s="612"/>
      <c r="AK148" s="2"/>
      <c r="AL148" s="2"/>
    </row>
    <row r="149" spans="1:38">
      <c r="A149" s="112" t="s">
        <v>363</v>
      </c>
      <c r="D149" s="677"/>
      <c r="E149" s="275">
        <f>SUM(E128:E135)</f>
        <v>0.21326582278481013</v>
      </c>
      <c r="F149" s="33"/>
      <c r="G149" s="275">
        <f>SUM(G128:G135)</f>
        <v>0.51387049217579917</v>
      </c>
      <c r="H149" s="33"/>
      <c r="I149" s="275">
        <f>SUM(I128:I135)</f>
        <v>0.4112240411354216</v>
      </c>
      <c r="J149" s="753"/>
      <c r="K149" s="748">
        <f>SUM(K128:K135)</f>
        <v>1.8986683937823836</v>
      </c>
      <c r="L149" s="751"/>
      <c r="M149" s="748">
        <f>SUM(M128:M135)</f>
        <v>0</v>
      </c>
      <c r="N149" s="753"/>
      <c r="O149" s="748">
        <f>SUM(O128:O135)</f>
        <v>0</v>
      </c>
      <c r="P149" s="368"/>
      <c r="Q149" s="368"/>
      <c r="R149" s="111"/>
      <c r="S149" s="111"/>
      <c r="T149" s="111"/>
      <c r="U149" s="111"/>
      <c r="V149" s="111"/>
      <c r="W149" s="111"/>
      <c r="X149" s="111"/>
      <c r="Y149" s="111"/>
      <c r="AB149" s="657"/>
      <c r="AC149" s="612"/>
      <c r="AD149" s="614"/>
      <c r="AE149" s="658"/>
      <c r="AF149" s="659"/>
      <c r="AG149" s="612"/>
      <c r="AH149" s="612"/>
      <c r="AI149" s="612"/>
      <c r="AJ149" s="612"/>
      <c r="AK149" s="2"/>
      <c r="AL149" s="2"/>
    </row>
    <row r="150" spans="1:38">
      <c r="A150" s="112" t="s">
        <v>36</v>
      </c>
      <c r="D150" s="677"/>
      <c r="E150" s="375">
        <f>SUM(E136:E137)</f>
        <v>5.8656280428432329E-2</v>
      </c>
      <c r="F150" s="33"/>
      <c r="G150" s="375">
        <f>SUM(G136:G137)</f>
        <v>3.1985875122656611E-2</v>
      </c>
      <c r="H150" s="33"/>
      <c r="I150" s="375">
        <f>SUM(I136:I137)</f>
        <v>0</v>
      </c>
      <c r="J150" s="753"/>
      <c r="K150" s="755">
        <f>SUM(K136:K137)</f>
        <v>4.9426919999999992E-2</v>
      </c>
      <c r="L150" s="751"/>
      <c r="M150" s="755">
        <f>SUM(M136:M137)</f>
        <v>0</v>
      </c>
      <c r="N150" s="753"/>
      <c r="O150" s="755">
        <f>SUM(O136:O137)</f>
        <v>0</v>
      </c>
      <c r="P150" s="368"/>
      <c r="Q150" s="368"/>
      <c r="R150" s="111"/>
      <c r="S150" s="111"/>
      <c r="T150" s="111"/>
      <c r="U150" s="111"/>
      <c r="V150" s="111"/>
      <c r="W150" s="111"/>
      <c r="X150" s="111"/>
      <c r="Y150" s="111"/>
      <c r="AB150" s="657"/>
      <c r="AC150" s="612"/>
      <c r="AD150" s="614"/>
      <c r="AE150" s="658"/>
      <c r="AF150" s="659"/>
      <c r="AG150" s="612"/>
      <c r="AH150" s="612"/>
      <c r="AI150" s="612"/>
      <c r="AJ150" s="612"/>
      <c r="AK150" s="2"/>
      <c r="AL150" s="2"/>
    </row>
    <row r="151" spans="1:38">
      <c r="A151" s="112" t="s">
        <v>147</v>
      </c>
      <c r="D151" s="374"/>
      <c r="E151" s="377">
        <f>SUM(E138:E146)</f>
        <v>9.2691918208373907E-3</v>
      </c>
      <c r="F151" s="33"/>
      <c r="G151" s="377">
        <f>SUM(G138:G146)</f>
        <v>1.0544644554046377E-2</v>
      </c>
      <c r="H151" s="33"/>
      <c r="I151" s="377">
        <f>SUM(I138:I146)</f>
        <v>5.9336936180632077E-3</v>
      </c>
      <c r="J151" s="753"/>
      <c r="K151" s="756">
        <f>SUM(K138:K146)</f>
        <v>5.9401903500000009E-3</v>
      </c>
      <c r="L151" s="751"/>
      <c r="M151" s="756">
        <f>SUM(M138:M146)</f>
        <v>0</v>
      </c>
      <c r="N151" s="753"/>
      <c r="O151" s="756">
        <f>SUM(O138:O146)</f>
        <v>0</v>
      </c>
      <c r="P151" s="368"/>
      <c r="Q151" s="368"/>
      <c r="R151" s="111"/>
      <c r="S151" s="111"/>
      <c r="T151" s="111"/>
      <c r="U151" s="111"/>
      <c r="V151" s="111"/>
      <c r="W151" s="111"/>
      <c r="X151" s="111"/>
      <c r="Y151" s="111"/>
      <c r="AB151" s="657"/>
      <c r="AC151" s="612"/>
      <c r="AD151" s="614"/>
      <c r="AE151" s="658"/>
      <c r="AF151" s="659"/>
      <c r="AG151" s="612"/>
      <c r="AH151" s="612"/>
      <c r="AI151" s="612"/>
      <c r="AJ151" s="612"/>
      <c r="AK151" s="2"/>
      <c r="AL151" s="2"/>
    </row>
    <row r="152" spans="1:38">
      <c r="A152" s="353" t="s">
        <v>251</v>
      </c>
      <c r="D152" s="371"/>
      <c r="E152" s="379">
        <f>SUM(E149:E151)</f>
        <v>0.28119129503407986</v>
      </c>
      <c r="F152" s="33"/>
      <c r="G152" s="379">
        <f>SUM(G149:G151)</f>
        <v>0.55640101185250213</v>
      </c>
      <c r="H152" s="33"/>
      <c r="I152" s="379">
        <f>SUM(I149:I151)</f>
        <v>0.41715773475348483</v>
      </c>
      <c r="J152" s="753"/>
      <c r="K152" s="757">
        <f>SUM(K149:K151)</f>
        <v>1.9540355041323836</v>
      </c>
      <c r="L152" s="751"/>
      <c r="M152" s="757">
        <f>SUM(M149:M151)</f>
        <v>0</v>
      </c>
      <c r="N152" s="753"/>
      <c r="O152" s="757">
        <f>SUM(O149:O151)</f>
        <v>0</v>
      </c>
      <c r="P152" s="368"/>
      <c r="Q152" s="368"/>
      <c r="R152" s="111"/>
      <c r="S152" s="111"/>
      <c r="T152" s="111"/>
      <c r="U152" s="111"/>
      <c r="V152" s="111"/>
      <c r="W152" s="111"/>
      <c r="X152" s="111"/>
      <c r="Y152" s="111"/>
      <c r="AB152" s="657">
        <v>30350</v>
      </c>
      <c r="AC152" s="612"/>
      <c r="AD152" s="614"/>
      <c r="AE152" s="658"/>
      <c r="AF152" s="659"/>
      <c r="AG152" s="612"/>
      <c r="AH152" s="663"/>
      <c r="AI152" s="612"/>
      <c r="AJ152" s="663"/>
      <c r="AK152" s="2"/>
      <c r="AL152" s="2"/>
    </row>
    <row r="153" spans="1:38">
      <c r="A153" s="491" t="s">
        <v>389</v>
      </c>
      <c r="D153" s="371"/>
      <c r="E153" s="379"/>
      <c r="F153" s="33"/>
      <c r="G153" s="379"/>
      <c r="H153" s="33"/>
      <c r="I153" s="379"/>
      <c r="J153" s="33"/>
      <c r="K153" s="379"/>
      <c r="L153" s="30"/>
      <c r="M153" s="379"/>
      <c r="N153" s="33"/>
      <c r="O153" s="379"/>
      <c r="AB153" s="612"/>
      <c r="AC153" s="612"/>
      <c r="AD153" s="612"/>
      <c r="AE153" s="658"/>
      <c r="AF153" s="660">
        <f>SUM(AF131:AF143)</f>
        <v>1058.3982473222982</v>
      </c>
      <c r="AG153" s="612"/>
      <c r="AH153" s="660">
        <f>SUM(AH131:AH143)</f>
        <v>1037.6646180860403</v>
      </c>
      <c r="AI153" s="612"/>
      <c r="AJ153" s="660" t="e">
        <f>SUM(AJ129:AJ147)</f>
        <v>#DIV/0!</v>
      </c>
      <c r="AK153" s="2"/>
      <c r="AL153" s="2"/>
    </row>
    <row r="154" spans="1:38">
      <c r="A154" s="492" t="s">
        <v>390</v>
      </c>
      <c r="D154" s="371"/>
      <c r="E154" s="379"/>
      <c r="F154" s="33"/>
      <c r="G154" s="379"/>
      <c r="H154" s="33"/>
      <c r="I154" s="379"/>
      <c r="J154" s="33"/>
      <c r="K154" s="379"/>
      <c r="L154" s="30"/>
      <c r="M154" s="379"/>
      <c r="N154" s="33"/>
      <c r="O154" s="379"/>
      <c r="P154" s="26"/>
      <c r="Q154" s="26"/>
      <c r="AK154" s="2"/>
      <c r="AL154" s="2"/>
    </row>
    <row r="155" spans="1:38" ht="12.75">
      <c r="A155" s="381"/>
      <c r="B155" s="41"/>
      <c r="C155" s="41"/>
      <c r="D155" s="59"/>
      <c r="E155" s="42"/>
      <c r="F155" s="382"/>
      <c r="G155" s="383"/>
      <c r="H155" s="382"/>
      <c r="I155" s="383"/>
      <c r="J155" s="59"/>
      <c r="K155" s="42"/>
      <c r="L155" s="84"/>
      <c r="M155" s="87"/>
      <c r="N155" s="84"/>
      <c r="O155" s="87"/>
      <c r="P155" s="63"/>
      <c r="Q155" s="63"/>
      <c r="AK155" s="2"/>
      <c r="AL155" s="2"/>
    </row>
    <row r="156" spans="1:38" ht="12.75">
      <c r="A156" s="8"/>
      <c r="B156" s="1"/>
      <c r="C156" s="1"/>
      <c r="D156" s="1"/>
      <c r="E156" s="39"/>
      <c r="F156" s="43"/>
      <c r="G156" s="1"/>
      <c r="H156" s="1"/>
      <c r="P156" s="376"/>
      <c r="Q156" s="376"/>
      <c r="AK156" s="2"/>
      <c r="AL156" s="2"/>
    </row>
    <row r="157" spans="1:38">
      <c r="A157" s="385" t="s">
        <v>51</v>
      </c>
      <c r="B157" s="406"/>
      <c r="C157" s="406"/>
      <c r="D157" s="406"/>
      <c r="E157" s="406"/>
      <c r="F157" s="406"/>
      <c r="G157" s="406"/>
      <c r="H157" s="406"/>
      <c r="I157" s="406"/>
      <c r="J157" s="406"/>
      <c r="K157" s="406"/>
      <c r="L157" s="406"/>
      <c r="M157" s="406"/>
      <c r="N157" s="406"/>
      <c r="O157" s="407"/>
      <c r="P157" s="380"/>
      <c r="Q157" s="380"/>
      <c r="AK157" s="2"/>
      <c r="AL157" s="2"/>
    </row>
    <row r="158" spans="1:38">
      <c r="A158" s="30"/>
      <c r="F158" s="1"/>
      <c r="G158" s="1"/>
      <c r="H158" s="1"/>
      <c r="I158" s="1"/>
      <c r="O158" s="25"/>
      <c r="P158" s="380"/>
      <c r="Q158" s="380"/>
      <c r="AK158" s="2"/>
      <c r="AL158" s="2"/>
    </row>
    <row r="159" spans="1:38">
      <c r="A159" s="30"/>
      <c r="D159" s="852" t="s">
        <v>327</v>
      </c>
      <c r="E159" s="853"/>
      <c r="F159" s="847" t="s">
        <v>410</v>
      </c>
      <c r="G159" s="848"/>
      <c r="H159" s="847" t="s">
        <v>329</v>
      </c>
      <c r="I159" s="848"/>
      <c r="J159" s="852" t="s">
        <v>330</v>
      </c>
      <c r="K159" s="853"/>
      <c r="L159" s="847" t="s">
        <v>439</v>
      </c>
      <c r="M159" s="848"/>
      <c r="N159" s="847" t="s">
        <v>332</v>
      </c>
      <c r="O159" s="848"/>
      <c r="P159" s="380"/>
      <c r="Q159" s="380"/>
      <c r="AK159" s="2"/>
      <c r="AL159" s="2"/>
    </row>
    <row r="160" spans="1:38" ht="13.15" customHeight="1">
      <c r="A160" s="30"/>
      <c r="B160" s="26" t="s">
        <v>252</v>
      </c>
      <c r="D160" s="693" t="s">
        <v>253</v>
      </c>
      <c r="E160" s="683" t="s">
        <v>245</v>
      </c>
      <c r="F160" s="387" t="s">
        <v>253</v>
      </c>
      <c r="G160" s="72" t="s">
        <v>245</v>
      </c>
      <c r="H160" s="387" t="s">
        <v>253</v>
      </c>
      <c r="I160" s="72" t="s">
        <v>245</v>
      </c>
      <c r="J160" s="682" t="s">
        <v>253</v>
      </c>
      <c r="K160" s="683" t="s">
        <v>245</v>
      </c>
      <c r="L160" s="386" t="s">
        <v>253</v>
      </c>
      <c r="M160" s="72" t="s">
        <v>245</v>
      </c>
      <c r="N160" s="386" t="s">
        <v>253</v>
      </c>
      <c r="O160" s="362" t="s">
        <v>245</v>
      </c>
      <c r="AC160" s="262"/>
      <c r="AE160" s="384"/>
      <c r="AG160" s="262"/>
      <c r="AI160" s="262"/>
      <c r="AK160" s="2"/>
      <c r="AL160" s="2"/>
    </row>
    <row r="161" spans="1:38">
      <c r="A161" s="30" t="s">
        <v>254</v>
      </c>
      <c r="B161" s="680">
        <f>146712.83/616790</f>
        <v>0.2378651242724428</v>
      </c>
      <c r="C161" s="560"/>
      <c r="D161" s="685">
        <f>1104592/25556319</f>
        <v>4.3221874010885529E-2</v>
      </c>
      <c r="E161" s="686">
        <f>D161*$B161</f>
        <v>1.0280976432887152E-2</v>
      </c>
      <c r="F161" s="784">
        <f>(133508.838+171862.7)/(2912015+4956420)</f>
        <v>3.8809691889174915E-2</v>
      </c>
      <c r="G161" s="389">
        <f>F161*$B161</f>
        <v>9.231472184193807E-3</v>
      </c>
      <c r="H161" s="784">
        <f>16889.92/596190</f>
        <v>2.8329760646773675E-2</v>
      </c>
      <c r="I161" s="389">
        <f>H161*$B161</f>
        <v>6.73866203685338E-3</v>
      </c>
      <c r="J161" s="685">
        <f>$D$161</f>
        <v>4.3221874010885529E-2</v>
      </c>
      <c r="K161" s="686">
        <f>J161*$B161</f>
        <v>1.0280976432887152E-2</v>
      </c>
      <c r="L161" s="784">
        <f>+H161</f>
        <v>2.8329760646773675E-2</v>
      </c>
      <c r="M161" s="389">
        <f>L161*$B161</f>
        <v>6.73866203685338E-3</v>
      </c>
      <c r="N161" s="784">
        <f>3724.874/98480</f>
        <v>3.7823659626320061E-2</v>
      </c>
      <c r="O161" s="390">
        <f>N161*$B161</f>
        <v>8.9969294974531992E-3</v>
      </c>
      <c r="AC161" s="262"/>
      <c r="AE161" s="384"/>
      <c r="AG161" s="262"/>
      <c r="AI161" s="262"/>
      <c r="AK161" s="2"/>
      <c r="AL161" s="2"/>
    </row>
    <row r="162" spans="1:38" ht="16.5">
      <c r="A162" s="30" t="s">
        <v>255</v>
      </c>
      <c r="B162" s="790">
        <f>27848/4652402*1000</f>
        <v>5.9857252232287745</v>
      </c>
      <c r="C162" s="9"/>
      <c r="D162" s="685">
        <f>+(7520562/25556319)/1000</f>
        <v>2.942740697515945E-4</v>
      </c>
      <c r="E162" s="688">
        <f>D162*$B162</f>
        <v>1.761443721854303E-3</v>
      </c>
      <c r="F162" s="784">
        <f>((810677+1113244)/(2912015+4596420)/1000)</f>
        <v>2.5623462146239526E-4</v>
      </c>
      <c r="G162" s="392">
        <f>F162*$B162</f>
        <v>1.5337500367519363E-3</v>
      </c>
      <c r="H162" s="784">
        <f>(134835/596190)/1000</f>
        <v>2.261611231318875E-4</v>
      </c>
      <c r="I162" s="392">
        <f>H162*$B162</f>
        <v>1.3537383392442878E-3</v>
      </c>
      <c r="J162" s="685">
        <f>$D$162</f>
        <v>2.942740697515945E-4</v>
      </c>
      <c r="K162" s="688">
        <f>J162*$B162</f>
        <v>1.761443721854303E-3</v>
      </c>
      <c r="L162" s="784">
        <f>+H162</f>
        <v>2.261611231318875E-4</v>
      </c>
      <c r="M162" s="392">
        <f>L162*$B162</f>
        <v>1.3537383392442878E-3</v>
      </c>
      <c r="N162" s="784">
        <f>(63224/98480)/1000</f>
        <v>6.4199837530463032E-4</v>
      </c>
      <c r="O162" s="393">
        <f>N162*$B162</f>
        <v>3.8428258683328191E-3</v>
      </c>
      <c r="AK162" s="2"/>
      <c r="AL162" s="2"/>
    </row>
    <row r="163" spans="1:38">
      <c r="A163" s="30" t="s">
        <v>256</v>
      </c>
      <c r="B163" s="394"/>
      <c r="D163" s="690"/>
      <c r="E163" s="691">
        <f>SUM(E161:E162)</f>
        <v>1.2042420154741456E-2</v>
      </c>
      <c r="F163" s="395"/>
      <c r="G163" s="396">
        <f>SUM(G161:G162)</f>
        <v>1.0765222220945744E-2</v>
      </c>
      <c r="H163" s="395"/>
      <c r="I163" s="396">
        <f>SUM(I161:I162)</f>
        <v>8.0924003760976682E-3</v>
      </c>
      <c r="J163" s="690"/>
      <c r="K163" s="691">
        <f>SUM(K161:K162)</f>
        <v>1.2042420154741456E-2</v>
      </c>
      <c r="L163" s="395"/>
      <c r="M163" s="396">
        <f>SUM(M161:M162)</f>
        <v>8.0924003760976682E-3</v>
      </c>
      <c r="N163" s="395"/>
      <c r="O163" s="397">
        <f>SUM(O161:O162)</f>
        <v>1.2839755365786017E-2</v>
      </c>
      <c r="P163" s="5"/>
      <c r="Q163" s="5"/>
      <c r="R163" s="5"/>
      <c r="S163" s="5"/>
      <c r="V163" s="5"/>
      <c r="W163" s="5"/>
      <c r="X163" s="5"/>
      <c r="AK163" s="2"/>
      <c r="AL163" s="2"/>
    </row>
    <row r="164" spans="1:38" ht="12.75">
      <c r="A164" s="30"/>
      <c r="B164" s="1"/>
      <c r="D164" s="59"/>
      <c r="E164" s="41"/>
      <c r="F164" s="41"/>
      <c r="G164" s="41"/>
      <c r="H164" s="41"/>
      <c r="I164" s="41"/>
      <c r="J164" s="85"/>
      <c r="K164" s="85"/>
      <c r="L164" s="85"/>
      <c r="M164" s="85"/>
      <c r="N164" s="85"/>
      <c r="O164" s="87"/>
      <c r="P164" s="539"/>
      <c r="R164" s="846"/>
      <c r="S164" s="846"/>
      <c r="V164" s="1"/>
      <c r="W164" s="1"/>
      <c r="X164" s="1"/>
      <c r="AK164" s="2"/>
      <c r="AL164" s="2"/>
    </row>
    <row r="165" spans="1:38" ht="15" customHeight="1">
      <c r="A165" s="30"/>
      <c r="F165" s="1"/>
      <c r="G165" s="1"/>
      <c r="H165" s="1"/>
      <c r="I165" s="1"/>
      <c r="O165" s="25"/>
      <c r="P165" s="539"/>
      <c r="R165" s="846"/>
      <c r="S165" s="846"/>
      <c r="V165" s="1"/>
      <c r="W165" s="1"/>
      <c r="X165" s="1"/>
      <c r="AK165" s="2"/>
      <c r="AL165" s="2"/>
    </row>
    <row r="166" spans="1:38">
      <c r="A166" s="30"/>
      <c r="D166" s="847" t="s">
        <v>322</v>
      </c>
      <c r="E166" s="848"/>
      <c r="F166" s="847" t="s">
        <v>333</v>
      </c>
      <c r="G166" s="848"/>
      <c r="H166" s="847" t="s">
        <v>400</v>
      </c>
      <c r="I166" s="848"/>
      <c r="J166" s="852" t="s">
        <v>335</v>
      </c>
      <c r="K166" s="853"/>
      <c r="L166" s="852" t="s">
        <v>407</v>
      </c>
      <c r="M166" s="853"/>
      <c r="N166" s="852" t="s">
        <v>407</v>
      </c>
      <c r="O166" s="853"/>
      <c r="P166" s="539"/>
      <c r="R166" s="846"/>
      <c r="S166" s="846"/>
      <c r="V166" s="29"/>
      <c r="W166" s="1"/>
      <c r="X166" s="1"/>
      <c r="AA166" s="285"/>
      <c r="AK166" s="2"/>
      <c r="AL166" s="2"/>
    </row>
    <row r="167" spans="1:38" ht="30">
      <c r="A167" s="30"/>
      <c r="B167" s="26" t="s">
        <v>252</v>
      </c>
      <c r="D167" s="386" t="s">
        <v>253</v>
      </c>
      <c r="E167" s="72" t="s">
        <v>245</v>
      </c>
      <c r="F167" s="387" t="s">
        <v>253</v>
      </c>
      <c r="G167" s="72" t="s">
        <v>245</v>
      </c>
      <c r="H167" s="387" t="s">
        <v>253</v>
      </c>
      <c r="I167" s="72" t="s">
        <v>245</v>
      </c>
      <c r="J167" s="682" t="s">
        <v>253</v>
      </c>
      <c r="K167" s="683" t="s">
        <v>245</v>
      </c>
      <c r="L167" s="682" t="s">
        <v>253</v>
      </c>
      <c r="M167" s="683" t="s">
        <v>245</v>
      </c>
      <c r="N167" s="682" t="s">
        <v>253</v>
      </c>
      <c r="O167" s="684" t="s">
        <v>245</v>
      </c>
      <c r="P167" s="539"/>
      <c r="R167" s="846"/>
      <c r="S167" s="846"/>
      <c r="V167" s="1"/>
      <c r="W167" s="1"/>
      <c r="X167" s="1"/>
      <c r="AA167" s="785" t="s">
        <v>87</v>
      </c>
      <c r="AB167" s="785" t="s">
        <v>86</v>
      </c>
      <c r="AC167" s="593"/>
      <c r="AD167" s="593"/>
      <c r="AE167" s="593"/>
      <c r="AF167" s="786">
        <f>D161*1000</f>
        <v>43.221874010885529</v>
      </c>
      <c r="AK167" s="2"/>
      <c r="AL167" s="2"/>
    </row>
    <row r="168" spans="1:38">
      <c r="A168" s="30" t="s">
        <v>254</v>
      </c>
      <c r="B168" s="680">
        <f>B161</f>
        <v>0.2378651242724428</v>
      </c>
      <c r="D168" s="784">
        <f>4995.49/123240</f>
        <v>4.0534647841609865E-2</v>
      </c>
      <c r="E168" s="389">
        <f>D168*$B168</f>
        <v>9.6417790461842366E-3</v>
      </c>
      <c r="F168" s="784">
        <f>9570.571/387260</f>
        <v>2.4713554201311778E-2</v>
      </c>
      <c r="G168" s="389">
        <f>F168*$B168</f>
        <v>5.8784926413087768E-3</v>
      </c>
      <c r="H168" s="784">
        <f>194578.989/6033070</f>
        <v>3.225206884720383E-2</v>
      </c>
      <c r="I168" s="389">
        <f>H168*$B168</f>
        <v>7.6716423643835201E-3</v>
      </c>
      <c r="J168" s="685">
        <f>$D$161</f>
        <v>4.3221874010885529E-2</v>
      </c>
      <c r="K168" s="686">
        <f>J168*$B168</f>
        <v>1.0280976432887152E-2</v>
      </c>
      <c r="L168" s="685">
        <v>0</v>
      </c>
      <c r="M168" s="686">
        <f>L168*$B168</f>
        <v>0</v>
      </c>
      <c r="N168" s="685">
        <v>0</v>
      </c>
      <c r="O168" s="687">
        <f>N168*$B168</f>
        <v>0</v>
      </c>
      <c r="P168" s="539"/>
      <c r="R168" s="846"/>
      <c r="S168" s="846"/>
      <c r="V168" s="29"/>
      <c r="W168" s="1"/>
      <c r="X168" s="1"/>
      <c r="AA168" s="785" t="s">
        <v>89</v>
      </c>
      <c r="AB168" s="785" t="s">
        <v>88</v>
      </c>
      <c r="AC168" s="593"/>
      <c r="AD168" s="593"/>
      <c r="AE168" s="593"/>
      <c r="AF168" s="786">
        <f>D162*1000*1000</f>
        <v>294.27406975159448</v>
      </c>
      <c r="AK168" s="2"/>
      <c r="AL168" s="2"/>
    </row>
    <row r="169" spans="1:38" ht="16.5">
      <c r="A169" s="30" t="s">
        <v>255</v>
      </c>
      <c r="B169" s="790">
        <f>+B162</f>
        <v>5.9857252232287745</v>
      </c>
      <c r="D169" s="784">
        <f>+(36724/123240)/1000</f>
        <v>2.9798766634209673E-4</v>
      </c>
      <c r="E169" s="392">
        <f>D169*$B169</f>
        <v>1.7836722906349686E-3</v>
      </c>
      <c r="F169" s="784">
        <f>+(79341/387260)/1000</f>
        <v>2.0487785983576925E-4</v>
      </c>
      <c r="G169" s="392">
        <f>F169*$B169</f>
        <v>1.2263425733000934E-3</v>
      </c>
      <c r="H169" s="784">
        <f>(1539718/6033070)/1000</f>
        <v>2.5521301758474541E-4</v>
      </c>
      <c r="I169" s="392">
        <f>H169*$B169</f>
        <v>1.5276349966533394E-3</v>
      </c>
      <c r="J169" s="685">
        <f>$D$162</f>
        <v>2.942740697515945E-4</v>
      </c>
      <c r="K169" s="688">
        <f>J169*$B169</f>
        <v>1.761443721854303E-3</v>
      </c>
      <c r="L169" s="685">
        <v>0</v>
      </c>
      <c r="M169" s="688">
        <f>L169*$B169</f>
        <v>0</v>
      </c>
      <c r="N169" s="685">
        <v>0</v>
      </c>
      <c r="O169" s="689">
        <f>N169*$B169</f>
        <v>0</v>
      </c>
      <c r="P169" s="276"/>
      <c r="R169" s="276"/>
      <c r="V169" s="1"/>
      <c r="W169" s="1"/>
      <c r="X169" s="1"/>
      <c r="AA169" s="593"/>
      <c r="AB169" s="593"/>
      <c r="AC169" s="593"/>
      <c r="AD169" s="593"/>
      <c r="AE169" s="593"/>
      <c r="AF169" s="593"/>
      <c r="AK169" s="2"/>
      <c r="AL169" s="2"/>
    </row>
    <row r="170" spans="1:38">
      <c r="A170" s="30" t="s">
        <v>256</v>
      </c>
      <c r="B170" s="394"/>
      <c r="D170" s="395"/>
      <c r="E170" s="396">
        <f>SUM(E168:E169)</f>
        <v>1.1425451336819206E-2</v>
      </c>
      <c r="F170" s="395"/>
      <c r="G170" s="396">
        <f>SUM(G168:G169)</f>
        <v>7.1048352146088701E-3</v>
      </c>
      <c r="H170" s="395"/>
      <c r="I170" s="396">
        <f>SUM(I168:I169)</f>
        <v>9.1992773610368589E-3</v>
      </c>
      <c r="J170" s="690"/>
      <c r="K170" s="691">
        <f>SUM(K168:K169)</f>
        <v>1.2042420154741456E-2</v>
      </c>
      <c r="L170" s="690"/>
      <c r="M170" s="691">
        <f>SUM(M168:M169)</f>
        <v>0</v>
      </c>
      <c r="N170" s="690"/>
      <c r="O170" s="692">
        <f>SUM(O168:O169)</f>
        <v>0</v>
      </c>
      <c r="P170" s="539"/>
      <c r="R170" s="846"/>
      <c r="S170" s="846"/>
      <c r="V170" s="1"/>
      <c r="W170" s="1"/>
      <c r="X170" s="1"/>
      <c r="AA170" s="593"/>
      <c r="AB170" s="593"/>
      <c r="AC170" s="593"/>
      <c r="AD170" s="593"/>
      <c r="AE170" s="593"/>
      <c r="AF170" s="593"/>
      <c r="AK170" s="2"/>
      <c r="AL170" s="2"/>
    </row>
    <row r="171" spans="1:38" ht="12.75">
      <c r="A171" s="30"/>
      <c r="B171" s="1"/>
      <c r="D171" s="59"/>
      <c r="E171" s="41"/>
      <c r="F171" s="41"/>
      <c r="G171" s="41"/>
      <c r="H171" s="41"/>
      <c r="I171" s="41"/>
      <c r="J171" s="85"/>
      <c r="K171" s="85"/>
      <c r="L171" s="85"/>
      <c r="M171" s="85"/>
      <c r="N171" s="85"/>
      <c r="O171" s="87"/>
      <c r="P171" s="539"/>
      <c r="R171" s="846"/>
      <c r="S171" s="846"/>
      <c r="V171" s="1"/>
      <c r="W171" s="1"/>
      <c r="X171" s="1"/>
      <c r="AA171" s="593"/>
      <c r="AB171" s="593"/>
      <c r="AC171" s="593"/>
      <c r="AD171" s="593"/>
      <c r="AE171" s="593"/>
      <c r="AF171" s="593"/>
      <c r="AK171" s="2"/>
      <c r="AL171" s="2"/>
    </row>
    <row r="172" spans="1:38" ht="12.75">
      <c r="A172" s="59"/>
      <c r="B172" s="41"/>
      <c r="C172" s="41"/>
      <c r="D172" s="41"/>
      <c r="E172" s="41"/>
      <c r="F172" s="41"/>
      <c r="G172" s="41"/>
      <c r="H172" s="41"/>
      <c r="I172" s="41"/>
      <c r="J172" s="85"/>
      <c r="K172" s="85"/>
      <c r="L172" s="85"/>
      <c r="M172" s="85"/>
      <c r="N172" s="85"/>
      <c r="O172" s="87"/>
      <c r="P172" s="539"/>
      <c r="R172" s="846"/>
      <c r="S172" s="846"/>
      <c r="V172" s="1"/>
      <c r="W172" s="1"/>
      <c r="X172" s="1"/>
      <c r="AA172" s="593"/>
      <c r="AB172" s="593"/>
      <c r="AC172" s="593"/>
      <c r="AD172" s="593"/>
      <c r="AE172" s="593"/>
      <c r="AF172" s="593"/>
      <c r="AK172" s="2"/>
      <c r="AL172" s="2"/>
    </row>
    <row r="173" spans="1:38" ht="12.75">
      <c r="A173" s="1"/>
      <c r="B173" s="1"/>
      <c r="C173" s="1"/>
      <c r="D173" s="1"/>
      <c r="E173" s="1"/>
      <c r="F173" s="1"/>
      <c r="G173" s="1"/>
      <c r="H173" s="1"/>
      <c r="P173" s="539"/>
      <c r="R173" s="846"/>
      <c r="S173" s="846"/>
      <c r="V173" s="29"/>
      <c r="W173" s="1"/>
      <c r="X173" s="1"/>
      <c r="AA173" s="787"/>
      <c r="AB173" s="593"/>
      <c r="AC173" s="593"/>
      <c r="AD173" s="593"/>
      <c r="AE173" s="593"/>
      <c r="AF173" s="593"/>
      <c r="AK173" s="2"/>
      <c r="AL173" s="2"/>
    </row>
    <row r="174" spans="1:38" ht="12.75">
      <c r="A174" s="1"/>
      <c r="B174" s="1"/>
      <c r="C174" s="1"/>
      <c r="D174" s="1"/>
      <c r="E174" s="1"/>
      <c r="F174" s="1"/>
      <c r="G174" s="1"/>
      <c r="H174" s="1"/>
      <c r="P174" s="539"/>
      <c r="R174" s="846"/>
      <c r="S174" s="846"/>
      <c r="V174" s="1"/>
      <c r="W174" s="1"/>
      <c r="X174" s="1"/>
      <c r="AA174" s="785" t="s">
        <v>87</v>
      </c>
      <c r="AB174" s="785" t="s">
        <v>86</v>
      </c>
      <c r="AC174" s="593"/>
      <c r="AD174" s="593"/>
      <c r="AE174" s="593"/>
      <c r="AF174" s="786">
        <f>D168*1000</f>
        <v>40.534647841609868</v>
      </c>
      <c r="AK174" s="2"/>
      <c r="AL174" s="2"/>
    </row>
    <row r="175" spans="1:38" ht="12.75">
      <c r="A175" s="385" t="s">
        <v>259</v>
      </c>
      <c r="B175" s="406"/>
      <c r="C175" s="488" t="s">
        <v>359</v>
      </c>
      <c r="D175" s="488"/>
      <c r="E175" s="406"/>
      <c r="F175" s="406"/>
      <c r="G175" s="406"/>
      <c r="H175" s="407"/>
      <c r="P175" s="539"/>
      <c r="R175" s="846"/>
      <c r="S175" s="846"/>
      <c r="V175" s="29"/>
      <c r="W175" s="1"/>
      <c r="X175" s="1"/>
      <c r="AA175" s="785" t="s">
        <v>89</v>
      </c>
      <c r="AB175" s="785" t="s">
        <v>88</v>
      </c>
      <c r="AC175" s="593"/>
      <c r="AD175" s="593"/>
      <c r="AE175" s="593"/>
      <c r="AF175" s="786">
        <f>D169*1000*1000</f>
        <v>297.9876663420967</v>
      </c>
      <c r="AK175" s="2"/>
      <c r="AL175" s="2"/>
    </row>
    <row r="176" spans="1:38" ht="12.75">
      <c r="A176" s="30" t="s">
        <v>63</v>
      </c>
      <c r="B176" s="271"/>
      <c r="C176" s="489" t="s">
        <v>360</v>
      </c>
      <c r="D176" s="430" t="s">
        <v>361</v>
      </c>
      <c r="G176" s="490" t="s">
        <v>64</v>
      </c>
      <c r="H176" s="81" t="s">
        <v>261</v>
      </c>
      <c r="M176" s="560"/>
      <c r="P176" s="276"/>
      <c r="R176" s="276"/>
      <c r="V176" s="1"/>
      <c r="W176" s="1"/>
      <c r="X176" s="1"/>
      <c r="AK176" s="2"/>
      <c r="AL176" s="2"/>
    </row>
    <row r="177" spans="1:38" ht="16.5">
      <c r="A177" s="30" t="s">
        <v>395</v>
      </c>
      <c r="B177" s="679">
        <v>27000000</v>
      </c>
      <c r="C177" s="36">
        <f>G177/B177</f>
        <v>4.4444444444444444E-3</v>
      </c>
      <c r="D177" s="27">
        <f>G236</f>
        <v>9.5500000000000002E-2</v>
      </c>
      <c r="E177" s="1"/>
      <c r="F177" s="1"/>
      <c r="G177" s="401">
        <v>120000</v>
      </c>
      <c r="H177" s="402">
        <f>G177/$B$64/1000</f>
        <v>3.4682080924855491E-3</v>
      </c>
      <c r="P177" s="539"/>
      <c r="R177" s="846"/>
      <c r="S177" s="846"/>
      <c r="V177" s="1"/>
      <c r="W177" s="1"/>
      <c r="X177" s="1"/>
      <c r="AK177" s="2"/>
      <c r="AL177" s="2"/>
    </row>
    <row r="178" spans="1:38" ht="12.75">
      <c r="A178" s="33"/>
      <c r="B178" s="1"/>
      <c r="C178" s="1"/>
      <c r="D178" s="1"/>
      <c r="E178" s="1"/>
      <c r="F178" s="1"/>
      <c r="G178" s="1"/>
      <c r="H178" s="403"/>
      <c r="J178" s="789"/>
      <c r="K178" s="789"/>
      <c r="P178" s="1"/>
      <c r="R178" s="846"/>
      <c r="S178" s="846"/>
      <c r="V178" s="1"/>
      <c r="W178" s="1"/>
      <c r="X178" s="1"/>
      <c r="AK178" s="2"/>
      <c r="AL178" s="2"/>
    </row>
    <row r="179" spans="1:38">
      <c r="A179" s="30" t="s">
        <v>264</v>
      </c>
      <c r="C179" s="430" t="s">
        <v>358</v>
      </c>
      <c r="H179" s="313"/>
      <c r="P179" s="1"/>
      <c r="R179" s="846"/>
      <c r="S179" s="846"/>
      <c r="V179" s="29"/>
      <c r="W179" s="1"/>
      <c r="X179" s="1"/>
      <c r="AJ179" s="398" t="s">
        <v>443</v>
      </c>
      <c r="AK179" s="2"/>
      <c r="AL179" s="2"/>
    </row>
    <row r="180" spans="1:38" ht="16.5">
      <c r="A180" s="30" t="s">
        <v>265</v>
      </c>
      <c r="C180" s="52">
        <f>G180/12</f>
        <v>833.33333333333337</v>
      </c>
      <c r="G180" s="401">
        <v>10000</v>
      </c>
      <c r="H180" s="402">
        <f>G180/$B$64/1000</f>
        <v>2.8901734104046245E-4</v>
      </c>
      <c r="J180" s="788"/>
      <c r="K180" s="788"/>
      <c r="P180" s="1"/>
      <c r="R180" s="846"/>
      <c r="S180" s="846"/>
      <c r="V180" s="1"/>
      <c r="W180" s="1"/>
      <c r="X180" s="1"/>
      <c r="AC180" s="638">
        <f t="shared" ref="AC180:AC182" si="77">ROUND($AC$13*$AI180,0)</f>
        <v>7964</v>
      </c>
      <c r="AD180" s="624"/>
      <c r="AE180" s="624"/>
      <c r="AF180" s="639"/>
      <c r="AG180" s="617" t="s">
        <v>258</v>
      </c>
      <c r="AH180" s="640">
        <v>631040</v>
      </c>
      <c r="AI180" s="652">
        <f>+AJ180/$AJ$187</f>
        <v>5.3094365821604393E-2</v>
      </c>
      <c r="AJ180" s="2">
        <v>7122.1</v>
      </c>
      <c r="AK180" s="2"/>
      <c r="AL180" s="2"/>
    </row>
    <row r="181" spans="1:38">
      <c r="A181" s="33"/>
      <c r="B181" s="1"/>
      <c r="C181" s="1"/>
      <c r="D181" s="1"/>
      <c r="E181" s="1"/>
      <c r="F181" s="1"/>
      <c r="G181" s="1"/>
      <c r="H181" s="403"/>
      <c r="P181" s="1"/>
      <c r="R181" s="846"/>
      <c r="S181" s="846"/>
      <c r="V181" s="29"/>
      <c r="W181" s="1"/>
      <c r="X181" s="1"/>
      <c r="AC181" s="638">
        <f t="shared" si="77"/>
        <v>8650</v>
      </c>
      <c r="AD181" s="624"/>
      <c r="AE181" s="624"/>
      <c r="AF181" s="639"/>
      <c r="AG181" s="617" t="s">
        <v>260</v>
      </c>
      <c r="AH181" s="640">
        <v>631060</v>
      </c>
      <c r="AI181" s="652">
        <f t="shared" ref="AI181:AI186" si="78">+AJ181/$AJ$187</f>
        <v>5.7664502441881607E-2</v>
      </c>
      <c r="AJ181" s="2">
        <v>7735.14</v>
      </c>
      <c r="AK181" s="2"/>
      <c r="AL181" s="2"/>
    </row>
    <row r="182" spans="1:38">
      <c r="A182" s="30" t="s">
        <v>266</v>
      </c>
      <c r="C182" s="430" t="s">
        <v>358</v>
      </c>
      <c r="H182" s="313"/>
      <c r="P182" s="1"/>
      <c r="R182" s="846"/>
      <c r="S182" s="846"/>
      <c r="V182" s="29"/>
      <c r="W182" s="1"/>
      <c r="X182" s="1"/>
      <c r="AC182" s="638">
        <f t="shared" si="77"/>
        <v>3971</v>
      </c>
      <c r="AD182" s="624"/>
      <c r="AE182" s="624"/>
      <c r="AF182" s="639"/>
      <c r="AG182" s="617" t="s">
        <v>262</v>
      </c>
      <c r="AH182" s="640">
        <v>630020</v>
      </c>
      <c r="AI182" s="652">
        <f t="shared" si="78"/>
        <v>2.6471068636214845E-2</v>
      </c>
      <c r="AJ182" s="2">
        <v>3550.84</v>
      </c>
      <c r="AK182" s="2"/>
      <c r="AL182" s="2"/>
    </row>
    <row r="183" spans="1:38" ht="16.5">
      <c r="A183" s="30" t="s">
        <v>268</v>
      </c>
      <c r="C183" s="52">
        <f>G183/12</f>
        <v>12500</v>
      </c>
      <c r="G183" s="401">
        <v>150000</v>
      </c>
      <c r="H183" s="402">
        <f>G183/$B$64/1000</f>
        <v>4.335260115606936E-3</v>
      </c>
      <c r="J183" s="2" t="s">
        <v>7</v>
      </c>
      <c r="P183" s="5"/>
      <c r="AC183" s="638">
        <f>ROUND($AC$13*$AI183,0)</f>
        <v>6572</v>
      </c>
      <c r="AD183" s="624"/>
      <c r="AE183" s="624"/>
      <c r="AF183" s="639"/>
      <c r="AG183" s="617" t="s">
        <v>417</v>
      </c>
      <c r="AH183" s="640" t="s">
        <v>418</v>
      </c>
      <c r="AI183" s="652">
        <f t="shared" si="78"/>
        <v>4.3811033528226129E-2</v>
      </c>
      <c r="AJ183" s="2">
        <v>5876.83</v>
      </c>
      <c r="AK183" s="2"/>
      <c r="AL183" s="2"/>
    </row>
    <row r="184" spans="1:38">
      <c r="A184" s="59"/>
      <c r="B184" s="41"/>
      <c r="C184" s="405"/>
      <c r="D184" s="41"/>
      <c r="E184" s="41"/>
      <c r="F184" s="41"/>
      <c r="G184" s="41"/>
      <c r="H184" s="42"/>
      <c r="Z184" s="404"/>
      <c r="AC184" s="638">
        <f t="shared" ref="AC184:AC186" si="79">ROUND($AC$13*$AI184,0)</f>
        <v>72491</v>
      </c>
      <c r="AD184" s="624"/>
      <c r="AE184" s="624"/>
      <c r="AF184" s="639"/>
      <c r="AG184" s="617" t="s">
        <v>263</v>
      </c>
      <c r="AH184" s="640">
        <v>630080</v>
      </c>
      <c r="AI184" s="652">
        <f t="shared" si="78"/>
        <v>0.48327487593037771</v>
      </c>
      <c r="AJ184" s="2">
        <v>64826.69</v>
      </c>
      <c r="AK184" s="2"/>
      <c r="AL184" s="2"/>
    </row>
    <row r="185" spans="1:38">
      <c r="A185" s="1"/>
      <c r="B185" s="1"/>
      <c r="C185" s="1"/>
      <c r="D185" s="1"/>
      <c r="E185" s="1"/>
      <c r="F185" s="8"/>
      <c r="G185" s="8"/>
      <c r="H185" s="1"/>
      <c r="AC185" s="638">
        <f t="shared" si="79"/>
        <v>50353</v>
      </c>
      <c r="AD185" s="624"/>
      <c r="AE185" s="624"/>
      <c r="AF185" s="639"/>
      <c r="AG185" s="617" t="s">
        <v>412</v>
      </c>
      <c r="AH185" s="640" t="s">
        <v>414</v>
      </c>
      <c r="AI185" s="652">
        <f t="shared" si="78"/>
        <v>0.33568415364169529</v>
      </c>
      <c r="AJ185" s="2">
        <v>45028.81</v>
      </c>
      <c r="AK185" s="2"/>
      <c r="AL185" s="2"/>
    </row>
    <row r="186" spans="1:38" ht="16.5">
      <c r="A186" s="1"/>
      <c r="B186" s="1"/>
      <c r="C186" s="1"/>
      <c r="D186" s="1"/>
      <c r="E186" s="1"/>
      <c r="F186" s="8"/>
      <c r="G186" s="8"/>
      <c r="H186" s="1"/>
      <c r="AC186" s="643">
        <f t="shared" si="79"/>
        <v>0</v>
      </c>
      <c r="AD186" s="624"/>
      <c r="AE186" s="624"/>
      <c r="AF186" s="639"/>
      <c r="AG186" s="617" t="s">
        <v>413</v>
      </c>
      <c r="AH186" s="640" t="s">
        <v>415</v>
      </c>
      <c r="AI186" s="652">
        <f t="shared" si="78"/>
        <v>0</v>
      </c>
      <c r="AJ186" s="83">
        <v>0</v>
      </c>
      <c r="AK186" s="2"/>
      <c r="AL186" s="2"/>
    </row>
    <row r="187" spans="1:38" ht="12.75">
      <c r="A187" s="385" t="s">
        <v>269</v>
      </c>
      <c r="B187" s="406"/>
      <c r="C187" s="406"/>
      <c r="D187" s="406"/>
      <c r="E187" s="406"/>
      <c r="F187" s="406"/>
      <c r="G187" s="406"/>
      <c r="H187" s="406"/>
      <c r="I187" s="406"/>
      <c r="J187" s="407"/>
      <c r="K187" s="30"/>
      <c r="Z187" s="404"/>
      <c r="AC187" s="612">
        <f>SUM(AC180:AC186)</f>
        <v>150001</v>
      </c>
      <c r="AD187" s="624"/>
      <c r="AE187" s="624"/>
      <c r="AF187" s="639"/>
      <c r="AG187" s="624"/>
      <c r="AH187" s="624"/>
      <c r="AI187" s="1"/>
      <c r="AJ187" s="2">
        <f>SUM(AJ180:AJ186)</f>
        <v>134140.41</v>
      </c>
      <c r="AK187" s="2"/>
      <c r="AL187" s="2"/>
    </row>
    <row r="188" spans="1:38">
      <c r="A188" s="30" t="s">
        <v>271</v>
      </c>
      <c r="I188" s="356"/>
      <c r="J188" s="408"/>
      <c r="K188" s="409"/>
      <c r="L188" s="356"/>
      <c r="M188" s="356"/>
      <c r="N188" s="356"/>
      <c r="AC188" s="1"/>
      <c r="AD188" s="1"/>
      <c r="AE188" s="1"/>
      <c r="AF188" s="394"/>
      <c r="AG188" s="1"/>
      <c r="AH188" s="1"/>
      <c r="AI188" s="1"/>
      <c r="AK188" s="2"/>
      <c r="AL188" s="2"/>
    </row>
    <row r="189" spans="1:38" ht="16.5">
      <c r="A189" s="30"/>
      <c r="I189" s="356"/>
      <c r="J189" s="408"/>
      <c r="K189" s="409"/>
      <c r="L189" s="356"/>
      <c r="M189" s="356"/>
      <c r="N189" s="356"/>
      <c r="AC189" s="1"/>
      <c r="AD189" s="1"/>
      <c r="AE189" s="1"/>
      <c r="AF189" s="394"/>
      <c r="AG189" s="1"/>
      <c r="AH189" s="1"/>
      <c r="AI189" s="1"/>
      <c r="AJ189" s="398" t="s">
        <v>443</v>
      </c>
      <c r="AK189" s="2"/>
      <c r="AL189" s="2"/>
    </row>
    <row r="190" spans="1:38">
      <c r="A190" s="30" t="s">
        <v>274</v>
      </c>
      <c r="B190" s="26" t="s">
        <v>275</v>
      </c>
      <c r="C190" s="26" t="s">
        <v>43</v>
      </c>
      <c r="D190" s="356"/>
      <c r="E190" s="847" t="s">
        <v>276</v>
      </c>
      <c r="F190" s="848"/>
      <c r="G190" s="356"/>
      <c r="I190" s="26"/>
      <c r="J190" s="541"/>
      <c r="K190" s="540"/>
      <c r="L190" s="26"/>
      <c r="M190" s="26"/>
      <c r="N190" s="26"/>
      <c r="AC190" s="782">
        <f>$AC$21*$AI190</f>
        <v>478943.47493120254</v>
      </c>
      <c r="AD190" s="624"/>
      <c r="AE190" s="624"/>
      <c r="AF190" s="639"/>
      <c r="AG190" s="617" t="s">
        <v>267</v>
      </c>
      <c r="AH190" s="640" t="s">
        <v>164</v>
      </c>
      <c r="AI190" s="781">
        <f>+AJ190/AJ192</f>
        <v>0.85081978776949219</v>
      </c>
      <c r="AJ190" s="2">
        <v>296233.55</v>
      </c>
      <c r="AK190" s="2"/>
      <c r="AL190" s="2"/>
    </row>
    <row r="191" spans="1:38" ht="16.5">
      <c r="A191" s="112" t="s">
        <v>277</v>
      </c>
      <c r="B191" s="417">
        <v>10</v>
      </c>
      <c r="C191" s="417">
        <v>2</v>
      </c>
      <c r="E191" s="30" t="s">
        <v>278</v>
      </c>
      <c r="F191" s="417">
        <v>50</v>
      </c>
      <c r="J191" s="25"/>
      <c r="K191" s="30"/>
      <c r="AC191" s="783">
        <f>$AC$21*$AI191</f>
        <v>83976.525068797448</v>
      </c>
      <c r="AD191" s="624"/>
      <c r="AE191" s="624"/>
      <c r="AF191" s="639"/>
      <c r="AG191" s="617" t="s">
        <v>300</v>
      </c>
      <c r="AH191" s="640" t="s">
        <v>165</v>
      </c>
      <c r="AI191" s="781">
        <f>+AJ191/AJ192</f>
        <v>0.14918021223050779</v>
      </c>
      <c r="AJ191" s="83">
        <v>51940.71</v>
      </c>
      <c r="AK191" s="2"/>
      <c r="AL191" s="2"/>
    </row>
    <row r="192" spans="1:38">
      <c r="A192" s="112" t="s">
        <v>279</v>
      </c>
      <c r="B192" s="765">
        <f>ROUND((28.57*1.02)*(1+$F$158),2)</f>
        <v>29.14</v>
      </c>
      <c r="C192" s="765">
        <f>ROUND((33.14*1.02)*(1+$F$158),2)</f>
        <v>33.799999999999997</v>
      </c>
      <c r="E192" s="30" t="s">
        <v>280</v>
      </c>
      <c r="F192" s="417">
        <v>40</v>
      </c>
      <c r="J192" s="25"/>
      <c r="K192" s="30"/>
      <c r="AC192" s="707">
        <f>SUM(AC190:AC191)</f>
        <v>562920</v>
      </c>
      <c r="AD192" s="624"/>
      <c r="AE192" s="624"/>
      <c r="AF192" s="639"/>
      <c r="AG192" s="617"/>
      <c r="AH192" s="640"/>
      <c r="AJ192" s="2">
        <f>SUM(AJ190:AJ191)</f>
        <v>348174.26</v>
      </c>
      <c r="AK192" s="2"/>
      <c r="AL192" s="2"/>
    </row>
    <row r="193" spans="1:38">
      <c r="A193" s="112" t="s">
        <v>282</v>
      </c>
      <c r="B193" s="419">
        <v>0.1</v>
      </c>
      <c r="C193" s="420">
        <v>0.1</v>
      </c>
      <c r="E193" s="30" t="s">
        <v>283</v>
      </c>
      <c r="F193" s="421">
        <v>1.5</v>
      </c>
      <c r="J193" s="25"/>
      <c r="K193" s="30"/>
      <c r="AE193" s="6"/>
      <c r="AK193" s="2"/>
      <c r="AL193" s="2"/>
    </row>
    <row r="194" spans="1:38">
      <c r="A194" s="112" t="s">
        <v>285</v>
      </c>
      <c r="B194" s="419">
        <v>0</v>
      </c>
      <c r="E194" s="422" t="s">
        <v>286</v>
      </c>
      <c r="F194" s="763">
        <v>0.3</v>
      </c>
      <c r="H194" s="205"/>
      <c r="J194" s="25"/>
      <c r="K194" s="30"/>
      <c r="AE194" s="6"/>
      <c r="AK194" s="2"/>
      <c r="AL194" s="2"/>
    </row>
    <row r="195" spans="1:38">
      <c r="A195" s="112" t="s">
        <v>387</v>
      </c>
      <c r="B195" s="419">
        <v>0.3</v>
      </c>
      <c r="E195" s="1"/>
      <c r="F195" s="1"/>
      <c r="H195" s="205"/>
      <c r="J195" s="25"/>
      <c r="K195" s="30"/>
      <c r="AD195" s="410"/>
      <c r="AE195" s="410"/>
      <c r="AJ195" s="398" t="s">
        <v>443</v>
      </c>
      <c r="AK195" s="2"/>
      <c r="AL195" s="2"/>
    </row>
    <row r="196" spans="1:38" ht="12.75">
      <c r="A196" s="112"/>
      <c r="E196" s="1"/>
      <c r="F196" s="1"/>
      <c r="H196" s="205"/>
      <c r="J196" s="25"/>
      <c r="K196" s="30"/>
      <c r="AC196" s="638">
        <f>$AC$16*$AI196</f>
        <v>612415.42486423766</v>
      </c>
      <c r="AD196" s="641"/>
      <c r="AE196" s="641"/>
      <c r="AF196" s="642"/>
      <c r="AG196" s="617" t="s">
        <v>272</v>
      </c>
      <c r="AH196" s="640" t="s">
        <v>167</v>
      </c>
      <c r="AI196" s="650">
        <f>+AJ196/AJ198</f>
        <v>0.91375283468747226</v>
      </c>
      <c r="AJ196" s="2">
        <v>297139.40999999997</v>
      </c>
      <c r="AK196" s="2"/>
      <c r="AL196" s="2"/>
    </row>
    <row r="197" spans="1:38">
      <c r="A197" s="30"/>
      <c r="E197" s="1"/>
      <c r="F197" s="1"/>
      <c r="G197" s="1"/>
      <c r="H197" s="205"/>
      <c r="J197" s="25"/>
      <c r="K197" s="30"/>
      <c r="AC197" s="643">
        <f>$AC$16*$AI197</f>
        <v>57804.57513576241</v>
      </c>
      <c r="AD197" s="644"/>
      <c r="AE197" s="644"/>
      <c r="AF197" s="642"/>
      <c r="AG197" s="617" t="s">
        <v>273</v>
      </c>
      <c r="AH197" s="640" t="s">
        <v>168</v>
      </c>
      <c r="AI197" s="650">
        <f>+AJ197/AJ198</f>
        <v>8.6247165312527838E-2</v>
      </c>
      <c r="AJ197" s="83">
        <v>28046.35</v>
      </c>
      <c r="AK197" s="2"/>
      <c r="AL197" s="2"/>
    </row>
    <row r="198" spans="1:38">
      <c r="A198" s="30" t="s">
        <v>388</v>
      </c>
      <c r="B198" s="533" t="s">
        <v>375</v>
      </c>
      <c r="C198" s="533" t="s">
        <v>376</v>
      </c>
      <c r="D198" s="266"/>
      <c r="E198" s="1"/>
      <c r="J198" s="25"/>
      <c r="K198" s="30"/>
      <c r="AC198" s="618">
        <f>SUM(AC196:AC197)</f>
        <v>670220.00000000012</v>
      </c>
      <c r="AD198" s="624"/>
      <c r="AE198" s="624"/>
      <c r="AF198" s="642" t="s">
        <v>95</v>
      </c>
      <c r="AG198" s="645" t="s">
        <v>94</v>
      </c>
      <c r="AH198" s="646" t="s">
        <v>229</v>
      </c>
      <c r="AJ198" s="2">
        <f>SUM(AJ196:AJ197)</f>
        <v>325185.75999999995</v>
      </c>
      <c r="AK198" s="2"/>
      <c r="AL198" s="2"/>
    </row>
    <row r="199" spans="1:38" ht="12.75">
      <c r="A199" s="112" t="s">
        <v>377</v>
      </c>
      <c r="B199" s="196" t="s">
        <v>378</v>
      </c>
      <c r="C199" s="2">
        <f>ROUND(B195*B64,-2)</f>
        <v>10400</v>
      </c>
      <c r="J199" s="25"/>
      <c r="K199" s="30"/>
      <c r="AC199" s="624"/>
      <c r="AD199" s="641"/>
      <c r="AE199" s="641"/>
      <c r="AF199" s="639"/>
      <c r="AG199" s="624"/>
      <c r="AH199" s="624"/>
      <c r="AK199" s="2"/>
      <c r="AL199" s="2"/>
    </row>
    <row r="200" spans="1:38" ht="12.75">
      <c r="A200" s="112" t="s">
        <v>383</v>
      </c>
      <c r="B200" s="196" t="s">
        <v>378</v>
      </c>
      <c r="C200" s="2">
        <v>2600</v>
      </c>
      <c r="J200" s="25"/>
      <c r="K200" s="30"/>
      <c r="AC200" s="638">
        <f>$AC$17*$AI200</f>
        <v>146124.09797821246</v>
      </c>
      <c r="AD200" s="641"/>
      <c r="AE200" s="641"/>
      <c r="AF200" s="642"/>
      <c r="AG200" s="617" t="s">
        <v>281</v>
      </c>
      <c r="AH200" s="640" t="s">
        <v>169</v>
      </c>
      <c r="AI200" s="650">
        <f>+AJ200/AJ202</f>
        <v>0.93982568805127653</v>
      </c>
      <c r="AJ200" s="2">
        <v>105254.34</v>
      </c>
      <c r="AK200" s="2"/>
      <c r="AL200" s="2"/>
    </row>
    <row r="201" spans="1:38">
      <c r="A201" s="112" t="s">
        <v>287</v>
      </c>
      <c r="B201" s="538">
        <f>ROUND(B191*B194,0)</f>
        <v>0</v>
      </c>
      <c r="C201" s="31">
        <f>(C199/(C200*4)*1000)/($F$191*$F$192)</f>
        <v>0.5</v>
      </c>
      <c r="D201" s="537"/>
      <c r="E201" s="1"/>
      <c r="J201" s="25"/>
      <c r="K201" s="30"/>
      <c r="AC201" s="643">
        <f>$AC$17*$AI201</f>
        <v>9355.9020217875204</v>
      </c>
      <c r="AD201" s="644"/>
      <c r="AE201" s="644"/>
      <c r="AF201" s="642"/>
      <c r="AG201" s="617" t="s">
        <v>284</v>
      </c>
      <c r="AH201" s="640" t="s">
        <v>170</v>
      </c>
      <c r="AI201" s="650">
        <f>+AJ201/AJ202</f>
        <v>6.0174311948723441E-2</v>
      </c>
      <c r="AJ201" s="83">
        <v>6739.13</v>
      </c>
      <c r="AK201" s="2"/>
      <c r="AL201" s="2"/>
    </row>
    <row r="202" spans="1:38" ht="12.75">
      <c r="A202" s="112" t="s">
        <v>289</v>
      </c>
      <c r="B202" s="425">
        <f>(B201*$F$191*$F$192)</f>
        <v>0</v>
      </c>
      <c r="C202" s="425">
        <f>(C201*$F$191*$F$192)</f>
        <v>1000</v>
      </c>
      <c r="J202" s="25"/>
      <c r="K202" s="30"/>
      <c r="AC202" s="618">
        <f>SUM(AC200:AC201)</f>
        <v>155479.99999999997</v>
      </c>
      <c r="AD202" s="644"/>
      <c r="AE202" s="644"/>
      <c r="AF202" s="642" t="s">
        <v>95</v>
      </c>
      <c r="AG202" s="645" t="s">
        <v>96</v>
      </c>
      <c r="AH202" s="646" t="s">
        <v>229</v>
      </c>
      <c r="AJ202" s="2">
        <f>SUM(AJ200:AJ201)</f>
        <v>111993.47</v>
      </c>
      <c r="AK202" s="2"/>
      <c r="AL202" s="2"/>
    </row>
    <row r="203" spans="1:38" ht="12.75">
      <c r="A203" s="112" t="s">
        <v>381</v>
      </c>
      <c r="B203" s="426">
        <f>(B201*$F$191*$F$192*$C$208)+((B201*$F$191*$F$192*$B$193)*$C$209)</f>
        <v>0</v>
      </c>
      <c r="C203" s="426">
        <f>$C$202*$C$212</f>
        <v>30464.545454545456</v>
      </c>
      <c r="D203" s="427"/>
      <c r="E203" s="428"/>
      <c r="J203" s="25"/>
      <c r="K203" s="30"/>
      <c r="AC203" s="634"/>
      <c r="AD203" s="414"/>
      <c r="AE203" s="414"/>
      <c r="AF203" s="635"/>
      <c r="AG203" s="636"/>
      <c r="AH203" s="637"/>
      <c r="AK203" s="2"/>
      <c r="AL203" s="2"/>
    </row>
    <row r="204" spans="1:38" ht="12.75">
      <c r="A204" s="112" t="s">
        <v>382</v>
      </c>
      <c r="B204" s="426">
        <f>B203*F194</f>
        <v>0</v>
      </c>
      <c r="C204" s="426">
        <f>$C$202*$I$212</f>
        <v>11143.40909090909</v>
      </c>
      <c r="D204" s="427"/>
      <c r="E204" s="1"/>
      <c r="J204" s="25"/>
      <c r="K204" s="30"/>
      <c r="AC204" s="634"/>
      <c r="AD204" s="414"/>
      <c r="AE204" s="414"/>
      <c r="AF204" s="635"/>
      <c r="AG204" s="636"/>
      <c r="AH204" s="637"/>
      <c r="AK204" s="2"/>
      <c r="AL204" s="2"/>
    </row>
    <row r="205" spans="1:38">
      <c r="A205" s="30"/>
      <c r="B205" s="429"/>
      <c r="C205" s="70"/>
      <c r="D205" s="70"/>
      <c r="E205" s="1"/>
      <c r="J205" s="25"/>
      <c r="K205" s="30"/>
      <c r="AC205" s="634"/>
      <c r="AD205" s="213"/>
      <c r="AE205" s="213"/>
      <c r="AF205" s="635"/>
      <c r="AG205" s="636"/>
      <c r="AH205" s="637"/>
      <c r="AK205" s="2"/>
      <c r="AL205" s="2"/>
    </row>
    <row r="206" spans="1:38" ht="16.5">
      <c r="A206" s="30"/>
      <c r="B206" s="849" t="s">
        <v>14</v>
      </c>
      <c r="C206" s="849"/>
      <c r="D206" s="849"/>
      <c r="E206" s="850" t="s">
        <v>294</v>
      </c>
      <c r="F206" s="849"/>
      <c r="G206" s="851"/>
      <c r="H206" s="849" t="str">
        <f>CONCATENATE("Indirect Payroll Cost (IPC) at ",F194*100,"%")</f>
        <v>Indirect Payroll Cost (IPC) at 30%</v>
      </c>
      <c r="I206" s="849"/>
      <c r="J206" s="851"/>
      <c r="K206" s="30"/>
      <c r="AC206"/>
      <c r="AD206" s="410"/>
      <c r="AE206" s="410"/>
      <c r="AF206" s="424"/>
      <c r="AG206" s="213"/>
      <c r="AH206" s="215"/>
      <c r="AK206" s="2"/>
      <c r="AL206" s="2"/>
    </row>
    <row r="207" spans="1:38">
      <c r="A207" s="431" t="s">
        <v>296</v>
      </c>
      <c r="B207" s="432" t="s">
        <v>289</v>
      </c>
      <c r="C207" s="432" t="s">
        <v>297</v>
      </c>
      <c r="D207" s="433" t="s">
        <v>48</v>
      </c>
      <c r="E207" s="434" t="s">
        <v>289</v>
      </c>
      <c r="F207" s="432" t="s">
        <v>297</v>
      </c>
      <c r="G207" s="435" t="s">
        <v>48</v>
      </c>
      <c r="H207" s="432" t="s">
        <v>289</v>
      </c>
      <c r="I207" s="432" t="s">
        <v>297</v>
      </c>
      <c r="J207" s="435" t="s">
        <v>48</v>
      </c>
      <c r="K207" s="30"/>
      <c r="AC207" s="647"/>
      <c r="AD207" s="410"/>
      <c r="AE207" s="410"/>
      <c r="AF207" s="111"/>
      <c r="AG207" s="9"/>
      <c r="AH207" s="648"/>
      <c r="AI207" s="650"/>
      <c r="AK207" s="2"/>
      <c r="AL207" s="2"/>
    </row>
    <row r="208" spans="1:38">
      <c r="A208" s="436" t="s">
        <v>49</v>
      </c>
      <c r="B208" s="65">
        <f>$F$191*$F$192*B$191</f>
        <v>20000</v>
      </c>
      <c r="C208" s="53">
        <f>B192</f>
        <v>29.14</v>
      </c>
      <c r="D208" s="437">
        <f>B208*C208</f>
        <v>582800</v>
      </c>
      <c r="E208" s="454">
        <f>$F$191*$F$192*C$191</f>
        <v>4000</v>
      </c>
      <c r="F208" s="53">
        <f>C$192</f>
        <v>33.799999999999997</v>
      </c>
      <c r="G208" s="438">
        <f>E208*F208</f>
        <v>135200</v>
      </c>
      <c r="J208" s="25"/>
      <c r="K208" s="30"/>
      <c r="AC208" s="647"/>
      <c r="AD208" s="410"/>
      <c r="AE208" s="410"/>
      <c r="AF208" s="111"/>
      <c r="AG208" s="9"/>
      <c r="AH208" s="648"/>
      <c r="AI208" s="650"/>
      <c r="AJ208" s="398" t="s">
        <v>443</v>
      </c>
      <c r="AK208" s="2"/>
      <c r="AL208" s="2"/>
    </row>
    <row r="209" spans="1:38">
      <c r="A209" s="436" t="s">
        <v>50</v>
      </c>
      <c r="B209" s="356">
        <f>$F$191*$F$192*B$193*B$191</f>
        <v>2000</v>
      </c>
      <c r="C209" s="439">
        <f>B$192*$F$193</f>
        <v>43.71</v>
      </c>
      <c r="D209" s="440">
        <f>B209*C209</f>
        <v>87420</v>
      </c>
      <c r="E209" s="409">
        <f>$F$191*$F$192*C$193*C$191</f>
        <v>400</v>
      </c>
      <c r="F209" s="441">
        <f>C$192*$F$193</f>
        <v>50.699999999999996</v>
      </c>
      <c r="G209" s="442">
        <f>E209*F209</f>
        <v>20280</v>
      </c>
      <c r="I209" s="29"/>
      <c r="J209" s="25"/>
      <c r="K209" s="30"/>
      <c r="AC209" s="638">
        <f t="shared" ref="AC209:AC214" si="80">$AC$18*$AI209</f>
        <v>75717.857947718294</v>
      </c>
      <c r="AD209" s="641"/>
      <c r="AE209" s="641"/>
      <c r="AF209" s="614"/>
      <c r="AG209" s="617" t="s">
        <v>288</v>
      </c>
      <c r="AH209" s="640" t="s">
        <v>171</v>
      </c>
      <c r="AI209" s="650">
        <f>+AJ209/AJ215</f>
        <v>0.25738090170068695</v>
      </c>
      <c r="AJ209" s="2">
        <v>42213.41</v>
      </c>
      <c r="AK209" s="2"/>
      <c r="AL209" s="2"/>
    </row>
    <row r="210" spans="1:38" ht="12.75">
      <c r="A210" s="443" t="s">
        <v>138</v>
      </c>
      <c r="B210" s="65">
        <f>SUM(B208:B209)</f>
        <v>22000</v>
      </c>
      <c r="C210" s="53">
        <f>D210/B210</f>
        <v>30.464545454545455</v>
      </c>
      <c r="D210" s="444">
        <f>SUM(D208:D209)</f>
        <v>670220</v>
      </c>
      <c r="E210" s="454">
        <f>SUM(E208:E209)</f>
        <v>4400</v>
      </c>
      <c r="F210" s="53">
        <f>IF(E210&lt;&gt;0,G210/E210,0)</f>
        <v>35.336363636363636</v>
      </c>
      <c r="G210" s="445">
        <f>SUM(G208:G209)</f>
        <v>155480</v>
      </c>
      <c r="H210" s="65">
        <f>B210+E210</f>
        <v>26400</v>
      </c>
      <c r="I210" s="53">
        <f>J210/H210</f>
        <v>11.14340909090909</v>
      </c>
      <c r="J210" s="446">
        <f>+(D210+G210+C240)*F194</f>
        <v>294186</v>
      </c>
      <c r="K210" s="30"/>
      <c r="AC210" s="638">
        <f t="shared" si="80"/>
        <v>37203.684299297405</v>
      </c>
      <c r="AD210" s="641"/>
      <c r="AE210" s="641"/>
      <c r="AF210" s="614"/>
      <c r="AG210" s="617" t="s">
        <v>290</v>
      </c>
      <c r="AH210" s="640" t="s">
        <v>172</v>
      </c>
      <c r="AI210" s="650">
        <f>+AJ210/AJ215</f>
        <v>0.1264631365846689</v>
      </c>
      <c r="AJ210" s="2">
        <v>20741.400000000001</v>
      </c>
      <c r="AK210" s="2"/>
      <c r="AL210" s="2"/>
    </row>
    <row r="211" spans="1:38">
      <c r="A211" s="443" t="s">
        <v>298</v>
      </c>
      <c r="B211" s="356">
        <f>-B202</f>
        <v>0</v>
      </c>
      <c r="C211" s="447">
        <f>IF(B211&lt;&gt;0,D211/B211,0)</f>
        <v>0</v>
      </c>
      <c r="D211" s="440">
        <f>-B203</f>
        <v>0</v>
      </c>
      <c r="E211" s="483">
        <v>0</v>
      </c>
      <c r="F211" s="447">
        <f>IF(E211&lt;&gt;0,(G211/E211),0)</f>
        <v>0</v>
      </c>
      <c r="G211" s="448">
        <v>0</v>
      </c>
      <c r="H211" s="356">
        <f>-B202</f>
        <v>0</v>
      </c>
      <c r="I211" s="447">
        <f>IF(H211&lt;&gt;0,J211/H211,0)</f>
        <v>0</v>
      </c>
      <c r="J211" s="449">
        <f>-B204</f>
        <v>0</v>
      </c>
      <c r="K211" s="30"/>
      <c r="R211" s="430"/>
      <c r="S211" s="430"/>
      <c r="T211" s="430"/>
      <c r="U211" s="430"/>
      <c r="V211" s="430"/>
      <c r="W211" s="430"/>
      <c r="X211" s="430"/>
      <c r="Y211" s="430"/>
      <c r="AC211" s="638">
        <f t="shared" si="80"/>
        <v>35230.425737459729</v>
      </c>
      <c r="AD211" s="641"/>
      <c r="AE211" s="641"/>
      <c r="AF211" s="614"/>
      <c r="AG211" s="617" t="s">
        <v>291</v>
      </c>
      <c r="AH211" s="640" t="s">
        <v>173</v>
      </c>
      <c r="AI211" s="650">
        <f>+AJ211/AJ215</f>
        <v>0.11975561630213445</v>
      </c>
      <c r="AJ211" s="2">
        <v>19641.29</v>
      </c>
      <c r="AK211" s="2"/>
      <c r="AL211" s="2"/>
    </row>
    <row r="212" spans="1:38" ht="12.75">
      <c r="A212" s="443" t="s">
        <v>386</v>
      </c>
      <c r="B212" s="342">
        <f>SUM(B210:B211)</f>
        <v>22000</v>
      </c>
      <c r="C212" s="179">
        <f>D212/B212</f>
        <v>30.464545454545455</v>
      </c>
      <c r="D212" s="534">
        <f>SUM(D210:D211)</f>
        <v>670220</v>
      </c>
      <c r="E212" s="535">
        <f>SUM(E210:E211)</f>
        <v>4400</v>
      </c>
      <c r="F212" s="179">
        <f>IF(E212&lt;&gt;0,G212/E212,0)</f>
        <v>35.336363636363636</v>
      </c>
      <c r="G212" s="536">
        <f>SUM(G210:G211)</f>
        <v>155480</v>
      </c>
      <c r="H212" s="342">
        <f>SUM(H210:H211)</f>
        <v>26400</v>
      </c>
      <c r="I212" s="179">
        <f>J212/H212</f>
        <v>11.14340909090909</v>
      </c>
      <c r="J212" s="536">
        <f>SUM(J210:J211)</f>
        <v>294186</v>
      </c>
      <c r="K212" s="30"/>
      <c r="AC212" s="638">
        <f t="shared" si="80"/>
        <v>49516.018814725168</v>
      </c>
      <c r="AD212" s="641"/>
      <c r="AE212" s="641"/>
      <c r="AF212" s="614"/>
      <c r="AG212" s="617" t="s">
        <v>292</v>
      </c>
      <c r="AH212" s="640" t="s">
        <v>174</v>
      </c>
      <c r="AI212" s="650">
        <f>+AJ212/AJ215</f>
        <v>0.16831534748331045</v>
      </c>
      <c r="AJ212" s="2">
        <v>27605.641</v>
      </c>
      <c r="AK212" s="2"/>
      <c r="AL212" s="2"/>
    </row>
    <row r="213" spans="1:38">
      <c r="A213" s="443" t="s">
        <v>380</v>
      </c>
      <c r="B213" s="342">
        <f>C202</f>
        <v>1000</v>
      </c>
      <c r="C213" s="450"/>
      <c r="D213" s="180">
        <f>B213*C212</f>
        <v>30464.545454545456</v>
      </c>
      <c r="E213" s="535">
        <v>0</v>
      </c>
      <c r="F213" s="450"/>
      <c r="G213" s="181">
        <f>E213*F212</f>
        <v>0</v>
      </c>
      <c r="H213" s="342">
        <f>B213+E213</f>
        <v>1000</v>
      </c>
      <c r="I213" s="450"/>
      <c r="J213" s="536">
        <f>H213*I212</f>
        <v>11143.40909090909</v>
      </c>
      <c r="K213" s="30"/>
      <c r="Q213" s="430"/>
      <c r="R213" s="29"/>
      <c r="S213" s="29"/>
      <c r="T213" s="29"/>
      <c r="U213" s="29"/>
      <c r="V213" s="29"/>
      <c r="W213" s="29"/>
      <c r="X213" s="29"/>
      <c r="Y213" s="29"/>
      <c r="AC213" s="638">
        <f t="shared" si="80"/>
        <v>82474.408911778824</v>
      </c>
      <c r="AD213" s="641"/>
      <c r="AE213" s="641"/>
      <c r="AF213" s="614"/>
      <c r="AG213" s="617" t="s">
        <v>293</v>
      </c>
      <c r="AH213" s="640" t="s">
        <v>175</v>
      </c>
      <c r="AI213" s="650">
        <f>+AJ213/AJ215</f>
        <v>0.28034783746262171</v>
      </c>
      <c r="AJ213" s="2">
        <v>45980.25</v>
      </c>
      <c r="AK213" s="2"/>
      <c r="AL213" s="2"/>
    </row>
    <row r="214" spans="1:38">
      <c r="A214" s="443" t="s">
        <v>379</v>
      </c>
      <c r="B214" s="342">
        <f>B212-B213</f>
        <v>21000</v>
      </c>
      <c r="C214" s="450"/>
      <c r="D214" s="180">
        <f>B214*C212</f>
        <v>639755.45454545459</v>
      </c>
      <c r="E214" s="535">
        <f>E212-E213</f>
        <v>4400</v>
      </c>
      <c r="F214" s="450"/>
      <c r="G214" s="536">
        <f>E214*F212</f>
        <v>155480</v>
      </c>
      <c r="H214" s="342">
        <f>H212-H213</f>
        <v>25400</v>
      </c>
      <c r="I214" s="450"/>
      <c r="J214" s="536">
        <f>H214*I212</f>
        <v>283042.59090909088</v>
      </c>
      <c r="K214" s="30"/>
      <c r="R214" s="29"/>
      <c r="S214" s="29"/>
      <c r="T214" s="29"/>
      <c r="U214" s="29"/>
      <c r="V214" s="29"/>
      <c r="W214" s="29"/>
      <c r="X214" s="29"/>
      <c r="Y214" s="29"/>
      <c r="AC214" s="643">
        <f t="shared" si="80"/>
        <v>14043.604289020561</v>
      </c>
      <c r="AD214" s="644"/>
      <c r="AE214" s="644"/>
      <c r="AF214" s="614"/>
      <c r="AG214" s="617" t="s">
        <v>295</v>
      </c>
      <c r="AH214" s="640" t="s">
        <v>176</v>
      </c>
      <c r="AI214" s="650">
        <f>+AJ214/AJ215</f>
        <v>4.7737160466577472E-2</v>
      </c>
      <c r="AJ214" s="83">
        <v>7829.44</v>
      </c>
      <c r="AK214" s="2"/>
      <c r="AL214" s="2"/>
    </row>
    <row r="215" spans="1:38" ht="12.75">
      <c r="A215" s="451"/>
      <c r="B215" s="342"/>
      <c r="C215" s="179"/>
      <c r="D215" s="176"/>
      <c r="E215" s="30"/>
      <c r="F215" s="342"/>
      <c r="G215" s="452"/>
      <c r="H215" s="176"/>
      <c r="J215" s="25"/>
      <c r="K215" s="30"/>
      <c r="Q215" s="29"/>
      <c r="R215" s="29"/>
      <c r="S215" s="29"/>
      <c r="T215" s="29"/>
      <c r="U215" s="29"/>
      <c r="V215" s="29"/>
      <c r="W215" s="29"/>
      <c r="X215" s="29"/>
      <c r="Y215" s="29"/>
      <c r="AC215" s="618">
        <f>SUM(AC209:AC214)</f>
        <v>294186</v>
      </c>
      <c r="AD215" s="612"/>
      <c r="AE215" s="649"/>
      <c r="AF215" s="642" t="s">
        <v>95</v>
      </c>
      <c r="AG215" s="645" t="s">
        <v>97</v>
      </c>
      <c r="AH215" s="646" t="s">
        <v>229</v>
      </c>
      <c r="AJ215" s="2">
        <f>SUM(AJ209:AJ214)</f>
        <v>164011.43100000001</v>
      </c>
      <c r="AK215" s="2"/>
      <c r="AL215" s="2"/>
    </row>
    <row r="216" spans="1:38" ht="12.75">
      <c r="A216" s="23" t="s">
        <v>299</v>
      </c>
      <c r="E216" s="33"/>
      <c r="F216" s="1"/>
      <c r="G216" s="38"/>
      <c r="H216" s="453"/>
      <c r="J216" s="25"/>
      <c r="Q216" s="29"/>
      <c r="AE216" s="6"/>
      <c r="AK216" s="2"/>
      <c r="AL216" s="2"/>
    </row>
    <row r="217" spans="1:38" ht="12.75">
      <c r="A217" s="112" t="s">
        <v>327</v>
      </c>
      <c r="B217" s="65">
        <f>ROUND($B$214*$E79,0)+1</f>
        <v>14019</v>
      </c>
      <c r="C217" s="53"/>
      <c r="D217" s="52">
        <f>ROUND($D$214*$E79,0)+1</f>
        <v>427063</v>
      </c>
      <c r="E217" s="454">
        <f>ROUND($E$214*$E79,0)-1</f>
        <v>2936</v>
      </c>
      <c r="F217" s="1"/>
      <c r="G217" s="54">
        <f t="shared" ref="G217:G228" si="81">ROUND($G$214*$E79,0)</f>
        <v>103789</v>
      </c>
      <c r="H217" s="65">
        <f>ROUND($H$214*$E79,0)+1</f>
        <v>16956</v>
      </c>
      <c r="J217" s="54">
        <f t="shared" ref="J217:J228" si="82">ROUND($J$214*$E79,0)</f>
        <v>188942</v>
      </c>
      <c r="Q217" s="29"/>
      <c r="AA217" s="780"/>
      <c r="AB217" s="780"/>
      <c r="AE217" s="6"/>
      <c r="AF217" s="74"/>
      <c r="AK217" s="2"/>
      <c r="AL217" s="2"/>
    </row>
    <row r="218" spans="1:38" ht="12.75">
      <c r="A218" s="112" t="s">
        <v>328</v>
      </c>
      <c r="B218" s="65">
        <f t="shared" ref="B218:B228" si="83">ROUND($B$214*$E80,0)</f>
        <v>2749</v>
      </c>
      <c r="C218" s="53"/>
      <c r="D218" s="52">
        <f t="shared" ref="D218:D228" si="84">ROUND($D$214*$E80,0)</f>
        <v>83738</v>
      </c>
      <c r="E218" s="454">
        <f t="shared" ref="E218:E228" si="85">ROUND($E$214*$E80,0)</f>
        <v>576</v>
      </c>
      <c r="F218" s="1"/>
      <c r="G218" s="54">
        <f t="shared" si="81"/>
        <v>20351</v>
      </c>
      <c r="H218" s="65">
        <f t="shared" ref="H218:H228" si="86">ROUND($H$214*$E80,0)</f>
        <v>3325</v>
      </c>
      <c r="J218" s="54">
        <f t="shared" si="82"/>
        <v>37047</v>
      </c>
      <c r="AA218" s="780"/>
      <c r="AB218" s="780"/>
      <c r="AE218" s="6"/>
      <c r="AF218" s="74"/>
      <c r="AK218" s="2"/>
      <c r="AL218" s="2"/>
    </row>
    <row r="219" spans="1:38" ht="12.75">
      <c r="A219" s="112" t="s">
        <v>329</v>
      </c>
      <c r="B219" s="65">
        <f t="shared" si="83"/>
        <v>165</v>
      </c>
      <c r="C219" s="53"/>
      <c r="D219" s="52">
        <f t="shared" si="84"/>
        <v>5024</v>
      </c>
      <c r="E219" s="454">
        <f t="shared" si="85"/>
        <v>35</v>
      </c>
      <c r="F219" s="1"/>
      <c r="G219" s="54">
        <f t="shared" si="81"/>
        <v>1221</v>
      </c>
      <c r="H219" s="65">
        <f t="shared" si="86"/>
        <v>199</v>
      </c>
      <c r="J219" s="54">
        <f t="shared" si="82"/>
        <v>2223</v>
      </c>
      <c r="AA219" s="780"/>
      <c r="AB219" s="780"/>
      <c r="AF219" s="74"/>
      <c r="AK219" s="2"/>
      <c r="AL219" s="2"/>
    </row>
    <row r="220" spans="1:38" ht="12.75">
      <c r="A220" s="112" t="s">
        <v>330</v>
      </c>
      <c r="B220" s="65">
        <f t="shared" si="83"/>
        <v>0</v>
      </c>
      <c r="C220" s="53"/>
      <c r="D220" s="52">
        <f t="shared" si="84"/>
        <v>0</v>
      </c>
      <c r="E220" s="454">
        <f t="shared" si="85"/>
        <v>0</v>
      </c>
      <c r="F220" s="1"/>
      <c r="G220" s="54">
        <f t="shared" si="81"/>
        <v>0</v>
      </c>
      <c r="H220" s="65">
        <f t="shared" si="86"/>
        <v>0</v>
      </c>
      <c r="J220" s="54">
        <f t="shared" si="82"/>
        <v>0</v>
      </c>
      <c r="AK220" s="2"/>
      <c r="AL220" s="2"/>
    </row>
    <row r="221" spans="1:38" ht="12.75">
      <c r="A221" s="112" t="s">
        <v>331</v>
      </c>
      <c r="B221" s="65">
        <f t="shared" si="83"/>
        <v>0</v>
      </c>
      <c r="C221" s="53"/>
      <c r="D221" s="52">
        <f t="shared" si="84"/>
        <v>0</v>
      </c>
      <c r="E221" s="454">
        <f t="shared" si="85"/>
        <v>0</v>
      </c>
      <c r="F221" s="1"/>
      <c r="G221" s="54">
        <f t="shared" si="81"/>
        <v>0</v>
      </c>
      <c r="H221" s="65">
        <f t="shared" si="86"/>
        <v>0</v>
      </c>
      <c r="J221" s="54">
        <f t="shared" si="82"/>
        <v>0</v>
      </c>
      <c r="AK221" s="2"/>
      <c r="AL221" s="2"/>
    </row>
    <row r="222" spans="1:38" ht="12.75">
      <c r="A222" s="112" t="s">
        <v>332</v>
      </c>
      <c r="B222" s="65">
        <f t="shared" si="83"/>
        <v>550</v>
      </c>
      <c r="C222" s="53"/>
      <c r="D222" s="52">
        <f t="shared" si="84"/>
        <v>16748</v>
      </c>
      <c r="E222" s="454">
        <f t="shared" si="85"/>
        <v>115</v>
      </c>
      <c r="F222" s="1"/>
      <c r="G222" s="54">
        <f t="shared" si="81"/>
        <v>4070</v>
      </c>
      <c r="H222" s="65">
        <f t="shared" si="86"/>
        <v>665</v>
      </c>
      <c r="J222" s="54">
        <f t="shared" si="82"/>
        <v>7409</v>
      </c>
      <c r="AK222" s="2"/>
      <c r="AL222" s="2"/>
    </row>
    <row r="223" spans="1:38" ht="12.75">
      <c r="A223" s="112" t="s">
        <v>322</v>
      </c>
      <c r="B223" s="65">
        <f t="shared" si="83"/>
        <v>825</v>
      </c>
      <c r="C223" s="53"/>
      <c r="D223" s="52">
        <f t="shared" si="84"/>
        <v>25121</v>
      </c>
      <c r="E223" s="454">
        <f t="shared" si="85"/>
        <v>173</v>
      </c>
      <c r="F223" s="1"/>
      <c r="G223" s="54">
        <f t="shared" si="81"/>
        <v>6105</v>
      </c>
      <c r="H223" s="65">
        <f t="shared" si="86"/>
        <v>997</v>
      </c>
      <c r="J223" s="54">
        <f t="shared" si="82"/>
        <v>11114</v>
      </c>
      <c r="AE223" s="6"/>
      <c r="AK223" s="2"/>
      <c r="AL223" s="2"/>
    </row>
    <row r="224" spans="1:38" ht="12.75">
      <c r="A224" s="112" t="s">
        <v>333</v>
      </c>
      <c r="B224" s="65">
        <f t="shared" si="83"/>
        <v>715</v>
      </c>
      <c r="C224" s="53"/>
      <c r="D224" s="52">
        <f t="shared" si="84"/>
        <v>21772</v>
      </c>
      <c r="E224" s="454">
        <f t="shared" si="85"/>
        <v>150</v>
      </c>
      <c r="F224" s="1"/>
      <c r="G224" s="54">
        <f t="shared" si="81"/>
        <v>5291</v>
      </c>
      <c r="H224" s="65">
        <f t="shared" si="86"/>
        <v>864</v>
      </c>
      <c r="J224" s="54">
        <f t="shared" si="82"/>
        <v>9632</v>
      </c>
      <c r="AE224" s="6"/>
      <c r="AK224" s="2"/>
      <c r="AL224" s="2"/>
    </row>
    <row r="225" spans="1:38" ht="12.75">
      <c r="A225" s="112" t="s">
        <v>334</v>
      </c>
      <c r="B225" s="65">
        <f t="shared" si="83"/>
        <v>0</v>
      </c>
      <c r="C225" s="53"/>
      <c r="D225" s="52">
        <f t="shared" si="84"/>
        <v>0</v>
      </c>
      <c r="E225" s="454">
        <f t="shared" si="85"/>
        <v>0</v>
      </c>
      <c r="F225" s="1"/>
      <c r="G225" s="54">
        <f t="shared" si="81"/>
        <v>0</v>
      </c>
      <c r="H225" s="65">
        <f t="shared" si="86"/>
        <v>0</v>
      </c>
      <c r="J225" s="54">
        <f t="shared" si="82"/>
        <v>0</v>
      </c>
      <c r="AE225" s="6"/>
      <c r="AK225" s="2"/>
      <c r="AL225" s="2"/>
    </row>
    <row r="226" spans="1:38" ht="12.75">
      <c r="A226" s="112" t="s">
        <v>335</v>
      </c>
      <c r="B226" s="65">
        <f t="shared" si="83"/>
        <v>0</v>
      </c>
      <c r="C226" s="53"/>
      <c r="D226" s="52">
        <f t="shared" si="84"/>
        <v>0</v>
      </c>
      <c r="E226" s="454">
        <f t="shared" si="85"/>
        <v>0</v>
      </c>
      <c r="F226" s="1"/>
      <c r="G226" s="54">
        <f t="shared" si="81"/>
        <v>0</v>
      </c>
      <c r="H226" s="65">
        <f t="shared" si="86"/>
        <v>0</v>
      </c>
      <c r="J226" s="54">
        <f t="shared" si="82"/>
        <v>0</v>
      </c>
      <c r="AE226" s="6"/>
      <c r="AK226" s="2"/>
      <c r="AL226" s="2"/>
    </row>
    <row r="227" spans="1:38" ht="12.75">
      <c r="A227" s="112" t="s">
        <v>326</v>
      </c>
      <c r="B227" s="65">
        <f t="shared" si="83"/>
        <v>0</v>
      </c>
      <c r="C227" s="53"/>
      <c r="D227" s="52">
        <f t="shared" si="84"/>
        <v>0</v>
      </c>
      <c r="E227" s="454">
        <f t="shared" si="85"/>
        <v>0</v>
      </c>
      <c r="F227" s="1"/>
      <c r="G227" s="54">
        <f t="shared" si="81"/>
        <v>0</v>
      </c>
      <c r="H227" s="65">
        <f t="shared" si="86"/>
        <v>0</v>
      </c>
      <c r="J227" s="54">
        <f t="shared" si="82"/>
        <v>0</v>
      </c>
      <c r="AE227" s="6"/>
      <c r="AK227" s="2"/>
      <c r="AL227" s="2"/>
    </row>
    <row r="228" spans="1:38" ht="12.75">
      <c r="A228" s="112" t="s">
        <v>400</v>
      </c>
      <c r="B228" s="65">
        <f t="shared" si="83"/>
        <v>1979</v>
      </c>
      <c r="C228" s="53"/>
      <c r="D228" s="52">
        <f t="shared" si="84"/>
        <v>60291</v>
      </c>
      <c r="E228" s="454">
        <f t="shared" si="85"/>
        <v>415</v>
      </c>
      <c r="F228" s="1"/>
      <c r="G228" s="54">
        <f t="shared" si="81"/>
        <v>14653</v>
      </c>
      <c r="H228" s="65">
        <f t="shared" si="86"/>
        <v>2394</v>
      </c>
      <c r="J228" s="54">
        <f t="shared" si="82"/>
        <v>26674</v>
      </c>
      <c r="AE228" s="6"/>
      <c r="AK228" s="2"/>
      <c r="AL228" s="2"/>
    </row>
    <row r="229" spans="1:38">
      <c r="A229" s="112" t="s">
        <v>376</v>
      </c>
      <c r="B229" s="356">
        <f>B213</f>
        <v>1000</v>
      </c>
      <c r="C229" s="53"/>
      <c r="D229" s="455">
        <f>D213</f>
        <v>30464.545454545456</v>
      </c>
      <c r="E229" s="409">
        <f>E213</f>
        <v>0</v>
      </c>
      <c r="F229" s="1"/>
      <c r="G229" s="456">
        <f>G213</f>
        <v>0</v>
      </c>
      <c r="H229" s="356">
        <f>H213</f>
        <v>1000</v>
      </c>
      <c r="J229" s="456">
        <f>J213</f>
        <v>11143.40909090909</v>
      </c>
      <c r="AE229" s="6"/>
      <c r="AK229" s="2"/>
      <c r="AL229" s="2"/>
    </row>
    <row r="230" spans="1:38">
      <c r="A230" s="353" t="s">
        <v>229</v>
      </c>
      <c r="B230" s="457">
        <f>SUM(B217:B229)</f>
        <v>22002</v>
      </c>
      <c r="C230" s="53"/>
      <c r="D230" s="458">
        <f>SUM(D217:D229)</f>
        <v>670221.54545454541</v>
      </c>
      <c r="E230" s="459">
        <f>SUM(E217:E229)</f>
        <v>4400</v>
      </c>
      <c r="F230" s="1"/>
      <c r="G230" s="460">
        <f>SUM(G217:G229)</f>
        <v>155480</v>
      </c>
      <c r="H230" s="457">
        <f>SUM(H217:H229)</f>
        <v>26400</v>
      </c>
      <c r="J230" s="460">
        <f>SUM(J217:J229)</f>
        <v>294184.40909090912</v>
      </c>
      <c r="AE230" s="6"/>
      <c r="AK230" s="2"/>
      <c r="AL230" s="2"/>
    </row>
    <row r="231" spans="1:38" ht="12.75">
      <c r="A231" s="84"/>
      <c r="B231" s="85"/>
      <c r="C231" s="85"/>
      <c r="D231" s="85"/>
      <c r="E231" s="85"/>
      <c r="F231" s="85"/>
      <c r="G231" s="85"/>
      <c r="H231" s="85"/>
      <c r="I231" s="85"/>
      <c r="J231" s="87"/>
      <c r="AE231" s="6"/>
      <c r="AK231" s="2"/>
      <c r="AL231" s="2"/>
    </row>
    <row r="232" spans="1:38" ht="12.75">
      <c r="A232" s="1"/>
      <c r="B232" s="1"/>
      <c r="C232" s="1"/>
      <c r="D232" s="1"/>
      <c r="E232" s="1"/>
      <c r="F232" s="1"/>
      <c r="G232" s="1"/>
      <c r="H232" s="1"/>
      <c r="AE232" s="6"/>
      <c r="AK232" s="2"/>
      <c r="AL232" s="2"/>
    </row>
    <row r="233" spans="1:38" ht="12.75">
      <c r="A233" s="1"/>
      <c r="B233" s="1"/>
      <c r="C233" s="1"/>
      <c r="D233" s="1"/>
      <c r="E233" s="1"/>
      <c r="F233" s="1"/>
      <c r="G233" s="1"/>
      <c r="H233" s="1"/>
      <c r="AE233" s="6"/>
      <c r="AK233" s="2"/>
      <c r="AL233" s="2"/>
    </row>
    <row r="234" spans="1:38" ht="12.75">
      <c r="A234" s="385" t="s">
        <v>301</v>
      </c>
      <c r="B234" s="406"/>
      <c r="C234" s="406"/>
      <c r="D234" s="406"/>
      <c r="E234" s="406"/>
      <c r="F234" s="406"/>
      <c r="G234" s="406"/>
      <c r="H234" s="407"/>
      <c r="AE234" s="6"/>
      <c r="AK234" s="2"/>
      <c r="AL234" s="2"/>
    </row>
    <row r="235" spans="1:38">
      <c r="A235" s="33"/>
      <c r="C235" s="345" t="s">
        <v>302</v>
      </c>
      <c r="H235" s="25"/>
      <c r="AE235" s="6"/>
      <c r="AK235" s="2"/>
      <c r="AL235" s="2"/>
    </row>
    <row r="236" spans="1:38" ht="12.75">
      <c r="A236" s="33"/>
      <c r="B236" s="2" t="s">
        <v>303</v>
      </c>
      <c r="C236" s="268">
        <f>B91</f>
        <v>38200</v>
      </c>
      <c r="E236" s="844" t="s">
        <v>304</v>
      </c>
      <c r="F236" s="844"/>
      <c r="G236" s="462">
        <f>C236/C237</f>
        <v>9.5500000000000002E-2</v>
      </c>
      <c r="H236" s="25"/>
      <c r="AK236" s="2"/>
      <c r="AL236" s="2"/>
    </row>
    <row r="237" spans="1:38">
      <c r="A237" s="33"/>
      <c r="B237" s="2" t="s">
        <v>305</v>
      </c>
      <c r="C237" s="268">
        <v>400000</v>
      </c>
      <c r="H237" s="45"/>
      <c r="AJ237" s="398" t="s">
        <v>443</v>
      </c>
      <c r="AK237" s="2"/>
      <c r="AL237" s="2"/>
    </row>
    <row r="238" spans="1:38" ht="12.75">
      <c r="A238" s="33"/>
      <c r="B238" s="1"/>
      <c r="C238" s="1"/>
      <c r="D238" s="463"/>
      <c r="E238" s="1"/>
      <c r="F238" s="65"/>
      <c r="G238" s="65"/>
      <c r="H238" s="464"/>
      <c r="AC238" s="631">
        <f>+AC21*AI238</f>
        <v>478943.47493120254</v>
      </c>
      <c r="AD238" s="624"/>
      <c r="AE238" s="624"/>
      <c r="AF238" s="612"/>
      <c r="AG238" s="617" t="s">
        <v>421</v>
      </c>
      <c r="AH238" s="640" t="s">
        <v>164</v>
      </c>
      <c r="AI238" s="653">
        <f>+AJ238/AJ240</f>
        <v>0.85081978776949219</v>
      </c>
      <c r="AJ238" s="2">
        <v>296233.55</v>
      </c>
      <c r="AK238" s="2"/>
      <c r="AL238" s="2"/>
    </row>
    <row r="239" spans="1:38" ht="36.6" customHeight="1">
      <c r="A239" s="30"/>
      <c r="B239" s="465" t="s">
        <v>135</v>
      </c>
      <c r="C239" s="465" t="s">
        <v>136</v>
      </c>
      <c r="D239" s="465" t="s">
        <v>307</v>
      </c>
      <c r="E239" s="465" t="s">
        <v>308</v>
      </c>
      <c r="F239" s="285"/>
      <c r="G239" s="285"/>
      <c r="H239" s="38"/>
      <c r="AC239" s="643">
        <f>$AC$21*$AI239</f>
        <v>83976.525068797448</v>
      </c>
      <c r="AD239" s="624"/>
      <c r="AE239" s="624"/>
      <c r="AF239" s="639"/>
      <c r="AG239" s="617" t="s">
        <v>300</v>
      </c>
      <c r="AH239" s="640">
        <v>630040</v>
      </c>
      <c r="AI239" s="652">
        <f>+AJ239/AJ240</f>
        <v>0.14918021223050779</v>
      </c>
      <c r="AJ239" s="83">
        <v>51940.71</v>
      </c>
      <c r="AK239" s="2"/>
      <c r="AL239" s="2"/>
    </row>
    <row r="240" spans="1:38">
      <c r="A240" s="30" t="s">
        <v>17</v>
      </c>
      <c r="B240" s="466">
        <f>C240/12</f>
        <v>12910</v>
      </c>
      <c r="C240" s="401">
        <f>12910*12</f>
        <v>154920</v>
      </c>
      <c r="D240" s="65">
        <f>$B$64</f>
        <v>34600</v>
      </c>
      <c r="E240" s="282">
        <f>C240/D240/1000</f>
        <v>4.4774566473988441E-3</v>
      </c>
      <c r="F240" s="282"/>
      <c r="G240" s="282"/>
      <c r="H240" s="38"/>
      <c r="AC240" s="651">
        <f>+AC239+AC238</f>
        <v>562920</v>
      </c>
      <c r="AD240" s="612"/>
      <c r="AE240" s="612"/>
      <c r="AF240" s="642" t="s">
        <v>91</v>
      </c>
      <c r="AG240" s="645" t="s">
        <v>99</v>
      </c>
      <c r="AH240" s="646" t="s">
        <v>229</v>
      </c>
      <c r="AI240" s="654">
        <f>+AI238+AI239</f>
        <v>1</v>
      </c>
      <c r="AJ240" s="2">
        <f>+AJ238+AJ239</f>
        <v>348174.26</v>
      </c>
      <c r="AK240" s="2"/>
      <c r="AL240" s="2"/>
    </row>
    <row r="241" spans="1:38">
      <c r="A241" s="30" t="s">
        <v>19</v>
      </c>
      <c r="B241" s="466">
        <f>C241/12</f>
        <v>9340</v>
      </c>
      <c r="C241" s="401">
        <f>9340*12</f>
        <v>112080</v>
      </c>
      <c r="D241" s="65">
        <f>$B$64</f>
        <v>34600</v>
      </c>
      <c r="E241" s="282">
        <f>C241/D241/1000</f>
        <v>3.2393063583815028E-3</v>
      </c>
      <c r="F241" s="282"/>
      <c r="G241" s="282"/>
      <c r="H241" s="38"/>
      <c r="AK241" s="2"/>
      <c r="AL241" s="2"/>
    </row>
    <row r="242" spans="1:38" ht="16.5">
      <c r="A242" s="30" t="s">
        <v>18</v>
      </c>
      <c r="B242" s="466">
        <f>+C242/12</f>
        <v>46910</v>
      </c>
      <c r="C242" s="401">
        <f>46910*12</f>
        <v>562920</v>
      </c>
      <c r="D242" s="65">
        <f>$B$64</f>
        <v>34600</v>
      </c>
      <c r="E242" s="468">
        <f t="shared" ref="E242" si="87">C242/D242/1000</f>
        <v>1.6269364161849712E-2</v>
      </c>
      <c r="F242" s="282"/>
      <c r="G242" s="282"/>
      <c r="H242" s="38"/>
      <c r="AK242" s="2"/>
      <c r="AL242" s="2"/>
    </row>
    <row r="243" spans="1:38">
      <c r="A243" s="30" t="s">
        <v>72</v>
      </c>
      <c r="B243" s="63"/>
      <c r="C243" s="1"/>
      <c r="D243" s="63"/>
      <c r="E243" s="469">
        <f>SUM(E240:E242)</f>
        <v>2.3986127167630059E-2</v>
      </c>
      <c r="F243" s="282"/>
      <c r="G243" s="282"/>
      <c r="H243" s="38"/>
      <c r="AK243" s="2"/>
      <c r="AL243" s="2"/>
    </row>
    <row r="244" spans="1:38" ht="12.75">
      <c r="A244" s="59"/>
      <c r="B244" s="41"/>
      <c r="C244" s="41"/>
      <c r="D244" s="41"/>
      <c r="E244" s="41"/>
      <c r="F244" s="41"/>
      <c r="G244" s="41"/>
      <c r="H244" s="42"/>
      <c r="AK244" s="2"/>
      <c r="AL244" s="2"/>
    </row>
    <row r="245" spans="1:38">
      <c r="AJ245" s="398" t="s">
        <v>443</v>
      </c>
      <c r="AK245" s="2"/>
      <c r="AL245" s="2"/>
    </row>
    <row r="246" spans="1:38">
      <c r="B246" s="2" t="s">
        <v>7</v>
      </c>
      <c r="AC246" s="638">
        <f t="shared" ref="AC246:AC252" si="88">ROUND($AC$20*$AI246,0)</f>
        <v>402</v>
      </c>
      <c r="AD246" s="624"/>
      <c r="AE246" s="624"/>
      <c r="AF246" s="639"/>
      <c r="AG246" s="617" t="s">
        <v>306</v>
      </c>
      <c r="AH246" s="640" t="s">
        <v>166</v>
      </c>
      <c r="AI246" s="652">
        <f>+AJ246/AJ253</f>
        <v>3.5899501251445811E-3</v>
      </c>
      <c r="AJ246" s="2">
        <v>368.85</v>
      </c>
      <c r="AK246" s="2"/>
      <c r="AL246" s="2"/>
    </row>
    <row r="247" spans="1:38">
      <c r="B247" s="2" t="s">
        <v>7</v>
      </c>
      <c r="AC247" s="638">
        <f t="shared" si="88"/>
        <v>5287</v>
      </c>
      <c r="AD247" s="624"/>
      <c r="AE247" s="624"/>
      <c r="AF247" s="639"/>
      <c r="AG247" s="617" t="s">
        <v>309</v>
      </c>
      <c r="AH247" s="640">
        <v>640010</v>
      </c>
      <c r="AI247" s="652">
        <f>+AJ247/AJ253</f>
        <v>4.7168742547094182E-2</v>
      </c>
      <c r="AJ247" s="2">
        <v>4846.3599999999997</v>
      </c>
      <c r="AK247" s="2"/>
      <c r="AL247" s="2"/>
    </row>
    <row r="248" spans="1:38">
      <c r="B248" s="2" t="s">
        <v>7</v>
      </c>
      <c r="AC248" s="638">
        <f t="shared" si="88"/>
        <v>106391</v>
      </c>
      <c r="AD248" s="624"/>
      <c r="AE248" s="624"/>
      <c r="AF248" s="639"/>
      <c r="AG248" s="617" t="s">
        <v>311</v>
      </c>
      <c r="AH248" s="640">
        <v>640020</v>
      </c>
      <c r="AI248" s="652">
        <f>+AJ248/AJ253</f>
        <v>0.94924130732776113</v>
      </c>
      <c r="AJ248" s="2">
        <v>97529.95</v>
      </c>
      <c r="AK248" s="2"/>
      <c r="AL248" s="2"/>
    </row>
    <row r="249" spans="1:38">
      <c r="B249" s="2" t="s">
        <v>7</v>
      </c>
      <c r="H249" s="262"/>
      <c r="AC249" s="638">
        <f t="shared" si="88"/>
        <v>0</v>
      </c>
      <c r="AD249" s="624"/>
      <c r="AE249" s="624"/>
      <c r="AF249" s="639"/>
      <c r="AG249" s="617" t="s">
        <v>419</v>
      </c>
      <c r="AH249" s="640" t="s">
        <v>420</v>
      </c>
      <c r="AI249" s="652">
        <f>+AJ249/AJ253</f>
        <v>0</v>
      </c>
      <c r="AJ249" s="2">
        <v>0</v>
      </c>
      <c r="AK249" s="2"/>
      <c r="AL249" s="2"/>
    </row>
    <row r="250" spans="1:38">
      <c r="B250" s="2" t="s">
        <v>7</v>
      </c>
      <c r="H250" s="271"/>
      <c r="AC250" s="638">
        <f t="shared" si="88"/>
        <v>0</v>
      </c>
      <c r="AD250" s="624"/>
      <c r="AE250" s="624"/>
      <c r="AF250" s="639"/>
      <c r="AG250" s="617" t="s">
        <v>312</v>
      </c>
      <c r="AH250" s="640" t="s">
        <v>313</v>
      </c>
      <c r="AI250" s="652">
        <f>+AJ250/AJ253</f>
        <v>0</v>
      </c>
      <c r="AJ250" s="2">
        <v>0</v>
      </c>
      <c r="AK250" s="2"/>
      <c r="AL250" s="2"/>
    </row>
    <row r="251" spans="1:38">
      <c r="A251" s="1"/>
      <c r="B251" s="1"/>
      <c r="C251" s="1"/>
      <c r="D251" s="470"/>
      <c r="E251" s="1"/>
      <c r="F251" s="1"/>
      <c r="G251" s="1"/>
      <c r="H251" s="39"/>
      <c r="AC251" s="638">
        <f t="shared" si="88"/>
        <v>0</v>
      </c>
      <c r="AD251" s="624"/>
      <c r="AE251" s="624"/>
      <c r="AF251" s="639"/>
      <c r="AG251" s="617" t="s">
        <v>314</v>
      </c>
      <c r="AH251" s="640">
        <v>640070</v>
      </c>
      <c r="AI251" s="652">
        <f>+AJ251/AJ253</f>
        <v>0</v>
      </c>
      <c r="AJ251" s="2">
        <v>0</v>
      </c>
      <c r="AK251" s="2"/>
      <c r="AL251" s="2"/>
    </row>
    <row r="252" spans="1:38" ht="16.5">
      <c r="A252" s="1"/>
      <c r="B252" s="1"/>
      <c r="C252" s="1"/>
      <c r="D252" s="1"/>
      <c r="E252" s="1"/>
      <c r="F252" s="1"/>
      <c r="G252" s="1"/>
      <c r="H252" s="1"/>
      <c r="AC252" s="643">
        <f t="shared" si="88"/>
        <v>0</v>
      </c>
      <c r="AD252" s="624"/>
      <c r="AE252" s="624"/>
      <c r="AF252" s="639"/>
      <c r="AG252" s="617" t="s">
        <v>315</v>
      </c>
      <c r="AH252" s="640">
        <v>640080</v>
      </c>
      <c r="AI252" s="652">
        <f>+AJ252/AJ253</f>
        <v>0</v>
      </c>
      <c r="AJ252" s="83">
        <v>0</v>
      </c>
      <c r="AK252" s="2"/>
      <c r="AL252" s="2"/>
    </row>
    <row r="253" spans="1:38">
      <c r="A253" s="1"/>
      <c r="B253" s="845"/>
      <c r="C253" s="845"/>
      <c r="D253" s="845"/>
      <c r="E253" s="1"/>
      <c r="F253" s="845"/>
      <c r="G253" s="845"/>
      <c r="H253" s="845"/>
      <c r="AC253" s="651">
        <f>SUM(AC246:AC252)</f>
        <v>112080</v>
      </c>
      <c r="AD253" s="612"/>
      <c r="AE253" s="612"/>
      <c r="AF253" s="642" t="s">
        <v>91</v>
      </c>
      <c r="AG253" s="645" t="s">
        <v>100</v>
      </c>
      <c r="AH253" s="646" t="s">
        <v>229</v>
      </c>
      <c r="AI253" s="652">
        <f>SUM(AI246:AI252)</f>
        <v>0.99999999999999989</v>
      </c>
      <c r="AJ253" s="2">
        <f>SUM(AJ246:AJ252)</f>
        <v>102745.16</v>
      </c>
      <c r="AK253" s="2"/>
      <c r="AL253" s="2"/>
    </row>
    <row r="254" spans="1:38" ht="12.75">
      <c r="A254" s="1"/>
      <c r="B254" s="471"/>
      <c r="C254" s="471"/>
      <c r="D254" s="472"/>
      <c r="E254" s="5"/>
      <c r="F254" s="471"/>
      <c r="G254" s="471"/>
      <c r="H254" s="472"/>
      <c r="AK254" s="2"/>
      <c r="AL254" s="2"/>
    </row>
    <row r="255" spans="1:38" ht="12.75">
      <c r="A255" s="1"/>
      <c r="B255" s="1"/>
      <c r="C255" s="473"/>
      <c r="D255" s="474"/>
      <c r="E255" s="1"/>
      <c r="F255" s="1"/>
      <c r="G255" s="473"/>
      <c r="H255" s="474"/>
      <c r="AC255" s="2" t="s">
        <v>7</v>
      </c>
      <c r="AK255" s="2"/>
      <c r="AL255" s="2"/>
    </row>
    <row r="256" spans="1:38" ht="12.75">
      <c r="A256" s="1"/>
      <c r="B256" s="1"/>
      <c r="C256" s="473"/>
      <c r="D256" s="463"/>
      <c r="E256" s="1"/>
      <c r="F256" s="1"/>
      <c r="G256" s="473"/>
      <c r="H256" s="463"/>
      <c r="AC256" s="2" t="s">
        <v>7</v>
      </c>
      <c r="AK256" s="2"/>
      <c r="AL256" s="2"/>
    </row>
    <row r="257" spans="1:38" ht="12.75">
      <c r="A257" s="1"/>
      <c r="B257" s="1"/>
      <c r="C257" s="475"/>
      <c r="D257" s="463"/>
      <c r="E257" s="1"/>
      <c r="F257" s="1"/>
      <c r="G257" s="475"/>
      <c r="H257" s="463"/>
      <c r="AK257" s="2"/>
      <c r="AL257" s="2"/>
    </row>
    <row r="258" spans="1:38" ht="12.75">
      <c r="A258" s="1"/>
      <c r="B258" s="1"/>
      <c r="C258" s="476"/>
      <c r="D258" s="463"/>
      <c r="E258" s="1"/>
      <c r="F258" s="1"/>
      <c r="G258" s="476"/>
      <c r="H258" s="463"/>
      <c r="AK258" s="2"/>
      <c r="AL258" s="2"/>
    </row>
    <row r="259" spans="1:38" ht="12.75">
      <c r="A259" s="1"/>
      <c r="B259" s="1"/>
      <c r="C259" s="477"/>
      <c r="D259" s="463"/>
      <c r="E259" s="1"/>
      <c r="F259" s="1"/>
      <c r="G259" s="477"/>
      <c r="H259" s="463"/>
      <c r="AK259" s="2"/>
      <c r="AL259" s="2"/>
    </row>
    <row r="260" spans="1:38" ht="12.75">
      <c r="A260" s="1"/>
      <c r="B260" s="1"/>
      <c r="C260" s="475"/>
      <c r="D260" s="463"/>
      <c r="E260" s="1"/>
      <c r="F260" s="1"/>
      <c r="G260" s="475"/>
      <c r="H260" s="463"/>
      <c r="AK260" s="2"/>
      <c r="AL260" s="2"/>
    </row>
    <row r="261" spans="1:38">
      <c r="A261" s="1"/>
      <c r="B261" s="1"/>
      <c r="C261" s="478"/>
      <c r="D261" s="479"/>
      <c r="E261" s="1"/>
      <c r="F261" s="1"/>
      <c r="G261" s="478"/>
      <c r="H261" s="479"/>
      <c r="AK261" s="2"/>
      <c r="AL261" s="2"/>
    </row>
    <row r="262" spans="1:38">
      <c r="A262" s="1"/>
      <c r="B262" s="1"/>
      <c r="C262" s="1"/>
      <c r="D262" s="480"/>
      <c r="E262" s="1"/>
      <c r="F262" s="1"/>
      <c r="G262" s="1"/>
      <c r="H262" s="480"/>
      <c r="AK262" s="2"/>
      <c r="AL262" s="2"/>
    </row>
    <row r="263" spans="1:38" ht="12.75">
      <c r="A263" s="1"/>
      <c r="B263" s="1"/>
      <c r="C263" s="1"/>
      <c r="D263" s="1"/>
      <c r="E263" s="1"/>
      <c r="F263" s="1"/>
      <c r="G263" s="1"/>
      <c r="H263" s="1"/>
      <c r="AK263" s="2"/>
      <c r="AL263" s="2"/>
    </row>
    <row r="264" spans="1:38" ht="12.75">
      <c r="A264" s="1"/>
      <c r="B264" s="1"/>
      <c r="C264" s="1"/>
      <c r="D264" s="1"/>
      <c r="E264" s="1"/>
      <c r="F264" s="1"/>
      <c r="G264" s="1"/>
      <c r="H264" s="1"/>
      <c r="AK264" s="2"/>
      <c r="AL264" s="2"/>
    </row>
    <row r="265" spans="1:38" ht="12.75">
      <c r="A265" s="1"/>
      <c r="B265" s="1"/>
      <c r="C265" s="1"/>
      <c r="D265" s="1"/>
      <c r="E265" s="1"/>
      <c r="F265" s="1"/>
      <c r="G265" s="1"/>
      <c r="H265" s="1"/>
      <c r="AK265" s="2"/>
      <c r="AL265" s="2"/>
    </row>
    <row r="266" spans="1:38" ht="12.75">
      <c r="A266" s="1"/>
      <c r="B266" s="1"/>
      <c r="C266" s="1"/>
      <c r="D266" s="1"/>
      <c r="E266" s="1"/>
      <c r="F266" s="1"/>
      <c r="G266" s="1"/>
      <c r="H266" s="1"/>
      <c r="AK266" s="2"/>
      <c r="AL266" s="2"/>
    </row>
    <row r="267" spans="1:38">
      <c r="A267" s="1"/>
      <c r="B267" s="481"/>
      <c r="C267" s="481"/>
      <c r="D267" s="1"/>
      <c r="E267" s="1"/>
      <c r="F267" s="1"/>
      <c r="G267" s="1"/>
      <c r="H267" s="1"/>
      <c r="AK267" s="2"/>
      <c r="AL267" s="2"/>
    </row>
    <row r="268" spans="1:38" ht="12.75">
      <c r="A268" s="1"/>
      <c r="B268" s="70"/>
      <c r="C268" s="70"/>
      <c r="D268" s="1"/>
      <c r="E268" s="1"/>
      <c r="F268" s="1"/>
      <c r="G268" s="1"/>
      <c r="H268" s="1"/>
      <c r="AK268" s="2"/>
      <c r="AL268" s="2"/>
    </row>
    <row r="269" spans="1:38" ht="12.75">
      <c r="A269" s="1"/>
      <c r="B269" s="70"/>
      <c r="C269" s="482"/>
      <c r="D269" s="1"/>
      <c r="E269" s="1"/>
      <c r="F269" s="1"/>
      <c r="G269" s="1"/>
      <c r="H269" s="1"/>
      <c r="AK269" s="2"/>
      <c r="AL269" s="2"/>
    </row>
    <row r="270" spans="1:38" ht="12.75">
      <c r="A270" s="1"/>
      <c r="B270" s="70"/>
      <c r="C270" s="70"/>
      <c r="D270" s="1"/>
      <c r="E270" s="1"/>
      <c r="F270" s="1"/>
      <c r="G270" s="1"/>
      <c r="H270" s="1"/>
      <c r="AK270" s="2"/>
      <c r="AL270" s="2"/>
    </row>
    <row r="271" spans="1:38" ht="12.75">
      <c r="A271" s="1"/>
      <c r="B271" s="70"/>
      <c r="C271" s="70"/>
      <c r="D271" s="1"/>
      <c r="E271" s="1"/>
      <c r="F271" s="1"/>
      <c r="G271" s="1"/>
      <c r="H271" s="1"/>
      <c r="AK271" s="2"/>
      <c r="AL271" s="2"/>
    </row>
    <row r="272" spans="1:38" ht="12.75">
      <c r="AK272" s="2"/>
      <c r="AL272" s="2"/>
    </row>
    <row r="273" s="2" customFormat="1" ht="12.75"/>
    <row r="274" s="2" customFormat="1" ht="12.75"/>
    <row r="275" s="2" customFormat="1" ht="12.75"/>
    <row r="276" s="2" customFormat="1" ht="12.75"/>
    <row r="277" s="2" customFormat="1" ht="12.75"/>
  </sheetData>
  <sheetProtection formatCells="0" formatColumns="0" formatRows="0"/>
  <mergeCells count="66">
    <mergeCell ref="Q3:S3"/>
    <mergeCell ref="B3:D3"/>
    <mergeCell ref="E3:G3"/>
    <mergeCell ref="H3:J3"/>
    <mergeCell ref="K3:M3"/>
    <mergeCell ref="N3:P3"/>
    <mergeCell ref="AA23:AB23"/>
    <mergeCell ref="AA24:AB24"/>
    <mergeCell ref="AA27:AB27"/>
    <mergeCell ref="AA28:AB28"/>
    <mergeCell ref="AA29:AB29"/>
    <mergeCell ref="Q34:S34"/>
    <mergeCell ref="B67:D67"/>
    <mergeCell ref="D96:E96"/>
    <mergeCell ref="F96:G96"/>
    <mergeCell ref="H96:I96"/>
    <mergeCell ref="J96:K96"/>
    <mergeCell ref="L96:M96"/>
    <mergeCell ref="N96:O96"/>
    <mergeCell ref="B34:D34"/>
    <mergeCell ref="E34:G34"/>
    <mergeCell ref="H34:J34"/>
    <mergeCell ref="K34:M34"/>
    <mergeCell ref="N34:P34"/>
    <mergeCell ref="N159:O159"/>
    <mergeCell ref="D126:E126"/>
    <mergeCell ref="F126:G126"/>
    <mergeCell ref="H126:I126"/>
    <mergeCell ref="J126:K126"/>
    <mergeCell ref="L126:M126"/>
    <mergeCell ref="N126:O126"/>
    <mergeCell ref="D159:E159"/>
    <mergeCell ref="F159:G159"/>
    <mergeCell ref="H159:I159"/>
    <mergeCell ref="J159:K159"/>
    <mergeCell ref="L159:M159"/>
    <mergeCell ref="R164:S164"/>
    <mergeCell ref="R165:S165"/>
    <mergeCell ref="D166:E166"/>
    <mergeCell ref="F166:G166"/>
    <mergeCell ref="H166:I166"/>
    <mergeCell ref="J166:K166"/>
    <mergeCell ref="L166:M166"/>
    <mergeCell ref="N166:O166"/>
    <mergeCell ref="R166:S166"/>
    <mergeCell ref="R180:S180"/>
    <mergeCell ref="R167:S167"/>
    <mergeCell ref="R168:S168"/>
    <mergeCell ref="R170:S170"/>
    <mergeCell ref="R171:S171"/>
    <mergeCell ref="R172:S172"/>
    <mergeCell ref="R173:S173"/>
    <mergeCell ref="R174:S174"/>
    <mergeCell ref="R175:S175"/>
    <mergeCell ref="R177:S177"/>
    <mergeCell ref="R178:S178"/>
    <mergeCell ref="R179:S179"/>
    <mergeCell ref="E236:F236"/>
    <mergeCell ref="B253:D253"/>
    <mergeCell ref="F253:H253"/>
    <mergeCell ref="R181:S181"/>
    <mergeCell ref="R182:S182"/>
    <mergeCell ref="E190:F190"/>
    <mergeCell ref="B206:D206"/>
    <mergeCell ref="E206:G206"/>
    <mergeCell ref="H206:J206"/>
  </mergeCells>
  <printOptions horizontalCentered="1"/>
  <pageMargins left="0.25" right="0.25" top="0.5" bottom="0.25" header="0" footer="0"/>
  <pageSetup paperSize="5" scale="70" fitToHeight="4" orientation="landscape" r:id="rId1"/>
  <headerFooter alignWithMargins="0">
    <oddHeader>&amp;A</oddHeader>
  </headerFooter>
  <rowBreaks count="3" manualBreakCount="3">
    <brk id="93" max="15" man="1"/>
    <brk id="174" max="15" man="1"/>
    <brk id="186" max="15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80"/>
  <sheetViews>
    <sheetView zoomScaleNormal="100" workbookViewId="0">
      <pane xSplit="1" ySplit="2" topLeftCell="B151" activePane="bottomRight" state="frozenSplit"/>
      <selection pane="topRight" activeCell="B1" sqref="B1"/>
      <selection pane="bottomLeft" activeCell="A3" sqref="A3"/>
      <selection pane="bottomRight" activeCell="AD10" sqref="AD10"/>
    </sheetView>
  </sheetViews>
  <sheetFormatPr defaultColWidth="10.7109375" defaultRowHeight="15" outlineLevelCol="1"/>
  <cols>
    <col min="1" max="1" width="35.7109375" style="2" bestFit="1" customWidth="1"/>
    <col min="2" max="2" width="15.28515625" style="2" customWidth="1"/>
    <col min="3" max="3" width="13.28515625" style="2" customWidth="1"/>
    <col min="4" max="5" width="12.28515625" style="2" customWidth="1"/>
    <col min="6" max="6" width="9.7109375" style="2" customWidth="1"/>
    <col min="7" max="8" width="12.28515625" style="2" customWidth="1"/>
    <col min="9" max="9" width="9.7109375" style="2" customWidth="1"/>
    <col min="10" max="10" width="12.28515625" style="2" customWidth="1"/>
    <col min="11" max="11" width="15" style="2" customWidth="1"/>
    <col min="12" max="12" width="9.7109375" style="2" customWidth="1"/>
    <col min="13" max="14" width="12.28515625" style="2" customWidth="1"/>
    <col min="15" max="15" width="9.7109375" style="2" customWidth="1"/>
    <col min="16" max="16" width="12.28515625" style="2" customWidth="1"/>
    <col min="17" max="17" width="13.28515625" style="2" customWidth="1"/>
    <col min="18" max="18" width="9.7109375" style="2" customWidth="1"/>
    <col min="19" max="19" width="12.28515625" style="2" customWidth="1"/>
    <col min="20" max="21" width="1.7109375" style="2" customWidth="1"/>
    <col min="22" max="22" width="10.7109375" style="2" customWidth="1"/>
    <col min="23" max="23" width="13" style="2" customWidth="1"/>
    <col min="24" max="24" width="12.7109375" style="2" customWidth="1"/>
    <col min="25" max="26" width="1.7109375" style="2" customWidth="1"/>
    <col min="27" max="27" width="4.7109375" style="2" customWidth="1" outlineLevel="1"/>
    <col min="28" max="28" width="7.7109375" style="2" customWidth="1" outlineLevel="1"/>
    <col min="29" max="29" width="12.28515625" style="2" customWidth="1" outlineLevel="1"/>
    <col min="30" max="30" width="13.42578125" style="2" customWidth="1" outlineLevel="1"/>
    <col min="31" max="31" width="12.28515625" style="2" customWidth="1" outlineLevel="1"/>
    <col min="32" max="32" width="11.7109375" style="2" customWidth="1" outlineLevel="1"/>
    <col min="33" max="33" width="12.42578125" style="2" customWidth="1" outlineLevel="1"/>
    <col min="34" max="34" width="11.7109375" style="2" bestFit="1" customWidth="1" outlineLevel="1"/>
    <col min="35" max="35" width="12.28515625" style="2" bestFit="1" customWidth="1" outlineLevel="1"/>
    <col min="36" max="36" width="10.7109375" style="2" customWidth="1" outlineLevel="1"/>
    <col min="37" max="37" width="11.28515625" customWidth="1" outlineLevel="1"/>
    <col min="38" max="38" width="11.28515625" customWidth="1"/>
    <col min="39" max="245" width="8.7109375" style="2" customWidth="1"/>
    <col min="246" max="16384" width="10.7109375" style="2"/>
  </cols>
  <sheetData>
    <row r="1" spans="1:36" s="2" customFormat="1" ht="19.5">
      <c r="A1" s="239" t="s">
        <v>364</v>
      </c>
      <c r="B1" s="297"/>
      <c r="C1" s="297"/>
      <c r="D1" s="297"/>
      <c r="E1" s="297"/>
      <c r="F1" s="297"/>
      <c r="G1" s="297"/>
      <c r="H1" s="297"/>
      <c r="AA1" s="603"/>
      <c r="AB1" s="604" t="s">
        <v>210</v>
      </c>
      <c r="AC1" s="605">
        <v>10001005</v>
      </c>
      <c r="AD1" s="605">
        <v>10001005</v>
      </c>
      <c r="AE1" s="606" t="s">
        <v>211</v>
      </c>
      <c r="AF1" s="606" t="s">
        <v>212</v>
      </c>
      <c r="AG1" s="605">
        <v>10001005</v>
      </c>
      <c r="AH1" s="606" t="s">
        <v>184</v>
      </c>
      <c r="AI1" s="605">
        <v>10001005</v>
      </c>
      <c r="AJ1" s="606" t="s">
        <v>186</v>
      </c>
    </row>
    <row r="2" spans="1:36" s="2" customFormat="1" ht="15.75">
      <c r="A2" s="240" t="s">
        <v>437</v>
      </c>
      <c r="B2" s="288"/>
      <c r="C2" s="288"/>
      <c r="D2" s="288"/>
      <c r="E2" s="288"/>
      <c r="F2" s="288"/>
      <c r="G2" s="288"/>
      <c r="H2" s="288"/>
      <c r="AA2" s="607" t="s">
        <v>79</v>
      </c>
      <c r="AB2" s="608" t="s">
        <v>214</v>
      </c>
      <c r="AC2" s="609" t="s">
        <v>64</v>
      </c>
      <c r="AD2" s="609" t="s">
        <v>81</v>
      </c>
      <c r="AE2" s="610" t="s">
        <v>57</v>
      </c>
      <c r="AF2" s="606" t="s">
        <v>215</v>
      </c>
      <c r="AG2" s="609" t="s">
        <v>181</v>
      </c>
      <c r="AH2" s="610" t="s">
        <v>57</v>
      </c>
      <c r="AI2" s="611" t="s">
        <v>185</v>
      </c>
      <c r="AJ2" s="610" t="s">
        <v>187</v>
      </c>
    </row>
    <row r="3" spans="1:36" s="2" customFormat="1" ht="19.899999999999999" customHeight="1" thickBot="1">
      <c r="A3" s="1" t="s">
        <v>7</v>
      </c>
      <c r="B3" s="856" t="s">
        <v>316</v>
      </c>
      <c r="C3" s="857"/>
      <c r="D3" s="858"/>
      <c r="E3" s="860" t="s">
        <v>408</v>
      </c>
      <c r="F3" s="861"/>
      <c r="G3" s="862"/>
      <c r="H3" s="863" t="s">
        <v>318</v>
      </c>
      <c r="I3" s="864"/>
      <c r="J3" s="865"/>
      <c r="K3" s="856" t="s">
        <v>319</v>
      </c>
      <c r="L3" s="857"/>
      <c r="M3" s="858"/>
      <c r="N3" s="856" t="s">
        <v>407</v>
      </c>
      <c r="O3" s="857"/>
      <c r="P3" s="858"/>
      <c r="Q3" s="863" t="s">
        <v>321</v>
      </c>
      <c r="R3" s="864"/>
      <c r="S3" s="865"/>
      <c r="AA3" s="612"/>
      <c r="AB3" s="612"/>
      <c r="AC3" s="612"/>
      <c r="AD3" s="612"/>
      <c r="AE3" s="612"/>
      <c r="AF3" s="612"/>
      <c r="AG3" s="612"/>
      <c r="AH3" s="612"/>
      <c r="AI3" s="612"/>
      <c r="AJ3" s="612"/>
    </row>
    <row r="4" spans="1:36" s="4" customFormat="1">
      <c r="A4" s="5"/>
      <c r="B4" s="715" t="s">
        <v>432</v>
      </c>
      <c r="C4" s="775" t="s">
        <v>402</v>
      </c>
      <c r="D4" s="716" t="s">
        <v>432</v>
      </c>
      <c r="E4" s="304" t="s">
        <v>438</v>
      </c>
      <c r="F4" s="670" t="s">
        <v>402</v>
      </c>
      <c r="G4" s="306" t="str">
        <f>+D4</f>
        <v>21 Standard</v>
      </c>
      <c r="H4" s="715" t="s">
        <v>432</v>
      </c>
      <c r="I4" s="716" t="str">
        <f>+C4</f>
        <v>19 Actual</v>
      </c>
      <c r="J4" s="717" t="str">
        <f>+D4</f>
        <v>21 Standard</v>
      </c>
      <c r="K4" s="715" t="s">
        <v>432</v>
      </c>
      <c r="L4" s="716" t="s">
        <v>218</v>
      </c>
      <c r="M4" s="717" t="str">
        <f>+D4</f>
        <v>21 Standard</v>
      </c>
      <c r="N4" s="715" t="s">
        <v>432</v>
      </c>
      <c r="O4" s="716" t="s">
        <v>402</v>
      </c>
      <c r="P4" s="717" t="str">
        <f>+D4</f>
        <v>21 Standard</v>
      </c>
      <c r="Q4" s="715" t="s">
        <v>432</v>
      </c>
      <c r="R4" s="716" t="s">
        <v>218</v>
      </c>
      <c r="S4" s="717" t="str">
        <f>+D4</f>
        <v>21 Standard</v>
      </c>
      <c r="V4" s="530" t="s">
        <v>220</v>
      </c>
      <c r="W4" s="531" t="s">
        <v>183</v>
      </c>
      <c r="X4" s="532" t="s">
        <v>374</v>
      </c>
      <c r="AA4" s="613"/>
      <c r="AB4" s="613"/>
      <c r="AC4" s="613"/>
      <c r="AD4" s="613"/>
      <c r="AE4" s="613"/>
      <c r="AF4" s="613"/>
      <c r="AG4" s="613"/>
      <c r="AH4" s="613"/>
      <c r="AI4" s="613"/>
      <c r="AJ4" s="613"/>
    </row>
    <row r="5" spans="1:36" s="4" customFormat="1" ht="12.75">
      <c r="B5" s="718"/>
      <c r="C5" s="776" t="s">
        <v>401</v>
      </c>
      <c r="D5" s="720"/>
      <c r="E5" s="307"/>
      <c r="F5" s="394" t="s">
        <v>401</v>
      </c>
      <c r="G5" s="308"/>
      <c r="H5" s="718"/>
      <c r="I5" s="719" t="str">
        <f>+C5</f>
        <v>(Jan-Sept)</v>
      </c>
      <c r="J5" s="720"/>
      <c r="K5" s="718"/>
      <c r="L5" s="719" t="s">
        <v>221</v>
      </c>
      <c r="M5" s="720"/>
      <c r="N5" s="718"/>
      <c r="O5" s="719"/>
      <c r="P5" s="720"/>
      <c r="Q5" s="718"/>
      <c r="R5" s="719" t="s">
        <v>222</v>
      </c>
      <c r="S5" s="720"/>
      <c r="V5" s="309"/>
      <c r="W5" s="256"/>
      <c r="X5" s="310"/>
      <c r="AA5" s="614"/>
      <c r="AB5" s="612"/>
      <c r="AC5" s="615"/>
      <c r="AD5" s="613"/>
      <c r="AE5" s="613"/>
      <c r="AF5" s="613"/>
      <c r="AG5" s="615"/>
      <c r="AH5" s="613"/>
      <c r="AI5" s="615"/>
      <c r="AJ5" s="613"/>
    </row>
    <row r="6" spans="1:36">
      <c r="A6" s="6" t="s">
        <v>223</v>
      </c>
      <c r="B6" s="721">
        <f>E121</f>
        <v>0.18382013285525819</v>
      </c>
      <c r="C6" s="777">
        <v>0.16092997508923548</v>
      </c>
      <c r="D6" s="723">
        <v>0.16395289918884523</v>
      </c>
      <c r="E6" s="312">
        <f>G121</f>
        <v>0.1888436477955624</v>
      </c>
      <c r="F6" s="671">
        <v>0.15896740504648074</v>
      </c>
      <c r="G6" s="313">
        <v>0.13998073912350598</v>
      </c>
      <c r="H6" s="721"/>
      <c r="I6" s="722">
        <v>0.30191317244168803</v>
      </c>
      <c r="J6" s="723">
        <v>0.28067655000000002</v>
      </c>
      <c r="K6" s="721">
        <f>K121</f>
        <v>0.19651962793630773</v>
      </c>
      <c r="L6" s="722">
        <v>0.18307969415103262</v>
      </c>
      <c r="M6" s="723">
        <v>0.15362762099952701</v>
      </c>
      <c r="N6" s="721"/>
      <c r="O6" s="722">
        <v>0</v>
      </c>
      <c r="P6" s="723">
        <v>0</v>
      </c>
      <c r="Q6" s="721"/>
      <c r="R6" s="722">
        <v>0.15968840601565604</v>
      </c>
      <c r="S6" s="723">
        <v>0.14400712302208574</v>
      </c>
      <c r="V6" s="315">
        <f>($B6*$B$29+$E6*$E$29+$H6*$H$29+$K6*$K$29+$N6*$N$29+$Q6*$Q$29+$B37*$B$60+$E37*$E$60+$H37*$H$60+$K37*$K$60+$N37*$N$60+$Q37*$Q$60)/$B$64</f>
        <v>0.22071571753001293</v>
      </c>
      <c r="W6" s="249">
        <f>V6</f>
        <v>0.22071571753001293</v>
      </c>
      <c r="X6" s="316"/>
      <c r="AA6" s="614"/>
      <c r="AB6" s="612"/>
      <c r="AC6" s="616"/>
      <c r="AD6" s="612"/>
      <c r="AE6" s="612"/>
      <c r="AF6" s="612"/>
      <c r="AG6" s="616"/>
      <c r="AH6" s="612"/>
      <c r="AI6" s="616"/>
      <c r="AJ6" s="612"/>
    </row>
    <row r="7" spans="1:36">
      <c r="A7" s="500" t="s">
        <v>362</v>
      </c>
      <c r="B7" s="724">
        <f>$C100*D100</f>
        <v>0</v>
      </c>
      <c r="C7" s="778"/>
      <c r="D7" s="726">
        <v>0</v>
      </c>
      <c r="E7" s="317">
        <f>$C100*F100</f>
        <v>0</v>
      </c>
      <c r="F7" s="40"/>
      <c r="G7" s="318">
        <v>8.6431060398406367E-2</v>
      </c>
      <c r="H7" s="724"/>
      <c r="I7" s="725"/>
      <c r="J7" s="726">
        <v>0.22562455300000001</v>
      </c>
      <c r="K7" s="724">
        <f>$C100*J100</f>
        <v>0</v>
      </c>
      <c r="L7" s="725"/>
      <c r="M7" s="726">
        <v>9.4857323033265009E-2</v>
      </c>
      <c r="N7" s="724"/>
      <c r="O7" s="725"/>
      <c r="P7" s="726">
        <v>0</v>
      </c>
      <c r="Q7" s="724"/>
      <c r="R7" s="725"/>
      <c r="S7" s="726">
        <v>8.8917149785448915E-2</v>
      </c>
      <c r="V7" s="315">
        <v>0</v>
      </c>
      <c r="W7" s="249">
        <v>0</v>
      </c>
      <c r="X7" s="320"/>
      <c r="AA7" s="614"/>
      <c r="AB7" s="617"/>
      <c r="AC7" s="618"/>
      <c r="AD7" s="619"/>
      <c r="AE7" s="620"/>
      <c r="AF7" s="621"/>
      <c r="AG7" s="616"/>
      <c r="AH7" s="620"/>
      <c r="AI7" s="618"/>
      <c r="AJ7" s="622"/>
    </row>
    <row r="8" spans="1:36">
      <c r="A8" s="6" t="s">
        <v>373</v>
      </c>
      <c r="B8" s="724">
        <f>E122+E123</f>
        <v>4.3939979999999997E-2</v>
      </c>
      <c r="C8" s="778">
        <v>5.190379416087533E-2</v>
      </c>
      <c r="D8" s="726">
        <v>3.8078000000000001E-2</v>
      </c>
      <c r="E8" s="317">
        <f>G122+G123</f>
        <v>6.0015662025301911E-2</v>
      </c>
      <c r="F8" s="40">
        <v>5.3990670916334665E-2</v>
      </c>
      <c r="G8" s="318">
        <v>5.3042779181131469E-2</v>
      </c>
      <c r="H8" s="724"/>
      <c r="I8" s="725">
        <v>5.384575974113523E-2</v>
      </c>
      <c r="J8" s="726">
        <v>4.7107900000000008E-2</v>
      </c>
      <c r="K8" s="724">
        <f>K122+K123</f>
        <v>7.0148363999999991E-2</v>
      </c>
      <c r="L8" s="725">
        <v>7.1924562509853379E-2</v>
      </c>
      <c r="M8" s="726">
        <v>0.15903358032476744</v>
      </c>
      <c r="N8" s="724"/>
      <c r="O8" s="725">
        <v>0</v>
      </c>
      <c r="P8" s="726">
        <v>0</v>
      </c>
      <c r="Q8" s="724"/>
      <c r="R8" s="725">
        <v>7.2759576655744868E-2</v>
      </c>
      <c r="S8" s="726">
        <v>7.4666525309022111E-2</v>
      </c>
      <c r="V8" s="315">
        <f t="shared" ref="V8:V13" si="0">($B8*$B$29+$E8*$E$29+$H8*$H$29+$K8*$K$29+$N8*$N$29+$Q8*$Q$29+$B39*$B$60+$E39*$E$60+$H39*$H$60+$K39*$K$60+$N39*$N$60+$Q39*$Q$60)/$B$64</f>
        <v>5.9302804007250631E-2</v>
      </c>
      <c r="W8" s="249">
        <f>V8</f>
        <v>5.9302804007250631E-2</v>
      </c>
      <c r="X8" s="320">
        <f>V8-W8</f>
        <v>0</v>
      </c>
      <c r="AA8" s="614"/>
      <c r="AB8" s="617"/>
      <c r="AC8" s="618"/>
      <c r="AD8" s="619"/>
      <c r="AE8" s="620"/>
      <c r="AF8" s="621"/>
      <c r="AG8" s="616"/>
      <c r="AH8" s="620"/>
      <c r="AI8" s="618"/>
      <c r="AJ8" s="622"/>
    </row>
    <row r="9" spans="1:36">
      <c r="A9" s="6" t="s">
        <v>8</v>
      </c>
      <c r="B9" s="724">
        <f>E163</f>
        <v>1.0280976432887152E-2</v>
      </c>
      <c r="C9" s="778">
        <v>7.7075348490227361E-3</v>
      </c>
      <c r="D9" s="726">
        <v>5.9095494151563841E-3</v>
      </c>
      <c r="E9" s="317">
        <f>G163</f>
        <v>8.7749349843600551E-3</v>
      </c>
      <c r="F9" s="40">
        <v>6.4153676654595138E-3</v>
      </c>
      <c r="G9" s="318">
        <v>1.0135435073031706E-2</v>
      </c>
      <c r="H9" s="724"/>
      <c r="I9" s="725">
        <v>2.3850561798671555E-2</v>
      </c>
      <c r="J9" s="726">
        <v>1.0725999999999999E-2</v>
      </c>
      <c r="K9" s="724">
        <f>K163</f>
        <v>1.0280976432887152E-2</v>
      </c>
      <c r="L9" s="725">
        <v>1.9218863313889327E-2</v>
      </c>
      <c r="M9" s="726">
        <v>1.0135435073031706E-2</v>
      </c>
      <c r="N9" s="724"/>
      <c r="O9" s="725">
        <v>0</v>
      </c>
      <c r="P9" s="726">
        <v>0</v>
      </c>
      <c r="Q9" s="724"/>
      <c r="R9" s="725">
        <v>6.5255939569252705E-3</v>
      </c>
      <c r="S9" s="726">
        <v>1.0135435073031706E-2</v>
      </c>
      <c r="V9" s="315">
        <f t="shared" si="0"/>
        <v>8.6692394290197143E-3</v>
      </c>
      <c r="W9" s="249">
        <f t="shared" ref="W9:W13" si="1">V9</f>
        <v>8.6692394290197143E-3</v>
      </c>
      <c r="X9" s="320">
        <f t="shared" ref="X9:X13" si="2">V9-W9</f>
        <v>0</v>
      </c>
      <c r="AA9" s="614" t="s">
        <v>87</v>
      </c>
      <c r="AB9" s="617" t="s">
        <v>86</v>
      </c>
      <c r="AC9" s="618">
        <f>ROUND(((D163*B$29*1000)+(F163*E$29*1000)+(H163*H$29*1000)+(J163*K$29*1000)+(L163*N$29*1000)+(N163*Q$29*1000)+(D170*B$60*1000)+(F170*E$60*1000)+(H170*H$60*1000)+(J170*K$60*1000)+(L170*N$60*1000)+(N170*Q$60*1000))*$B163,0)</f>
        <v>241872</v>
      </c>
      <c r="AD9" s="619">
        <f>ROUND((D163*B$29*1000)+(F163*E$29*1000)+(H163*H$29*1000)+(J163*K$29*1000)+(L163*N$29*1000)+(N163*Q$29*1000)+(D170*B$60*1000)+(F170*E$60*1000)+(H170*H$60*1000)+(J170*K$60*1000)+(L170*N$60*1000)+(N170*Q$60*1000),0)</f>
        <v>1016844</v>
      </c>
      <c r="AE9" s="620">
        <f>AC9/AD9</f>
        <v>0.23786539528187214</v>
      </c>
      <c r="AF9" s="621">
        <f>ROUND(AD9/$B$64,3)</f>
        <v>36.445999999999998</v>
      </c>
      <c r="AG9" s="616">
        <f>ROUND(W9*$AC$29,0)</f>
        <v>241872</v>
      </c>
      <c r="AH9" s="620">
        <f>AG9/AD9</f>
        <v>0.23786539528187214</v>
      </c>
      <c r="AI9" s="618">
        <f>AC9-AG9</f>
        <v>0</v>
      </c>
      <c r="AJ9" s="622">
        <f>AH9*10000</f>
        <v>2378.6539528187213</v>
      </c>
    </row>
    <row r="10" spans="1:36">
      <c r="A10" s="2" t="s">
        <v>9</v>
      </c>
      <c r="B10" s="727">
        <f>E164</f>
        <v>1.6495208084606258E-6</v>
      </c>
      <c r="C10" s="778">
        <v>9.6524486957919454E-4</v>
      </c>
      <c r="D10" s="726">
        <v>1.3242333138821752E-3</v>
      </c>
      <c r="E10" s="317">
        <f>G164</f>
        <v>1.3349276314727923E-3</v>
      </c>
      <c r="F10" s="40">
        <v>8.8623983064966974E-4</v>
      </c>
      <c r="G10" s="318">
        <v>1.124759091389829E-3</v>
      </c>
      <c r="H10" s="724"/>
      <c r="I10" s="725">
        <v>1.1573682833829362E-3</v>
      </c>
      <c r="J10" s="726">
        <v>1.2600000000000001E-3</v>
      </c>
      <c r="K10" s="727">
        <f>K164</f>
        <v>1.6495208084606258E-6</v>
      </c>
      <c r="L10" s="725">
        <v>1.1031846129591675E-3</v>
      </c>
      <c r="M10" s="726">
        <v>1.124759091389829E-3</v>
      </c>
      <c r="N10" s="727"/>
      <c r="O10" s="725">
        <v>0</v>
      </c>
      <c r="P10" s="726">
        <v>0</v>
      </c>
      <c r="Q10" s="727"/>
      <c r="R10" s="725">
        <v>1.1625954512427511E-3</v>
      </c>
      <c r="S10" s="726">
        <v>1.124759091389829E-3</v>
      </c>
      <c r="V10" s="315">
        <f t="shared" si="0"/>
        <v>1.3734225183033655E-3</v>
      </c>
      <c r="W10" s="249">
        <f t="shared" si="1"/>
        <v>1.3734225183033655E-3</v>
      </c>
      <c r="X10" s="320">
        <f t="shared" si="2"/>
        <v>0</v>
      </c>
      <c r="AA10" s="614" t="s">
        <v>89</v>
      </c>
      <c r="AB10" s="617" t="s">
        <v>88</v>
      </c>
      <c r="AC10" s="618">
        <f>ROUND(((D164*B$29*1000)+(F164*E$29*1000)+(H164*H$29*1000)+(J164*K$29*1000)+(L164*N$29*1000)+(N164*Q$29*1000)+(D171*B$60*1000)+(F171*E$60*1000)+(H171*H$60*1000)+(J171*K$60*1000)+(L171*N$60*1000)+(N171*Q$60*1000))*$B164,0)</f>
        <v>38318</v>
      </c>
      <c r="AD10" s="619">
        <f>ROUND(((D164*B$29*1000)+(F164*E$29*1000)+(H164*H$29*1000)+(J164*K$29*1000)+(L164*N$29*1000)+(N164*Q$29*1000)+(D171*B$60*1000)+(F171*E$60*1000)+(H171*H$60*1000)+(J171*K$60*1000)+(L171*N$60*1000)+(N171*Q$60*1000))*1000,0)</f>
        <v>6836008027</v>
      </c>
      <c r="AE10" s="620">
        <f>AC10/AD10</f>
        <v>5.6053181694135542E-6</v>
      </c>
      <c r="AF10" s="621">
        <f>ROUND(AD10/$B$64,3)</f>
        <v>245018.209</v>
      </c>
      <c r="AG10" s="618">
        <f>ROUND(W10*$AC$29,0)</f>
        <v>38318</v>
      </c>
      <c r="AH10" s="620">
        <f>AG10/AD10</f>
        <v>5.6053181694135542E-6</v>
      </c>
      <c r="AI10" s="618">
        <f t="shared" ref="AI10:AI13" si="3">AC10-AG10</f>
        <v>0</v>
      </c>
      <c r="AJ10" s="622">
        <f t="shared" ref="AJ10:AJ13" si="4">AH10*10000</f>
        <v>5.6053181694135541E-2</v>
      </c>
    </row>
    <row r="11" spans="1:36">
      <c r="A11" s="6" t="s">
        <v>10</v>
      </c>
      <c r="B11" s="727">
        <f>$H$179</f>
        <v>4.3010752688172043E-3</v>
      </c>
      <c r="C11" s="778">
        <v>5.2601958836921477E-3</v>
      </c>
      <c r="D11" s="726">
        <v>6.0000000000000001E-3</v>
      </c>
      <c r="E11" s="323">
        <f>$H$179</f>
        <v>4.3010752688172043E-3</v>
      </c>
      <c r="F11" s="40">
        <v>5.124287625544087E-3</v>
      </c>
      <c r="G11" s="318">
        <v>8.670520231213872E-3</v>
      </c>
      <c r="H11" s="727"/>
      <c r="I11" s="725">
        <v>2.3215912931792065E-2</v>
      </c>
      <c r="J11" s="726">
        <v>9.9121126015991549E-3</v>
      </c>
      <c r="K11" s="727">
        <f>$H$179</f>
        <v>4.3010752688172043E-3</v>
      </c>
      <c r="L11" s="725">
        <v>2.6688593725366548E-2</v>
      </c>
      <c r="M11" s="726">
        <v>8.670520231213872E-3</v>
      </c>
      <c r="N11" s="727"/>
      <c r="O11" s="725">
        <v>0</v>
      </c>
      <c r="P11" s="726">
        <v>0</v>
      </c>
      <c r="Q11" s="727"/>
      <c r="R11" s="725">
        <v>1.6241103327255528E-2</v>
      </c>
      <c r="S11" s="726">
        <v>8.670520231213872E-3</v>
      </c>
      <c r="V11" s="315">
        <f t="shared" si="0"/>
        <v>4.3010752688172052E-3</v>
      </c>
      <c r="W11" s="249">
        <f t="shared" si="1"/>
        <v>4.3010752688172052E-3</v>
      </c>
      <c r="X11" s="320">
        <f t="shared" si="2"/>
        <v>0</v>
      </c>
      <c r="AA11" s="614" t="s">
        <v>91</v>
      </c>
      <c r="AB11" s="617" t="s">
        <v>90</v>
      </c>
      <c r="AC11" s="618">
        <f>ROUND(G179,0)</f>
        <v>120000</v>
      </c>
      <c r="AD11" s="612">
        <f>$B$64*1000</f>
        <v>27900000</v>
      </c>
      <c r="AE11" s="620">
        <f>AC11/AD11</f>
        <v>4.3010752688172043E-3</v>
      </c>
      <c r="AF11" s="621">
        <f>ROUND(AD11/$B$64,3)</f>
        <v>1000</v>
      </c>
      <c r="AG11" s="618">
        <f>ROUND(W11*$AC$29,0)</f>
        <v>120000</v>
      </c>
      <c r="AH11" s="620">
        <f>AG11/AD11</f>
        <v>4.3010752688172043E-3</v>
      </c>
      <c r="AI11" s="618">
        <f t="shared" si="3"/>
        <v>0</v>
      </c>
      <c r="AJ11" s="622">
        <f t="shared" si="4"/>
        <v>43.01075268817204</v>
      </c>
    </row>
    <row r="12" spans="1:36">
      <c r="A12" s="6" t="s">
        <v>11</v>
      </c>
      <c r="B12" s="727">
        <f>$H$182</f>
        <v>3.5842293906810036E-4</v>
      </c>
      <c r="C12" s="778">
        <v>2.8145605276015071E-4</v>
      </c>
      <c r="D12" s="726">
        <v>2E-3</v>
      </c>
      <c r="E12" s="323">
        <f>$H$182</f>
        <v>3.5842293906810036E-4</v>
      </c>
      <c r="F12" s="40">
        <v>1.6132370454116404E-4</v>
      </c>
      <c r="G12" s="318">
        <v>4.3352601156069364E-4</v>
      </c>
      <c r="H12" s="727"/>
      <c r="I12" s="725">
        <v>7.6914756979652537E-4</v>
      </c>
      <c r="J12" s="726">
        <v>4.956056300799577E-4</v>
      </c>
      <c r="K12" s="727">
        <f>$H$182</f>
        <v>3.5842293906810036E-4</v>
      </c>
      <c r="L12" s="725">
        <v>1.3365915182090493E-3</v>
      </c>
      <c r="M12" s="726">
        <v>4.3352601156069364E-4</v>
      </c>
      <c r="N12" s="727"/>
      <c r="O12" s="725">
        <v>0</v>
      </c>
      <c r="P12" s="726">
        <v>0</v>
      </c>
      <c r="Q12" s="727"/>
      <c r="R12" s="725">
        <v>5.3366327132144272E-4</v>
      </c>
      <c r="S12" s="726">
        <v>4.3352601156069364E-4</v>
      </c>
      <c r="V12" s="315">
        <f t="shared" si="0"/>
        <v>3.5842293906810036E-4</v>
      </c>
      <c r="W12" s="249">
        <f t="shared" si="1"/>
        <v>3.5842293906810036E-4</v>
      </c>
      <c r="X12" s="320">
        <f t="shared" si="2"/>
        <v>0</v>
      </c>
      <c r="AA12" s="614" t="s">
        <v>91</v>
      </c>
      <c r="AB12" s="617" t="s">
        <v>92</v>
      </c>
      <c r="AC12" s="618">
        <f>ROUND(G182,0)</f>
        <v>10000</v>
      </c>
      <c r="AD12" s="612">
        <f>$B$64*1000</f>
        <v>27900000</v>
      </c>
      <c r="AE12" s="620">
        <f>AC12/AD12</f>
        <v>3.5842293906810036E-4</v>
      </c>
      <c r="AF12" s="621">
        <f>ROUND(AD12/$B$64,3)</f>
        <v>1000</v>
      </c>
      <c r="AG12" s="618">
        <f>ROUND(W12*$AC$29,0)</f>
        <v>10000</v>
      </c>
      <c r="AH12" s="620">
        <f>AG12/AD12</f>
        <v>3.5842293906810036E-4</v>
      </c>
      <c r="AI12" s="618">
        <f t="shared" si="3"/>
        <v>0</v>
      </c>
      <c r="AJ12" s="622">
        <f t="shared" si="4"/>
        <v>3.5842293906810037</v>
      </c>
    </row>
    <row r="13" spans="1:36" ht="16.5">
      <c r="A13" s="6" t="s">
        <v>12</v>
      </c>
      <c r="B13" s="728">
        <f>$H$185</f>
        <v>5.3763440860215049E-3</v>
      </c>
      <c r="C13" s="779">
        <v>5.5392710451476149E-3</v>
      </c>
      <c r="D13" s="730">
        <v>6.0000000000000001E-3</v>
      </c>
      <c r="E13" s="324">
        <f>$H$185</f>
        <v>5.3763440860215049E-3</v>
      </c>
      <c r="F13" s="672">
        <v>4.7523717432735738E-3</v>
      </c>
      <c r="G13" s="325">
        <v>5.7803468208092491E-3</v>
      </c>
      <c r="H13" s="728"/>
      <c r="I13" s="729">
        <v>1.7048252551882647E-2</v>
      </c>
      <c r="J13" s="730">
        <v>6.6080750677327688E-3</v>
      </c>
      <c r="K13" s="728">
        <f>$H$185</f>
        <v>5.3763440860215049E-3</v>
      </c>
      <c r="L13" s="729">
        <v>2.682161437805455E-2</v>
      </c>
      <c r="M13" s="730">
        <v>5.7803468208092491E-3</v>
      </c>
      <c r="N13" s="728"/>
      <c r="O13" s="729">
        <v>0</v>
      </c>
      <c r="P13" s="730">
        <v>0</v>
      </c>
      <c r="Q13" s="728"/>
      <c r="R13" s="729">
        <v>5.9964108961792087E-3</v>
      </c>
      <c r="S13" s="730">
        <v>5.7803468208092491E-3</v>
      </c>
      <c r="V13" s="326">
        <f t="shared" si="0"/>
        <v>5.3763440860215041E-3</v>
      </c>
      <c r="W13" s="250">
        <f t="shared" si="1"/>
        <v>5.3763440860215041E-3</v>
      </c>
      <c r="X13" s="327">
        <f t="shared" si="2"/>
        <v>0</v>
      </c>
      <c r="AA13" s="614" t="s">
        <v>91</v>
      </c>
      <c r="AB13" s="617" t="s">
        <v>93</v>
      </c>
      <c r="AC13" s="623">
        <f>ROUND(G185,0)</f>
        <v>150000</v>
      </c>
      <c r="AD13" s="612">
        <f>$B$64*1000</f>
        <v>27900000</v>
      </c>
      <c r="AE13" s="620">
        <f>AC13/AD13</f>
        <v>5.3763440860215058E-3</v>
      </c>
      <c r="AF13" s="621">
        <f>ROUND(AD13/$B$64,3)</f>
        <v>1000</v>
      </c>
      <c r="AG13" s="623">
        <f>ROUND(W13*$AC$29,0)</f>
        <v>150000</v>
      </c>
      <c r="AH13" s="620">
        <f>AG13/AD13</f>
        <v>5.3763440860215058E-3</v>
      </c>
      <c r="AI13" s="623">
        <f t="shared" si="3"/>
        <v>0</v>
      </c>
      <c r="AJ13" s="622">
        <f t="shared" si="4"/>
        <v>53.763440860215056</v>
      </c>
    </row>
    <row r="14" spans="1:36">
      <c r="A14" s="328" t="s">
        <v>224</v>
      </c>
      <c r="B14" s="725">
        <f t="shared" ref="B14:R14" si="5">SUM(B6:B13)</f>
        <v>0.2480785811028606</v>
      </c>
      <c r="C14" s="778">
        <f t="shared" si="5"/>
        <v>0.23258747195031265</v>
      </c>
      <c r="D14" s="726">
        <f>SUM(D6:D13)</f>
        <v>0.22326468191788382</v>
      </c>
      <c r="E14" s="10">
        <f t="shared" si="5"/>
        <v>0.26900501473060395</v>
      </c>
      <c r="F14" s="40">
        <f t="shared" si="5"/>
        <v>0.23029766653228345</v>
      </c>
      <c r="G14" s="318">
        <v>0.30559916593104919</v>
      </c>
      <c r="H14" s="725"/>
      <c r="I14" s="725">
        <f t="shared" si="5"/>
        <v>0.42180017531834896</v>
      </c>
      <c r="J14" s="726">
        <f t="shared" si="5"/>
        <v>0.58241079629941195</v>
      </c>
      <c r="K14" s="725">
        <f t="shared" si="5"/>
        <v>0.28698646018391016</v>
      </c>
      <c r="L14" s="725">
        <f t="shared" si="5"/>
        <v>0.33017310420936458</v>
      </c>
      <c r="M14" s="726">
        <v>0.43366311158556486</v>
      </c>
      <c r="N14" s="725"/>
      <c r="O14" s="725">
        <f t="shared" si="5"/>
        <v>0</v>
      </c>
      <c r="P14" s="726">
        <f t="shared" si="5"/>
        <v>0</v>
      </c>
      <c r="Q14" s="725"/>
      <c r="R14" s="725">
        <f t="shared" si="5"/>
        <v>0.26290734957432504</v>
      </c>
      <c r="S14" s="726">
        <v>0.33373538534456215</v>
      </c>
      <c r="V14" s="315">
        <f>SUM(V6:V13)</f>
        <v>0.30009702577849345</v>
      </c>
      <c r="W14" s="249">
        <f>SUM(W6:W13)</f>
        <v>0.30009702577849345</v>
      </c>
      <c r="X14" s="320">
        <f>SUM(X6:X13)</f>
        <v>0</v>
      </c>
      <c r="AA14" s="614"/>
      <c r="AB14" s="617"/>
      <c r="AC14" s="618">
        <f>SUM(AC9:AC13)</f>
        <v>560190</v>
      </c>
      <c r="AD14" s="612"/>
      <c r="AE14" s="612"/>
      <c r="AF14" s="612"/>
      <c r="AG14" s="618">
        <f>SUM(AG9:AG13)</f>
        <v>560190</v>
      </c>
      <c r="AH14" s="612"/>
      <c r="AI14" s="618">
        <f>SUM(AI9:AI13)</f>
        <v>0</v>
      </c>
      <c r="AJ14" s="622"/>
    </row>
    <row r="15" spans="1:36" ht="7.15" customHeight="1">
      <c r="A15" s="514"/>
      <c r="B15" s="727"/>
      <c r="C15" s="778"/>
      <c r="D15" s="726"/>
      <c r="E15" s="323"/>
      <c r="F15" s="40"/>
      <c r="G15" s="318"/>
      <c r="H15" s="727"/>
      <c r="I15" s="725"/>
      <c r="J15" s="726"/>
      <c r="K15" s="727"/>
      <c r="L15" s="725"/>
      <c r="M15" s="726"/>
      <c r="N15" s="727"/>
      <c r="O15" s="725"/>
      <c r="P15" s="726"/>
      <c r="Q15" s="727"/>
      <c r="R15" s="725"/>
      <c r="S15" s="726"/>
      <c r="V15" s="315"/>
      <c r="W15" s="249"/>
      <c r="X15" s="320"/>
      <c r="AA15" s="614"/>
      <c r="AB15" s="617"/>
      <c r="AC15" s="618"/>
      <c r="AD15" s="612"/>
      <c r="AE15" s="612"/>
      <c r="AF15" s="612"/>
      <c r="AG15" s="618"/>
      <c r="AH15" s="612"/>
      <c r="AI15" s="618"/>
      <c r="AJ15" s="622"/>
    </row>
    <row r="16" spans="1:36">
      <c r="A16" s="6" t="s">
        <v>14</v>
      </c>
      <c r="B16" s="727">
        <f>$D$216/$B$64/1000</f>
        <v>2.314028749028749E-2</v>
      </c>
      <c r="C16" s="778">
        <v>1.8200142276386267E-2</v>
      </c>
      <c r="D16" s="726">
        <v>3.5940794790209792E-2</v>
      </c>
      <c r="E16" s="323">
        <f>$D$216/$B$64/1000</f>
        <v>2.314028749028749E-2</v>
      </c>
      <c r="F16" s="40">
        <v>2.0063712828685257E-2</v>
      </c>
      <c r="G16" s="318">
        <v>1.1741675249605885E-2</v>
      </c>
      <c r="H16" s="727"/>
      <c r="I16" s="725">
        <v>1.2521634745348524E-2</v>
      </c>
      <c r="J16" s="726">
        <v>1.4552450935042623E-2</v>
      </c>
      <c r="K16" s="727">
        <f>$D$216/$B$64/1000</f>
        <v>2.314028749028749E-2</v>
      </c>
      <c r="L16" s="725">
        <v>3.2785826895790633E-2</v>
      </c>
      <c r="M16" s="726">
        <v>1.1741675249605885E-2</v>
      </c>
      <c r="N16" s="727"/>
      <c r="O16" s="725">
        <v>0</v>
      </c>
      <c r="P16" s="726">
        <v>0</v>
      </c>
      <c r="Q16" s="727"/>
      <c r="R16" s="725">
        <v>1.3727222625885965E-2</v>
      </c>
      <c r="S16" s="726">
        <v>1.1741675249605885E-2</v>
      </c>
      <c r="V16" s="315">
        <f>($B16*$B$29+$E16*$E$29+$H16*$H$29+$K16*$K$29+$N16*$N$29+$Q16*$Q$29+$B47*$B$60+$E47*$E$60+$H47*$H$60+$K47*$K$60+$N47*$N$60+$Q47*$Q$60)/$B$64</f>
        <v>2.3140287490287487E-2</v>
      </c>
      <c r="W16" s="704">
        <f>+W24-W14</f>
        <v>2.9721495758770089E-2</v>
      </c>
      <c r="X16" s="320">
        <f t="shared" ref="X16:X21" si="6">V16-W16</f>
        <v>-6.5812082684826023E-3</v>
      </c>
      <c r="AA16" s="614" t="s">
        <v>95</v>
      </c>
      <c r="AB16" s="617" t="s">
        <v>94</v>
      </c>
      <c r="AC16" s="705">
        <f>ROUND(D214,0)</f>
        <v>670220</v>
      </c>
      <c r="AD16" s="612">
        <f>ROUND(B214,0)</f>
        <v>22000</v>
      </c>
      <c r="AE16" s="620">
        <f t="shared" ref="AE16:AE21" si="7">AC16/AD16</f>
        <v>30.464545454545455</v>
      </c>
      <c r="AF16" s="621">
        <f>ROUND(AD16/$B$64,3)</f>
        <v>0.78900000000000003</v>
      </c>
      <c r="AG16" s="618">
        <f t="shared" ref="AG16:AG21" si="8">ROUND(W16*$AC$29,0)</f>
        <v>829230</v>
      </c>
      <c r="AH16" s="620">
        <f t="shared" ref="AH16:AH21" si="9">AG16/AD16</f>
        <v>37.69227272727273</v>
      </c>
      <c r="AI16" s="618">
        <f t="shared" ref="AI16:AI21" si="10">AC16-AG16</f>
        <v>-159010</v>
      </c>
      <c r="AJ16" s="622">
        <f t="shared" ref="AJ16:AJ21" si="11">AH16*10000</f>
        <v>376922.72727272729</v>
      </c>
    </row>
    <row r="17" spans="1:36">
      <c r="A17" s="6" t="s">
        <v>15</v>
      </c>
      <c r="B17" s="727">
        <f>$G$216/$B$64/1000</f>
        <v>5.5727598566308245E-3</v>
      </c>
      <c r="C17" s="778">
        <v>4.8304191095260513E-3</v>
      </c>
      <c r="D17" s="726">
        <v>1.13712E-2</v>
      </c>
      <c r="E17" s="323">
        <f>$G$216/$B$64/1000</f>
        <v>5.5727598566308245E-3</v>
      </c>
      <c r="F17" s="40">
        <v>4.4471790908216062E-3</v>
      </c>
      <c r="G17" s="318">
        <v>4.1080924855491328E-3</v>
      </c>
      <c r="H17" s="727"/>
      <c r="I17" s="725">
        <v>4.4303097747335034E-3</v>
      </c>
      <c r="J17" s="726">
        <v>4.6963589506376791E-3</v>
      </c>
      <c r="K17" s="727">
        <f>$G$216/$B$64/1000</f>
        <v>5.5727598566308245E-3</v>
      </c>
      <c r="L17" s="725">
        <v>8.8578354091124068E-3</v>
      </c>
      <c r="M17" s="726">
        <v>4.1080924855491328E-3</v>
      </c>
      <c r="N17" s="727"/>
      <c r="O17" s="725">
        <v>0</v>
      </c>
      <c r="P17" s="726">
        <v>0</v>
      </c>
      <c r="Q17" s="727"/>
      <c r="R17" s="725">
        <v>1.6693747172449721E-3</v>
      </c>
      <c r="S17" s="726">
        <v>4.1080924855491328E-3</v>
      </c>
      <c r="V17" s="315">
        <f t="shared" ref="V17:V21" si="12">($B17*$B$29+$E17*$E$29+$H17*$H$29+$K17*$K$29+$N17*$N$29+$Q17*$Q$29+$B48*$B$60+$E48*$E$60+$H48*$H$60+$K48*$K$60+$N48*$N$60+$Q48*$Q$60)/$B$64</f>
        <v>5.5727598566308253E-3</v>
      </c>
      <c r="W17" s="249">
        <v>0</v>
      </c>
      <c r="X17" s="320">
        <f t="shared" si="6"/>
        <v>5.5727598566308253E-3</v>
      </c>
      <c r="AA17" s="614" t="s">
        <v>95</v>
      </c>
      <c r="AB17" s="617" t="s">
        <v>96</v>
      </c>
      <c r="AC17" s="705">
        <f>ROUND(G214,0)</f>
        <v>155480</v>
      </c>
      <c r="AD17" s="612">
        <f>ROUND(E214,0)</f>
        <v>4400</v>
      </c>
      <c r="AE17" s="620">
        <f t="shared" si="7"/>
        <v>35.336363636363636</v>
      </c>
      <c r="AF17" s="621">
        <f>ROUND(AD17/$B$64,3)</f>
        <v>0.158</v>
      </c>
      <c r="AG17" s="618">
        <f t="shared" si="8"/>
        <v>0</v>
      </c>
      <c r="AH17" s="620">
        <f t="shared" si="9"/>
        <v>0</v>
      </c>
      <c r="AI17" s="618">
        <f t="shared" si="10"/>
        <v>155480</v>
      </c>
      <c r="AJ17" s="622">
        <f t="shared" si="11"/>
        <v>0</v>
      </c>
    </row>
    <row r="18" spans="1:36">
      <c r="A18" s="6" t="s">
        <v>16</v>
      </c>
      <c r="B18" s="727">
        <f>$J$216/$B$64/1000</f>
        <v>1.0221704451462515E-2</v>
      </c>
      <c r="C18" s="778">
        <v>6.8508297256488276E-3</v>
      </c>
      <c r="D18" s="726">
        <v>1.4188877003496501E-2</v>
      </c>
      <c r="E18" s="323">
        <f>$J$216/$B$64/1000</f>
        <v>1.0221704451462515E-2</v>
      </c>
      <c r="F18" s="40">
        <v>5.9757404668890251E-3</v>
      </c>
      <c r="G18" s="318">
        <v>7.259843652712092E-3</v>
      </c>
      <c r="H18" s="727"/>
      <c r="I18" s="725">
        <v>1.4238166270196374E-2</v>
      </c>
      <c r="J18" s="726">
        <v>8.7651909820467295E-3</v>
      </c>
      <c r="K18" s="727">
        <f>$J$216/$B$64/1000</f>
        <v>1.0221704451462515E-2</v>
      </c>
      <c r="L18" s="725">
        <v>3.8686583635503702E-2</v>
      </c>
      <c r="M18" s="726">
        <v>7.259843652712092E-3</v>
      </c>
      <c r="N18" s="727"/>
      <c r="O18" s="725">
        <v>0</v>
      </c>
      <c r="P18" s="726">
        <v>0</v>
      </c>
      <c r="Q18" s="727"/>
      <c r="R18" s="725">
        <v>5.663317933180703E-3</v>
      </c>
      <c r="S18" s="726">
        <v>7.259843652712092E-3</v>
      </c>
      <c r="V18" s="315">
        <f t="shared" si="12"/>
        <v>1.0221704451462515E-2</v>
      </c>
      <c r="W18" s="249">
        <v>0</v>
      </c>
      <c r="X18" s="320">
        <f t="shared" si="6"/>
        <v>1.0221704451462515E-2</v>
      </c>
      <c r="AA18" s="614" t="s">
        <v>95</v>
      </c>
      <c r="AB18" s="617" t="s">
        <v>97</v>
      </c>
      <c r="AC18" s="705">
        <f>ROUND(J214,0)</f>
        <v>294186</v>
      </c>
      <c r="AD18" s="612">
        <f>ROUND(H214,0)</f>
        <v>26400</v>
      </c>
      <c r="AE18" s="620">
        <f t="shared" si="7"/>
        <v>11.14340909090909</v>
      </c>
      <c r="AF18" s="621">
        <f>ROUND(AD18/$B$64,3)</f>
        <v>0.94599999999999995</v>
      </c>
      <c r="AG18" s="618">
        <f t="shared" si="8"/>
        <v>0</v>
      </c>
      <c r="AH18" s="620">
        <f t="shared" si="9"/>
        <v>0</v>
      </c>
      <c r="AI18" s="618">
        <f t="shared" si="10"/>
        <v>294186</v>
      </c>
      <c r="AJ18" s="622">
        <f t="shared" si="11"/>
        <v>0</v>
      </c>
    </row>
    <row r="19" spans="1:36">
      <c r="A19" s="2" t="s">
        <v>17</v>
      </c>
      <c r="B19" s="727">
        <f>$E$243</f>
        <v>5.552688172043011E-3</v>
      </c>
      <c r="C19" s="778">
        <v>2.2776301313225766E-3</v>
      </c>
      <c r="D19" s="726">
        <v>0</v>
      </c>
      <c r="E19" s="323">
        <f>$E$243</f>
        <v>5.552688172043011E-3</v>
      </c>
      <c r="F19" s="40">
        <v>1.9225049068814621E-3</v>
      </c>
      <c r="G19" s="318">
        <v>2.4498520231213874E-3</v>
      </c>
      <c r="H19" s="727"/>
      <c r="I19" s="725">
        <v>9.2721692692489689E-3</v>
      </c>
      <c r="J19" s="726">
        <v>2.8006634507368004E-3</v>
      </c>
      <c r="K19" s="727">
        <f>$E$243</f>
        <v>5.552688172043011E-3</v>
      </c>
      <c r="L19" s="725">
        <v>1.2541660097745547E-2</v>
      </c>
      <c r="M19" s="726">
        <v>2.4498520231213874E-3</v>
      </c>
      <c r="N19" s="727"/>
      <c r="O19" s="725">
        <v>0</v>
      </c>
      <c r="P19" s="726">
        <v>0</v>
      </c>
      <c r="Q19" s="727"/>
      <c r="R19" s="725">
        <v>2.3710733038125658E-3</v>
      </c>
      <c r="S19" s="726">
        <v>2.4498520231213874E-3</v>
      </c>
      <c r="V19" s="315">
        <f t="shared" si="12"/>
        <v>5.5526881720430101E-3</v>
      </c>
      <c r="W19" s="249">
        <v>0</v>
      </c>
      <c r="X19" s="320">
        <f t="shared" si="6"/>
        <v>5.5526881720430101E-3</v>
      </c>
      <c r="AA19" s="614" t="s">
        <v>91</v>
      </c>
      <c r="AB19" s="617" t="s">
        <v>98</v>
      </c>
      <c r="AC19" s="618">
        <f>ROUND(C243,0)</f>
        <v>154920</v>
      </c>
      <c r="AD19" s="612">
        <f>$B$64*1000</f>
        <v>27900000</v>
      </c>
      <c r="AE19" s="620">
        <f t="shared" si="7"/>
        <v>5.552688172043011E-3</v>
      </c>
      <c r="AF19" s="621">
        <f>ROUND(AD19/$B$64,3)</f>
        <v>1000</v>
      </c>
      <c r="AG19" s="618">
        <f t="shared" si="8"/>
        <v>0</v>
      </c>
      <c r="AH19" s="620">
        <f t="shared" si="9"/>
        <v>0</v>
      </c>
      <c r="AI19" s="618">
        <f t="shared" si="10"/>
        <v>154920</v>
      </c>
      <c r="AJ19" s="622">
        <f t="shared" si="11"/>
        <v>0</v>
      </c>
    </row>
    <row r="20" spans="1:36">
      <c r="A20" s="2" t="s">
        <v>19</v>
      </c>
      <c r="B20" s="727">
        <f>$E$244</f>
        <v>4.0172043010752688E-3</v>
      </c>
      <c r="C20" s="778">
        <v>6.1012872106399337E-2</v>
      </c>
      <c r="D20" s="726">
        <v>1.0390480000000001E-2</v>
      </c>
      <c r="E20" s="323">
        <f>$E$244</f>
        <v>4.0172043010752688E-3</v>
      </c>
      <c r="F20" s="40">
        <v>5.149888380217553E-2</v>
      </c>
      <c r="G20" s="318">
        <v>6.3670520231213876E-2</v>
      </c>
      <c r="H20" s="727"/>
      <c r="I20" s="725">
        <v>0.24870656391536544</v>
      </c>
      <c r="J20" s="726">
        <v>7.2787946871076453E-2</v>
      </c>
      <c r="K20" s="727">
        <f>$E$244</f>
        <v>4.0172043010752688E-3</v>
      </c>
      <c r="L20" s="725">
        <v>0.34045175784329179</v>
      </c>
      <c r="M20" s="726">
        <v>6.3670520231213876E-2</v>
      </c>
      <c r="N20" s="727"/>
      <c r="O20" s="725">
        <v>0</v>
      </c>
      <c r="P20" s="726">
        <v>0</v>
      </c>
      <c r="Q20" s="727"/>
      <c r="R20" s="725">
        <v>6.4182394472396251E-2</v>
      </c>
      <c r="S20" s="726">
        <v>6.3670520231213876E-2</v>
      </c>
      <c r="V20" s="315">
        <f t="shared" si="12"/>
        <v>4.0172043010752688E-3</v>
      </c>
      <c r="W20" s="249">
        <f>W24-W14-W16-W17-W18-W19-W21</f>
        <v>0</v>
      </c>
      <c r="X20" s="320">
        <f t="shared" si="6"/>
        <v>4.0172043010752688E-3</v>
      </c>
      <c r="AA20" s="614" t="s">
        <v>91</v>
      </c>
      <c r="AB20" s="617" t="s">
        <v>100</v>
      </c>
      <c r="AC20" s="618">
        <f>ROUND(C244,0)</f>
        <v>112080</v>
      </c>
      <c r="AD20" s="612">
        <f>($B$29+$E$29+$H$29+$K$29+$N$29+B60+E60+H60+K60+N60)*1000</f>
        <v>27900000</v>
      </c>
      <c r="AE20" s="620">
        <f>AC20/AD20</f>
        <v>4.0172043010752688E-3</v>
      </c>
      <c r="AF20" s="621">
        <f>ROUND(AD20/($B$29+$E$29+$H$29+$K$29+$N$29+B60+E60+H60+K60+N60),3)</f>
        <v>1000</v>
      </c>
      <c r="AG20" s="618">
        <f t="shared" si="8"/>
        <v>0</v>
      </c>
      <c r="AH20" s="620">
        <f>AG20/AD20</f>
        <v>0</v>
      </c>
      <c r="AI20" s="618">
        <f>AC20-AG20</f>
        <v>112080</v>
      </c>
      <c r="AJ20" s="622">
        <f>AH20*10000</f>
        <v>0</v>
      </c>
    </row>
    <row r="21" spans="1:36" ht="16.5">
      <c r="A21" s="2" t="s">
        <v>18</v>
      </c>
      <c r="B21" s="728">
        <f>$E$245</f>
        <v>2.0176344086021505E-2</v>
      </c>
      <c r="C21" s="779">
        <v>1.5477890159406295E-2</v>
      </c>
      <c r="D21" s="730">
        <v>3.7630079999999996E-2</v>
      </c>
      <c r="E21" s="324">
        <f>$E$245</f>
        <v>2.0176344086021505E-2</v>
      </c>
      <c r="F21" s="672">
        <v>1.2959418954210666E-2</v>
      </c>
      <c r="G21" s="325">
        <v>1.4046242774566474E-2</v>
      </c>
      <c r="H21" s="728"/>
      <c r="I21" s="729">
        <v>6.4467031704184413E-2</v>
      </c>
      <c r="J21" s="730">
        <v>1.8172206436265118E-2</v>
      </c>
      <c r="K21" s="728">
        <f>$E$245</f>
        <v>2.0176344086021505E-2</v>
      </c>
      <c r="L21" s="729">
        <v>8.3528141258079766E-2</v>
      </c>
      <c r="M21" s="730">
        <v>1.4046242774566474E-2</v>
      </c>
      <c r="N21" s="728"/>
      <c r="O21" s="729">
        <v>0</v>
      </c>
      <c r="P21" s="730">
        <v>0</v>
      </c>
      <c r="Q21" s="728"/>
      <c r="R21" s="729">
        <v>1.5675971649095871E-2</v>
      </c>
      <c r="S21" s="730">
        <v>1.4046242774566474E-2</v>
      </c>
      <c r="V21" s="326">
        <f t="shared" si="12"/>
        <v>2.0176344086021505E-2</v>
      </c>
      <c r="W21" s="250">
        <f>W24-W14-W16-W17-W18-W19</f>
        <v>0</v>
      </c>
      <c r="X21" s="327">
        <f t="shared" si="6"/>
        <v>2.0176344086021505E-2</v>
      </c>
      <c r="AA21" s="614" t="s">
        <v>91</v>
      </c>
      <c r="AB21" s="617" t="s">
        <v>99</v>
      </c>
      <c r="AC21" s="623">
        <f>ROUND(C245,0)</f>
        <v>562920</v>
      </c>
      <c r="AD21" s="612">
        <f>$B$64*1000</f>
        <v>27900000</v>
      </c>
      <c r="AE21" s="620">
        <f t="shared" si="7"/>
        <v>2.0176344086021505E-2</v>
      </c>
      <c r="AF21" s="621">
        <f>ROUND(AD21/$B$64,3)</f>
        <v>1000</v>
      </c>
      <c r="AG21" s="623">
        <f t="shared" si="8"/>
        <v>0</v>
      </c>
      <c r="AH21" s="620">
        <f t="shared" si="9"/>
        <v>0</v>
      </c>
      <c r="AI21" s="623">
        <f t="shared" si="10"/>
        <v>562920</v>
      </c>
      <c r="AJ21" s="622">
        <f t="shared" si="11"/>
        <v>0</v>
      </c>
    </row>
    <row r="22" spans="1:36" ht="16.5">
      <c r="A22" s="328" t="s">
        <v>225</v>
      </c>
      <c r="B22" s="727">
        <f t="shared" ref="B22:K22" si="13">SUM(B16:B21)</f>
        <v>6.8680988357520623E-2</v>
      </c>
      <c r="C22" s="778">
        <f t="shared" si="13"/>
        <v>0.10864978350868934</v>
      </c>
      <c r="D22" s="726">
        <f>SUM(D16:D21)</f>
        <v>0.10952143179370628</v>
      </c>
      <c r="E22" s="323">
        <f t="shared" si="13"/>
        <v>6.8680988357520623E-2</v>
      </c>
      <c r="F22" s="40">
        <f t="shared" si="13"/>
        <v>9.686744004966355E-2</v>
      </c>
      <c r="G22" s="318">
        <v>0.10327622641676884</v>
      </c>
      <c r="H22" s="727"/>
      <c r="I22" s="725">
        <f t="shared" ref="I22:J22" si="14">SUM(I16:I21)</f>
        <v>0.35363587567907728</v>
      </c>
      <c r="J22" s="726">
        <f t="shared" si="14"/>
        <v>0.1217748176258054</v>
      </c>
      <c r="K22" s="727">
        <f t="shared" si="13"/>
        <v>6.8680988357520623E-2</v>
      </c>
      <c r="L22" s="725">
        <f t="shared" ref="L22:P22" si="15">SUM(L16:L21)</f>
        <v>0.51685180513952378</v>
      </c>
      <c r="M22" s="726">
        <v>0.10327622641676884</v>
      </c>
      <c r="N22" s="727"/>
      <c r="O22" s="725">
        <f t="shared" si="15"/>
        <v>0</v>
      </c>
      <c r="P22" s="726">
        <f t="shared" si="15"/>
        <v>0</v>
      </c>
      <c r="Q22" s="727"/>
      <c r="R22" s="725">
        <f t="shared" ref="R22" si="16">SUM(R16:R21)</f>
        <v>0.10328935470161633</v>
      </c>
      <c r="S22" s="726">
        <v>0.10327622641676884</v>
      </c>
      <c r="V22" s="315">
        <f>SUM(V16:V21)</f>
        <v>6.8680988357520609E-2</v>
      </c>
      <c r="W22" s="249">
        <f>SUM(W16:W21)</f>
        <v>2.9721495758770089E-2</v>
      </c>
      <c r="X22" s="320">
        <f>SUM(X16:X21)</f>
        <v>3.895949259875052E-2</v>
      </c>
      <c r="AA22" s="624"/>
      <c r="AB22" s="625"/>
      <c r="AC22" s="623">
        <f>SUM(AC16:AC21)</f>
        <v>1949806</v>
      </c>
      <c r="AD22" s="626"/>
      <c r="AE22" s="612"/>
      <c r="AF22" s="612"/>
      <c r="AG22" s="623">
        <f>SUM(AG16:AG21)</f>
        <v>829230</v>
      </c>
      <c r="AH22" s="612"/>
      <c r="AI22" s="623">
        <f>SUM(AI16:AI21)</f>
        <v>1120576</v>
      </c>
      <c r="AJ22" s="612"/>
    </row>
    <row r="23" spans="1:36">
      <c r="A23" s="509"/>
      <c r="B23" s="727"/>
      <c r="C23" s="725"/>
      <c r="D23" s="726"/>
      <c r="E23" s="323"/>
      <c r="F23" s="40"/>
      <c r="G23" s="318"/>
      <c r="H23" s="727"/>
      <c r="I23" s="725"/>
      <c r="J23" s="726"/>
      <c r="K23" s="727"/>
      <c r="L23" s="725"/>
      <c r="M23" s="726"/>
      <c r="N23" s="727"/>
      <c r="O23" s="725"/>
      <c r="P23" s="726"/>
      <c r="Q23" s="727"/>
      <c r="R23" s="725"/>
      <c r="S23" s="726"/>
      <c r="V23" s="315"/>
      <c r="W23" s="249"/>
      <c r="X23" s="320"/>
      <c r="AA23" s="866" t="s">
        <v>226</v>
      </c>
      <c r="AB23" s="866"/>
      <c r="AC23" s="627">
        <f>AC14+AC22</f>
        <v>2509996</v>
      </c>
      <c r="AD23" s="626"/>
      <c r="AE23" s="612"/>
      <c r="AF23" s="612"/>
      <c r="AG23" s="627">
        <f>AG14+AG22</f>
        <v>1389420</v>
      </c>
      <c r="AH23" s="612"/>
      <c r="AI23" s="628">
        <f>AI14+AI22</f>
        <v>1120576</v>
      </c>
      <c r="AJ23" s="612"/>
    </row>
    <row r="24" spans="1:36" ht="15.75" thickBot="1">
      <c r="A24" s="526" t="s">
        <v>365</v>
      </c>
      <c r="B24" s="731">
        <f t="shared" ref="B24:P24" si="17">B14+B22</f>
        <v>0.3167595694603812</v>
      </c>
      <c r="C24" s="732">
        <f t="shared" si="17"/>
        <v>0.34123725545900196</v>
      </c>
      <c r="D24" s="733">
        <f t="shared" si="17"/>
        <v>0.33278611371159011</v>
      </c>
      <c r="E24" s="502">
        <f t="shared" si="17"/>
        <v>0.33768600308812458</v>
      </c>
      <c r="F24" s="769">
        <f t="shared" si="17"/>
        <v>0.32716510658194697</v>
      </c>
      <c r="G24" s="504">
        <f t="shared" si="17"/>
        <v>0.408875392347818</v>
      </c>
      <c r="H24" s="731">
        <f t="shared" si="17"/>
        <v>0</v>
      </c>
      <c r="I24" s="732">
        <f t="shared" si="17"/>
        <v>0.7754360509974263</v>
      </c>
      <c r="J24" s="733">
        <f t="shared" si="17"/>
        <v>0.70418561392521739</v>
      </c>
      <c r="K24" s="731">
        <f t="shared" si="17"/>
        <v>0.35566744854143079</v>
      </c>
      <c r="L24" s="732">
        <f t="shared" si="17"/>
        <v>0.84702490934888841</v>
      </c>
      <c r="M24" s="733">
        <f t="shared" si="17"/>
        <v>0.53693933800233373</v>
      </c>
      <c r="N24" s="731">
        <f t="shared" si="17"/>
        <v>0</v>
      </c>
      <c r="O24" s="732">
        <f t="shared" si="17"/>
        <v>0</v>
      </c>
      <c r="P24" s="733">
        <f t="shared" si="17"/>
        <v>0</v>
      </c>
      <c r="Q24" s="731">
        <f>Q14+Q22</f>
        <v>0</v>
      </c>
      <c r="R24" s="732">
        <f t="shared" ref="R24:S24" si="18">R14+R22</f>
        <v>0.36619670427594136</v>
      </c>
      <c r="S24" s="733">
        <f t="shared" si="18"/>
        <v>0.43701161176133096</v>
      </c>
      <c r="V24" s="333">
        <f>V14+V22</f>
        <v>0.36877801413601408</v>
      </c>
      <c r="W24" s="334">
        <f>0.0498+V6+V7+V8</f>
        <v>0.32981852153726354</v>
      </c>
      <c r="X24" s="335">
        <f>X14+X22</f>
        <v>3.895949259875052E-2</v>
      </c>
      <c r="AA24" s="866" t="s">
        <v>227</v>
      </c>
      <c r="AB24" s="866"/>
      <c r="AC24" s="629">
        <f>ROUND(AC23/AC29,5)</f>
        <v>8.9959999999999998E-2</v>
      </c>
      <c r="AD24" s="630"/>
      <c r="AE24" s="612"/>
      <c r="AF24" s="612"/>
      <c r="AG24" s="629">
        <f>ROUND(AG23/AC29,5)</f>
        <v>4.9799999999999997E-2</v>
      </c>
      <c r="AH24" s="612"/>
      <c r="AI24" s="629">
        <f>ROUND(AI23/AC29,5)</f>
        <v>4.0160000000000001E-2</v>
      </c>
      <c r="AJ24" s="612"/>
    </row>
    <row r="25" spans="1:36">
      <c r="A25" s="501" t="s">
        <v>368</v>
      </c>
      <c r="B25" s="734">
        <f>-B7</f>
        <v>0</v>
      </c>
      <c r="C25" s="735"/>
      <c r="D25" s="736">
        <v>0</v>
      </c>
      <c r="E25" s="494">
        <f>-E7</f>
        <v>0</v>
      </c>
      <c r="F25" s="770"/>
      <c r="G25" s="498">
        <v>-2.8073919999999999E-2</v>
      </c>
      <c r="H25" s="734">
        <f>-H7</f>
        <v>0</v>
      </c>
      <c r="I25" s="735"/>
      <c r="J25" s="736">
        <v>-0.22562455300000001</v>
      </c>
      <c r="K25" s="734">
        <f>-K7</f>
        <v>0</v>
      </c>
      <c r="L25" s="735"/>
      <c r="M25" s="736">
        <v>-2.8869620053602395E-2</v>
      </c>
      <c r="N25" s="734">
        <f>-N7</f>
        <v>0</v>
      </c>
      <c r="O25" s="735"/>
      <c r="P25" s="736"/>
      <c r="Q25" s="734">
        <f>-Q7</f>
        <v>0</v>
      </c>
      <c r="R25" s="735"/>
      <c r="S25" s="736">
        <v>-2.7061741239049669E-2</v>
      </c>
      <c r="V25" s="499">
        <v>0</v>
      </c>
      <c r="W25" s="493"/>
      <c r="X25" s="493"/>
      <c r="AA25" s="631"/>
      <c r="AB25" s="631"/>
      <c r="AC25" s="629"/>
      <c r="AD25" s="630"/>
      <c r="AE25" s="612"/>
      <c r="AF25" s="612"/>
      <c r="AG25" s="629"/>
      <c r="AH25" s="612"/>
      <c r="AI25" s="629"/>
      <c r="AJ25" s="612"/>
    </row>
    <row r="26" spans="1:36">
      <c r="A26" s="328" t="s">
        <v>367</v>
      </c>
      <c r="B26" s="727">
        <f t="shared" ref="B26:S26" si="19">IF(B9+B10+B11+B12+B13+B22&gt;0.0498,0.0498-B9-B10-B11-B12-B13-B22,0)</f>
        <v>-3.9199456605123043E-2</v>
      </c>
      <c r="C26" s="737">
        <v>-7.9184631924661131E-2</v>
      </c>
      <c r="D26" s="726">
        <v>-8.1000000000000003E-2</v>
      </c>
      <c r="E26" s="323">
        <f>IF(E9+E10+E11+E12+E13+E22&gt;0.0498,0.0498-E9-E10-E11-E12-E13-E22,0)</f>
        <v>-3.9026693267260285E-2</v>
      </c>
      <c r="F26" s="771">
        <f t="shared" si="19"/>
        <v>-6.4407030619131556E-2</v>
      </c>
      <c r="G26" s="318">
        <f t="shared" si="19"/>
        <v>-7.9620813644774191E-2</v>
      </c>
      <c r="H26" s="727">
        <f>IF(H9+H10+H11+H12+H13+H22&gt;0.0498,0.0498-H9-H10-H11-H12-H13-H22,0)</f>
        <v>0</v>
      </c>
      <c r="I26" s="737">
        <v>-0.36723742753134692</v>
      </c>
      <c r="J26" s="726">
        <f t="shared" si="19"/>
        <v>-0.10097661092521729</v>
      </c>
      <c r="K26" s="727">
        <f t="shared" si="19"/>
        <v>-3.9199456605123043E-2</v>
      </c>
      <c r="L26" s="737">
        <f t="shared" si="19"/>
        <v>-0.54222065268800246</v>
      </c>
      <c r="M26" s="726">
        <f t="shared" si="19"/>
        <v>-7.9620813644774191E-2</v>
      </c>
      <c r="N26" s="727">
        <f t="shared" si="19"/>
        <v>0</v>
      </c>
      <c r="O26" s="737">
        <f t="shared" si="19"/>
        <v>0</v>
      </c>
      <c r="P26" s="726">
        <f t="shared" si="19"/>
        <v>0</v>
      </c>
      <c r="Q26" s="727">
        <f t="shared" si="19"/>
        <v>0</v>
      </c>
      <c r="R26" s="737">
        <f t="shared" si="19"/>
        <v>-8.3948721604540533E-2</v>
      </c>
      <c r="S26" s="726">
        <f t="shared" si="19"/>
        <v>-7.9620813644774191E-2</v>
      </c>
      <c r="V26" s="499">
        <f>($B26*$B$29+$E26*$E$29+$H26*$H$29+$K26*$K$29+$N26*$N$29+$Q26*$Q$29+$B57*$B$60+$E57*$E$60+$H57*$H$60+$K57*$K$60+$N57*$N$60+$Q57*$Q$60)/$B$64</f>
        <v>-3.895949259875052E-2</v>
      </c>
      <c r="W26" s="495"/>
      <c r="X26" s="495"/>
      <c r="AA26" s="612"/>
      <c r="AB26" s="612"/>
      <c r="AC26" s="632"/>
      <c r="AD26" s="625"/>
      <c r="AE26" s="612"/>
      <c r="AF26" s="612"/>
      <c r="AG26" s="632"/>
      <c r="AH26" s="612"/>
      <c r="AI26" s="632"/>
      <c r="AJ26" s="612"/>
    </row>
    <row r="27" spans="1:36" ht="15.75" thickBot="1">
      <c r="A27" s="526" t="s">
        <v>366</v>
      </c>
      <c r="B27" s="731">
        <f t="shared" ref="B27:S27" si="20">SUM(B24:B26)</f>
        <v>0.27756011285525817</v>
      </c>
      <c r="C27" s="732">
        <f t="shared" si="20"/>
        <v>0.26205262353434083</v>
      </c>
      <c r="D27" s="733">
        <f t="shared" si="20"/>
        <v>0.2517861137115901</v>
      </c>
      <c r="E27" s="502">
        <f t="shared" si="20"/>
        <v>0.2986593098208643</v>
      </c>
      <c r="F27" s="769">
        <f t="shared" si="20"/>
        <v>0.26275807596281542</v>
      </c>
      <c r="G27" s="504">
        <f t="shared" si="20"/>
        <v>0.30118065870304384</v>
      </c>
      <c r="H27" s="731">
        <f t="shared" si="20"/>
        <v>0</v>
      </c>
      <c r="I27" s="732">
        <f t="shared" si="20"/>
        <v>0.40819862346607938</v>
      </c>
      <c r="J27" s="733">
        <f t="shared" si="20"/>
        <v>0.37758445000000007</v>
      </c>
      <c r="K27" s="731">
        <f t="shared" si="20"/>
        <v>0.31646799193630776</v>
      </c>
      <c r="L27" s="732">
        <f t="shared" si="20"/>
        <v>0.30480425666088595</v>
      </c>
      <c r="M27" s="733">
        <f t="shared" si="20"/>
        <v>0.42844890430395716</v>
      </c>
      <c r="N27" s="731">
        <f t="shared" si="20"/>
        <v>0</v>
      </c>
      <c r="O27" s="732">
        <f t="shared" si="20"/>
        <v>0</v>
      </c>
      <c r="P27" s="733">
        <f t="shared" si="20"/>
        <v>0</v>
      </c>
      <c r="Q27" s="731">
        <f t="shared" si="20"/>
        <v>0</v>
      </c>
      <c r="R27" s="732">
        <f t="shared" si="20"/>
        <v>0.28224798267140083</v>
      </c>
      <c r="S27" s="733">
        <f t="shared" si="20"/>
        <v>0.33032905687750708</v>
      </c>
      <c r="V27" s="333">
        <f>SUM(V24:V26)</f>
        <v>0.32981852153726354</v>
      </c>
      <c r="W27" s="334"/>
      <c r="X27" s="335"/>
      <c r="AA27" s="866"/>
      <c r="AB27" s="866"/>
      <c r="AC27" s="629"/>
      <c r="AD27" s="630"/>
      <c r="AE27" s="612"/>
      <c r="AF27" s="612"/>
      <c r="AG27" s="629"/>
      <c r="AH27" s="612"/>
      <c r="AI27" s="629"/>
      <c r="AJ27" s="612"/>
    </row>
    <row r="28" spans="1:36" ht="15.75" thickBot="1">
      <c r="A28" s="509"/>
      <c r="B28" s="738"/>
      <c r="C28" s="712"/>
      <c r="D28" s="739"/>
      <c r="E28" s="558"/>
      <c r="F28" s="1"/>
      <c r="G28" s="25"/>
      <c r="H28" s="738"/>
      <c r="I28" s="712"/>
      <c r="J28" s="739"/>
      <c r="K28" s="738"/>
      <c r="L28" s="712"/>
      <c r="M28" s="739"/>
      <c r="N28" s="738"/>
      <c r="O28" s="712"/>
      <c r="P28" s="739"/>
      <c r="Q28" s="738"/>
      <c r="R28" s="712"/>
      <c r="S28" s="739"/>
      <c r="AA28" s="866" t="s">
        <v>228</v>
      </c>
      <c r="AB28" s="866"/>
      <c r="AC28" s="629">
        <f>ROUND((AC24+(B8*B29+E8*E29+H8*H29+K8*K29+N8*N29+Q8*Q29+B39*B60+E39*E60+H39*H60)/B64),5)</f>
        <v>0.14926</v>
      </c>
      <c r="AD28" s="624"/>
      <c r="AE28" s="612"/>
      <c r="AF28" s="612"/>
      <c r="AG28" s="629">
        <f>ROUND(AG24+W8,5)</f>
        <v>0.1091</v>
      </c>
      <c r="AH28" s="612"/>
      <c r="AI28" s="629">
        <f>ROUND(AI24+X8,5)</f>
        <v>4.0160000000000001E-2</v>
      </c>
      <c r="AJ28" s="612"/>
    </row>
    <row r="29" spans="1:36" ht="15.75" thickBot="1">
      <c r="A29" s="526" t="s">
        <v>392</v>
      </c>
      <c r="B29" s="740">
        <v>0</v>
      </c>
      <c r="C29" s="741">
        <v>15431</v>
      </c>
      <c r="D29" s="742">
        <v>3000</v>
      </c>
      <c r="E29" s="517">
        <v>21000</v>
      </c>
      <c r="F29" s="772">
        <v>9412</v>
      </c>
      <c r="G29" s="519">
        <v>10000</v>
      </c>
      <c r="H29" s="740">
        <v>0</v>
      </c>
      <c r="I29" s="741">
        <v>74</v>
      </c>
      <c r="J29" s="742">
        <v>0</v>
      </c>
      <c r="K29" s="740">
        <f>+B84</f>
        <v>0</v>
      </c>
      <c r="L29" s="741">
        <v>254</v>
      </c>
      <c r="M29" s="742">
        <v>1000</v>
      </c>
      <c r="N29" s="740">
        <f>$B$85</f>
        <v>0</v>
      </c>
      <c r="O29" s="741">
        <v>0</v>
      </c>
      <c r="P29" s="742">
        <v>0</v>
      </c>
      <c r="Q29" s="740">
        <v>0</v>
      </c>
      <c r="R29" s="741">
        <v>3647.15</v>
      </c>
      <c r="S29" s="742">
        <v>1300</v>
      </c>
      <c r="V29" s="339">
        <f>B29+E29+H29+K29+N29+Q29+B60+E60+H60+K60+N60+Q60</f>
        <v>27900</v>
      </c>
      <c r="AA29" s="867" t="s">
        <v>215</v>
      </c>
      <c r="AB29" s="867"/>
      <c r="AC29" s="633">
        <f>ROUND($B$64*1000,0)</f>
        <v>27900000</v>
      </c>
      <c r="AD29" s="624"/>
      <c r="AE29" s="612"/>
      <c r="AF29" s="612"/>
      <c r="AG29" s="631"/>
      <c r="AH29" s="612"/>
      <c r="AI29" s="631"/>
      <c r="AJ29" s="612"/>
    </row>
    <row r="30" spans="1:36">
      <c r="A30" s="505"/>
      <c r="B30" s="743"/>
      <c r="C30" s="744"/>
      <c r="D30" s="745"/>
      <c r="E30" s="557"/>
      <c r="F30" s="4"/>
      <c r="G30" s="561"/>
      <c r="H30" s="743"/>
      <c r="I30" s="744"/>
      <c r="J30" s="745"/>
      <c r="K30" s="743"/>
      <c r="L30" s="744"/>
      <c r="M30" s="745"/>
      <c r="N30" s="743"/>
      <c r="O30" s="744"/>
      <c r="P30" s="745"/>
      <c r="Q30" s="743"/>
      <c r="R30" s="744"/>
      <c r="S30" s="745"/>
      <c r="AA30" s="341"/>
      <c r="AB30" s="341"/>
      <c r="AC30" s="342"/>
      <c r="AD30" s="1"/>
      <c r="AG30" s="176"/>
      <c r="AI30" s="176"/>
    </row>
    <row r="31" spans="1:36">
      <c r="A31" s="564"/>
      <c r="B31" s="502"/>
      <c r="C31" s="543"/>
      <c r="D31" s="556"/>
      <c r="E31" s="502"/>
      <c r="F31" s="543"/>
      <c r="G31" s="504"/>
      <c r="H31" s="502"/>
      <c r="I31" s="543"/>
      <c r="J31" s="556"/>
      <c r="K31" s="502"/>
      <c r="L31" s="543"/>
      <c r="M31" s="556"/>
      <c r="N31" s="502"/>
      <c r="O31" s="543"/>
      <c r="P31" s="504"/>
      <c r="Q31" s="502"/>
      <c r="R31" s="543"/>
      <c r="S31" s="556"/>
      <c r="AA31" s="341"/>
      <c r="AB31" s="341"/>
      <c r="AC31" s="342"/>
      <c r="AD31" s="1"/>
      <c r="AG31" s="176"/>
      <c r="AI31" s="176"/>
    </row>
    <row r="32" spans="1:36">
      <c r="A32" s="505"/>
      <c r="B32" s="515"/>
      <c r="C32" s="507"/>
      <c r="D32" s="507"/>
      <c r="E32" s="509"/>
      <c r="F32" s="509"/>
      <c r="G32" s="509"/>
      <c r="H32" s="516"/>
      <c r="I32" s="509"/>
      <c r="J32" s="509"/>
      <c r="K32" s="509"/>
      <c r="L32" s="509"/>
      <c r="M32" s="509"/>
      <c r="N32" s="509"/>
      <c r="O32" s="509"/>
      <c r="P32" s="509"/>
      <c r="Q32" s="509"/>
      <c r="R32" s="509"/>
      <c r="S32" s="509"/>
      <c r="AA32" s="341"/>
      <c r="AB32" s="341"/>
      <c r="AC32" s="342"/>
      <c r="AD32" s="1"/>
      <c r="AG32" s="176"/>
      <c r="AI32" s="176"/>
    </row>
    <row r="33" spans="1:35">
      <c r="A33" s="505"/>
      <c r="B33" s="515"/>
      <c r="C33" s="507"/>
      <c r="D33" s="507"/>
      <c r="E33" s="509"/>
      <c r="F33" s="509"/>
      <c r="G33" s="509"/>
      <c r="H33" s="516"/>
      <c r="I33" s="509"/>
      <c r="J33" s="509"/>
      <c r="K33" s="509"/>
      <c r="L33" s="509"/>
      <c r="M33" s="509"/>
      <c r="N33" s="509"/>
      <c r="O33" s="509"/>
      <c r="P33" s="509"/>
      <c r="Q33" s="509"/>
      <c r="R33" s="509"/>
      <c r="S33" s="509"/>
      <c r="AA33" s="341"/>
      <c r="AB33" s="341"/>
      <c r="AC33" s="342"/>
      <c r="AD33" s="1"/>
      <c r="AG33" s="176"/>
      <c r="AI33" s="176"/>
    </row>
    <row r="34" spans="1:35" ht="16.899999999999999" customHeight="1">
      <c r="A34" s="340"/>
      <c r="B34" s="860" t="s">
        <v>322</v>
      </c>
      <c r="C34" s="861"/>
      <c r="D34" s="862"/>
      <c r="E34" s="860" t="s">
        <v>323</v>
      </c>
      <c r="F34" s="861"/>
      <c r="G34" s="862"/>
      <c r="H34" s="860" t="s">
        <v>400</v>
      </c>
      <c r="I34" s="861"/>
      <c r="J34" s="862"/>
      <c r="K34" s="863" t="s">
        <v>325</v>
      </c>
      <c r="L34" s="864"/>
      <c r="M34" s="865"/>
      <c r="N34" s="856" t="s">
        <v>407</v>
      </c>
      <c r="O34" s="857"/>
      <c r="P34" s="858"/>
      <c r="Q34" s="856" t="s">
        <v>407</v>
      </c>
      <c r="R34" s="857"/>
      <c r="S34" s="858"/>
      <c r="AA34" s="341"/>
      <c r="AB34" s="341"/>
      <c r="AC34" s="342"/>
      <c r="AD34" s="1"/>
      <c r="AG34" s="176"/>
      <c r="AI34" s="176"/>
    </row>
    <row r="35" spans="1:35" ht="15" customHeight="1">
      <c r="A35" s="340"/>
      <c r="B35" s="304" t="str">
        <f>+E4</f>
        <v>22 Standard</v>
      </c>
      <c r="C35" s="670" t="s">
        <v>402</v>
      </c>
      <c r="D35" s="306" t="str">
        <f>+D4</f>
        <v>21 Standard</v>
      </c>
      <c r="E35" s="304" t="str">
        <f>+E4</f>
        <v>22 Standard</v>
      </c>
      <c r="F35" s="670" t="s">
        <v>402</v>
      </c>
      <c r="G35" s="306" t="str">
        <f>+D4</f>
        <v>21 Standard</v>
      </c>
      <c r="H35" s="304" t="str">
        <f>+E4</f>
        <v>22 Standard</v>
      </c>
      <c r="I35" s="670" t="s">
        <v>402</v>
      </c>
      <c r="J35" s="306" t="str">
        <f>+D4</f>
        <v>21 Standard</v>
      </c>
      <c r="K35" s="715" t="str">
        <f>+B4</f>
        <v>21 Standard</v>
      </c>
      <c r="L35" s="716" t="s">
        <v>402</v>
      </c>
      <c r="M35" s="717" t="str">
        <f>+D4</f>
        <v>21 Standard</v>
      </c>
      <c r="N35" s="715" t="str">
        <f>+B4</f>
        <v>21 Standard</v>
      </c>
      <c r="O35" s="716" t="s">
        <v>402</v>
      </c>
      <c r="P35" s="717" t="str">
        <f>+D4</f>
        <v>21 Standard</v>
      </c>
      <c r="Q35" s="715" t="str">
        <f>+B4</f>
        <v>21 Standard</v>
      </c>
      <c r="R35" s="716" t="s">
        <v>402</v>
      </c>
      <c r="S35" s="717" t="str">
        <f>+D4</f>
        <v>21 Standard</v>
      </c>
      <c r="AA35" s="341"/>
      <c r="AB35" s="341"/>
      <c r="AC35" s="342"/>
      <c r="AD35" s="1"/>
      <c r="AG35" s="176"/>
      <c r="AI35" s="176"/>
    </row>
    <row r="36" spans="1:35">
      <c r="A36" s="340"/>
      <c r="B36" s="307"/>
      <c r="C36" s="394" t="s">
        <v>401</v>
      </c>
      <c r="D36" s="308"/>
      <c r="E36" s="307"/>
      <c r="F36" s="394" t="s">
        <v>401</v>
      </c>
      <c r="G36" s="308"/>
      <c r="H36" s="307"/>
      <c r="I36" s="394" t="s">
        <v>401</v>
      </c>
      <c r="J36" s="308"/>
      <c r="K36" s="718"/>
      <c r="L36" s="719" t="s">
        <v>401</v>
      </c>
      <c r="M36" s="720"/>
      <c r="N36" s="718"/>
      <c r="O36" s="719"/>
      <c r="P36" s="720"/>
      <c r="Q36" s="718"/>
      <c r="R36" s="719"/>
      <c r="S36" s="720"/>
      <c r="AA36" s="341"/>
      <c r="AB36" s="341"/>
      <c r="AC36" s="342"/>
      <c r="AD36" s="1"/>
      <c r="AG36" s="176"/>
      <c r="AI36" s="176"/>
    </row>
    <row r="37" spans="1:35">
      <c r="A37" s="6" t="s">
        <v>223</v>
      </c>
      <c r="B37" s="312">
        <f>E150</f>
        <v>0.21326582278481013</v>
      </c>
      <c r="C37" s="671">
        <v>0.34054143154143152</v>
      </c>
      <c r="D37" s="313">
        <v>0.22007722007722005</v>
      </c>
      <c r="E37" s="312">
        <f>G150</f>
        <v>0.51387049217579917</v>
      </c>
      <c r="F37" s="671">
        <v>0.41049999999999998</v>
      </c>
      <c r="G37" s="313">
        <v>0.41282107222012276</v>
      </c>
      <c r="H37" s="312">
        <f>I150</f>
        <v>0.4112240411354216</v>
      </c>
      <c r="I37" s="671">
        <v>0.26541432306194557</v>
      </c>
      <c r="J37" s="313">
        <v>0.28800983748819542</v>
      </c>
      <c r="K37" s="721"/>
      <c r="L37" s="722">
        <v>0</v>
      </c>
      <c r="M37" s="723">
        <v>1.8829093264248706</v>
      </c>
      <c r="N37" s="721"/>
      <c r="O37" s="722">
        <v>0</v>
      </c>
      <c r="P37" s="723">
        <v>0</v>
      </c>
      <c r="Q37" s="721"/>
      <c r="R37" s="722">
        <v>0</v>
      </c>
      <c r="S37" s="723">
        <v>0</v>
      </c>
      <c r="AA37" s="341"/>
      <c r="AB37" s="341"/>
      <c r="AC37" s="342"/>
      <c r="AD37" s="1"/>
      <c r="AG37" s="176"/>
      <c r="AI37" s="176"/>
    </row>
    <row r="38" spans="1:35">
      <c r="A38" s="500" t="s">
        <v>362</v>
      </c>
      <c r="B38" s="317">
        <f>$C136*D136</f>
        <v>0</v>
      </c>
      <c r="C38" s="40"/>
      <c r="D38" s="318">
        <v>0</v>
      </c>
      <c r="E38" s="317">
        <f>$C134*F134</f>
        <v>0</v>
      </c>
      <c r="F38" s="40"/>
      <c r="G38" s="318">
        <v>4.6029189145022416E-2</v>
      </c>
      <c r="H38" s="317">
        <f>$C131*H131</f>
        <v>0</v>
      </c>
      <c r="I38" s="40"/>
      <c r="J38" s="318">
        <v>9.3327229569345554E-2</v>
      </c>
      <c r="K38" s="724"/>
      <c r="L38" s="725"/>
      <c r="M38" s="726">
        <v>0.16177979274611401</v>
      </c>
      <c r="N38" s="724"/>
      <c r="O38" s="725"/>
      <c r="P38" s="726">
        <v>0</v>
      </c>
      <c r="Q38" s="724"/>
      <c r="R38" s="725"/>
      <c r="S38" s="726">
        <v>0</v>
      </c>
      <c r="AA38" s="341"/>
      <c r="AB38" s="341"/>
      <c r="AC38" s="342"/>
      <c r="AD38" s="1"/>
      <c r="AG38" s="176"/>
      <c r="AI38" s="176"/>
    </row>
    <row r="39" spans="1:35">
      <c r="A39" s="6" t="s">
        <v>373</v>
      </c>
      <c r="B39" s="317">
        <f>E151+E152</f>
        <v>6.7925472249269717E-2</v>
      </c>
      <c r="C39" s="40">
        <v>9.3737946737946748E-2</v>
      </c>
      <c r="D39" s="318">
        <v>4.6760700000000009E-2</v>
      </c>
      <c r="E39" s="317">
        <f>G151+G152</f>
        <v>4.2530519676702988E-2</v>
      </c>
      <c r="F39" s="40">
        <v>4.389437130396593E-2</v>
      </c>
      <c r="G39" s="318">
        <v>4.2218479904809571E-2</v>
      </c>
      <c r="H39" s="317">
        <f>I151+I152</f>
        <v>5.9336936180632077E-3</v>
      </c>
      <c r="I39" s="40">
        <v>4.8438019813532553E-2</v>
      </c>
      <c r="J39" s="318">
        <v>8.7585249999999996E-3</v>
      </c>
      <c r="K39" s="724"/>
      <c r="L39" s="725">
        <v>0</v>
      </c>
      <c r="M39" s="726">
        <v>4.2578634824999996E-2</v>
      </c>
      <c r="N39" s="724"/>
      <c r="O39" s="725">
        <v>0</v>
      </c>
      <c r="P39" s="726">
        <v>0</v>
      </c>
      <c r="Q39" s="724"/>
      <c r="R39" s="725">
        <v>0</v>
      </c>
      <c r="S39" s="726">
        <v>0</v>
      </c>
      <c r="AA39" s="341"/>
      <c r="AB39" s="341"/>
      <c r="AC39" s="342"/>
      <c r="AD39" s="1"/>
      <c r="AG39" s="176"/>
      <c r="AI39" s="176"/>
    </row>
    <row r="40" spans="1:35">
      <c r="A40" s="6" t="s">
        <v>8</v>
      </c>
      <c r="B40" s="317">
        <f>E170</f>
        <v>9.6417790461842366E-3</v>
      </c>
      <c r="C40" s="40">
        <v>2.6041382041382042E-2</v>
      </c>
      <c r="D40" s="318">
        <v>5.9095494151563841E-3</v>
      </c>
      <c r="E40" s="317">
        <f>G170</f>
        <v>5.8784926413087768E-3</v>
      </c>
      <c r="F40" s="40">
        <v>1.4645894009708308E-2</v>
      </c>
      <c r="G40" s="318">
        <v>5.9095494151563841E-3</v>
      </c>
      <c r="H40" s="317">
        <f>I170</f>
        <v>7.4721126133298621E-3</v>
      </c>
      <c r="I40" s="40">
        <v>1.0462455295705731E-2</v>
      </c>
      <c r="J40" s="318">
        <v>5.9095494151563841E-3</v>
      </c>
      <c r="K40" s="724"/>
      <c r="L40" s="725">
        <v>0</v>
      </c>
      <c r="M40" s="726">
        <v>1.0135435073031706E-2</v>
      </c>
      <c r="N40" s="724"/>
      <c r="O40" s="725">
        <v>0</v>
      </c>
      <c r="P40" s="726">
        <v>0</v>
      </c>
      <c r="Q40" s="724"/>
      <c r="R40" s="725">
        <v>0</v>
      </c>
      <c r="S40" s="726">
        <v>0</v>
      </c>
      <c r="AA40" s="341"/>
      <c r="AB40" s="341"/>
      <c r="AC40" s="342"/>
      <c r="AD40" s="1"/>
      <c r="AG40" s="176"/>
      <c r="AI40" s="176"/>
    </row>
    <row r="41" spans="1:35">
      <c r="A41" s="2" t="s">
        <v>9</v>
      </c>
      <c r="B41" s="317">
        <f>E171</f>
        <v>1.6703369641464893E-3</v>
      </c>
      <c r="C41" s="40">
        <v>1.6828036828036826E-3</v>
      </c>
      <c r="D41" s="318">
        <v>1.3242333138821752E-3</v>
      </c>
      <c r="E41" s="317">
        <f>G171</f>
        <v>1.1484202236277726E-3</v>
      </c>
      <c r="F41" s="40">
        <v>5.5474856174528601E-3</v>
      </c>
      <c r="G41" s="318">
        <v>1.3242333138821752E-3</v>
      </c>
      <c r="H41" s="317">
        <f>I171</f>
        <v>1.3633362183653385E-3</v>
      </c>
      <c r="I41" s="40">
        <v>8.430598374822016E-4</v>
      </c>
      <c r="J41" s="318">
        <v>1.3242333138821752E-3</v>
      </c>
      <c r="K41" s="724"/>
      <c r="L41" s="725">
        <v>0</v>
      </c>
      <c r="M41" s="726">
        <v>1.124759091389829E-3</v>
      </c>
      <c r="N41" s="724"/>
      <c r="O41" s="725">
        <v>0</v>
      </c>
      <c r="P41" s="726">
        <v>0</v>
      </c>
      <c r="Q41" s="724"/>
      <c r="R41" s="725">
        <v>0</v>
      </c>
      <c r="S41" s="726">
        <v>0</v>
      </c>
      <c r="AA41" s="341"/>
      <c r="AB41" s="341"/>
      <c r="AC41" s="342"/>
      <c r="AD41" s="1"/>
      <c r="AG41" s="176"/>
      <c r="AI41" s="176"/>
    </row>
    <row r="42" spans="1:35">
      <c r="A42" s="6" t="s">
        <v>10</v>
      </c>
      <c r="B42" s="323">
        <f>$H$179</f>
        <v>4.3010752688172043E-3</v>
      </c>
      <c r="C42" s="40">
        <v>1.9710325710325712E-2</v>
      </c>
      <c r="D42" s="318">
        <v>6.0000000000000001E-3</v>
      </c>
      <c r="E42" s="323">
        <f>$H$179</f>
        <v>4.3010752688172043E-3</v>
      </c>
      <c r="F42" s="40">
        <v>1.2018642132290923E-2</v>
      </c>
      <c r="G42" s="318">
        <v>6.0000000000000001E-3</v>
      </c>
      <c r="H42" s="323">
        <f>$H$179</f>
        <v>4.3010752688172043E-3</v>
      </c>
      <c r="I42" s="40">
        <v>7.3389729203708108E-3</v>
      </c>
      <c r="J42" s="318">
        <v>6.0000000000000001E-3</v>
      </c>
      <c r="K42" s="727"/>
      <c r="L42" s="725">
        <v>0</v>
      </c>
      <c r="M42" s="726">
        <v>8.670520231213872E-3</v>
      </c>
      <c r="N42" s="727"/>
      <c r="O42" s="725">
        <v>0</v>
      </c>
      <c r="P42" s="726">
        <v>0</v>
      </c>
      <c r="Q42" s="727"/>
      <c r="R42" s="725">
        <v>0</v>
      </c>
      <c r="S42" s="726">
        <v>0</v>
      </c>
      <c r="AA42" s="341"/>
      <c r="AB42" s="341"/>
      <c r="AC42" s="342"/>
      <c r="AD42" s="1"/>
      <c r="AG42" s="176"/>
      <c r="AI42" s="176"/>
    </row>
    <row r="43" spans="1:35">
      <c r="A43" s="6" t="s">
        <v>11</v>
      </c>
      <c r="B43" s="323">
        <f>$H$182</f>
        <v>3.5842293906810036E-4</v>
      </c>
      <c r="C43" s="40">
        <v>2.4000594000594001E-3</v>
      </c>
      <c r="D43" s="318">
        <v>2E-3</v>
      </c>
      <c r="E43" s="323">
        <f>$H$182</f>
        <v>3.5842293906810036E-4</v>
      </c>
      <c r="F43" s="40">
        <v>7.8089620468290593E-4</v>
      </c>
      <c r="G43" s="318">
        <v>2E-3</v>
      </c>
      <c r="H43" s="323">
        <f>$H$182</f>
        <v>3.5842293906810036E-4</v>
      </c>
      <c r="I43" s="40">
        <v>6.3205420772589004E-4</v>
      </c>
      <c r="J43" s="318">
        <v>2E-3</v>
      </c>
      <c r="K43" s="727"/>
      <c r="L43" s="725">
        <v>0</v>
      </c>
      <c r="M43" s="726">
        <v>4.3352601156069364E-4</v>
      </c>
      <c r="N43" s="727"/>
      <c r="O43" s="725">
        <v>0</v>
      </c>
      <c r="P43" s="726">
        <v>0</v>
      </c>
      <c r="Q43" s="727"/>
      <c r="R43" s="725">
        <v>0</v>
      </c>
      <c r="S43" s="726">
        <v>0</v>
      </c>
      <c r="AA43" s="341"/>
      <c r="AB43" s="341"/>
      <c r="AC43" s="342"/>
      <c r="AD43" s="1"/>
      <c r="AG43" s="176"/>
      <c r="AI43" s="176"/>
    </row>
    <row r="44" spans="1:35" ht="16.5">
      <c r="A44" s="6" t="s">
        <v>12</v>
      </c>
      <c r="B44" s="324">
        <f>$H$185</f>
        <v>5.3763440860215049E-3</v>
      </c>
      <c r="C44" s="672">
        <v>2.6652311652311654E-2</v>
      </c>
      <c r="D44" s="325">
        <v>6.0000000000000001E-3</v>
      </c>
      <c r="E44" s="324">
        <f>$H$185</f>
        <v>5.3763440860215049E-3</v>
      </c>
      <c r="F44" s="672">
        <v>2.6473850543307895E-2</v>
      </c>
      <c r="G44" s="325">
        <v>6.0000000000000001E-3</v>
      </c>
      <c r="H44" s="324">
        <f>$H$185</f>
        <v>5.3763440860215049E-3</v>
      </c>
      <c r="I44" s="672">
        <v>9.4086246314516973E-3</v>
      </c>
      <c r="J44" s="325">
        <v>6.0000000000000001E-3</v>
      </c>
      <c r="K44" s="728"/>
      <c r="L44" s="729">
        <v>0</v>
      </c>
      <c r="M44" s="730">
        <v>5.7803468208092491E-3</v>
      </c>
      <c r="N44" s="728"/>
      <c r="O44" s="729">
        <v>0</v>
      </c>
      <c r="P44" s="730">
        <v>0</v>
      </c>
      <c r="Q44" s="728"/>
      <c r="R44" s="729">
        <v>0</v>
      </c>
      <c r="S44" s="730">
        <v>0</v>
      </c>
      <c r="AA44" s="341"/>
      <c r="AB44" s="341"/>
      <c r="AC44" s="342"/>
      <c r="AD44" s="1"/>
      <c r="AG44" s="176"/>
      <c r="AI44" s="176"/>
    </row>
    <row r="45" spans="1:35">
      <c r="A45" s="328" t="s">
        <v>224</v>
      </c>
      <c r="B45" s="10">
        <f t="shared" ref="B45:S45" si="21">SUM(B37:B44)</f>
        <v>0.30253925333831738</v>
      </c>
      <c r="C45" s="40">
        <f t="shared" si="21"/>
        <v>0.51076626076626075</v>
      </c>
      <c r="D45" s="318">
        <f>SUM(D37:D44)</f>
        <v>0.2880717028062586</v>
      </c>
      <c r="E45" s="10">
        <f t="shared" si="21"/>
        <v>0.57346376701134549</v>
      </c>
      <c r="F45" s="40">
        <f t="shared" si="21"/>
        <v>0.5138611398114088</v>
      </c>
      <c r="G45" s="318">
        <f>SUM(G37:G44)</f>
        <v>0.52230252399899335</v>
      </c>
      <c r="H45" s="10">
        <f t="shared" si="21"/>
        <v>0.43602902587908682</v>
      </c>
      <c r="I45" s="40">
        <f t="shared" si="21"/>
        <v>0.34253750976821445</v>
      </c>
      <c r="J45" s="318">
        <f>SUM(J37:J44)</f>
        <v>0.41132937478657955</v>
      </c>
      <c r="K45" s="725"/>
      <c r="L45" s="725">
        <f t="shared" si="21"/>
        <v>0</v>
      </c>
      <c r="M45" s="726">
        <v>2.1134123412239898</v>
      </c>
      <c r="N45" s="725"/>
      <c r="O45" s="725">
        <f t="shared" si="21"/>
        <v>0</v>
      </c>
      <c r="P45" s="726">
        <f t="shared" si="21"/>
        <v>0</v>
      </c>
      <c r="Q45" s="725"/>
      <c r="R45" s="725">
        <f t="shared" si="21"/>
        <v>0</v>
      </c>
      <c r="S45" s="726">
        <f t="shared" si="21"/>
        <v>0</v>
      </c>
      <c r="AA45" s="341"/>
      <c r="AB45" s="341"/>
      <c r="AC45" s="342"/>
      <c r="AD45" s="1"/>
      <c r="AG45" s="176"/>
      <c r="AI45" s="176"/>
    </row>
    <row r="46" spans="1:35">
      <c r="A46" s="514"/>
      <c r="B46" s="323"/>
      <c r="C46" s="40"/>
      <c r="D46" s="513"/>
      <c r="E46" s="323"/>
      <c r="F46" s="40"/>
      <c r="G46" s="513"/>
      <c r="H46" s="323"/>
      <c r="I46" s="40"/>
      <c r="J46" s="513"/>
      <c r="K46" s="727"/>
      <c r="L46" s="725"/>
      <c r="M46" s="726"/>
      <c r="N46" s="727"/>
      <c r="O46" s="725"/>
      <c r="P46" s="726"/>
      <c r="Q46" s="727"/>
      <c r="R46" s="725"/>
      <c r="S46" s="726"/>
      <c r="AA46" s="341"/>
      <c r="AB46" s="341"/>
      <c r="AC46" s="342"/>
      <c r="AD46" s="1"/>
      <c r="AG46" s="176"/>
      <c r="AI46" s="176"/>
    </row>
    <row r="47" spans="1:35">
      <c r="A47" s="6" t="s">
        <v>14</v>
      </c>
      <c r="B47" s="323">
        <f>$D$216/$B$64/1000</f>
        <v>2.314028749028749E-2</v>
      </c>
      <c r="C47" s="40">
        <v>2.099801999802E-2</v>
      </c>
      <c r="D47" s="318">
        <v>3.5940794790209792E-2</v>
      </c>
      <c r="E47" s="323">
        <f>$D$216/$B$64/1000</f>
        <v>2.314028749028749E-2</v>
      </c>
      <c r="F47" s="40">
        <v>2.0095412332871935E-2</v>
      </c>
      <c r="G47" s="318">
        <v>3.5940794790209792E-2</v>
      </c>
      <c r="H47" s="323">
        <f>$D$216/$B$64/1000</f>
        <v>2.314028749028749E-2</v>
      </c>
      <c r="I47" s="40">
        <v>1.7675634101440085E-2</v>
      </c>
      <c r="J47" s="318">
        <v>3.5940794790209792E-2</v>
      </c>
      <c r="K47" s="727"/>
      <c r="L47" s="725">
        <v>0</v>
      </c>
      <c r="M47" s="726">
        <v>1.1741675249605885E-2</v>
      </c>
      <c r="N47" s="727"/>
      <c r="O47" s="725">
        <v>0</v>
      </c>
      <c r="P47" s="726">
        <v>0</v>
      </c>
      <c r="Q47" s="727"/>
      <c r="R47" s="725">
        <v>0</v>
      </c>
      <c r="S47" s="726">
        <v>0</v>
      </c>
      <c r="AA47" s="341"/>
      <c r="AB47" s="341"/>
      <c r="AC47" s="342"/>
      <c r="AD47" s="1"/>
      <c r="AG47" s="176"/>
      <c r="AI47" s="176"/>
    </row>
    <row r="48" spans="1:35">
      <c r="A48" s="6" t="s">
        <v>15</v>
      </c>
      <c r="B48" s="323">
        <f>$G$216/$B$64/1000</f>
        <v>5.5727598566308245E-3</v>
      </c>
      <c r="C48" s="40">
        <v>1.0055044055044055E-2</v>
      </c>
      <c r="D48" s="318">
        <v>1.13712E-2</v>
      </c>
      <c r="E48" s="323">
        <f>$G$216/$B$64/1000</f>
        <v>5.5727598566308245E-3</v>
      </c>
      <c r="F48" s="40">
        <v>3.1155541912019176E-3</v>
      </c>
      <c r="G48" s="318">
        <v>1.13712E-2</v>
      </c>
      <c r="H48" s="323">
        <f>$G$216/$B$64/1000</f>
        <v>5.5727598566308245E-3</v>
      </c>
      <c r="I48" s="40">
        <v>4.7406695199083797E-3</v>
      </c>
      <c r="J48" s="318">
        <v>1.13712E-2</v>
      </c>
      <c r="K48" s="727"/>
      <c r="L48" s="725">
        <v>0</v>
      </c>
      <c r="M48" s="726">
        <v>4.1080924855491328E-3</v>
      </c>
      <c r="N48" s="727"/>
      <c r="O48" s="725">
        <v>0</v>
      </c>
      <c r="P48" s="726">
        <v>0</v>
      </c>
      <c r="Q48" s="727"/>
      <c r="R48" s="725">
        <v>0</v>
      </c>
      <c r="S48" s="726">
        <v>0</v>
      </c>
      <c r="AA48" s="341"/>
      <c r="AB48" s="341"/>
      <c r="AC48" s="342"/>
      <c r="AD48" s="1"/>
      <c r="AG48" s="176"/>
      <c r="AI48" s="176"/>
    </row>
    <row r="49" spans="1:35">
      <c r="A49" s="6" t="s">
        <v>16</v>
      </c>
      <c r="B49" s="323">
        <f>$J$216/$B$64/1000</f>
        <v>1.0221704451462515E-2</v>
      </c>
      <c r="C49" s="40">
        <v>2.0373428373428374E-2</v>
      </c>
      <c r="D49" s="318">
        <v>1.4188877003496501E-2</v>
      </c>
      <c r="E49" s="323">
        <f>$J$216/$B$64/1000</f>
        <v>1.0221704451462515E-2</v>
      </c>
      <c r="F49" s="40">
        <v>1.9136350366755813E-2</v>
      </c>
      <c r="G49" s="318">
        <v>1.4188877003496501E-2</v>
      </c>
      <c r="H49" s="323">
        <f>$J$216/$B$64/1000</f>
        <v>1.0221704451462515E-2</v>
      </c>
      <c r="I49" s="40">
        <v>7.6540782228782531E-3</v>
      </c>
      <c r="J49" s="318">
        <v>1.4188877003496501E-2</v>
      </c>
      <c r="K49" s="727"/>
      <c r="L49" s="725">
        <v>0</v>
      </c>
      <c r="M49" s="726">
        <v>7.259843652712092E-3</v>
      </c>
      <c r="N49" s="727"/>
      <c r="O49" s="725">
        <v>0</v>
      </c>
      <c r="P49" s="726">
        <v>0</v>
      </c>
      <c r="Q49" s="727"/>
      <c r="R49" s="725">
        <v>0</v>
      </c>
      <c r="S49" s="726">
        <v>0</v>
      </c>
      <c r="AA49" s="341"/>
      <c r="AB49" s="341"/>
      <c r="AC49" s="342"/>
      <c r="AD49" s="1"/>
      <c r="AG49" s="176"/>
      <c r="AI49" s="176"/>
    </row>
    <row r="50" spans="1:35">
      <c r="A50" s="2" t="s">
        <v>17</v>
      </c>
      <c r="B50" s="323">
        <f>$E$243</f>
        <v>5.552688172043011E-3</v>
      </c>
      <c r="C50" s="40">
        <v>6.8127908127908121E-3</v>
      </c>
      <c r="D50" s="318">
        <v>0</v>
      </c>
      <c r="E50" s="323">
        <f>$E$243</f>
        <v>5.552688172043011E-3</v>
      </c>
      <c r="F50" s="40">
        <v>8.2982661615873012E-3</v>
      </c>
      <c r="G50" s="318">
        <v>0</v>
      </c>
      <c r="H50" s="323">
        <f>$E$243</f>
        <v>5.552688172043011E-3</v>
      </c>
      <c r="I50" s="40">
        <v>2.8565150594799908E-3</v>
      </c>
      <c r="J50" s="318">
        <v>0</v>
      </c>
      <c r="K50" s="727"/>
      <c r="L50" s="725">
        <v>0</v>
      </c>
      <c r="M50" s="726">
        <v>2.4498520231213874E-3</v>
      </c>
      <c r="N50" s="727"/>
      <c r="O50" s="725">
        <v>0</v>
      </c>
      <c r="P50" s="726">
        <v>0</v>
      </c>
      <c r="Q50" s="727"/>
      <c r="R50" s="725">
        <v>0</v>
      </c>
      <c r="S50" s="726">
        <v>0</v>
      </c>
      <c r="AA50" s="341"/>
      <c r="AB50" s="341"/>
      <c r="AC50" s="342"/>
      <c r="AD50" s="1"/>
      <c r="AG50" s="176"/>
      <c r="AI50" s="176"/>
    </row>
    <row r="51" spans="1:35">
      <c r="A51" s="2" t="s">
        <v>19</v>
      </c>
      <c r="B51" s="323">
        <f>$E$244</f>
        <v>4.0172043010752688E-3</v>
      </c>
      <c r="C51" s="40">
        <v>0.18195762795762796</v>
      </c>
      <c r="D51" s="318">
        <v>1.0390480000000001E-2</v>
      </c>
      <c r="E51" s="323">
        <f>$E$244</f>
        <v>4.0172043010752688E-3</v>
      </c>
      <c r="F51" s="40">
        <v>0.22264847113850061</v>
      </c>
      <c r="G51" s="318">
        <v>1.0390480000000001E-2</v>
      </c>
      <c r="H51" s="323">
        <f>$E$244</f>
        <v>4.0172043010752688E-3</v>
      </c>
      <c r="I51" s="40">
        <v>7.6403529716540047E-2</v>
      </c>
      <c r="J51" s="318">
        <v>1.0390480000000001E-2</v>
      </c>
      <c r="K51" s="727"/>
      <c r="L51" s="725">
        <v>0</v>
      </c>
      <c r="M51" s="726">
        <v>6.3670520231213876E-2</v>
      </c>
      <c r="N51" s="727"/>
      <c r="O51" s="725">
        <v>0</v>
      </c>
      <c r="P51" s="726">
        <v>0</v>
      </c>
      <c r="Q51" s="727"/>
      <c r="R51" s="725">
        <v>0</v>
      </c>
      <c r="S51" s="726">
        <v>0</v>
      </c>
      <c r="AA51" s="341"/>
      <c r="AB51" s="341"/>
      <c r="AC51" s="342"/>
      <c r="AD51" s="1"/>
      <c r="AG51" s="176"/>
      <c r="AI51" s="176"/>
    </row>
    <row r="52" spans="1:35" ht="16.5">
      <c r="A52" s="2" t="s">
        <v>18</v>
      </c>
      <c r="B52" s="324">
        <f>$E$245</f>
        <v>2.0176344086021505E-2</v>
      </c>
      <c r="C52" s="672">
        <v>4.5121869121869121E-2</v>
      </c>
      <c r="D52" s="325">
        <v>3.7630079999999996E-2</v>
      </c>
      <c r="E52" s="324">
        <f>$E$245</f>
        <v>2.0176344086021505E-2</v>
      </c>
      <c r="F52" s="672">
        <v>6.4601783897952583E-2</v>
      </c>
      <c r="G52" s="325">
        <v>3.7630079999999996E-2</v>
      </c>
      <c r="H52" s="324">
        <f>$E$245</f>
        <v>2.0176344086021505E-2</v>
      </c>
      <c r="I52" s="672">
        <v>1.9244873615765976E-2</v>
      </c>
      <c r="J52" s="325">
        <v>3.7630079999999996E-2</v>
      </c>
      <c r="K52" s="728"/>
      <c r="L52" s="729">
        <v>0</v>
      </c>
      <c r="M52" s="730">
        <v>1.4046242774566474E-2</v>
      </c>
      <c r="N52" s="728"/>
      <c r="O52" s="729">
        <v>0</v>
      </c>
      <c r="P52" s="730">
        <v>0</v>
      </c>
      <c r="Q52" s="728"/>
      <c r="R52" s="729">
        <v>0</v>
      </c>
      <c r="S52" s="730">
        <v>0</v>
      </c>
      <c r="AA52" s="341"/>
      <c r="AB52" s="341"/>
      <c r="AC52" s="342"/>
      <c r="AD52" s="1"/>
      <c r="AG52" s="176"/>
      <c r="AI52" s="176"/>
    </row>
    <row r="53" spans="1:35">
      <c r="A53" s="328" t="s">
        <v>225</v>
      </c>
      <c r="B53" s="323">
        <f t="shared" ref="B53:L53" si="22">SUM(B47:B52)</f>
        <v>6.8680988357520623E-2</v>
      </c>
      <c r="C53" s="40">
        <f t="shared" si="22"/>
        <v>0.28531878031878033</v>
      </c>
      <c r="D53" s="318">
        <f>SUM(D47:D52)</f>
        <v>0.10952143179370628</v>
      </c>
      <c r="E53" s="323">
        <f t="shared" si="22"/>
        <v>6.8680988357520623E-2</v>
      </c>
      <c r="F53" s="40">
        <f t="shared" si="22"/>
        <v>0.33789583808887014</v>
      </c>
      <c r="G53" s="318">
        <f>SUM(G47:G52)</f>
        <v>0.10952143179370628</v>
      </c>
      <c r="H53" s="323">
        <f>SUM(H47:H52)</f>
        <v>6.8680988357520623E-2</v>
      </c>
      <c r="I53" s="40">
        <f t="shared" ref="I53" si="23">SUM(I47:I52)</f>
        <v>0.12857530023601271</v>
      </c>
      <c r="J53" s="323">
        <f>SUM(J47:J52)</f>
        <v>0.10952143179370628</v>
      </c>
      <c r="K53" s="727"/>
      <c r="L53" s="725">
        <f t="shared" si="22"/>
        <v>0</v>
      </c>
      <c r="M53" s="726">
        <v>0.10327622641676884</v>
      </c>
      <c r="N53" s="727"/>
      <c r="O53" s="725">
        <f t="shared" ref="O53:P53" si="24">SUM(O47:O52)</f>
        <v>0</v>
      </c>
      <c r="P53" s="726">
        <f t="shared" si="24"/>
        <v>0</v>
      </c>
      <c r="Q53" s="727"/>
      <c r="R53" s="725">
        <f t="shared" ref="R53:S53" si="25">SUM(R47:R52)</f>
        <v>0</v>
      </c>
      <c r="S53" s="726">
        <f t="shared" si="25"/>
        <v>0</v>
      </c>
      <c r="AA53" s="341"/>
      <c r="AB53" s="341"/>
      <c r="AC53" s="342"/>
      <c r="AD53" s="1"/>
      <c r="AG53" s="176"/>
      <c r="AI53" s="176"/>
    </row>
    <row r="54" spans="1:35">
      <c r="A54" s="509"/>
      <c r="B54" s="323"/>
      <c r="C54" s="10"/>
      <c r="D54" s="513"/>
      <c r="E54" s="323"/>
      <c r="F54" s="10"/>
      <c r="G54" s="513"/>
      <c r="H54" s="323"/>
      <c r="I54" s="10"/>
      <c r="J54" s="513"/>
      <c r="K54" s="727"/>
      <c r="L54" s="725"/>
      <c r="M54" s="726"/>
      <c r="N54" s="727"/>
      <c r="O54" s="725"/>
      <c r="P54" s="726"/>
      <c r="Q54" s="727"/>
      <c r="R54" s="725"/>
      <c r="S54" s="726"/>
      <c r="AA54" s="341"/>
      <c r="AB54" s="341"/>
      <c r="AC54" s="342"/>
      <c r="AD54" s="1"/>
      <c r="AG54" s="176"/>
      <c r="AI54" s="176"/>
    </row>
    <row r="55" spans="1:35">
      <c r="A55" s="526" t="s">
        <v>365</v>
      </c>
      <c r="B55" s="502">
        <f t="shared" ref="B55:P55" si="26">B45+B53</f>
        <v>0.371220241695838</v>
      </c>
      <c r="C55" s="769">
        <f t="shared" si="26"/>
        <v>0.79608504108504108</v>
      </c>
      <c r="D55" s="504">
        <f t="shared" si="26"/>
        <v>0.39759313459996487</v>
      </c>
      <c r="E55" s="502">
        <f t="shared" si="26"/>
        <v>0.64214475536886617</v>
      </c>
      <c r="F55" s="769">
        <f t="shared" si="26"/>
        <v>0.85175697790027893</v>
      </c>
      <c r="G55" s="504">
        <f t="shared" si="26"/>
        <v>0.63182395579269968</v>
      </c>
      <c r="H55" s="502">
        <f t="shared" si="26"/>
        <v>0.50471001423660744</v>
      </c>
      <c r="I55" s="769">
        <f t="shared" si="26"/>
        <v>0.47111281000422717</v>
      </c>
      <c r="J55" s="504">
        <f t="shared" si="26"/>
        <v>0.52085080658028582</v>
      </c>
      <c r="K55" s="731">
        <f t="shared" si="26"/>
        <v>0</v>
      </c>
      <c r="L55" s="732">
        <f t="shared" si="26"/>
        <v>0</v>
      </c>
      <c r="M55" s="733">
        <f t="shared" si="26"/>
        <v>2.2166885676407588</v>
      </c>
      <c r="N55" s="731">
        <f t="shared" si="26"/>
        <v>0</v>
      </c>
      <c r="O55" s="732">
        <f t="shared" si="26"/>
        <v>0</v>
      </c>
      <c r="P55" s="733">
        <f t="shared" si="26"/>
        <v>0</v>
      </c>
      <c r="Q55" s="731">
        <f>Q45+Q53</f>
        <v>0</v>
      </c>
      <c r="R55" s="732">
        <f t="shared" ref="R55:S55" si="27">R45+R53</f>
        <v>0</v>
      </c>
      <c r="S55" s="733">
        <f t="shared" si="27"/>
        <v>0</v>
      </c>
      <c r="AA55" s="341"/>
      <c r="AB55" s="341"/>
      <c r="AC55" s="342"/>
      <c r="AD55" s="1"/>
      <c r="AG55" s="176"/>
      <c r="AI55" s="176"/>
    </row>
    <row r="56" spans="1:35">
      <c r="A56" s="501" t="s">
        <v>368</v>
      </c>
      <c r="B56" s="494">
        <f>-B38</f>
        <v>0</v>
      </c>
      <c r="C56" s="770">
        <f>-C38</f>
        <v>0</v>
      </c>
      <c r="D56" s="498">
        <v>0</v>
      </c>
      <c r="E56" s="494">
        <f>-E38</f>
        <v>0</v>
      </c>
      <c r="F56" s="770"/>
      <c r="G56" s="498">
        <v>-4.5999999999999999E-2</v>
      </c>
      <c r="H56" s="497">
        <f>-H38</f>
        <v>0</v>
      </c>
      <c r="I56" s="770"/>
      <c r="J56" s="498">
        <v>-9.3327229569345554E-2</v>
      </c>
      <c r="K56" s="734">
        <f>-K38</f>
        <v>0</v>
      </c>
      <c r="L56" s="735"/>
      <c r="M56" s="736">
        <v>-7.4705958549222806E-3</v>
      </c>
      <c r="N56" s="734">
        <f>-N38</f>
        <v>0</v>
      </c>
      <c r="O56" s="735"/>
      <c r="P56" s="736">
        <v>0</v>
      </c>
      <c r="Q56" s="734">
        <f>-Q38</f>
        <v>0</v>
      </c>
      <c r="R56" s="735"/>
      <c r="S56" s="736"/>
      <c r="AA56" s="341"/>
      <c r="AB56" s="341"/>
      <c r="AC56" s="342"/>
      <c r="AD56" s="1"/>
      <c r="AG56" s="176"/>
      <c r="AI56" s="176"/>
    </row>
    <row r="57" spans="1:35">
      <c r="A57" s="328" t="s">
        <v>367</v>
      </c>
      <c r="B57" s="323">
        <f t="shared" ref="B57:G57" si="28">IF(B40+B41+B42+B43+B44+B53&gt;0.0498,0.0498-B40-B41-B42-B43-B44-B53,0)</f>
        <v>-4.0228946661758164E-2</v>
      </c>
      <c r="C57" s="771">
        <v>-0.31205821205821205</v>
      </c>
      <c r="D57" s="318">
        <f t="shared" si="28"/>
        <v>-8.0955214522744845E-2</v>
      </c>
      <c r="E57" s="323">
        <f t="shared" si="28"/>
        <v>-3.5943743516363987E-2</v>
      </c>
      <c r="F57" s="771">
        <f>IF(F40+F41+F42+F43+F44+F53&gt;0.0498,0.0498-F40-F41-F42-F43-F44-F53,0)</f>
        <v>-0.34756260659631305</v>
      </c>
      <c r="G57" s="318">
        <f t="shared" si="28"/>
        <v>-8.0955214522744845E-2</v>
      </c>
      <c r="H57" s="323">
        <f>IF(H40+H41+H42+H43+H44+H53&gt;0.0498,0.0498-H40-H41-H42-H43-H44-H53,0)</f>
        <v>-3.7752279483122639E-2</v>
      </c>
      <c r="I57" s="771">
        <f>IF(I40+I41+I42+I43+I44+I53&gt;0.0498,0.0498-I40-I41-I42-I43-I44-I53,0)</f>
        <v>-0.10746046712874904</v>
      </c>
      <c r="J57" s="318">
        <v>-8.0955214522744845E-2</v>
      </c>
      <c r="K57" s="727">
        <f t="shared" ref="K57:S57" si="29">IF(K40+K41+K42+K43+K44+K53&gt;0.0498,0.0498-K40-K41-K42-K43-K44-K53,0)</f>
        <v>0</v>
      </c>
      <c r="L57" s="737">
        <f t="shared" si="29"/>
        <v>0</v>
      </c>
      <c r="M57" s="726">
        <f t="shared" si="29"/>
        <v>-7.9620813644774191E-2</v>
      </c>
      <c r="N57" s="727">
        <f t="shared" si="29"/>
        <v>0</v>
      </c>
      <c r="O57" s="737">
        <v>0</v>
      </c>
      <c r="P57" s="726">
        <f t="shared" si="29"/>
        <v>0</v>
      </c>
      <c r="Q57" s="727">
        <f t="shared" si="29"/>
        <v>0</v>
      </c>
      <c r="R57" s="737">
        <v>0</v>
      </c>
      <c r="S57" s="726">
        <f t="shared" si="29"/>
        <v>0</v>
      </c>
      <c r="AA57" s="341"/>
      <c r="AB57" s="341"/>
      <c r="AC57" s="342"/>
      <c r="AD57" s="1"/>
      <c r="AG57" s="176"/>
      <c r="AI57" s="176"/>
    </row>
    <row r="58" spans="1:35">
      <c r="A58" s="526" t="s">
        <v>366</v>
      </c>
      <c r="B58" s="502">
        <f t="shared" ref="B58:S58" si="30">SUM(B55:B57)</f>
        <v>0.33099129503407987</v>
      </c>
      <c r="C58" s="769">
        <f t="shared" si="30"/>
        <v>0.48402682902682903</v>
      </c>
      <c r="D58" s="504">
        <f t="shared" si="30"/>
        <v>0.31663792007722003</v>
      </c>
      <c r="E58" s="502">
        <f t="shared" si="30"/>
        <v>0.60620101185250219</v>
      </c>
      <c r="F58" s="769">
        <f t="shared" si="30"/>
        <v>0.50419437130396583</v>
      </c>
      <c r="G58" s="504">
        <f>SUM(G55:G57)</f>
        <v>0.50486874126995485</v>
      </c>
      <c r="H58" s="502">
        <f t="shared" si="30"/>
        <v>0.46695773475348479</v>
      </c>
      <c r="I58" s="769">
        <f t="shared" ref="I58:J58" si="31">SUM(I55:I57)</f>
        <v>0.3636523428754781</v>
      </c>
      <c r="J58" s="504">
        <f t="shared" si="31"/>
        <v>0.34656836248819539</v>
      </c>
      <c r="K58" s="731">
        <f t="shared" si="30"/>
        <v>0</v>
      </c>
      <c r="L58" s="732">
        <f t="shared" si="30"/>
        <v>0</v>
      </c>
      <c r="M58" s="733">
        <f t="shared" si="30"/>
        <v>2.1295971581410624</v>
      </c>
      <c r="N58" s="731">
        <f t="shared" si="30"/>
        <v>0</v>
      </c>
      <c r="O58" s="732">
        <f t="shared" ref="O58" si="32">SUM(O55:O57)</f>
        <v>0</v>
      </c>
      <c r="P58" s="733">
        <f t="shared" si="30"/>
        <v>0</v>
      </c>
      <c r="Q58" s="731">
        <f t="shared" si="30"/>
        <v>0</v>
      </c>
      <c r="R58" s="732">
        <f t="shared" si="30"/>
        <v>0</v>
      </c>
      <c r="S58" s="733">
        <f t="shared" si="30"/>
        <v>0</v>
      </c>
      <c r="AA58" s="341"/>
      <c r="AB58" s="341"/>
      <c r="AC58" s="342"/>
      <c r="AD58" s="1"/>
      <c r="AG58" s="176"/>
      <c r="AI58" s="176"/>
    </row>
    <row r="59" spans="1:35">
      <c r="A59" s="509"/>
      <c r="B59" s="558"/>
      <c r="C59" s="1"/>
      <c r="D59" s="511"/>
      <c r="E59" s="558"/>
      <c r="F59" s="1"/>
      <c r="G59" s="511"/>
      <c r="H59" s="558"/>
      <c r="I59" s="1"/>
      <c r="J59" s="511"/>
      <c r="K59" s="738"/>
      <c r="L59" s="712"/>
      <c r="M59" s="739"/>
      <c r="N59" s="738"/>
      <c r="O59" s="712"/>
      <c r="P59" s="739"/>
      <c r="Q59" s="738"/>
      <c r="R59" s="712"/>
      <c r="S59" s="739"/>
      <c r="AA59" s="341"/>
      <c r="AB59" s="341"/>
      <c r="AC59" s="342"/>
      <c r="AD59" s="1"/>
      <c r="AG59" s="176"/>
      <c r="AI59" s="176"/>
    </row>
    <row r="60" spans="1:35">
      <c r="A60" s="526" t="s">
        <v>392</v>
      </c>
      <c r="B60" s="517">
        <f>+B87</f>
        <v>4400</v>
      </c>
      <c r="C60" s="772">
        <v>101</v>
      </c>
      <c r="D60" s="519">
        <v>1100</v>
      </c>
      <c r="E60" s="517">
        <f>+B88</f>
        <v>2200</v>
      </c>
      <c r="F60" s="772">
        <v>979</v>
      </c>
      <c r="G60" s="519">
        <v>1700</v>
      </c>
      <c r="H60" s="517">
        <f>+B92</f>
        <v>300</v>
      </c>
      <c r="I60" s="772">
        <v>2743</v>
      </c>
      <c r="J60" s="519">
        <v>5500</v>
      </c>
      <c r="K60" s="740">
        <f>+B90</f>
        <v>0</v>
      </c>
      <c r="L60" s="741">
        <v>0</v>
      </c>
      <c r="M60" s="742">
        <v>100</v>
      </c>
      <c r="N60" s="740">
        <v>0</v>
      </c>
      <c r="O60" s="741">
        <v>0</v>
      </c>
      <c r="P60" s="742">
        <v>0</v>
      </c>
      <c r="Q60" s="740">
        <v>0</v>
      </c>
      <c r="R60" s="741">
        <v>0</v>
      </c>
      <c r="S60" s="742">
        <v>0</v>
      </c>
      <c r="AA60" s="341"/>
      <c r="AB60" s="341"/>
      <c r="AC60" s="342"/>
      <c r="AD60" s="1"/>
      <c r="AG60" s="176"/>
      <c r="AI60" s="176"/>
    </row>
    <row r="61" spans="1:35">
      <c r="A61" s="505"/>
      <c r="B61" s="506"/>
      <c r="C61" s="507"/>
      <c r="D61" s="508"/>
      <c r="E61" s="557"/>
      <c r="F61" s="4"/>
      <c r="G61" s="508"/>
      <c r="H61" s="557"/>
      <c r="I61" s="4"/>
      <c r="J61" s="561"/>
      <c r="K61" s="743"/>
      <c r="L61" s="744"/>
      <c r="M61" s="745"/>
      <c r="N61" s="743"/>
      <c r="O61" s="744"/>
      <c r="P61" s="745"/>
      <c r="Q61" s="743"/>
      <c r="R61" s="744"/>
      <c r="S61" s="745"/>
      <c r="AA61" s="341"/>
      <c r="AB61" s="341"/>
      <c r="AC61" s="342"/>
      <c r="AD61" s="1"/>
      <c r="AG61" s="176"/>
      <c r="AI61" s="176"/>
    </row>
    <row r="62" spans="1:35">
      <c r="A62" s="564"/>
      <c r="B62" s="502"/>
      <c r="C62" s="543"/>
      <c r="D62" s="504"/>
      <c r="E62" s="502"/>
      <c r="F62" s="543"/>
      <c r="G62" s="556"/>
      <c r="H62" s="502"/>
      <c r="I62" s="543"/>
      <c r="J62" s="504"/>
      <c r="K62" s="502"/>
      <c r="L62" s="543"/>
      <c r="M62" s="556"/>
      <c r="N62" s="502"/>
      <c r="O62" s="543"/>
      <c r="P62" s="504"/>
      <c r="Q62" s="502"/>
      <c r="R62" s="543"/>
      <c r="S62" s="504"/>
      <c r="AA62" s="341"/>
      <c r="AB62" s="341"/>
      <c r="AC62" s="342"/>
      <c r="AD62" s="1"/>
      <c r="AG62" s="176"/>
      <c r="AI62" s="176"/>
    </row>
    <row r="63" spans="1:35" ht="15.75" thickBot="1">
      <c r="A63" s="523"/>
      <c r="B63" s="524"/>
      <c r="C63" s="509"/>
      <c r="D63" s="509"/>
      <c r="E63" s="525"/>
      <c r="H63" s="525"/>
      <c r="K63" s="338"/>
      <c r="N63" s="338"/>
      <c r="Q63" s="338"/>
      <c r="AA63" s="341"/>
      <c r="AB63" s="341"/>
      <c r="AC63" s="342"/>
      <c r="AD63" s="1"/>
      <c r="AG63" s="176"/>
      <c r="AI63" s="176"/>
    </row>
    <row r="64" spans="1:35" ht="15.75" thickBot="1">
      <c r="A64" s="527" t="s">
        <v>391</v>
      </c>
      <c r="B64" s="520">
        <f>B29+E29+H29+K29+N29+Q29+B60+E60+H60+K60+N60+Q60</f>
        <v>27900</v>
      </c>
      <c r="C64" s="521">
        <f>C29+F29+I29+L29+O29+R29+C60+F60+I60+L60+O60+R60</f>
        <v>32641.15</v>
      </c>
      <c r="D64" s="522">
        <f>D29+G29+J29+M29+P29+S29+D60+G60+J60+M60+P60+S60</f>
        <v>23700</v>
      </c>
      <c r="H64" s="52"/>
      <c r="AA64" s="341"/>
      <c r="AB64" s="341"/>
      <c r="AC64" s="342"/>
      <c r="AD64" s="1"/>
      <c r="AG64" s="176"/>
      <c r="AI64" s="176"/>
    </row>
    <row r="65" spans="1:35">
      <c r="A65" s="340"/>
      <c r="B65" s="196"/>
      <c r="C65" s="4"/>
      <c r="D65" s="4"/>
      <c r="H65" s="52"/>
      <c r="K65" s="562"/>
      <c r="O65" s="2" t="s">
        <v>7</v>
      </c>
      <c r="V65" s="2">
        <v>2078820</v>
      </c>
      <c r="W65" s="562">
        <v>2289955</v>
      </c>
      <c r="AA65" s="341"/>
      <c r="AB65" s="341"/>
      <c r="AC65" s="565">
        <v>1.1020000000000001</v>
      </c>
      <c r="AD65" s="567">
        <v>9.9000000000000005E-2</v>
      </c>
      <c r="AE65" s="566">
        <f>+AC65-AD65</f>
        <v>1.0030000000000001</v>
      </c>
      <c r="AG65" s="176"/>
      <c r="AI65" s="176"/>
    </row>
    <row r="66" spans="1:35">
      <c r="A66" s="340"/>
      <c r="B66" s="196"/>
      <c r="C66" s="4"/>
      <c r="D66" s="4"/>
      <c r="H66" s="52"/>
      <c r="I66" s="560"/>
      <c r="K66" s="562"/>
      <c r="V66" s="2">
        <v>22566</v>
      </c>
      <c r="W66" s="562">
        <v>22313</v>
      </c>
      <c r="AA66" s="341"/>
      <c r="AB66" s="341"/>
      <c r="AC66" s="565">
        <v>0.98899999999999999</v>
      </c>
      <c r="AD66" s="567">
        <v>0</v>
      </c>
      <c r="AE66" s="566">
        <f t="shared" ref="AE66:AE71" si="33">+AC66-AD66</f>
        <v>0.98899999999999999</v>
      </c>
      <c r="AG66" s="176"/>
      <c r="AI66" s="176"/>
    </row>
    <row r="67" spans="1:35" ht="16.5">
      <c r="A67" s="6"/>
      <c r="B67" s="26" t="s">
        <v>229</v>
      </c>
      <c r="C67" s="26" t="s">
        <v>230</v>
      </c>
      <c r="D67" s="26" t="s">
        <v>231</v>
      </c>
      <c r="H67" s="52"/>
      <c r="I67" s="560"/>
      <c r="K67" s="562"/>
      <c r="V67" s="2">
        <v>469400</v>
      </c>
      <c r="W67" s="562">
        <v>521591</v>
      </c>
      <c r="AA67" s="341"/>
      <c r="AB67" s="341"/>
      <c r="AC67" s="565">
        <v>1.111</v>
      </c>
      <c r="AD67" s="567">
        <v>7.0000000000000007E-2</v>
      </c>
      <c r="AE67" s="566">
        <f t="shared" si="33"/>
        <v>1.0409999999999999</v>
      </c>
      <c r="AG67" s="176"/>
      <c r="AI67" s="176"/>
    </row>
    <row r="68" spans="1:35">
      <c r="A68" s="343" t="s">
        <v>232</v>
      </c>
      <c r="B68" s="859" t="s">
        <v>233</v>
      </c>
      <c r="C68" s="859"/>
      <c r="D68" s="859"/>
      <c r="H68" s="52"/>
      <c r="I68" s="560"/>
      <c r="J68" s="83"/>
      <c r="K68" s="602"/>
      <c r="V68" s="2">
        <v>514675</v>
      </c>
      <c r="W68" s="562">
        <v>642354</v>
      </c>
      <c r="AA68" s="341"/>
      <c r="AB68" s="341"/>
      <c r="AC68" s="565">
        <v>1.248</v>
      </c>
      <c r="AD68" s="567">
        <v>1.4999999999999999E-2</v>
      </c>
      <c r="AE68" s="566">
        <f t="shared" si="33"/>
        <v>1.2330000000000001</v>
      </c>
      <c r="AG68" s="176"/>
      <c r="AI68" s="176"/>
    </row>
    <row r="69" spans="1:35">
      <c r="A69" s="328" t="s">
        <v>234</v>
      </c>
      <c r="B69" s="344">
        <f>SUM(C69:D69)</f>
        <v>9201.9367508896539</v>
      </c>
      <c r="C69" s="344">
        <f>W14*$V$29</f>
        <v>8372.7070192199681</v>
      </c>
      <c r="D69" s="344">
        <f>W22*$V$29</f>
        <v>829.22973166968552</v>
      </c>
      <c r="H69" s="52"/>
      <c r="I69" s="560"/>
      <c r="K69" s="562"/>
      <c r="V69" s="2">
        <v>62400</v>
      </c>
      <c r="W69" s="562">
        <v>68640</v>
      </c>
      <c r="AA69" s="341"/>
      <c r="AB69" s="341"/>
      <c r="AC69" s="565">
        <v>1.1000000000000001</v>
      </c>
      <c r="AD69" s="567">
        <v>0.158</v>
      </c>
      <c r="AE69" s="566">
        <f t="shared" si="33"/>
        <v>0.94200000000000006</v>
      </c>
      <c r="AG69" s="176"/>
      <c r="AI69" s="176"/>
    </row>
    <row r="70" spans="1:35">
      <c r="A70" s="328" t="s">
        <v>235</v>
      </c>
      <c r="B70" s="196">
        <f>SUM(C70:D70)</f>
        <v>1086.9698435051396</v>
      </c>
      <c r="C70" s="196">
        <f>X14*$V$29</f>
        <v>0</v>
      </c>
      <c r="D70" s="196">
        <f>X22*$V$29</f>
        <v>1086.9698435051396</v>
      </c>
      <c r="J70" s="176"/>
      <c r="K70" s="176"/>
      <c r="V70" s="2">
        <v>22275</v>
      </c>
      <c r="W70" s="562">
        <v>27844</v>
      </c>
      <c r="AA70" s="341"/>
      <c r="AB70" s="341"/>
      <c r="AC70" s="565">
        <v>1.25</v>
      </c>
      <c r="AD70" s="567">
        <v>0</v>
      </c>
      <c r="AE70" s="566">
        <f t="shared" si="33"/>
        <v>1.25</v>
      </c>
      <c r="AG70" s="176"/>
      <c r="AI70" s="176"/>
    </row>
    <row r="71" spans="1:35" ht="16.5">
      <c r="A71" s="328" t="s">
        <v>236</v>
      </c>
      <c r="B71" s="345">
        <f>SUM(C71:D71)</f>
        <v>0</v>
      </c>
      <c r="C71" s="345">
        <v>0</v>
      </c>
      <c r="D71" s="345">
        <v>0</v>
      </c>
      <c r="V71" s="2">
        <v>10980</v>
      </c>
      <c r="W71" s="562">
        <v>13725</v>
      </c>
      <c r="AA71" s="341"/>
      <c r="AB71" s="341"/>
      <c r="AC71" s="565">
        <v>1.25</v>
      </c>
      <c r="AD71" s="567">
        <v>0</v>
      </c>
      <c r="AE71" s="566">
        <f t="shared" si="33"/>
        <v>1.25</v>
      </c>
      <c r="AG71" s="176"/>
      <c r="AI71" s="176"/>
    </row>
    <row r="72" spans="1:35">
      <c r="A72" s="340" t="s">
        <v>64</v>
      </c>
      <c r="B72" s="344">
        <f>SUM(B69:B71)</f>
        <v>10288.906594394794</v>
      </c>
      <c r="C72" s="344">
        <f>SUM(C69:C71)</f>
        <v>8372.7070192199681</v>
      </c>
      <c r="D72" s="344">
        <f>SUM(D69:D71)</f>
        <v>1916.199575174825</v>
      </c>
      <c r="W72" s="562"/>
      <c r="AA72" s="341"/>
      <c r="AB72" s="341"/>
      <c r="AC72" s="342"/>
      <c r="AD72" s="1"/>
      <c r="AE72" s="566">
        <f>AVERAGE(AE65:AE71)</f>
        <v>1.1011428571428572</v>
      </c>
      <c r="AG72" s="176"/>
      <c r="AI72" s="176"/>
    </row>
    <row r="73" spans="1:35" ht="16.5">
      <c r="A73" s="340" t="s">
        <v>237</v>
      </c>
      <c r="B73" s="346">
        <f>SUM(C73:D73)</f>
        <v>-112.08</v>
      </c>
      <c r="C73" s="346">
        <v>0</v>
      </c>
      <c r="D73" s="346">
        <f>-V20*V29</f>
        <v>-112.08</v>
      </c>
      <c r="V73" s="2">
        <f>SUM(V65:V72)</f>
        <v>3181116</v>
      </c>
      <c r="W73" s="562">
        <f>SUM(W65:W72)</f>
        <v>3586422</v>
      </c>
      <c r="AA73" s="341"/>
      <c r="AB73" s="341"/>
      <c r="AC73" s="342"/>
      <c r="AD73" s="1"/>
      <c r="AG73" s="176"/>
      <c r="AI73" s="176"/>
    </row>
    <row r="74" spans="1:35" ht="16.5">
      <c r="A74" s="340" t="s">
        <v>238</v>
      </c>
      <c r="B74" s="347">
        <f>SUM(B72:B73)</f>
        <v>10176.826594394794</v>
      </c>
      <c r="C74" s="347">
        <f>SUM(C72:C73)</f>
        <v>8372.7070192199681</v>
      </c>
      <c r="D74" s="347">
        <f>SUM(D72:D73)</f>
        <v>1804.1195751748251</v>
      </c>
      <c r="J74" s="764"/>
      <c r="K74" s="83"/>
      <c r="V74" s="2">
        <v>3233726</v>
      </c>
      <c r="W74" s="562">
        <v>1569174</v>
      </c>
      <c r="X74" s="563">
        <f>+W74/V74</f>
        <v>0.485252615713267</v>
      </c>
      <c r="AA74" s="341"/>
      <c r="AB74" s="341"/>
      <c r="AC74" s="342"/>
      <c r="AD74" s="1"/>
      <c r="AG74" s="176"/>
      <c r="AI74" s="176"/>
    </row>
    <row r="75" spans="1:35">
      <c r="V75" s="2">
        <f>+V73-V74</f>
        <v>-52610</v>
      </c>
      <c r="W75" s="562">
        <f>+W73-W74</f>
        <v>2017248</v>
      </c>
      <c r="AD75" s="1"/>
      <c r="AG75" s="342"/>
      <c r="AI75" s="342"/>
    </row>
    <row r="76" spans="1:35">
      <c r="W76" s="562"/>
      <c r="AD76" s="1"/>
      <c r="AG76" s="342"/>
      <c r="AI76" s="342"/>
    </row>
    <row r="77" spans="1:35">
      <c r="W77" s="562"/>
      <c r="AD77" s="1"/>
      <c r="AG77" s="342"/>
      <c r="AI77" s="342"/>
    </row>
    <row r="78" spans="1:35">
      <c r="W78" s="562"/>
      <c r="AD78" s="1"/>
      <c r="AG78" s="342"/>
      <c r="AI78" s="342"/>
    </row>
    <row r="79" spans="1:35">
      <c r="A79" s="1"/>
      <c r="B79" s="111" t="s">
        <v>356</v>
      </c>
      <c r="C79" s="111" t="s">
        <v>297</v>
      </c>
      <c r="D79" s="1"/>
      <c r="E79" s="1"/>
      <c r="F79" s="1"/>
      <c r="G79" s="1"/>
      <c r="H79" s="1"/>
    </row>
    <row r="80" spans="1:35" ht="16.5">
      <c r="A80" s="348" t="s">
        <v>239</v>
      </c>
      <c r="B80" s="305" t="s">
        <v>357</v>
      </c>
      <c r="C80" s="3" t="s">
        <v>394</v>
      </c>
      <c r="D80" s="3" t="s">
        <v>240</v>
      </c>
      <c r="E80" s="3" t="s">
        <v>241</v>
      </c>
      <c r="J80" s="176"/>
      <c r="AA80" s="6"/>
      <c r="AB80" s="6"/>
    </row>
    <row r="81" spans="1:28">
      <c r="A81" s="112" t="s">
        <v>327</v>
      </c>
      <c r="B81" s="349">
        <v>21000</v>
      </c>
      <c r="C81" s="350">
        <v>350</v>
      </c>
      <c r="D81" s="65">
        <f>IF(C81&lt;&gt;0,B81/C81,0)</f>
        <v>60</v>
      </c>
      <c r="E81" s="351">
        <f>IF($D$93&lt;&gt;0,D81/$D$93,0)</f>
        <v>0.75268817204301064</v>
      </c>
      <c r="AA81" s="6"/>
      <c r="AB81" s="6"/>
    </row>
    <row r="82" spans="1:28">
      <c r="A82" s="112" t="s">
        <v>328</v>
      </c>
      <c r="B82" s="349">
        <v>0</v>
      </c>
      <c r="C82" s="350">
        <f>350</f>
        <v>350</v>
      </c>
      <c r="D82" s="65">
        <f>IF(C82&lt;&gt;0,B82/C82,0)</f>
        <v>0</v>
      </c>
      <c r="E82" s="352">
        <f>IF($D$93&lt;&gt;0,D82/$D$93,0)</f>
        <v>0</v>
      </c>
      <c r="J82" s="9"/>
      <c r="AA82" s="6"/>
      <c r="AB82" s="6"/>
    </row>
    <row r="83" spans="1:28">
      <c r="A83" s="112" t="s">
        <v>329</v>
      </c>
      <c r="B83" s="349">
        <v>0</v>
      </c>
      <c r="C83" s="350">
        <f>350</f>
        <v>350</v>
      </c>
      <c r="D83" s="65">
        <f t="shared" ref="D83:D91" si="34">IF(C83&lt;&gt;0,B83/C83,0)</f>
        <v>0</v>
      </c>
      <c r="E83" s="352">
        <f>IF($D$93&lt;&gt;0,D83/$D$93,0)</f>
        <v>0</v>
      </c>
      <c r="AA83" s="6"/>
      <c r="AB83" s="6"/>
    </row>
    <row r="84" spans="1:28">
      <c r="A84" s="112" t="s">
        <v>330</v>
      </c>
      <c r="B84" s="349">
        <v>0</v>
      </c>
      <c r="C84" s="350">
        <f>350</f>
        <v>350</v>
      </c>
      <c r="D84" s="65">
        <f t="shared" si="34"/>
        <v>0</v>
      </c>
      <c r="E84" s="352">
        <f>IF($D$93&lt;&gt;0,D84/$D$93,0)</f>
        <v>0</v>
      </c>
      <c r="AA84" s="6"/>
      <c r="AB84" s="6"/>
    </row>
    <row r="85" spans="1:28">
      <c r="A85" s="112" t="s">
        <v>331</v>
      </c>
      <c r="B85" s="349">
        <v>0</v>
      </c>
      <c r="C85" s="350">
        <f>350</f>
        <v>350</v>
      </c>
      <c r="D85" s="65">
        <f t="shared" si="34"/>
        <v>0</v>
      </c>
      <c r="E85" s="352">
        <f>IF($D$93&lt;&gt;0,D85/$D$93,0)</f>
        <v>0</v>
      </c>
      <c r="AA85" s="6"/>
      <c r="AB85" s="6"/>
    </row>
    <row r="86" spans="1:28">
      <c r="A86" s="112" t="s">
        <v>332</v>
      </c>
      <c r="B86" s="349">
        <v>0</v>
      </c>
      <c r="C86" s="350">
        <f>350</f>
        <v>350</v>
      </c>
      <c r="D86" s="65">
        <f t="shared" si="34"/>
        <v>0</v>
      </c>
      <c r="E86" s="352">
        <f t="shared" ref="E86:E91" si="35">IF($D$93&lt;&gt;0,D86/$D$93,0)</f>
        <v>0</v>
      </c>
      <c r="AA86" s="6"/>
      <c r="AB86" s="6"/>
    </row>
    <row r="87" spans="1:28">
      <c r="A87" s="112" t="s">
        <v>370</v>
      </c>
      <c r="B87" s="349">
        <v>4400</v>
      </c>
      <c r="C87" s="350">
        <f>350</f>
        <v>350</v>
      </c>
      <c r="D87" s="65">
        <f t="shared" si="34"/>
        <v>12.571428571428571</v>
      </c>
      <c r="E87" s="352">
        <f t="shared" si="35"/>
        <v>0.15770609318996415</v>
      </c>
      <c r="AA87" s="6"/>
      <c r="AB87" s="6"/>
    </row>
    <row r="88" spans="1:28">
      <c r="A88" s="112" t="s">
        <v>333</v>
      </c>
      <c r="B88" s="349">
        <v>2200</v>
      </c>
      <c r="C88" s="350">
        <f>350</f>
        <v>350</v>
      </c>
      <c r="D88" s="65">
        <f t="shared" si="34"/>
        <v>6.2857142857142856</v>
      </c>
      <c r="E88" s="352">
        <f t="shared" si="35"/>
        <v>7.8853046594982074E-2</v>
      </c>
      <c r="AA88" s="6"/>
      <c r="AB88" s="6"/>
    </row>
    <row r="89" spans="1:28">
      <c r="A89" s="112" t="s">
        <v>334</v>
      </c>
      <c r="B89" s="349">
        <v>0</v>
      </c>
      <c r="C89" s="350">
        <f>350</f>
        <v>350</v>
      </c>
      <c r="D89" s="65">
        <f t="shared" si="34"/>
        <v>0</v>
      </c>
      <c r="E89" s="352">
        <f t="shared" si="35"/>
        <v>0</v>
      </c>
      <c r="AA89" s="6"/>
      <c r="AB89" s="6"/>
    </row>
    <row r="90" spans="1:28">
      <c r="A90" s="112" t="s">
        <v>335</v>
      </c>
      <c r="B90" s="349">
        <v>0</v>
      </c>
      <c r="C90" s="350">
        <f>350</f>
        <v>350</v>
      </c>
      <c r="D90" s="65">
        <f t="shared" si="34"/>
        <v>0</v>
      </c>
      <c r="E90" s="352">
        <f t="shared" si="35"/>
        <v>0</v>
      </c>
      <c r="AA90" s="6"/>
      <c r="AB90" s="6"/>
    </row>
    <row r="91" spans="1:28">
      <c r="A91" s="112" t="s">
        <v>326</v>
      </c>
      <c r="B91" s="349">
        <v>0</v>
      </c>
      <c r="C91" s="350">
        <f>350</f>
        <v>350</v>
      </c>
      <c r="D91" s="65">
        <f t="shared" si="34"/>
        <v>0</v>
      </c>
      <c r="E91" s="352">
        <f t="shared" si="35"/>
        <v>0</v>
      </c>
      <c r="AA91" s="6"/>
      <c r="AB91" s="6"/>
    </row>
    <row r="92" spans="1:28">
      <c r="A92" s="112" t="s">
        <v>400</v>
      </c>
      <c r="B92" s="349">
        <v>300</v>
      </c>
      <c r="C92" s="350">
        <f>350</f>
        <v>350</v>
      </c>
      <c r="D92" s="65">
        <f>IF(C92&lt;&gt;0,B92/C92,0)</f>
        <v>0.8571428571428571</v>
      </c>
      <c r="E92" s="352">
        <f>IF($D$93&lt;&gt;0,D92/$D$93,0)</f>
        <v>1.075268817204301E-2</v>
      </c>
      <c r="AA92" s="6"/>
      <c r="AB92" s="6"/>
    </row>
    <row r="93" spans="1:28" ht="15.75" thickBot="1">
      <c r="A93" s="353" t="s">
        <v>229</v>
      </c>
      <c r="B93" s="354">
        <f>SUM(B81:B92)</f>
        <v>27900</v>
      </c>
      <c r="C93" s="354">
        <f>B93/D93</f>
        <v>349.99999999999994</v>
      </c>
      <c r="D93" s="354">
        <f>SUM(D81:D92)</f>
        <v>79.714285714285722</v>
      </c>
      <c r="E93" s="355">
        <f>IF($D$93&lt;&gt;0,D93/$D$93,0)</f>
        <v>1</v>
      </c>
      <c r="AA93" s="6"/>
      <c r="AB93" s="6"/>
    </row>
    <row r="94" spans="1:28" ht="16.5">
      <c r="C94" s="356"/>
      <c r="D94" s="356"/>
      <c r="AA94" s="6"/>
      <c r="AB94" s="6"/>
    </row>
    <row r="95" spans="1:28">
      <c r="A95" s="23"/>
      <c r="B95" s="351"/>
      <c r="C95" s="351"/>
      <c r="D95" s="351"/>
      <c r="E95" s="1"/>
      <c r="F95" s="357"/>
      <c r="G95" s="1"/>
      <c r="H95" s="1"/>
      <c r="L95" s="85"/>
      <c r="AA95" s="6"/>
      <c r="AB95" s="6"/>
    </row>
    <row r="96" spans="1:28">
      <c r="A96" s="358" t="s">
        <v>242</v>
      </c>
      <c r="B96" s="406"/>
      <c r="C96" s="406"/>
      <c r="D96" s="406"/>
      <c r="E96" s="406"/>
      <c r="F96" s="406"/>
      <c r="G96" s="406"/>
      <c r="H96" s="406"/>
      <c r="I96" s="406"/>
      <c r="J96" s="406"/>
      <c r="K96" s="406"/>
      <c r="L96" s="406"/>
      <c r="M96" s="406"/>
      <c r="N96" s="406"/>
      <c r="O96" s="407"/>
      <c r="AA96" s="6"/>
      <c r="AB96" s="6"/>
    </row>
    <row r="97" spans="1:38">
      <c r="A97" s="30"/>
      <c r="B97" s="359"/>
      <c r="C97" s="359"/>
      <c r="D97" s="360"/>
      <c r="E97" s="360"/>
      <c r="F97" s="1"/>
      <c r="G97" s="8"/>
      <c r="H97" s="1"/>
      <c r="I97" s="8"/>
      <c r="J97" s="1"/>
      <c r="K97" s="70"/>
      <c r="O97" s="25"/>
      <c r="Q97" s="601"/>
      <c r="AA97" s="6"/>
      <c r="AB97" s="6"/>
    </row>
    <row r="98" spans="1:38" ht="15.75" thickBot="1">
      <c r="A98" s="30"/>
      <c r="B98" s="1"/>
      <c r="C98" s="1"/>
      <c r="D98" s="852" t="s">
        <v>327</v>
      </c>
      <c r="E98" s="853"/>
      <c r="F98" s="847" t="s">
        <v>410</v>
      </c>
      <c r="G98" s="848"/>
      <c r="H98" s="852" t="s">
        <v>329</v>
      </c>
      <c r="I98" s="853"/>
      <c r="J98" s="852" t="s">
        <v>330</v>
      </c>
      <c r="K98" s="853"/>
      <c r="L98" s="852" t="s">
        <v>407</v>
      </c>
      <c r="M98" s="853"/>
      <c r="N98" s="852" t="s">
        <v>332</v>
      </c>
      <c r="O98" s="853"/>
      <c r="AA98" s="6"/>
      <c r="AB98" s="664"/>
      <c r="AC98" s="663"/>
      <c r="AD98" s="663"/>
      <c r="AE98" s="663"/>
      <c r="AF98" s="663" t="s">
        <v>423</v>
      </c>
      <c r="AG98" s="708"/>
      <c r="AH98" s="708" t="s">
        <v>424</v>
      </c>
      <c r="AI98" s="663"/>
      <c r="AJ98" s="663" t="s">
        <v>425</v>
      </c>
      <c r="AK98" s="708"/>
      <c r="AL98" s="708" t="s">
        <v>426</v>
      </c>
    </row>
    <row r="99" spans="1:38" ht="30">
      <c r="A99" s="30" t="s">
        <v>243</v>
      </c>
      <c r="B99" s="550" t="s">
        <v>27</v>
      </c>
      <c r="C99" s="551" t="s">
        <v>396</v>
      </c>
      <c r="D99" s="758" t="s">
        <v>244</v>
      </c>
      <c r="E99" s="684" t="s">
        <v>245</v>
      </c>
      <c r="F99" s="48" t="s">
        <v>244</v>
      </c>
      <c r="G99" s="362" t="s">
        <v>245</v>
      </c>
      <c r="H99" s="746" t="s">
        <v>244</v>
      </c>
      <c r="I99" s="684" t="s">
        <v>245</v>
      </c>
      <c r="J99" s="746" t="s">
        <v>244</v>
      </c>
      <c r="K99" s="684" t="s">
        <v>245</v>
      </c>
      <c r="L99" s="746" t="s">
        <v>244</v>
      </c>
      <c r="M99" s="684" t="s">
        <v>245</v>
      </c>
      <c r="N99" s="746" t="s">
        <v>244</v>
      </c>
      <c r="O99" s="684" t="s">
        <v>245</v>
      </c>
      <c r="P99" s="72"/>
      <c r="Q99" s="72"/>
      <c r="AA99" s="111"/>
      <c r="AB99" s="655" t="s">
        <v>246</v>
      </c>
      <c r="AC99" s="612"/>
      <c r="AD99" s="612"/>
      <c r="AE99" s="656" t="s">
        <v>247</v>
      </c>
      <c r="AF99" s="656" t="s">
        <v>248</v>
      </c>
      <c r="AG99" s="709" t="s">
        <v>247</v>
      </c>
      <c r="AH99" s="709" t="s">
        <v>248</v>
      </c>
      <c r="AI99" s="656" t="s">
        <v>247</v>
      </c>
      <c r="AJ99" s="656" t="s">
        <v>248</v>
      </c>
      <c r="AK99" s="709" t="s">
        <v>247</v>
      </c>
      <c r="AL99" s="709" t="s">
        <v>248</v>
      </c>
    </row>
    <row r="100" spans="1:38">
      <c r="A100" s="112" t="s">
        <v>336</v>
      </c>
      <c r="B100" s="665">
        <f>0.1586+0.032-C100</f>
        <v>0.19059999999999999</v>
      </c>
      <c r="C100" s="547">
        <v>0</v>
      </c>
      <c r="D100" s="747">
        <v>0.96442881875791298</v>
      </c>
      <c r="E100" s="748">
        <f t="shared" ref="E100:E118" si="36">$B100*D100</f>
        <v>0.18382013285525819</v>
      </c>
      <c r="F100" s="528">
        <v>0.99078514058532219</v>
      </c>
      <c r="G100" s="275">
        <f t="shared" ref="G100:G118" si="37">$B100*F100</f>
        <v>0.1888436477955624</v>
      </c>
      <c r="H100" s="747">
        <v>0</v>
      </c>
      <c r="I100" s="748">
        <f t="shared" ref="I100:I118" si="38">$B100*H100</f>
        <v>0</v>
      </c>
      <c r="J100" s="747">
        <v>1.0310578590572284</v>
      </c>
      <c r="K100" s="748">
        <f t="shared" ref="K100:K118" si="39">$B100*J100</f>
        <v>0.19651962793630773</v>
      </c>
      <c r="L100" s="747">
        <v>0</v>
      </c>
      <c r="M100" s="748">
        <f t="shared" ref="M100:M118" si="40">$B100*L100</f>
        <v>0</v>
      </c>
      <c r="N100" s="747">
        <v>0</v>
      </c>
      <c r="O100" s="748">
        <f t="shared" ref="O100:O118" si="41">$B100*N100</f>
        <v>0</v>
      </c>
      <c r="P100" s="63"/>
      <c r="Q100" s="63"/>
      <c r="AB100" s="657" t="s">
        <v>422</v>
      </c>
      <c r="AC100" s="612"/>
      <c r="AD100" s="614"/>
      <c r="AE100" s="658">
        <f>B100*1000</f>
        <v>190.6</v>
      </c>
      <c r="AF100" s="621">
        <f>E100/B100*1000</f>
        <v>964.42881875791295</v>
      </c>
      <c r="AG100" s="710"/>
      <c r="AH100" s="711">
        <f>G100/B100*1000</f>
        <v>990.78514058532221</v>
      </c>
      <c r="AI100" s="661"/>
      <c r="AJ100" s="621">
        <f>K100/B100*1000</f>
        <v>1031.0578590572284</v>
      </c>
      <c r="AK100" s="714"/>
      <c r="AL100" s="711"/>
    </row>
    <row r="101" spans="1:38">
      <c r="A101" s="112" t="s">
        <v>337</v>
      </c>
      <c r="B101" s="665">
        <f>0.1586+0.032-C101</f>
        <v>0.19059999999999999</v>
      </c>
      <c r="C101" s="547">
        <v>0</v>
      </c>
      <c r="D101" s="759">
        <v>0</v>
      </c>
      <c r="E101" s="749">
        <f t="shared" si="36"/>
        <v>0</v>
      </c>
      <c r="F101" s="545">
        <v>0</v>
      </c>
      <c r="G101" s="367">
        <f t="shared" si="37"/>
        <v>0</v>
      </c>
      <c r="H101" s="747">
        <v>0</v>
      </c>
      <c r="I101" s="749">
        <f t="shared" si="38"/>
        <v>0</v>
      </c>
      <c r="J101" s="747">
        <v>0</v>
      </c>
      <c r="K101" s="749">
        <f t="shared" si="39"/>
        <v>0</v>
      </c>
      <c r="L101" s="747">
        <v>0</v>
      </c>
      <c r="M101" s="749">
        <f t="shared" si="40"/>
        <v>0</v>
      </c>
      <c r="N101" s="747">
        <v>0.96649075853748823</v>
      </c>
      <c r="O101" s="749">
        <f t="shared" si="41"/>
        <v>0.18421313857724525</v>
      </c>
      <c r="P101" s="368"/>
      <c r="Q101" s="368"/>
      <c r="AB101" s="657"/>
      <c r="AC101" s="612"/>
      <c r="AD101" s="614"/>
      <c r="AE101" s="658"/>
      <c r="AF101" s="621"/>
      <c r="AG101" s="710"/>
      <c r="AH101" s="711"/>
      <c r="AI101" s="661"/>
      <c r="AJ101" s="621"/>
      <c r="AK101" s="714"/>
      <c r="AL101" s="711">
        <f>O101/B101*1000</f>
        <v>966.4907585374882</v>
      </c>
    </row>
    <row r="102" spans="1:38">
      <c r="A102" s="112" t="s">
        <v>338</v>
      </c>
      <c r="B102" s="665">
        <f>0.378+0.032-C102</f>
        <v>0.41000000000000003</v>
      </c>
      <c r="C102" s="547">
        <v>0</v>
      </c>
      <c r="D102" s="759">
        <v>0</v>
      </c>
      <c r="E102" s="749">
        <f t="shared" si="36"/>
        <v>0</v>
      </c>
      <c r="F102" s="545">
        <v>0</v>
      </c>
      <c r="G102" s="367">
        <f t="shared" si="37"/>
        <v>0</v>
      </c>
      <c r="H102" s="747">
        <v>0</v>
      </c>
      <c r="I102" s="749">
        <f t="shared" si="38"/>
        <v>0</v>
      </c>
      <c r="J102" s="747">
        <v>0</v>
      </c>
      <c r="K102" s="749">
        <f t="shared" si="39"/>
        <v>0</v>
      </c>
      <c r="L102" s="747">
        <v>0</v>
      </c>
      <c r="M102" s="749">
        <f t="shared" si="40"/>
        <v>0</v>
      </c>
      <c r="N102" s="747">
        <v>0</v>
      </c>
      <c r="O102" s="749">
        <f t="shared" si="41"/>
        <v>0</v>
      </c>
      <c r="P102" s="368"/>
      <c r="Q102" s="368"/>
      <c r="AB102" s="657"/>
      <c r="AC102" s="612"/>
      <c r="AD102" s="614"/>
      <c r="AE102" s="658"/>
      <c r="AF102" s="621"/>
      <c r="AG102" s="710"/>
      <c r="AH102" s="711"/>
      <c r="AI102" s="661"/>
      <c r="AJ102" s="621"/>
      <c r="AK102" s="714"/>
      <c r="AL102" s="711"/>
    </row>
    <row r="103" spans="1:38">
      <c r="A103" s="112" t="s">
        <v>339</v>
      </c>
      <c r="B103" s="665">
        <f>0.2+0.032-C103</f>
        <v>0.23200000000000001</v>
      </c>
      <c r="C103" s="547">
        <v>0</v>
      </c>
      <c r="D103" s="759">
        <v>0</v>
      </c>
      <c r="E103" s="749">
        <f t="shared" si="36"/>
        <v>0</v>
      </c>
      <c r="F103" s="545">
        <v>0</v>
      </c>
      <c r="G103" s="367">
        <f t="shared" si="37"/>
        <v>0</v>
      </c>
      <c r="H103" s="747">
        <v>0</v>
      </c>
      <c r="I103" s="749">
        <f t="shared" si="38"/>
        <v>0</v>
      </c>
      <c r="J103" s="747">
        <v>0</v>
      </c>
      <c r="K103" s="749">
        <f t="shared" si="39"/>
        <v>0</v>
      </c>
      <c r="L103" s="747">
        <v>0</v>
      </c>
      <c r="M103" s="749">
        <f t="shared" si="40"/>
        <v>0</v>
      </c>
      <c r="N103" s="747">
        <v>0</v>
      </c>
      <c r="O103" s="749">
        <f t="shared" si="41"/>
        <v>0</v>
      </c>
      <c r="P103" s="368"/>
      <c r="Q103" s="368"/>
      <c r="AB103" s="657"/>
      <c r="AC103" s="612"/>
      <c r="AD103" s="614"/>
      <c r="AE103" s="658"/>
      <c r="AF103" s="621"/>
      <c r="AG103" s="710"/>
      <c r="AH103" s="711"/>
      <c r="AI103" s="661"/>
      <c r="AJ103" s="621"/>
      <c r="AK103" s="714"/>
      <c r="AL103" s="711"/>
    </row>
    <row r="104" spans="1:38">
      <c r="A104" s="112" t="s">
        <v>340</v>
      </c>
      <c r="B104" s="667">
        <v>0</v>
      </c>
      <c r="C104" s="547">
        <v>0</v>
      </c>
      <c r="D104" s="759">
        <v>0</v>
      </c>
      <c r="E104" s="749">
        <f t="shared" si="36"/>
        <v>0</v>
      </c>
      <c r="F104" s="545">
        <v>0</v>
      </c>
      <c r="G104" s="367">
        <f t="shared" si="37"/>
        <v>0</v>
      </c>
      <c r="H104" s="747">
        <v>0</v>
      </c>
      <c r="I104" s="749">
        <f t="shared" si="38"/>
        <v>0</v>
      </c>
      <c r="J104" s="747">
        <v>0</v>
      </c>
      <c r="K104" s="749">
        <f t="shared" si="39"/>
        <v>0</v>
      </c>
      <c r="L104" s="747">
        <v>0</v>
      </c>
      <c r="M104" s="749">
        <f t="shared" si="40"/>
        <v>0</v>
      </c>
      <c r="N104" s="747">
        <v>0</v>
      </c>
      <c r="O104" s="749">
        <f t="shared" si="41"/>
        <v>0</v>
      </c>
      <c r="P104" s="368"/>
      <c r="Q104" s="368"/>
      <c r="AB104" s="657"/>
      <c r="AC104" s="612"/>
      <c r="AD104" s="614"/>
      <c r="AE104" s="658"/>
      <c r="AF104" s="621"/>
      <c r="AG104" s="710"/>
      <c r="AH104" s="711"/>
      <c r="AI104" s="661"/>
      <c r="AJ104" s="621"/>
      <c r="AK104" s="714"/>
      <c r="AL104" s="711"/>
    </row>
    <row r="105" spans="1:38">
      <c r="A105" s="112" t="s">
        <v>343</v>
      </c>
      <c r="B105" s="665">
        <f>0.5084-C105</f>
        <v>0.50839999999999996</v>
      </c>
      <c r="C105" s="547">
        <v>0</v>
      </c>
      <c r="D105" s="759">
        <v>0</v>
      </c>
      <c r="E105" s="749">
        <f t="shared" si="36"/>
        <v>0</v>
      </c>
      <c r="F105" s="545">
        <v>0</v>
      </c>
      <c r="G105" s="367">
        <f t="shared" si="37"/>
        <v>0</v>
      </c>
      <c r="H105" s="747">
        <v>0</v>
      </c>
      <c r="I105" s="749">
        <f t="shared" si="38"/>
        <v>0</v>
      </c>
      <c r="J105" s="747">
        <v>0</v>
      </c>
      <c r="K105" s="749">
        <f t="shared" si="39"/>
        <v>0</v>
      </c>
      <c r="L105" s="747">
        <v>0</v>
      </c>
      <c r="M105" s="749">
        <f t="shared" si="40"/>
        <v>0</v>
      </c>
      <c r="N105" s="747">
        <v>0</v>
      </c>
      <c r="O105" s="749">
        <f t="shared" si="41"/>
        <v>0</v>
      </c>
      <c r="P105" s="368"/>
      <c r="Q105" s="368"/>
      <c r="AB105" s="657"/>
      <c r="AC105" s="612"/>
      <c r="AD105" s="614"/>
      <c r="AE105" s="658"/>
      <c r="AF105" s="621"/>
      <c r="AG105" s="710"/>
      <c r="AH105" s="711"/>
      <c r="AI105" s="661"/>
      <c r="AJ105" s="621"/>
      <c r="AK105" s="714"/>
      <c r="AL105" s="711"/>
    </row>
    <row r="106" spans="1:38">
      <c r="A106" s="112" t="s">
        <v>397</v>
      </c>
      <c r="B106" s="665">
        <f>1.9036-C106</f>
        <v>1.9036</v>
      </c>
      <c r="C106" s="547">
        <v>0</v>
      </c>
      <c r="D106" s="759">
        <v>0</v>
      </c>
      <c r="E106" s="749">
        <f t="shared" si="36"/>
        <v>0</v>
      </c>
      <c r="F106" s="545">
        <v>0</v>
      </c>
      <c r="G106" s="367">
        <f t="shared" si="37"/>
        <v>0</v>
      </c>
      <c r="H106" s="747">
        <v>0</v>
      </c>
      <c r="I106" s="749">
        <f t="shared" si="38"/>
        <v>0</v>
      </c>
      <c r="J106" s="747">
        <v>0</v>
      </c>
      <c r="K106" s="749">
        <f t="shared" si="39"/>
        <v>0</v>
      </c>
      <c r="L106" s="747">
        <v>0</v>
      </c>
      <c r="M106" s="749">
        <f t="shared" si="40"/>
        <v>0</v>
      </c>
      <c r="N106" s="747">
        <v>0</v>
      </c>
      <c r="O106" s="749">
        <f t="shared" si="41"/>
        <v>0</v>
      </c>
      <c r="P106" s="368"/>
      <c r="Q106" s="368"/>
      <c r="AB106" s="657"/>
      <c r="AC106" s="612"/>
      <c r="AD106" s="614"/>
      <c r="AE106" s="658"/>
      <c r="AF106" s="621"/>
      <c r="AG106" s="710"/>
      <c r="AH106" s="711"/>
      <c r="AI106" s="661"/>
      <c r="AJ106" s="621"/>
      <c r="AK106" s="714"/>
      <c r="AL106" s="711"/>
    </row>
    <row r="107" spans="1:38">
      <c r="A107" s="112" t="s">
        <v>345</v>
      </c>
      <c r="B107" s="665">
        <f>0.1586+0.032-C107+0.02</f>
        <v>0.21059999999999998</v>
      </c>
      <c r="C107" s="547">
        <v>0</v>
      </c>
      <c r="D107" s="759">
        <v>0</v>
      </c>
      <c r="E107" s="749">
        <f t="shared" si="36"/>
        <v>0</v>
      </c>
      <c r="F107" s="545">
        <v>0</v>
      </c>
      <c r="G107" s="367">
        <f t="shared" si="37"/>
        <v>0</v>
      </c>
      <c r="H107" s="747">
        <v>0</v>
      </c>
      <c r="I107" s="749">
        <f t="shared" si="38"/>
        <v>0</v>
      </c>
      <c r="J107" s="747">
        <v>0</v>
      </c>
      <c r="K107" s="749">
        <f t="shared" si="39"/>
        <v>0</v>
      </c>
      <c r="L107" s="747">
        <v>0</v>
      </c>
      <c r="M107" s="749">
        <f t="shared" si="40"/>
        <v>0</v>
      </c>
      <c r="N107" s="747">
        <v>0</v>
      </c>
      <c r="O107" s="749">
        <f t="shared" si="41"/>
        <v>0</v>
      </c>
      <c r="P107" s="368"/>
      <c r="Q107" s="368"/>
      <c r="AB107" s="657"/>
      <c r="AC107" s="612"/>
      <c r="AD107" s="614"/>
      <c r="AE107" s="658"/>
      <c r="AF107" s="621"/>
      <c r="AG107" s="710"/>
      <c r="AH107" s="711"/>
      <c r="AI107" s="661"/>
      <c r="AJ107" s="621"/>
      <c r="AK107" s="714"/>
      <c r="AL107" s="711"/>
    </row>
    <row r="108" spans="1:38">
      <c r="A108" s="112" t="s">
        <v>403</v>
      </c>
      <c r="B108" s="665">
        <f>1506/1000</f>
        <v>1.506</v>
      </c>
      <c r="C108" s="547">
        <v>0</v>
      </c>
      <c r="D108" s="747">
        <v>0</v>
      </c>
      <c r="E108" s="749">
        <f t="shared" si="36"/>
        <v>0</v>
      </c>
      <c r="F108" s="669">
        <v>3.0157074078755359E-2</v>
      </c>
      <c r="G108" s="367">
        <f t="shared" si="37"/>
        <v>4.5416553562605572E-2</v>
      </c>
      <c r="H108" s="747">
        <v>0</v>
      </c>
      <c r="I108" s="749">
        <f t="shared" si="38"/>
        <v>0</v>
      </c>
      <c r="J108" s="747">
        <v>0</v>
      </c>
      <c r="K108" s="749">
        <f t="shared" si="39"/>
        <v>0</v>
      </c>
      <c r="L108" s="747">
        <v>0</v>
      </c>
      <c r="M108" s="749">
        <f t="shared" si="40"/>
        <v>0</v>
      </c>
      <c r="N108" s="747">
        <v>4.0703571281685696E-2</v>
      </c>
      <c r="O108" s="749">
        <f t="shared" si="41"/>
        <v>6.129957835021866E-2</v>
      </c>
      <c r="P108" s="368"/>
      <c r="Q108" s="368"/>
      <c r="AB108" s="657">
        <v>30090</v>
      </c>
      <c r="AC108" s="612"/>
      <c r="AD108" s="614"/>
      <c r="AE108" s="658">
        <f t="shared" ref="AE108:AE115" si="42">B108*1000</f>
        <v>1506</v>
      </c>
      <c r="AF108" s="621">
        <f>E108/B108*1000</f>
        <v>0</v>
      </c>
      <c r="AG108" s="710"/>
      <c r="AH108" s="711"/>
      <c r="AI108" s="661"/>
      <c r="AJ108" s="621"/>
      <c r="AK108" s="714"/>
      <c r="AL108" s="711">
        <f t="shared" ref="AL108:AL118" si="43">O108/B108*1000</f>
        <v>40.703571281685697</v>
      </c>
    </row>
    <row r="109" spans="1:38">
      <c r="A109" s="112" t="s">
        <v>404</v>
      </c>
      <c r="B109" s="665">
        <v>1.262</v>
      </c>
      <c r="C109" s="547">
        <v>0</v>
      </c>
      <c r="D109" s="747">
        <v>3.1699999999999999E-2</v>
      </c>
      <c r="E109" s="749">
        <f t="shared" si="36"/>
        <v>4.0005399999999997E-2</v>
      </c>
      <c r="F109" s="669">
        <v>5.2246952165370163E-3</v>
      </c>
      <c r="G109" s="367">
        <f t="shared" si="37"/>
        <v>6.5935653632697147E-3</v>
      </c>
      <c r="H109" s="747">
        <v>0</v>
      </c>
      <c r="I109" s="749">
        <f t="shared" si="38"/>
        <v>0</v>
      </c>
      <c r="J109" s="747">
        <v>0</v>
      </c>
      <c r="K109" s="749">
        <f t="shared" si="39"/>
        <v>0</v>
      </c>
      <c r="L109" s="747">
        <v>0</v>
      </c>
      <c r="M109" s="749">
        <f t="shared" si="40"/>
        <v>0</v>
      </c>
      <c r="N109" s="747">
        <v>0</v>
      </c>
      <c r="O109" s="749">
        <f t="shared" si="41"/>
        <v>0</v>
      </c>
      <c r="P109" s="368"/>
      <c r="Q109" s="368"/>
      <c r="AB109" s="657">
        <v>30120</v>
      </c>
      <c r="AC109" s="612"/>
      <c r="AD109" s="614"/>
      <c r="AE109" s="658">
        <f t="shared" si="42"/>
        <v>1262</v>
      </c>
      <c r="AF109" s="621">
        <f>E109/B109*1000</f>
        <v>31.7</v>
      </c>
      <c r="AG109" s="710"/>
      <c r="AH109" s="711">
        <f>G109/B109*1000</f>
        <v>5.2246952165370164</v>
      </c>
      <c r="AI109" s="661"/>
      <c r="AJ109" s="621" t="s">
        <v>7</v>
      </c>
      <c r="AK109" s="714"/>
      <c r="AL109" s="711"/>
    </row>
    <row r="110" spans="1:38">
      <c r="A110" s="112" t="s">
        <v>346</v>
      </c>
      <c r="B110" s="665">
        <v>0.78832999999999998</v>
      </c>
      <c r="C110" s="547">
        <v>0</v>
      </c>
      <c r="D110" s="747">
        <v>4.4000000000000003E-3</v>
      </c>
      <c r="E110" s="749">
        <f t="shared" si="36"/>
        <v>3.468652E-3</v>
      </c>
      <c r="F110" s="669">
        <v>6.1505934803341416E-3</v>
      </c>
      <c r="G110" s="367">
        <f t="shared" si="37"/>
        <v>4.8486973583518134E-3</v>
      </c>
      <c r="H110" s="747">
        <v>0</v>
      </c>
      <c r="I110" s="749">
        <f t="shared" si="38"/>
        <v>0</v>
      </c>
      <c r="J110" s="747">
        <v>0</v>
      </c>
      <c r="K110" s="749">
        <f t="shared" si="39"/>
        <v>0</v>
      </c>
      <c r="L110" s="747">
        <v>0</v>
      </c>
      <c r="M110" s="749">
        <f t="shared" si="40"/>
        <v>0</v>
      </c>
      <c r="N110" s="747">
        <v>0</v>
      </c>
      <c r="O110" s="749">
        <f t="shared" si="41"/>
        <v>0</v>
      </c>
      <c r="P110" s="368"/>
      <c r="Q110" s="368"/>
      <c r="AB110" s="657">
        <v>30362</v>
      </c>
      <c r="AC110" s="612"/>
      <c r="AD110" s="614"/>
      <c r="AE110" s="658">
        <f t="shared" si="42"/>
        <v>788.32999999999993</v>
      </c>
      <c r="AF110" s="621">
        <f>E110/B110*1000</f>
        <v>4.4000000000000004</v>
      </c>
      <c r="AG110" s="710"/>
      <c r="AH110" s="711">
        <f>G110/B110*1000</f>
        <v>6.150593480334142</v>
      </c>
      <c r="AI110" s="661"/>
      <c r="AJ110" s="621" t="s">
        <v>7</v>
      </c>
      <c r="AK110" s="714"/>
      <c r="AL110" s="711"/>
    </row>
    <row r="111" spans="1:38">
      <c r="A111" s="112" t="s">
        <v>347</v>
      </c>
      <c r="B111" s="665">
        <v>4.46</v>
      </c>
      <c r="C111" s="547">
        <v>0</v>
      </c>
      <c r="D111" s="747">
        <v>0</v>
      </c>
      <c r="E111" s="749">
        <f t="shared" si="36"/>
        <v>0</v>
      </c>
      <c r="F111" s="669">
        <v>5.2718059497408913E-4</v>
      </c>
      <c r="G111" s="367">
        <f t="shared" si="37"/>
        <v>2.3512254535844376E-3</v>
      </c>
      <c r="H111" s="747">
        <v>0</v>
      </c>
      <c r="I111" s="749">
        <f t="shared" si="38"/>
        <v>0</v>
      </c>
      <c r="J111" s="747">
        <v>0</v>
      </c>
      <c r="K111" s="749">
        <f t="shared" si="39"/>
        <v>0</v>
      </c>
      <c r="L111" s="747">
        <v>0</v>
      </c>
      <c r="M111" s="749">
        <f t="shared" si="40"/>
        <v>0</v>
      </c>
      <c r="N111" s="747">
        <v>8.225600811592614E-6</v>
      </c>
      <c r="O111" s="749">
        <f t="shared" si="41"/>
        <v>3.6686179619703057E-5</v>
      </c>
      <c r="P111" s="368"/>
      <c r="Q111" s="368"/>
      <c r="R111" s="111"/>
      <c r="S111" s="111"/>
      <c r="T111" s="111"/>
      <c r="U111" s="111"/>
      <c r="V111" s="111"/>
      <c r="W111" s="111"/>
      <c r="X111" s="111"/>
      <c r="Y111" s="111"/>
      <c r="AB111" s="657">
        <v>30360</v>
      </c>
      <c r="AC111" s="612"/>
      <c r="AD111" s="614"/>
      <c r="AE111" s="658"/>
      <c r="AF111" s="621"/>
      <c r="AG111" s="710"/>
      <c r="AH111" s="711">
        <f>G111/B111*1000</f>
        <v>0.52718059497408909</v>
      </c>
      <c r="AI111" s="661"/>
      <c r="AJ111" s="621" t="s">
        <v>7</v>
      </c>
      <c r="AK111" s="714"/>
      <c r="AL111" s="711">
        <f t="shared" si="43"/>
        <v>8.2256008115926139E-3</v>
      </c>
    </row>
    <row r="112" spans="1:38">
      <c r="A112" s="112" t="s">
        <v>348</v>
      </c>
      <c r="B112" s="665">
        <f>1449.8/1000</f>
        <v>1.4498</v>
      </c>
      <c r="C112" s="547">
        <v>0</v>
      </c>
      <c r="D112" s="747">
        <v>0</v>
      </c>
      <c r="E112" s="749">
        <f t="shared" si="36"/>
        <v>0</v>
      </c>
      <c r="F112" s="528">
        <v>5.5567684335106689E-4</v>
      </c>
      <c r="G112" s="367">
        <f t="shared" si="37"/>
        <v>8.0562028749037672E-4</v>
      </c>
      <c r="H112" s="747">
        <v>0</v>
      </c>
      <c r="I112" s="749">
        <f t="shared" si="38"/>
        <v>0</v>
      </c>
      <c r="J112" s="747">
        <v>0</v>
      </c>
      <c r="K112" s="749">
        <f t="shared" si="39"/>
        <v>0</v>
      </c>
      <c r="L112" s="747">
        <v>0</v>
      </c>
      <c r="M112" s="749">
        <f t="shared" si="40"/>
        <v>0</v>
      </c>
      <c r="N112" s="747">
        <v>3.1805656471491436E-5</v>
      </c>
      <c r="O112" s="749">
        <f t="shared" si="41"/>
        <v>4.6111840752368285E-5</v>
      </c>
      <c r="P112" s="368"/>
      <c r="Q112" s="368"/>
      <c r="R112" s="111"/>
      <c r="S112" s="111"/>
      <c r="T112" s="111"/>
      <c r="U112" s="111"/>
      <c r="V112" s="111"/>
      <c r="W112" s="111"/>
      <c r="X112" s="111"/>
      <c r="Y112" s="111"/>
      <c r="AB112" s="657">
        <v>30361</v>
      </c>
      <c r="AC112" s="612"/>
      <c r="AD112" s="614"/>
      <c r="AE112" s="658"/>
      <c r="AF112" s="621"/>
      <c r="AG112" s="710"/>
      <c r="AH112" s="711">
        <f>G112/B112*1000</f>
        <v>0.55567684335106693</v>
      </c>
      <c r="AI112" s="661"/>
      <c r="AJ112" s="621" t="s">
        <v>427</v>
      </c>
      <c r="AK112" s="714"/>
      <c r="AL112" s="711">
        <f t="shared" si="43"/>
        <v>3.1805656471491438E-2</v>
      </c>
    </row>
    <row r="113" spans="1:38">
      <c r="A113" s="112" t="s">
        <v>405</v>
      </c>
      <c r="B113" s="665">
        <f>1164.82/1000</f>
        <v>1.16482</v>
      </c>
      <c r="C113" s="547">
        <v>0</v>
      </c>
      <c r="D113" s="747">
        <v>4.0000000000000002E-4</v>
      </c>
      <c r="E113" s="749">
        <f t="shared" si="36"/>
        <v>4.65928E-4</v>
      </c>
      <c r="F113" s="528">
        <v>0</v>
      </c>
      <c r="G113" s="367">
        <f t="shared" si="37"/>
        <v>0</v>
      </c>
      <c r="H113" s="747">
        <v>0</v>
      </c>
      <c r="I113" s="749">
        <f t="shared" si="38"/>
        <v>0</v>
      </c>
      <c r="J113" s="747">
        <v>0</v>
      </c>
      <c r="K113" s="749">
        <f t="shared" si="39"/>
        <v>0</v>
      </c>
      <c r="L113" s="747">
        <v>0</v>
      </c>
      <c r="M113" s="749">
        <f t="shared" si="40"/>
        <v>0</v>
      </c>
      <c r="N113" s="747">
        <v>1.5403808453175768E-3</v>
      </c>
      <c r="O113" s="749">
        <f t="shared" si="41"/>
        <v>1.7942664162428198E-3</v>
      </c>
      <c r="P113" s="368"/>
      <c r="Q113" s="368"/>
      <c r="R113" s="111"/>
      <c r="S113" s="111"/>
      <c r="T113" s="111"/>
      <c r="U113" s="111"/>
      <c r="V113" s="111"/>
      <c r="W113" s="111"/>
      <c r="X113" s="111"/>
      <c r="Y113" s="111"/>
      <c r="AB113" s="657">
        <v>30054</v>
      </c>
      <c r="AC113" s="612"/>
      <c r="AD113" s="614"/>
      <c r="AE113" s="658">
        <f>B113*1000</f>
        <v>1164.82</v>
      </c>
      <c r="AF113" s="621">
        <f t="shared" ref="AF113:AF115" si="44">E113/B113*1000</f>
        <v>0.4</v>
      </c>
      <c r="AG113" s="710"/>
      <c r="AH113" s="711"/>
      <c r="AI113" s="658"/>
      <c r="AJ113" s="621"/>
      <c r="AK113" s="714"/>
      <c r="AL113" s="711">
        <f t="shared" si="43"/>
        <v>1.5403808453175769</v>
      </c>
    </row>
    <row r="114" spans="1:38">
      <c r="A114" s="112" t="s">
        <v>409</v>
      </c>
      <c r="B114" s="665">
        <f>1096.46/1000</f>
        <v>1.09646</v>
      </c>
      <c r="C114" s="547">
        <v>0</v>
      </c>
      <c r="D114" s="747">
        <v>0</v>
      </c>
      <c r="E114" s="749">
        <f t="shared" si="36"/>
        <v>0</v>
      </c>
      <c r="F114" s="528">
        <v>0</v>
      </c>
      <c r="G114" s="367">
        <f t="shared" si="37"/>
        <v>0</v>
      </c>
      <c r="H114" s="747">
        <v>0</v>
      </c>
      <c r="I114" s="749">
        <f t="shared" si="38"/>
        <v>0</v>
      </c>
      <c r="J114" s="747">
        <v>0</v>
      </c>
      <c r="K114" s="749">
        <f t="shared" si="39"/>
        <v>0</v>
      </c>
      <c r="L114" s="747">
        <v>0</v>
      </c>
      <c r="M114" s="749">
        <f t="shared" si="40"/>
        <v>0</v>
      </c>
      <c r="N114" s="747">
        <v>5.3356401573831621E-3</v>
      </c>
      <c r="O114" s="749">
        <f t="shared" si="41"/>
        <v>5.8503160069643418E-3</v>
      </c>
      <c r="P114" s="368"/>
      <c r="Q114" s="368"/>
      <c r="AB114" s="657">
        <v>30055</v>
      </c>
      <c r="AC114" s="612"/>
      <c r="AD114" s="614"/>
      <c r="AE114" s="658">
        <f t="shared" si="42"/>
        <v>1096.46</v>
      </c>
      <c r="AF114" s="621">
        <f t="shared" si="44"/>
        <v>0</v>
      </c>
      <c r="AG114" s="710"/>
      <c r="AH114" s="711"/>
      <c r="AI114" s="658"/>
      <c r="AJ114" s="621"/>
      <c r="AK114" s="714"/>
      <c r="AL114" s="711">
        <f t="shared" si="43"/>
        <v>5.3356401573831622</v>
      </c>
    </row>
    <row r="115" spans="1:38">
      <c r="A115" s="112" t="s">
        <v>406</v>
      </c>
      <c r="B115" s="665">
        <f>4019.96/1000</f>
        <v>4.0199600000000002</v>
      </c>
      <c r="C115" s="547">
        <v>0</v>
      </c>
      <c r="D115" s="747">
        <v>0</v>
      </c>
      <c r="E115" s="749">
        <f t="shared" si="36"/>
        <v>0</v>
      </c>
      <c r="F115" s="528">
        <v>0</v>
      </c>
      <c r="G115" s="367">
        <f t="shared" si="37"/>
        <v>0</v>
      </c>
      <c r="H115" s="747">
        <v>0</v>
      </c>
      <c r="I115" s="749">
        <f t="shared" si="38"/>
        <v>0</v>
      </c>
      <c r="J115" s="747">
        <v>0</v>
      </c>
      <c r="K115" s="749">
        <f t="shared" si="39"/>
        <v>0</v>
      </c>
      <c r="L115" s="747">
        <v>0</v>
      </c>
      <c r="M115" s="749">
        <f t="shared" si="40"/>
        <v>0</v>
      </c>
      <c r="N115" s="747">
        <v>1.0131198332944903E-3</v>
      </c>
      <c r="O115" s="749">
        <f t="shared" si="41"/>
        <v>4.0727012050505197E-3</v>
      </c>
      <c r="P115" s="368"/>
      <c r="Q115" s="368"/>
      <c r="R115" s="111"/>
      <c r="S115" s="111"/>
      <c r="T115" s="111"/>
      <c r="U115" s="111"/>
      <c r="V115" s="111"/>
      <c r="W115" s="111"/>
      <c r="X115" s="111"/>
      <c r="Y115" s="111"/>
      <c r="AB115" s="657">
        <v>30058</v>
      </c>
      <c r="AC115" s="612"/>
      <c r="AD115" s="614"/>
      <c r="AE115" s="658">
        <f t="shared" si="42"/>
        <v>4019.96</v>
      </c>
      <c r="AF115" s="621">
        <f t="shared" si="44"/>
        <v>0</v>
      </c>
      <c r="AG115" s="710"/>
      <c r="AH115" s="711"/>
      <c r="AI115" s="658"/>
      <c r="AJ115" s="621"/>
      <c r="AK115" s="714"/>
      <c r="AL115" s="711">
        <f t="shared" si="43"/>
        <v>1.0131198332944904</v>
      </c>
    </row>
    <row r="116" spans="1:38" ht="16.5">
      <c r="A116" s="112" t="s">
        <v>411</v>
      </c>
      <c r="B116" s="665">
        <v>16.504000000000001</v>
      </c>
      <c r="C116" s="547">
        <v>0</v>
      </c>
      <c r="D116" s="759">
        <v>0</v>
      </c>
      <c r="E116" s="749">
        <f t="shared" si="36"/>
        <v>0</v>
      </c>
      <c r="F116" s="545">
        <v>0</v>
      </c>
      <c r="G116" s="367">
        <f t="shared" si="37"/>
        <v>0</v>
      </c>
      <c r="H116" s="747">
        <v>0</v>
      </c>
      <c r="I116" s="749">
        <f t="shared" si="38"/>
        <v>0</v>
      </c>
      <c r="J116" s="747">
        <v>0</v>
      </c>
      <c r="K116" s="749">
        <f>$B116*J116</f>
        <v>0</v>
      </c>
      <c r="L116" s="747">
        <v>0</v>
      </c>
      <c r="M116" s="749">
        <f t="shared" si="40"/>
        <v>0</v>
      </c>
      <c r="N116" s="747">
        <v>0</v>
      </c>
      <c r="O116" s="749">
        <f t="shared" si="41"/>
        <v>0</v>
      </c>
      <c r="P116" s="368"/>
      <c r="Q116" s="368"/>
      <c r="R116" s="111"/>
      <c r="S116" s="111"/>
      <c r="T116" s="111"/>
      <c r="U116" s="111"/>
      <c r="V116" s="111"/>
      <c r="W116" s="111"/>
      <c r="X116" s="111"/>
      <c r="Y116" s="111"/>
      <c r="AB116" s="657">
        <v>30454</v>
      </c>
      <c r="AC116" s="612"/>
      <c r="AD116" s="614"/>
      <c r="AE116" s="658"/>
      <c r="AF116" s="659"/>
      <c r="AG116" s="712"/>
      <c r="AH116" s="712"/>
      <c r="AI116" s="612"/>
      <c r="AJ116" s="621">
        <f>K116/B116*1000</f>
        <v>0</v>
      </c>
      <c r="AK116" s="712"/>
      <c r="AL116" s="711"/>
    </row>
    <row r="117" spans="1:38" ht="16.5">
      <c r="A117" s="112" t="s">
        <v>354</v>
      </c>
      <c r="B117" s="673">
        <f>8993.38/1000</f>
        <v>8.9933799999999984</v>
      </c>
      <c r="C117" s="674"/>
      <c r="D117" s="759"/>
      <c r="E117" s="749"/>
      <c r="F117" s="545"/>
      <c r="G117" s="367"/>
      <c r="H117" s="747"/>
      <c r="I117" s="749"/>
      <c r="J117" s="750">
        <v>7.7999999999999996E-3</v>
      </c>
      <c r="K117" s="749">
        <f>$B117*J117</f>
        <v>7.0148363999999991E-2</v>
      </c>
      <c r="L117" s="747"/>
      <c r="M117" s="749"/>
      <c r="N117" s="747"/>
      <c r="O117" s="749"/>
      <c r="P117" s="368"/>
      <c r="Q117" s="368"/>
      <c r="R117" s="111"/>
      <c r="S117" s="111"/>
      <c r="T117" s="111"/>
      <c r="U117" s="111"/>
      <c r="V117" s="111"/>
      <c r="W117" s="111"/>
      <c r="X117" s="111"/>
      <c r="Y117" s="111"/>
      <c r="AB117" s="657"/>
      <c r="AC117" s="612"/>
      <c r="AD117" s="614"/>
      <c r="AE117" s="658"/>
      <c r="AF117" s="659"/>
      <c r="AG117" s="712"/>
      <c r="AH117" s="712"/>
      <c r="AI117" s="612"/>
      <c r="AJ117" s="621"/>
      <c r="AK117" s="712"/>
      <c r="AL117" s="711"/>
    </row>
    <row r="118" spans="1:38" ht="17.25" thickBot="1">
      <c r="A118" s="112" t="s">
        <v>355</v>
      </c>
      <c r="B118" s="666">
        <v>10.218999999999999</v>
      </c>
      <c r="C118" s="549">
        <v>0</v>
      </c>
      <c r="D118" s="759">
        <v>0</v>
      </c>
      <c r="E118" s="749">
        <f t="shared" si="36"/>
        <v>0</v>
      </c>
      <c r="F118" s="545">
        <v>0</v>
      </c>
      <c r="G118" s="367">
        <f t="shared" si="37"/>
        <v>0</v>
      </c>
      <c r="H118" s="747">
        <v>0</v>
      </c>
      <c r="I118" s="749">
        <f t="shared" si="38"/>
        <v>0</v>
      </c>
      <c r="J118" s="747">
        <v>0</v>
      </c>
      <c r="K118" s="749">
        <f t="shared" si="39"/>
        <v>0</v>
      </c>
      <c r="L118" s="747">
        <v>0</v>
      </c>
      <c r="M118" s="749">
        <f t="shared" si="40"/>
        <v>0</v>
      </c>
      <c r="N118" s="747">
        <v>1.734834048503626E-3</v>
      </c>
      <c r="O118" s="749">
        <f t="shared" si="41"/>
        <v>1.7728269141658554E-2</v>
      </c>
      <c r="P118" s="368"/>
      <c r="Q118" s="368"/>
      <c r="R118" s="111"/>
      <c r="S118" s="111"/>
      <c r="T118" s="111"/>
      <c r="U118" s="111"/>
      <c r="V118" s="111"/>
      <c r="W118" s="111"/>
      <c r="X118" s="111"/>
      <c r="Y118" s="111"/>
      <c r="AB118" s="657">
        <v>30242</v>
      </c>
      <c r="AC118" s="612"/>
      <c r="AD118" s="614"/>
      <c r="AE118" s="658"/>
      <c r="AF118" s="659"/>
      <c r="AG118" s="712"/>
      <c r="AH118" s="712"/>
      <c r="AI118" s="612"/>
      <c r="AJ118" s="612"/>
      <c r="AK118" s="712"/>
      <c r="AL118" s="711">
        <f t="shared" si="43"/>
        <v>1.734834048503626</v>
      </c>
    </row>
    <row r="119" spans="1:38">
      <c r="A119" s="23"/>
      <c r="D119" s="760"/>
      <c r="E119" s="761"/>
      <c r="F119" s="30"/>
      <c r="G119" s="25"/>
      <c r="H119" s="751"/>
      <c r="I119" s="739"/>
      <c r="J119" s="752">
        <f>3355.5/427740</f>
        <v>7.8447187543835041E-3</v>
      </c>
      <c r="K119" s="739"/>
      <c r="L119" s="751"/>
      <c r="M119" s="739"/>
      <c r="N119" s="751"/>
      <c r="O119" s="739"/>
      <c r="P119" s="368"/>
      <c r="Q119" s="368"/>
      <c r="R119" s="111"/>
      <c r="S119" s="111"/>
      <c r="T119" s="111"/>
      <c r="U119" s="111"/>
      <c r="V119" s="111"/>
      <c r="W119" s="111"/>
      <c r="X119" s="111"/>
      <c r="Y119" s="111"/>
      <c r="AB119" s="657"/>
      <c r="AC119" s="612"/>
      <c r="AD119" s="614"/>
      <c r="AE119" s="658"/>
      <c r="AF119" s="659"/>
      <c r="AG119" s="712"/>
      <c r="AH119" s="712"/>
      <c r="AI119" s="612"/>
      <c r="AJ119" s="612"/>
      <c r="AK119" s="712"/>
      <c r="AL119" s="711"/>
    </row>
    <row r="120" spans="1:38">
      <c r="A120" s="23" t="s">
        <v>249</v>
      </c>
      <c r="D120" s="762"/>
      <c r="E120" s="754" t="s">
        <v>250</v>
      </c>
      <c r="F120" s="33"/>
      <c r="G120" s="541" t="s">
        <v>250</v>
      </c>
      <c r="H120" s="753"/>
      <c r="I120" s="754" t="s">
        <v>250</v>
      </c>
      <c r="J120" s="753"/>
      <c r="K120" s="754" t="s">
        <v>250</v>
      </c>
      <c r="L120" s="751"/>
      <c r="M120" s="754" t="s">
        <v>250</v>
      </c>
      <c r="N120" s="753"/>
      <c r="O120" s="754" t="s">
        <v>250</v>
      </c>
      <c r="P120" s="368"/>
      <c r="Q120" s="368"/>
      <c r="R120" s="111"/>
      <c r="S120" s="111"/>
      <c r="T120" s="111"/>
      <c r="U120" s="111"/>
      <c r="V120" s="111"/>
      <c r="W120" s="111"/>
      <c r="X120" s="111"/>
      <c r="Y120" s="111"/>
      <c r="AB120" s="657"/>
      <c r="AC120" s="612"/>
      <c r="AD120" s="614"/>
      <c r="AE120" s="658"/>
      <c r="AF120" s="659"/>
      <c r="AG120" s="712"/>
      <c r="AH120" s="712"/>
      <c r="AI120" s="612"/>
      <c r="AJ120" s="612"/>
      <c r="AK120" s="712"/>
      <c r="AL120" s="712"/>
    </row>
    <row r="121" spans="1:38">
      <c r="A121" s="112" t="s">
        <v>363</v>
      </c>
      <c r="C121" s="668"/>
      <c r="D121" s="762"/>
      <c r="E121" s="748">
        <f>SUM(E100:E107)</f>
        <v>0.18382013285525819</v>
      </c>
      <c r="F121" s="33"/>
      <c r="G121" s="275">
        <f>SUM(G100:G107)</f>
        <v>0.1888436477955624</v>
      </c>
      <c r="H121" s="753"/>
      <c r="I121" s="748">
        <f>SUM(I100:I107)</f>
        <v>0</v>
      </c>
      <c r="J121" s="753"/>
      <c r="K121" s="748">
        <f>SUM(K100:K107)</f>
        <v>0.19651962793630773</v>
      </c>
      <c r="L121" s="751"/>
      <c r="M121" s="748">
        <f>SUM(M100:M107)</f>
        <v>0</v>
      </c>
      <c r="N121" s="753"/>
      <c r="O121" s="748">
        <f>SUM(O100:O107)</f>
        <v>0.18421313857724525</v>
      </c>
      <c r="P121" s="368"/>
      <c r="Q121" s="368"/>
      <c r="R121" s="111"/>
      <c r="S121" s="111"/>
      <c r="T121" s="111"/>
      <c r="U121" s="111"/>
      <c r="V121" s="111"/>
      <c r="W121" s="111"/>
      <c r="X121" s="111"/>
      <c r="Y121" s="111"/>
      <c r="AB121" s="657"/>
      <c r="AC121" s="612"/>
      <c r="AD121" s="614"/>
      <c r="AE121" s="658"/>
      <c r="AF121" s="659"/>
      <c r="AG121" s="712"/>
      <c r="AH121" s="712"/>
      <c r="AI121" s="612"/>
      <c r="AJ121" s="612"/>
      <c r="AK121" s="712"/>
      <c r="AL121" s="712"/>
    </row>
    <row r="122" spans="1:38" ht="12.75">
      <c r="A122" s="112" t="s">
        <v>36</v>
      </c>
      <c r="D122" s="762"/>
      <c r="E122" s="755">
        <f>SUM(E108:E109)</f>
        <v>4.0005399999999997E-2</v>
      </c>
      <c r="F122" s="33"/>
      <c r="G122" s="375">
        <f>SUM(G108:G109)</f>
        <v>5.2010118925875287E-2</v>
      </c>
      <c r="H122" s="753"/>
      <c r="I122" s="755">
        <f>SUM(I108:I109)</f>
        <v>0</v>
      </c>
      <c r="J122" s="753"/>
      <c r="K122" s="755">
        <f>SUM(K108:K109)</f>
        <v>0</v>
      </c>
      <c r="L122" s="751"/>
      <c r="M122" s="755">
        <f>SUM(M108:M109)</f>
        <v>0</v>
      </c>
      <c r="N122" s="753"/>
      <c r="O122" s="755">
        <f>SUM(O108:O109)</f>
        <v>6.129957835021866E-2</v>
      </c>
      <c r="AB122" s="612"/>
      <c r="AC122" s="612"/>
      <c r="AD122" s="612"/>
      <c r="AE122" s="658"/>
      <c r="AF122" s="660">
        <f>SUM(AF100:AF116)</f>
        <v>1000.9288187579129</v>
      </c>
      <c r="AG122" s="712"/>
      <c r="AH122" s="713">
        <f>SUM(AH100:AH116)</f>
        <v>1003.2432867205185</v>
      </c>
      <c r="AI122" s="612"/>
      <c r="AJ122" s="660">
        <f>SUM(AJ100:AJ116)</f>
        <v>1031.0578590572284</v>
      </c>
      <c r="AK122" s="712"/>
      <c r="AL122" s="713">
        <f>SUM(AL100:AL119)</f>
        <v>1016.8583359609559</v>
      </c>
    </row>
    <row r="123" spans="1:38" ht="16.5">
      <c r="A123" s="112" t="s">
        <v>147</v>
      </c>
      <c r="D123" s="762"/>
      <c r="E123" s="756">
        <f>SUM(E110:E118)</f>
        <v>3.93458E-3</v>
      </c>
      <c r="F123" s="33"/>
      <c r="G123" s="377">
        <f>SUM(G110:G118)</f>
        <v>8.005543099426627E-3</v>
      </c>
      <c r="H123" s="753"/>
      <c r="I123" s="756">
        <f>SUM(I110:I118)</f>
        <v>0</v>
      </c>
      <c r="J123" s="753"/>
      <c r="K123" s="756">
        <f>SUM(K110:K118)</f>
        <v>7.0148363999999991E-2</v>
      </c>
      <c r="L123" s="751"/>
      <c r="M123" s="756">
        <f>SUM(M110:M118)</f>
        <v>0</v>
      </c>
      <c r="N123" s="753"/>
      <c r="O123" s="756">
        <f>SUM(O110:O118)</f>
        <v>2.9528350790288309E-2</v>
      </c>
      <c r="P123" s="26"/>
      <c r="Q123" s="26"/>
    </row>
    <row r="124" spans="1:38" ht="16.5">
      <c r="A124" s="353" t="s">
        <v>251</v>
      </c>
      <c r="D124" s="760"/>
      <c r="E124" s="757">
        <f>SUM(E121:E123)</f>
        <v>0.22776011285525818</v>
      </c>
      <c r="F124" s="33"/>
      <c r="G124" s="379">
        <f>SUM(G121:G123)</f>
        <v>0.24885930982086432</v>
      </c>
      <c r="H124" s="753"/>
      <c r="I124" s="757">
        <f>SUM(I121:I123)</f>
        <v>0</v>
      </c>
      <c r="J124" s="753"/>
      <c r="K124" s="757">
        <f>SUM(K121:K123)</f>
        <v>0.26666799193630775</v>
      </c>
      <c r="L124" s="751"/>
      <c r="M124" s="757">
        <f>SUM(M121:M123)</f>
        <v>0</v>
      </c>
      <c r="N124" s="753"/>
      <c r="O124" s="757">
        <f>SUM(O121:O123)</f>
        <v>0.27504106771775222</v>
      </c>
      <c r="P124" s="63"/>
      <c r="Q124" s="63"/>
    </row>
    <row r="125" spans="1:38">
      <c r="A125" s="491" t="s">
        <v>389</v>
      </c>
      <c r="B125" s="1"/>
      <c r="C125" s="1"/>
      <c r="D125" s="33"/>
      <c r="E125" s="1"/>
      <c r="F125" s="371"/>
      <c r="G125" s="484"/>
      <c r="H125" s="371"/>
      <c r="I125" s="484"/>
      <c r="J125" s="371"/>
      <c r="K125" s="484"/>
      <c r="L125" s="371"/>
      <c r="M125" s="484"/>
      <c r="N125" s="371"/>
      <c r="O125" s="484"/>
      <c r="P125" s="376"/>
      <c r="Q125" s="376"/>
      <c r="V125" s="249">
        <f>($E122*$B$29+$G122*$E$29+$I122*$H$29+$K122*$K$29+$M122*$N$29+$O122*$Q$29+$E151*$B$60+$G151*$E$60+$I151*$H$60+$K151*$K$60+$M151*$N$60+$O151*$Q$60)/$B$64</f>
        <v>5.0920037870907799E-2</v>
      </c>
      <c r="W125" s="2" t="s">
        <v>433</v>
      </c>
    </row>
    <row r="126" spans="1:38" ht="16.5">
      <c r="A126" s="492" t="s">
        <v>390</v>
      </c>
      <c r="B126" s="359"/>
      <c r="C126" s="359"/>
      <c r="D126" s="485"/>
      <c r="E126" s="486"/>
      <c r="F126" s="59"/>
      <c r="G126" s="487"/>
      <c r="H126" s="59"/>
      <c r="I126" s="487"/>
      <c r="J126" s="59"/>
      <c r="K126" s="487"/>
      <c r="L126" s="59"/>
      <c r="M126" s="487"/>
      <c r="N126" s="59"/>
      <c r="O126" s="487"/>
      <c r="P126" s="378"/>
      <c r="Q126" s="378"/>
      <c r="V126" s="249">
        <f>($E123*$B$29+$G123*$E$29+$I123*$H$29+$K123*$K$29+$M123*$N$29+$O123*$Q$29+$E152*$B$60+$G152*$E$60+$I152*$H$60+$K152*$K$60+$M152*$N$60+$O152*$Q$60)/$B$64</f>
        <v>8.3827661363428205E-3</v>
      </c>
      <c r="W126" s="2" t="s">
        <v>434</v>
      </c>
    </row>
    <row r="127" spans="1:38" ht="17.25" thickBot="1">
      <c r="A127" s="30"/>
      <c r="B127" s="1"/>
      <c r="C127" s="1"/>
      <c r="D127" s="847" t="s">
        <v>322</v>
      </c>
      <c r="E127" s="848"/>
      <c r="F127" s="847" t="s">
        <v>333</v>
      </c>
      <c r="G127" s="848"/>
      <c r="H127" s="847" t="s">
        <v>400</v>
      </c>
      <c r="I127" s="848"/>
      <c r="J127" s="852" t="s">
        <v>335</v>
      </c>
      <c r="K127" s="853"/>
      <c r="L127" s="852" t="s">
        <v>407</v>
      </c>
      <c r="M127" s="853"/>
      <c r="N127" s="852" t="s">
        <v>407</v>
      </c>
      <c r="O127" s="853"/>
      <c r="P127" s="380"/>
      <c r="Q127" s="380"/>
      <c r="AB127" s="663"/>
      <c r="AC127" s="663"/>
      <c r="AD127" s="663"/>
      <c r="AE127" s="663"/>
      <c r="AF127" s="663" t="s">
        <v>322</v>
      </c>
      <c r="AG127" s="663"/>
      <c r="AH127" s="663" t="s">
        <v>430</v>
      </c>
      <c r="AI127" s="663"/>
      <c r="AJ127" s="663" t="s">
        <v>400</v>
      </c>
    </row>
    <row r="128" spans="1:38" ht="30">
      <c r="A128" s="30" t="s">
        <v>243</v>
      </c>
      <c r="B128" s="550" t="s">
        <v>27</v>
      </c>
      <c r="C128" s="551" t="s">
        <v>396</v>
      </c>
      <c r="D128" s="48" t="s">
        <v>244</v>
      </c>
      <c r="E128" s="362" t="s">
        <v>245</v>
      </c>
      <c r="F128" s="361" t="s">
        <v>244</v>
      </c>
      <c r="G128" s="362" t="s">
        <v>245</v>
      </c>
      <c r="H128" s="361" t="s">
        <v>244</v>
      </c>
      <c r="I128" s="362" t="s">
        <v>245</v>
      </c>
      <c r="J128" s="746" t="s">
        <v>244</v>
      </c>
      <c r="K128" s="684" t="s">
        <v>245</v>
      </c>
      <c r="L128" s="746" t="s">
        <v>244</v>
      </c>
      <c r="M128" s="684" t="s">
        <v>245</v>
      </c>
      <c r="N128" s="746" t="s">
        <v>244</v>
      </c>
      <c r="O128" s="684" t="s">
        <v>245</v>
      </c>
      <c r="AB128" s="655" t="s">
        <v>246</v>
      </c>
      <c r="AC128" s="612"/>
      <c r="AD128" s="612"/>
      <c r="AE128" s="656" t="s">
        <v>247</v>
      </c>
      <c r="AF128" s="656" t="s">
        <v>248</v>
      </c>
      <c r="AG128" s="656" t="s">
        <v>247</v>
      </c>
      <c r="AH128" s="656" t="s">
        <v>248</v>
      </c>
      <c r="AI128" s="656" t="s">
        <v>247</v>
      </c>
      <c r="AJ128" s="656" t="s">
        <v>248</v>
      </c>
      <c r="AK128" s="2"/>
      <c r="AL128" s="2"/>
    </row>
    <row r="129" spans="1:38">
      <c r="A129" s="112" t="s">
        <v>336</v>
      </c>
      <c r="B129" s="665">
        <f>0.1586+0.032-C129</f>
        <v>0.19059999999999999</v>
      </c>
      <c r="C129" s="547">
        <v>0</v>
      </c>
      <c r="D129" s="545">
        <v>0</v>
      </c>
      <c r="E129" s="275">
        <f t="shared" ref="E129:E147" si="45">$B129*D129</f>
        <v>0</v>
      </c>
      <c r="F129" s="528">
        <v>0</v>
      </c>
      <c r="G129" s="275">
        <f t="shared" ref="G129:G147" si="46">$B129*F129</f>
        <v>0</v>
      </c>
      <c r="H129" s="528">
        <v>0</v>
      </c>
      <c r="I129" s="275">
        <f t="shared" ref="I129:I147" si="47">$B129*H129</f>
        <v>0</v>
      </c>
      <c r="J129" s="747">
        <v>0</v>
      </c>
      <c r="K129" s="748">
        <f t="shared" ref="K129:K147" si="48">$B129*J129</f>
        <v>0</v>
      </c>
      <c r="L129" s="747">
        <v>0</v>
      </c>
      <c r="M129" s="748">
        <f t="shared" ref="M129:M147" si="49">$B129*L129</f>
        <v>0</v>
      </c>
      <c r="N129" s="747">
        <v>0</v>
      </c>
      <c r="O129" s="748">
        <f t="shared" ref="O129:O147" si="50">$B129*N129</f>
        <v>0</v>
      </c>
      <c r="AA129" s="6"/>
      <c r="AB129" s="655"/>
      <c r="AC129" s="612"/>
      <c r="AD129" s="612"/>
      <c r="AE129" s="656"/>
      <c r="AF129" s="656"/>
      <c r="AG129" s="612"/>
      <c r="AH129" s="612"/>
      <c r="AI129" s="612"/>
      <c r="AJ129" s="612"/>
      <c r="AK129" s="2"/>
      <c r="AL129" s="2"/>
    </row>
    <row r="130" spans="1:38">
      <c r="A130" s="112" t="s">
        <v>337</v>
      </c>
      <c r="B130" s="665">
        <f>0.1586+0.032-C130</f>
        <v>0.19059999999999999</v>
      </c>
      <c r="C130" s="547">
        <v>0</v>
      </c>
      <c r="D130" s="545">
        <v>0</v>
      </c>
      <c r="E130" s="367">
        <f t="shared" si="45"/>
        <v>0</v>
      </c>
      <c r="F130" s="528">
        <v>0</v>
      </c>
      <c r="G130" s="367">
        <f t="shared" si="46"/>
        <v>0</v>
      </c>
      <c r="H130" s="528">
        <v>0</v>
      </c>
      <c r="I130" s="367">
        <f t="shared" si="47"/>
        <v>0</v>
      </c>
      <c r="J130" s="747">
        <v>0</v>
      </c>
      <c r="K130" s="749">
        <f t="shared" si="48"/>
        <v>0</v>
      </c>
      <c r="L130" s="747">
        <v>0</v>
      </c>
      <c r="M130" s="749">
        <f t="shared" si="49"/>
        <v>0</v>
      </c>
      <c r="N130" s="747">
        <v>0</v>
      </c>
      <c r="O130" s="749">
        <f t="shared" si="50"/>
        <v>0</v>
      </c>
      <c r="AA130" s="6"/>
      <c r="AB130" s="649"/>
      <c r="AC130" s="612"/>
      <c r="AD130" s="612"/>
      <c r="AE130" s="612"/>
      <c r="AF130" s="612"/>
      <c r="AG130" s="612"/>
      <c r="AH130" s="612"/>
      <c r="AI130" s="612"/>
      <c r="AJ130" s="612"/>
      <c r="AK130" s="2"/>
      <c r="AL130" s="2"/>
    </row>
    <row r="131" spans="1:38" ht="16.5">
      <c r="A131" s="112" t="s">
        <v>338</v>
      </c>
      <c r="B131" s="665">
        <f>0.378+0.032-C131</f>
        <v>0.41000000000000003</v>
      </c>
      <c r="C131" s="547">
        <v>0</v>
      </c>
      <c r="D131" s="545">
        <v>0</v>
      </c>
      <c r="E131" s="367">
        <f t="shared" si="45"/>
        <v>0</v>
      </c>
      <c r="F131" s="528">
        <v>0</v>
      </c>
      <c r="G131" s="367">
        <f t="shared" si="46"/>
        <v>0</v>
      </c>
      <c r="H131" s="528">
        <f>5161293/5145930</f>
        <v>1.002985466183955</v>
      </c>
      <c r="I131" s="367">
        <f>$B131*H131</f>
        <v>0.4112240411354216</v>
      </c>
      <c r="J131" s="747">
        <v>0</v>
      </c>
      <c r="K131" s="749">
        <f t="shared" si="48"/>
        <v>0</v>
      </c>
      <c r="L131" s="747">
        <v>0</v>
      </c>
      <c r="M131" s="749">
        <f t="shared" si="49"/>
        <v>0</v>
      </c>
      <c r="N131" s="747">
        <v>0</v>
      </c>
      <c r="O131" s="749">
        <f t="shared" si="50"/>
        <v>0</v>
      </c>
      <c r="P131" s="72"/>
      <c r="Q131" s="601"/>
      <c r="AA131" s="111"/>
      <c r="AB131" s="649" t="s">
        <v>428</v>
      </c>
      <c r="AC131" s="612"/>
      <c r="AD131" s="612"/>
      <c r="AE131" s="662"/>
      <c r="AF131" s="656" t="s">
        <v>7</v>
      </c>
      <c r="AG131" s="612"/>
      <c r="AH131" s="621"/>
      <c r="AI131" s="612"/>
      <c r="AJ131" s="621">
        <f>I131/B131*1000</f>
        <v>1002.9854661839551</v>
      </c>
      <c r="AK131" s="2"/>
      <c r="AL131" s="2"/>
    </row>
    <row r="132" spans="1:38">
      <c r="A132" s="112" t="s">
        <v>339</v>
      </c>
      <c r="B132" s="665">
        <f>0.2+0.032-C132</f>
        <v>0.23200000000000001</v>
      </c>
      <c r="C132" s="547">
        <v>0</v>
      </c>
      <c r="D132" s="545">
        <v>0</v>
      </c>
      <c r="E132" s="367">
        <f t="shared" si="45"/>
        <v>0</v>
      </c>
      <c r="F132" s="528">
        <v>0</v>
      </c>
      <c r="G132" s="367">
        <f t="shared" si="46"/>
        <v>0</v>
      </c>
      <c r="H132" s="528">
        <v>0</v>
      </c>
      <c r="I132" s="367">
        <f t="shared" si="47"/>
        <v>0</v>
      </c>
      <c r="J132" s="747">
        <v>0</v>
      </c>
      <c r="K132" s="749">
        <f t="shared" si="48"/>
        <v>0</v>
      </c>
      <c r="L132" s="747">
        <v>0</v>
      </c>
      <c r="M132" s="749">
        <f t="shared" si="49"/>
        <v>0</v>
      </c>
      <c r="N132" s="747">
        <v>0</v>
      </c>
      <c r="O132" s="749">
        <f t="shared" si="50"/>
        <v>0</v>
      </c>
      <c r="P132" s="63"/>
      <c r="Q132" s="601"/>
      <c r="AB132" s="657" t="s">
        <v>7</v>
      </c>
      <c r="AC132" s="612"/>
      <c r="AD132" s="614"/>
      <c r="AE132" s="662"/>
      <c r="AF132" s="621">
        <f>E129/B129*1000</f>
        <v>0</v>
      </c>
      <c r="AG132" s="612"/>
      <c r="AH132" s="621"/>
      <c r="AI132" s="612"/>
      <c r="AJ132" s="621">
        <f t="shared" ref="AJ132:AJ147" si="51">I132/B132*1000</f>
        <v>0</v>
      </c>
      <c r="AK132" s="2"/>
      <c r="AL132" s="2"/>
    </row>
    <row r="133" spans="1:38">
      <c r="A133" s="112" t="s">
        <v>340</v>
      </c>
      <c r="B133" s="667">
        <v>0</v>
      </c>
      <c r="C133" s="547">
        <v>0</v>
      </c>
      <c r="D133" s="545">
        <v>0</v>
      </c>
      <c r="E133" s="367">
        <f t="shared" si="45"/>
        <v>0</v>
      </c>
      <c r="F133" s="528">
        <v>0</v>
      </c>
      <c r="G133" s="367">
        <f t="shared" si="46"/>
        <v>0</v>
      </c>
      <c r="H133" s="528">
        <v>0</v>
      </c>
      <c r="I133" s="367">
        <f t="shared" si="47"/>
        <v>0</v>
      </c>
      <c r="J133" s="747">
        <v>0</v>
      </c>
      <c r="K133" s="749">
        <f t="shared" si="48"/>
        <v>0</v>
      </c>
      <c r="L133" s="747">
        <v>0</v>
      </c>
      <c r="M133" s="749">
        <f t="shared" si="49"/>
        <v>0</v>
      </c>
      <c r="N133" s="747">
        <v>0</v>
      </c>
      <c r="O133" s="749">
        <f t="shared" si="50"/>
        <v>0</v>
      </c>
      <c r="P133" s="368"/>
      <c r="AB133" s="657" t="s">
        <v>7</v>
      </c>
      <c r="AC133" s="612"/>
      <c r="AD133" s="614"/>
      <c r="AE133" s="662"/>
      <c r="AF133" s="621"/>
      <c r="AG133" s="612"/>
      <c r="AH133" s="621"/>
      <c r="AI133" s="612"/>
      <c r="AJ133" s="621">
        <v>0</v>
      </c>
      <c r="AK133" s="2"/>
      <c r="AL133" s="2"/>
    </row>
    <row r="134" spans="1:38">
      <c r="A134" s="112" t="s">
        <v>343</v>
      </c>
      <c r="B134" s="665">
        <f>0.5084-C134</f>
        <v>0.50839999999999996</v>
      </c>
      <c r="C134" s="547">
        <v>0</v>
      </c>
      <c r="D134" s="545">
        <v>0</v>
      </c>
      <c r="E134" s="367">
        <f t="shared" si="45"/>
        <v>0</v>
      </c>
      <c r="F134" s="528">
        <f>391427/387260</f>
        <v>1.0107602127769457</v>
      </c>
      <c r="G134" s="367">
        <f>$B134*F134</f>
        <v>0.51387049217579917</v>
      </c>
      <c r="H134" s="528">
        <v>0</v>
      </c>
      <c r="I134" s="367">
        <f t="shared" si="47"/>
        <v>0</v>
      </c>
      <c r="J134" s="747">
        <v>0</v>
      </c>
      <c r="K134" s="749">
        <f t="shared" si="48"/>
        <v>0</v>
      </c>
      <c r="L134" s="747">
        <v>0</v>
      </c>
      <c r="M134" s="749">
        <f t="shared" si="49"/>
        <v>0</v>
      </c>
      <c r="N134" s="747">
        <v>0</v>
      </c>
      <c r="O134" s="749">
        <f t="shared" si="50"/>
        <v>0</v>
      </c>
      <c r="P134" s="368"/>
      <c r="AB134" s="657"/>
      <c r="AC134" s="612"/>
      <c r="AD134" s="614"/>
      <c r="AE134" s="662"/>
      <c r="AF134" s="621"/>
      <c r="AG134" s="612"/>
      <c r="AH134" s="621">
        <f t="shared" ref="AH134:AH145" si="52">G134/B134*1000</f>
        <v>1010.7602127769458</v>
      </c>
      <c r="AI134" s="612"/>
      <c r="AJ134" s="621">
        <f t="shared" si="51"/>
        <v>0</v>
      </c>
      <c r="AK134" s="2"/>
      <c r="AL134" s="2"/>
    </row>
    <row r="135" spans="1:38">
      <c r="A135" s="112" t="s">
        <v>344</v>
      </c>
      <c r="B135" s="665">
        <f>1.9036-C135</f>
        <v>1.9036</v>
      </c>
      <c r="C135" s="547">
        <v>0</v>
      </c>
      <c r="D135" s="545">
        <v>0</v>
      </c>
      <c r="E135" s="367">
        <f t="shared" si="45"/>
        <v>0</v>
      </c>
      <c r="F135" s="528">
        <v>0</v>
      </c>
      <c r="G135" s="367">
        <f t="shared" si="46"/>
        <v>0</v>
      </c>
      <c r="H135" s="528">
        <v>0</v>
      </c>
      <c r="I135" s="367">
        <f t="shared" si="47"/>
        <v>0</v>
      </c>
      <c r="J135" s="747">
        <v>0.99740932642487057</v>
      </c>
      <c r="K135" s="749">
        <f t="shared" si="48"/>
        <v>1.8986683937823836</v>
      </c>
      <c r="L135" s="747">
        <v>0</v>
      </c>
      <c r="M135" s="749">
        <f t="shared" si="49"/>
        <v>0</v>
      </c>
      <c r="N135" s="747">
        <v>0</v>
      </c>
      <c r="O135" s="749">
        <f t="shared" si="50"/>
        <v>0</v>
      </c>
      <c r="P135" s="368"/>
      <c r="Q135" s="368"/>
      <c r="AB135" s="657"/>
      <c r="AC135" s="612"/>
      <c r="AD135" s="614"/>
      <c r="AE135" s="662"/>
      <c r="AF135" s="621"/>
      <c r="AG135" s="612"/>
      <c r="AH135" s="621">
        <f t="shared" si="52"/>
        <v>0</v>
      </c>
      <c r="AI135" s="612"/>
      <c r="AJ135" s="621">
        <f t="shared" si="51"/>
        <v>0</v>
      </c>
      <c r="AK135" s="2"/>
      <c r="AL135" s="2"/>
    </row>
    <row r="136" spans="1:38">
      <c r="A136" s="112" t="s">
        <v>345</v>
      </c>
      <c r="B136" s="665">
        <f>0.1586+0.032-C136+0.02</f>
        <v>0.21059999999999998</v>
      </c>
      <c r="C136" s="547">
        <v>0</v>
      </c>
      <c r="D136" s="545">
        <f>124800/123240</f>
        <v>1.0126582278481013</v>
      </c>
      <c r="E136" s="367">
        <f t="shared" si="45"/>
        <v>0.21326582278481013</v>
      </c>
      <c r="F136" s="528">
        <v>0</v>
      </c>
      <c r="G136" s="367">
        <f t="shared" si="46"/>
        <v>0</v>
      </c>
      <c r="H136" s="528">
        <v>0</v>
      </c>
      <c r="I136" s="367">
        <f t="shared" si="47"/>
        <v>0</v>
      </c>
      <c r="J136" s="747">
        <v>0</v>
      </c>
      <c r="K136" s="749">
        <f t="shared" si="48"/>
        <v>0</v>
      </c>
      <c r="L136" s="747">
        <v>0</v>
      </c>
      <c r="M136" s="749">
        <f t="shared" si="49"/>
        <v>0</v>
      </c>
      <c r="N136" s="747">
        <v>0</v>
      </c>
      <c r="O136" s="749">
        <f t="shared" si="50"/>
        <v>0</v>
      </c>
      <c r="P136" s="368"/>
      <c r="Q136" s="368"/>
      <c r="AB136" s="657" t="s">
        <v>429</v>
      </c>
      <c r="AC136" s="612"/>
      <c r="AD136" s="614"/>
      <c r="AE136" s="662">
        <f t="shared" ref="AE136:AE144" si="53">+B136*1000</f>
        <v>210.6</v>
      </c>
      <c r="AF136" s="621">
        <f>+E136/B136*1000</f>
        <v>1012.6582278481013</v>
      </c>
      <c r="AG136" s="612"/>
      <c r="AH136" s="621">
        <f t="shared" si="52"/>
        <v>0</v>
      </c>
      <c r="AI136" s="612"/>
      <c r="AJ136" s="621">
        <f t="shared" si="51"/>
        <v>0</v>
      </c>
      <c r="AK136" s="2"/>
      <c r="AL136" s="2"/>
    </row>
    <row r="137" spans="1:38" s="1" customFormat="1">
      <c r="A137" s="112" t="s">
        <v>403</v>
      </c>
      <c r="B137" s="665">
        <f>1506/1000</f>
        <v>1.506</v>
      </c>
      <c r="C137" s="547">
        <v>0</v>
      </c>
      <c r="D137" s="545">
        <f>4800/123240</f>
        <v>3.8948393378773129E-2</v>
      </c>
      <c r="E137" s="367">
        <f t="shared" si="45"/>
        <v>5.8656280428432329E-2</v>
      </c>
      <c r="F137" s="528">
        <f>8225/387260</f>
        <v>2.1238960904818468E-2</v>
      </c>
      <c r="G137" s="367">
        <f t="shared" si="46"/>
        <v>3.1985875122656611E-2</v>
      </c>
      <c r="H137" s="528">
        <v>0</v>
      </c>
      <c r="I137" s="367">
        <f t="shared" si="47"/>
        <v>0</v>
      </c>
      <c r="J137" s="747">
        <v>3.2819999999999995E-2</v>
      </c>
      <c r="K137" s="749">
        <f t="shared" si="48"/>
        <v>4.9426919999999992E-2</v>
      </c>
      <c r="L137" s="747">
        <v>0</v>
      </c>
      <c r="M137" s="749">
        <f t="shared" si="49"/>
        <v>0</v>
      </c>
      <c r="N137" s="747">
        <v>0</v>
      </c>
      <c r="O137" s="749">
        <f t="shared" si="50"/>
        <v>0</v>
      </c>
      <c r="P137" s="559"/>
      <c r="Q137" s="559"/>
      <c r="AB137" s="657">
        <v>30090</v>
      </c>
      <c r="AC137" s="624"/>
      <c r="AD137" s="639"/>
      <c r="AE137" s="662" t="s">
        <v>7</v>
      </c>
      <c r="AF137" s="621" t="s">
        <v>7</v>
      </c>
      <c r="AG137" s="624"/>
      <c r="AH137" s="621">
        <f t="shared" si="52"/>
        <v>21.23896090481847</v>
      </c>
      <c r="AI137" s="624"/>
      <c r="AJ137" s="621">
        <f t="shared" si="51"/>
        <v>0</v>
      </c>
    </row>
    <row r="138" spans="1:38" s="1" customFormat="1">
      <c r="A138" s="112" t="s">
        <v>404</v>
      </c>
      <c r="B138" s="665">
        <v>1.262</v>
      </c>
      <c r="C138" s="547">
        <v>0</v>
      </c>
      <c r="D138" s="545">
        <v>0</v>
      </c>
      <c r="E138" s="367">
        <f t="shared" si="45"/>
        <v>0</v>
      </c>
      <c r="F138" s="528">
        <v>0</v>
      </c>
      <c r="G138" s="367">
        <f t="shared" si="46"/>
        <v>0</v>
      </c>
      <c r="H138" s="528">
        <v>0</v>
      </c>
      <c r="I138" s="367">
        <f t="shared" si="47"/>
        <v>0</v>
      </c>
      <c r="J138" s="747">
        <v>0</v>
      </c>
      <c r="K138" s="749">
        <f t="shared" si="48"/>
        <v>0</v>
      </c>
      <c r="L138" s="747">
        <v>0</v>
      </c>
      <c r="M138" s="749">
        <f t="shared" si="49"/>
        <v>0</v>
      </c>
      <c r="N138" s="747">
        <v>0</v>
      </c>
      <c r="O138" s="749">
        <f t="shared" si="50"/>
        <v>0</v>
      </c>
      <c r="P138" s="559"/>
      <c r="Q138" s="559"/>
      <c r="AB138" s="657">
        <v>30120</v>
      </c>
      <c r="AC138" s="624"/>
      <c r="AD138" s="639"/>
      <c r="AE138" s="662">
        <f t="shared" si="53"/>
        <v>1262</v>
      </c>
      <c r="AF138" s="621">
        <f>+E138/B138*1000</f>
        <v>0</v>
      </c>
      <c r="AG138" s="624"/>
      <c r="AH138" s="621">
        <f t="shared" si="52"/>
        <v>0</v>
      </c>
      <c r="AI138" s="624"/>
      <c r="AJ138" s="621">
        <f t="shared" si="51"/>
        <v>0</v>
      </c>
    </row>
    <row r="139" spans="1:38">
      <c r="A139" s="112" t="s">
        <v>346</v>
      </c>
      <c r="B139" s="665">
        <v>0.78832999999999998</v>
      </c>
      <c r="C139" s="547">
        <v>0</v>
      </c>
      <c r="D139" s="545">
        <f>640/123240</f>
        <v>5.19311911716975E-3</v>
      </c>
      <c r="E139" s="367">
        <f t="shared" si="45"/>
        <v>4.0938915936384289E-3</v>
      </c>
      <c r="F139" s="528">
        <f>1425/387260</f>
        <v>3.6796983938439292E-3</v>
      </c>
      <c r="G139" s="367">
        <f t="shared" si="46"/>
        <v>2.9008166348189848E-3</v>
      </c>
      <c r="H139" s="528">
        <v>0</v>
      </c>
      <c r="I139" s="367">
        <f t="shared" si="47"/>
        <v>0</v>
      </c>
      <c r="J139" s="747">
        <v>0</v>
      </c>
      <c r="K139" s="749">
        <f t="shared" si="48"/>
        <v>0</v>
      </c>
      <c r="L139" s="747">
        <v>0</v>
      </c>
      <c r="M139" s="749">
        <f t="shared" si="49"/>
        <v>0</v>
      </c>
      <c r="N139" s="747">
        <v>0</v>
      </c>
      <c r="O139" s="749">
        <f t="shared" si="50"/>
        <v>0</v>
      </c>
      <c r="P139" s="368"/>
      <c r="Q139" s="368"/>
      <c r="AB139" s="657">
        <v>30362</v>
      </c>
      <c r="AC139" s="612"/>
      <c r="AD139" s="614"/>
      <c r="AE139" s="662">
        <f t="shared" si="53"/>
        <v>788.32999999999993</v>
      </c>
      <c r="AF139" s="621">
        <f t="shared" ref="AF139:AF144" si="54">+E139/B139*1000</f>
        <v>5.1931191171697497</v>
      </c>
      <c r="AG139" s="612"/>
      <c r="AH139" s="621">
        <f t="shared" si="52"/>
        <v>3.6796983938439296</v>
      </c>
      <c r="AI139" s="612"/>
      <c r="AJ139" s="621">
        <f t="shared" si="51"/>
        <v>0</v>
      </c>
      <c r="AK139" s="2"/>
      <c r="AL139" s="2"/>
    </row>
    <row r="140" spans="1:38">
      <c r="A140" s="112" t="s">
        <v>347</v>
      </c>
      <c r="B140" s="665">
        <v>4.46</v>
      </c>
      <c r="C140" s="547">
        <v>0</v>
      </c>
      <c r="D140" s="545">
        <f>117/123240</f>
        <v>9.493670886075949E-4</v>
      </c>
      <c r="E140" s="367">
        <f t="shared" si="45"/>
        <v>4.2341772151898733E-3</v>
      </c>
      <c r="F140" s="528">
        <f>613/387260</f>
        <v>1.5829158704746165E-3</v>
      </c>
      <c r="G140" s="367">
        <f t="shared" si="46"/>
        <v>7.0598047823167897E-3</v>
      </c>
      <c r="H140" s="528">
        <v>0</v>
      </c>
      <c r="I140" s="367">
        <f t="shared" si="47"/>
        <v>0</v>
      </c>
      <c r="J140" s="747">
        <v>0</v>
      </c>
      <c r="K140" s="749">
        <f t="shared" si="48"/>
        <v>0</v>
      </c>
      <c r="L140" s="747">
        <v>0</v>
      </c>
      <c r="M140" s="749">
        <f t="shared" si="49"/>
        <v>0</v>
      </c>
      <c r="N140" s="747">
        <v>0</v>
      </c>
      <c r="O140" s="749">
        <f t="shared" si="50"/>
        <v>0</v>
      </c>
      <c r="P140" s="368"/>
      <c r="Q140" s="368"/>
      <c r="AB140" s="657">
        <v>30360</v>
      </c>
      <c r="AC140" s="612"/>
      <c r="AD140" s="614"/>
      <c r="AE140" s="662" t="s">
        <v>7</v>
      </c>
      <c r="AF140" s="621" t="s">
        <v>7</v>
      </c>
      <c r="AG140" s="612"/>
      <c r="AH140" s="621">
        <f t="shared" si="52"/>
        <v>1.5829158704746165</v>
      </c>
      <c r="AI140" s="612"/>
      <c r="AJ140" s="621">
        <f t="shared" si="51"/>
        <v>0</v>
      </c>
      <c r="AK140" s="2"/>
      <c r="AL140" s="2"/>
    </row>
    <row r="141" spans="1:38">
      <c r="A141" s="112" t="s">
        <v>348</v>
      </c>
      <c r="B141" s="665">
        <f>1449.8/1000</f>
        <v>1.4498</v>
      </c>
      <c r="C141" s="547">
        <v>0</v>
      </c>
      <c r="D141" s="545">
        <f>80/123240</f>
        <v>6.4913988964621875E-4</v>
      </c>
      <c r="E141" s="367">
        <f t="shared" si="45"/>
        <v>9.4112301200908793E-4</v>
      </c>
      <c r="F141" s="528">
        <f>156/387260</f>
        <v>4.0283013995765117E-4</v>
      </c>
      <c r="G141" s="367">
        <f t="shared" si="46"/>
        <v>5.8402313691060268E-4</v>
      </c>
      <c r="H141" s="528">
        <v>0</v>
      </c>
      <c r="I141" s="367">
        <f t="shared" si="47"/>
        <v>0</v>
      </c>
      <c r="J141" s="747">
        <v>0</v>
      </c>
      <c r="K141" s="749">
        <f t="shared" si="48"/>
        <v>0</v>
      </c>
      <c r="L141" s="747">
        <v>0</v>
      </c>
      <c r="M141" s="749">
        <f t="shared" si="49"/>
        <v>0</v>
      </c>
      <c r="N141" s="747">
        <v>0</v>
      </c>
      <c r="O141" s="749">
        <f t="shared" si="50"/>
        <v>0</v>
      </c>
      <c r="P141" s="368"/>
      <c r="Q141" s="368"/>
      <c r="AB141" s="657">
        <v>30361</v>
      </c>
      <c r="AC141" s="612"/>
      <c r="AD141" s="614"/>
      <c r="AE141" s="662">
        <v>0</v>
      </c>
      <c r="AF141" s="621">
        <f t="shared" si="54"/>
        <v>0.64913988964621872</v>
      </c>
      <c r="AG141" s="612"/>
      <c r="AH141" s="621">
        <f t="shared" si="52"/>
        <v>0.40283013995765116</v>
      </c>
      <c r="AI141" s="612"/>
      <c r="AJ141" s="621">
        <f t="shared" si="51"/>
        <v>0</v>
      </c>
      <c r="AK141" s="2"/>
      <c r="AL141" s="2"/>
    </row>
    <row r="142" spans="1:38">
      <c r="A142" s="112" t="s">
        <v>405</v>
      </c>
      <c r="B142" s="665">
        <f>1164.82/1000</f>
        <v>1.16482</v>
      </c>
      <c r="C142" s="547">
        <v>0</v>
      </c>
      <c r="D142" s="545">
        <v>0</v>
      </c>
      <c r="E142" s="367">
        <f t="shared" si="45"/>
        <v>0</v>
      </c>
      <c r="F142" s="528">
        <v>0</v>
      </c>
      <c r="G142" s="367">
        <f t="shared" si="46"/>
        <v>0</v>
      </c>
      <c r="H142" s="528">
        <v>0</v>
      </c>
      <c r="I142" s="367">
        <f t="shared" si="47"/>
        <v>0</v>
      </c>
      <c r="J142" s="747">
        <v>1.8374999999999999E-4</v>
      </c>
      <c r="K142" s="749">
        <f t="shared" si="48"/>
        <v>2.1403567499999999E-4</v>
      </c>
      <c r="L142" s="747">
        <v>0</v>
      </c>
      <c r="M142" s="749">
        <f t="shared" si="49"/>
        <v>0</v>
      </c>
      <c r="N142" s="747">
        <v>0</v>
      </c>
      <c r="O142" s="749">
        <f t="shared" si="50"/>
        <v>0</v>
      </c>
      <c r="P142" s="368"/>
      <c r="Q142" s="368"/>
      <c r="AB142" s="657">
        <v>30054</v>
      </c>
      <c r="AC142" s="612"/>
      <c r="AD142" s="614"/>
      <c r="AE142" s="662">
        <f t="shared" si="53"/>
        <v>1164.82</v>
      </c>
      <c r="AF142" s="621">
        <f t="shared" si="54"/>
        <v>0</v>
      </c>
      <c r="AG142" s="612"/>
      <c r="AH142" s="621">
        <f t="shared" si="52"/>
        <v>0</v>
      </c>
      <c r="AI142" s="612"/>
      <c r="AJ142" s="621">
        <f t="shared" si="51"/>
        <v>0</v>
      </c>
      <c r="AK142" s="2"/>
      <c r="AL142" s="2"/>
    </row>
    <row r="143" spans="1:38">
      <c r="A143" s="112" t="s">
        <v>409</v>
      </c>
      <c r="B143" s="665">
        <f>1096.46/1000</f>
        <v>1.09646</v>
      </c>
      <c r="C143" s="547">
        <v>0</v>
      </c>
      <c r="D143" s="528">
        <v>0</v>
      </c>
      <c r="E143" s="367">
        <f t="shared" si="45"/>
        <v>0</v>
      </c>
      <c r="F143" s="568">
        <v>0</v>
      </c>
      <c r="G143" s="367">
        <f t="shared" si="46"/>
        <v>0</v>
      </c>
      <c r="H143" s="528">
        <v>0</v>
      </c>
      <c r="I143" s="367">
        <f t="shared" si="47"/>
        <v>0</v>
      </c>
      <c r="J143" s="747">
        <v>4.2187500000000003E-3</v>
      </c>
      <c r="K143" s="749">
        <f t="shared" si="48"/>
        <v>4.6256906250000005E-3</v>
      </c>
      <c r="L143" s="747">
        <v>0</v>
      </c>
      <c r="M143" s="749">
        <f t="shared" si="49"/>
        <v>0</v>
      </c>
      <c r="N143" s="747">
        <v>0</v>
      </c>
      <c r="O143" s="749">
        <f t="shared" si="50"/>
        <v>0</v>
      </c>
      <c r="P143" s="368"/>
      <c r="Q143" s="368"/>
      <c r="AB143" s="657">
        <v>30055</v>
      </c>
      <c r="AC143" s="612"/>
      <c r="AD143" s="614"/>
      <c r="AE143" s="662" t="s">
        <v>7</v>
      </c>
      <c r="AF143" s="621" t="s">
        <v>7</v>
      </c>
      <c r="AG143" s="612"/>
      <c r="AH143" s="621">
        <f t="shared" si="52"/>
        <v>0</v>
      </c>
      <c r="AI143" s="612"/>
      <c r="AJ143" s="621">
        <f t="shared" si="51"/>
        <v>0</v>
      </c>
      <c r="AK143" s="2"/>
      <c r="AL143" s="2"/>
    </row>
    <row r="144" spans="1:38">
      <c r="A144" s="112" t="s">
        <v>406</v>
      </c>
      <c r="B144" s="665">
        <f>4019.96/1000</f>
        <v>4.0199600000000002</v>
      </c>
      <c r="C144" s="547">
        <v>0</v>
      </c>
      <c r="D144" s="545">
        <v>0</v>
      </c>
      <c r="E144" s="367">
        <f t="shared" si="45"/>
        <v>0</v>
      </c>
      <c r="F144" s="568">
        <v>0</v>
      </c>
      <c r="G144" s="367">
        <f t="shared" si="46"/>
        <v>0</v>
      </c>
      <c r="H144" s="528">
        <v>0</v>
      </c>
      <c r="I144" s="367">
        <f t="shared" si="47"/>
        <v>0</v>
      </c>
      <c r="J144" s="747">
        <v>2.7375000000000001E-4</v>
      </c>
      <c r="K144" s="749">
        <f t="shared" si="48"/>
        <v>1.10046405E-3</v>
      </c>
      <c r="L144" s="747">
        <v>0</v>
      </c>
      <c r="M144" s="749">
        <f t="shared" si="49"/>
        <v>0</v>
      </c>
      <c r="N144" s="747">
        <v>0</v>
      </c>
      <c r="O144" s="749">
        <f t="shared" si="50"/>
        <v>0</v>
      </c>
      <c r="P144" s="368"/>
      <c r="Q144" s="368"/>
      <c r="R144" s="111"/>
      <c r="S144" s="111"/>
      <c r="T144" s="111"/>
      <c r="U144" s="111"/>
      <c r="V144" s="111"/>
      <c r="W144" s="111"/>
      <c r="X144" s="111"/>
      <c r="Y144" s="111"/>
      <c r="AB144" s="657">
        <v>30058</v>
      </c>
      <c r="AC144" s="612"/>
      <c r="AD144" s="614"/>
      <c r="AE144" s="662">
        <f t="shared" si="53"/>
        <v>4019.96</v>
      </c>
      <c r="AF144" s="621">
        <f t="shared" si="54"/>
        <v>0</v>
      </c>
      <c r="AG144" s="612"/>
      <c r="AH144" s="621">
        <f t="shared" si="52"/>
        <v>0</v>
      </c>
      <c r="AI144" s="612"/>
      <c r="AJ144" s="621">
        <f t="shared" si="51"/>
        <v>0</v>
      </c>
      <c r="AK144" s="2"/>
      <c r="AL144" s="2"/>
    </row>
    <row r="145" spans="1:38">
      <c r="A145" s="112" t="s">
        <v>411</v>
      </c>
      <c r="B145" s="665">
        <v>16.504000000000001</v>
      </c>
      <c r="C145" s="547">
        <v>0</v>
      </c>
      <c r="D145" s="676">
        <v>0</v>
      </c>
      <c r="E145" s="367">
        <f t="shared" si="45"/>
        <v>0</v>
      </c>
      <c r="F145" s="528">
        <v>0</v>
      </c>
      <c r="G145" s="367">
        <f t="shared" si="46"/>
        <v>0</v>
      </c>
      <c r="H145" s="528">
        <v>0</v>
      </c>
      <c r="I145" s="367">
        <f t="shared" si="47"/>
        <v>0</v>
      </c>
      <c r="J145" s="747">
        <v>0</v>
      </c>
      <c r="K145" s="749">
        <f t="shared" si="48"/>
        <v>0</v>
      </c>
      <c r="L145" s="747">
        <v>0</v>
      </c>
      <c r="M145" s="749">
        <f t="shared" si="49"/>
        <v>0</v>
      </c>
      <c r="N145" s="747">
        <v>0</v>
      </c>
      <c r="O145" s="749">
        <f t="shared" si="50"/>
        <v>0</v>
      </c>
      <c r="P145" s="368"/>
      <c r="Q145" s="368"/>
      <c r="R145" s="111"/>
      <c r="S145" s="111"/>
      <c r="T145" s="111"/>
      <c r="U145" s="111"/>
      <c r="V145" s="111"/>
      <c r="W145" s="111"/>
      <c r="X145" s="111"/>
      <c r="Y145" s="111"/>
      <c r="AB145" s="657">
        <v>30454</v>
      </c>
      <c r="AC145" s="612"/>
      <c r="AD145" s="614"/>
      <c r="AE145" s="662" t="s">
        <v>7</v>
      </c>
      <c r="AF145" s="621" t="s">
        <v>7</v>
      </c>
      <c r="AG145" s="612"/>
      <c r="AH145" s="621">
        <f t="shared" si="52"/>
        <v>0</v>
      </c>
      <c r="AI145" s="612"/>
      <c r="AJ145" s="621">
        <f t="shared" si="51"/>
        <v>0</v>
      </c>
      <c r="AK145" s="2"/>
      <c r="AL145" s="2"/>
    </row>
    <row r="146" spans="1:38" ht="16.5">
      <c r="A146" s="112" t="s">
        <v>354</v>
      </c>
      <c r="B146" s="673">
        <f>8993.38/1000</f>
        <v>8.9933799999999984</v>
      </c>
      <c r="C146" s="674"/>
      <c r="D146" s="545"/>
      <c r="E146" s="367"/>
      <c r="F146" s="528"/>
      <c r="G146" s="367"/>
      <c r="H146" s="528"/>
      <c r="I146" s="367"/>
      <c r="J146" s="747">
        <v>0</v>
      </c>
      <c r="K146" s="749">
        <f>$B146*J146</f>
        <v>0</v>
      </c>
      <c r="L146" s="747"/>
      <c r="M146" s="749"/>
      <c r="N146" s="747"/>
      <c r="O146" s="749"/>
      <c r="P146" s="368"/>
      <c r="Q146" s="368"/>
      <c r="R146" s="111"/>
      <c r="S146" s="111"/>
      <c r="T146" s="111"/>
      <c r="U146" s="111"/>
      <c r="V146" s="111"/>
      <c r="W146" s="111"/>
      <c r="X146" s="111"/>
      <c r="Y146" s="111"/>
      <c r="AB146" s="657"/>
      <c r="AC146" s="612"/>
      <c r="AD146" s="614"/>
      <c r="AE146" s="658"/>
      <c r="AF146" s="659"/>
      <c r="AG146" s="612"/>
      <c r="AH146" s="612"/>
      <c r="AI146" s="612"/>
      <c r="AJ146" s="621"/>
      <c r="AK146" s="2"/>
      <c r="AL146" s="2"/>
    </row>
    <row r="147" spans="1:38" ht="15.75" thickBot="1">
      <c r="A147" s="112" t="s">
        <v>355</v>
      </c>
      <c r="B147" s="666">
        <v>10.218999999999999</v>
      </c>
      <c r="C147" s="549">
        <v>0</v>
      </c>
      <c r="D147" s="545">
        <v>0</v>
      </c>
      <c r="E147" s="367">
        <f t="shared" si="45"/>
        <v>0</v>
      </c>
      <c r="F147" s="528">
        <v>0</v>
      </c>
      <c r="G147" s="367">
        <f t="shared" si="46"/>
        <v>0</v>
      </c>
      <c r="H147" s="528">
        <f>2988/5145930</f>
        <v>5.8065305979677147E-4</v>
      </c>
      <c r="I147" s="367">
        <f t="shared" si="47"/>
        <v>5.9336936180632077E-3</v>
      </c>
      <c r="J147" s="747">
        <v>0</v>
      </c>
      <c r="K147" s="749">
        <f t="shared" si="48"/>
        <v>0</v>
      </c>
      <c r="L147" s="747">
        <v>0</v>
      </c>
      <c r="M147" s="749">
        <f t="shared" si="49"/>
        <v>0</v>
      </c>
      <c r="N147" s="747">
        <v>0</v>
      </c>
      <c r="O147" s="749">
        <f t="shared" si="50"/>
        <v>0</v>
      </c>
      <c r="P147" s="368"/>
      <c r="Q147" s="368"/>
      <c r="R147" s="111"/>
      <c r="S147" s="111"/>
      <c r="T147" s="111"/>
      <c r="U147" s="111"/>
      <c r="V147" s="111"/>
      <c r="W147" s="111"/>
      <c r="X147" s="111"/>
      <c r="Y147" s="111"/>
      <c r="AB147" s="657">
        <v>30242</v>
      </c>
      <c r="AC147" s="612"/>
      <c r="AD147" s="614"/>
      <c r="AE147" s="662" t="s">
        <v>7</v>
      </c>
      <c r="AF147" s="621" t="s">
        <v>7</v>
      </c>
      <c r="AG147" s="612"/>
      <c r="AH147" s="612"/>
      <c r="AI147" s="612"/>
      <c r="AJ147" s="621">
        <f t="shared" si="51"/>
        <v>0.58065305979677151</v>
      </c>
      <c r="AK147" s="2"/>
      <c r="AL147" s="2"/>
    </row>
    <row r="148" spans="1:38">
      <c r="A148" s="23"/>
      <c r="B148" s="370"/>
      <c r="C148" s="370"/>
      <c r="D148" s="677"/>
      <c r="E148" s="372"/>
      <c r="F148" s="30"/>
      <c r="G148" s="25"/>
      <c r="H148" s="678"/>
      <c r="I148" s="25"/>
      <c r="J148" s="751"/>
      <c r="K148" s="739"/>
      <c r="L148" s="751"/>
      <c r="M148" s="739"/>
      <c r="N148" s="751"/>
      <c r="O148" s="739"/>
      <c r="P148" s="368"/>
      <c r="Q148" s="368"/>
      <c r="R148" s="111"/>
      <c r="S148" s="111"/>
      <c r="T148" s="111"/>
      <c r="U148" s="111"/>
      <c r="V148" s="111"/>
      <c r="W148" s="111"/>
      <c r="X148" s="111"/>
      <c r="Y148" s="111"/>
      <c r="AB148" s="657"/>
      <c r="AC148" s="612"/>
      <c r="AD148" s="614"/>
      <c r="AE148" s="658"/>
      <c r="AF148" s="659"/>
      <c r="AG148" s="612"/>
      <c r="AH148" s="612"/>
      <c r="AI148" s="612"/>
      <c r="AJ148" s="612"/>
      <c r="AK148" s="2"/>
      <c r="AL148" s="2"/>
    </row>
    <row r="149" spans="1:38">
      <c r="A149" s="23" t="s">
        <v>249</v>
      </c>
      <c r="D149" s="677"/>
      <c r="E149" s="541" t="s">
        <v>250</v>
      </c>
      <c r="F149" s="33"/>
      <c r="G149" s="541" t="s">
        <v>250</v>
      </c>
      <c r="H149" s="33"/>
      <c r="I149" s="541" t="s">
        <v>250</v>
      </c>
      <c r="J149" s="753"/>
      <c r="K149" s="754" t="s">
        <v>250</v>
      </c>
      <c r="L149" s="751"/>
      <c r="M149" s="754" t="s">
        <v>250</v>
      </c>
      <c r="N149" s="753"/>
      <c r="O149" s="754" t="s">
        <v>250</v>
      </c>
      <c r="P149" s="368"/>
      <c r="Q149" s="368"/>
      <c r="R149" s="111"/>
      <c r="S149" s="111"/>
      <c r="T149" s="111"/>
      <c r="U149" s="111"/>
      <c r="V149" s="111"/>
      <c r="W149" s="111"/>
      <c r="X149" s="111"/>
      <c r="Y149" s="111"/>
      <c r="AB149" s="657"/>
      <c r="AC149" s="612"/>
      <c r="AD149" s="614"/>
      <c r="AE149" s="658"/>
      <c r="AF149" s="659"/>
      <c r="AG149" s="612"/>
      <c r="AH149" s="612"/>
      <c r="AI149" s="612"/>
      <c r="AJ149" s="612"/>
      <c r="AK149" s="2"/>
      <c r="AL149" s="2"/>
    </row>
    <row r="150" spans="1:38">
      <c r="A150" s="112" t="s">
        <v>363</v>
      </c>
      <c r="D150" s="677"/>
      <c r="E150" s="275">
        <f>SUM(E129:E136)</f>
        <v>0.21326582278481013</v>
      </c>
      <c r="F150" s="33"/>
      <c r="G150" s="275">
        <f>SUM(G129:G136)</f>
        <v>0.51387049217579917</v>
      </c>
      <c r="H150" s="33"/>
      <c r="I150" s="275">
        <f>SUM(I129:I136)</f>
        <v>0.4112240411354216</v>
      </c>
      <c r="J150" s="753"/>
      <c r="K150" s="748">
        <f>SUM(K129:K136)</f>
        <v>1.8986683937823836</v>
      </c>
      <c r="L150" s="751"/>
      <c r="M150" s="748">
        <f>SUM(M129:M136)</f>
        <v>0</v>
      </c>
      <c r="N150" s="753"/>
      <c r="O150" s="748">
        <f>SUM(O129:O136)</f>
        <v>0</v>
      </c>
      <c r="P150" s="368"/>
      <c r="Q150" s="368"/>
      <c r="R150" s="111"/>
      <c r="S150" s="111"/>
      <c r="T150" s="111"/>
      <c r="U150" s="111"/>
      <c r="V150" s="111"/>
      <c r="W150" s="111"/>
      <c r="X150" s="111"/>
      <c r="Y150" s="111"/>
      <c r="AB150" s="657"/>
      <c r="AC150" s="612"/>
      <c r="AD150" s="614"/>
      <c r="AE150" s="658"/>
      <c r="AF150" s="659"/>
      <c r="AG150" s="612"/>
      <c r="AH150" s="612"/>
      <c r="AI150" s="612"/>
      <c r="AJ150" s="612"/>
      <c r="AK150" s="2"/>
      <c r="AL150" s="2"/>
    </row>
    <row r="151" spans="1:38">
      <c r="A151" s="112" t="s">
        <v>36</v>
      </c>
      <c r="D151" s="677"/>
      <c r="E151" s="375">
        <f>SUM(E137:E138)</f>
        <v>5.8656280428432329E-2</v>
      </c>
      <c r="F151" s="33"/>
      <c r="G151" s="375">
        <f>SUM(G137:G138)</f>
        <v>3.1985875122656611E-2</v>
      </c>
      <c r="H151" s="33"/>
      <c r="I151" s="375">
        <f>SUM(I137:I138)</f>
        <v>0</v>
      </c>
      <c r="J151" s="753"/>
      <c r="K151" s="755">
        <f>SUM(K137:K138)</f>
        <v>4.9426919999999992E-2</v>
      </c>
      <c r="L151" s="751"/>
      <c r="M151" s="755">
        <f>SUM(M137:M138)</f>
        <v>0</v>
      </c>
      <c r="N151" s="753"/>
      <c r="O151" s="755">
        <f>SUM(O137:O138)</f>
        <v>0</v>
      </c>
      <c r="P151" s="368"/>
      <c r="Q151" s="368"/>
      <c r="R151" s="111"/>
      <c r="S151" s="111"/>
      <c r="T151" s="111"/>
      <c r="U151" s="111"/>
      <c r="V151" s="111"/>
      <c r="W151" s="111"/>
      <c r="X151" s="111"/>
      <c r="Y151" s="111"/>
      <c r="AB151" s="657"/>
      <c r="AC151" s="612"/>
      <c r="AD151" s="614"/>
      <c r="AE151" s="658"/>
      <c r="AF151" s="659"/>
      <c r="AG151" s="612"/>
      <c r="AH151" s="612"/>
      <c r="AI151" s="612"/>
      <c r="AJ151" s="612"/>
      <c r="AK151" s="2"/>
      <c r="AL151" s="2"/>
    </row>
    <row r="152" spans="1:38">
      <c r="A152" s="112" t="s">
        <v>147</v>
      </c>
      <c r="D152" s="374"/>
      <c r="E152" s="377">
        <f>SUM(E139:E147)</f>
        <v>9.2691918208373907E-3</v>
      </c>
      <c r="F152" s="33"/>
      <c r="G152" s="377">
        <f>SUM(G139:G147)</f>
        <v>1.0544644554046377E-2</v>
      </c>
      <c r="H152" s="33"/>
      <c r="I152" s="377">
        <f>SUM(I139:I147)</f>
        <v>5.9336936180632077E-3</v>
      </c>
      <c r="J152" s="753"/>
      <c r="K152" s="756">
        <f>SUM(K139:K147)</f>
        <v>5.9401903500000009E-3</v>
      </c>
      <c r="L152" s="751"/>
      <c r="M152" s="756">
        <f>SUM(M139:M147)</f>
        <v>0</v>
      </c>
      <c r="N152" s="753"/>
      <c r="O152" s="756">
        <f>SUM(O139:O147)</f>
        <v>0</v>
      </c>
      <c r="P152" s="368"/>
      <c r="Q152" s="368"/>
      <c r="R152" s="111"/>
      <c r="S152" s="111"/>
      <c r="T152" s="111"/>
      <c r="U152" s="111"/>
      <c r="V152" s="111"/>
      <c r="W152" s="111"/>
      <c r="X152" s="111"/>
      <c r="Y152" s="111"/>
      <c r="AB152" s="657"/>
      <c r="AC152" s="612"/>
      <c r="AD152" s="614"/>
      <c r="AE152" s="658"/>
      <c r="AF152" s="659"/>
      <c r="AG152" s="612"/>
      <c r="AH152" s="612"/>
      <c r="AI152" s="612"/>
      <c r="AJ152" s="612"/>
      <c r="AK152" s="2"/>
      <c r="AL152" s="2"/>
    </row>
    <row r="153" spans="1:38">
      <c r="A153" s="353" t="s">
        <v>251</v>
      </c>
      <c r="D153" s="371"/>
      <c r="E153" s="379">
        <f>SUM(E150:E152)</f>
        <v>0.28119129503407986</v>
      </c>
      <c r="F153" s="33"/>
      <c r="G153" s="379">
        <f>SUM(G150:G152)</f>
        <v>0.55640101185250213</v>
      </c>
      <c r="H153" s="33"/>
      <c r="I153" s="379">
        <f>SUM(I150:I152)</f>
        <v>0.41715773475348483</v>
      </c>
      <c r="J153" s="753"/>
      <c r="K153" s="757">
        <f>SUM(K150:K152)</f>
        <v>1.9540355041323836</v>
      </c>
      <c r="L153" s="751"/>
      <c r="M153" s="757">
        <f>SUM(M150:M152)</f>
        <v>0</v>
      </c>
      <c r="N153" s="753"/>
      <c r="O153" s="757">
        <f>SUM(O150:O152)</f>
        <v>0</v>
      </c>
      <c r="P153" s="368"/>
      <c r="Q153" s="368"/>
      <c r="R153" s="111"/>
      <c r="S153" s="111"/>
      <c r="T153" s="111"/>
      <c r="U153" s="111"/>
      <c r="V153" s="111"/>
      <c r="W153" s="111"/>
      <c r="X153" s="111"/>
      <c r="Y153" s="111"/>
      <c r="AB153" s="657">
        <v>30350</v>
      </c>
      <c r="AC153" s="612"/>
      <c r="AD153" s="614"/>
      <c r="AE153" s="658"/>
      <c r="AF153" s="659"/>
      <c r="AG153" s="612"/>
      <c r="AH153" s="663"/>
      <c r="AI153" s="612"/>
      <c r="AJ153" s="663"/>
      <c r="AK153" s="2"/>
      <c r="AL153" s="2"/>
    </row>
    <row r="154" spans="1:38">
      <c r="A154" s="491" t="s">
        <v>389</v>
      </c>
      <c r="D154" s="371"/>
      <c r="E154" s="379"/>
      <c r="F154" s="33"/>
      <c r="G154" s="379"/>
      <c r="H154" s="33"/>
      <c r="I154" s="379"/>
      <c r="J154" s="33"/>
      <c r="K154" s="379"/>
      <c r="L154" s="30"/>
      <c r="M154" s="379"/>
      <c r="N154" s="33"/>
      <c r="O154" s="379"/>
      <c r="AB154" s="612"/>
      <c r="AC154" s="612"/>
      <c r="AD154" s="612"/>
      <c r="AE154" s="658"/>
      <c r="AF154" s="660">
        <f>SUM(AF132:AF144)</f>
        <v>1018.5004868549173</v>
      </c>
      <c r="AG154" s="612"/>
      <c r="AH154" s="660">
        <f>SUM(AH132:AH144)</f>
        <v>1037.6646180860403</v>
      </c>
      <c r="AI154" s="612"/>
      <c r="AJ154" s="660">
        <f>SUM(AJ130:AJ148)</f>
        <v>1003.5661192437518</v>
      </c>
      <c r="AK154" s="2"/>
      <c r="AL154" s="2"/>
    </row>
    <row r="155" spans="1:38">
      <c r="A155" s="492" t="s">
        <v>390</v>
      </c>
      <c r="D155" s="371"/>
      <c r="E155" s="379"/>
      <c r="F155" s="33"/>
      <c r="G155" s="379"/>
      <c r="H155" s="33"/>
      <c r="I155" s="379"/>
      <c r="J155" s="33"/>
      <c r="K155" s="379"/>
      <c r="L155" s="30"/>
      <c r="M155" s="379"/>
      <c r="N155" s="33"/>
      <c r="O155" s="379"/>
      <c r="P155" s="26"/>
      <c r="Q155" s="26"/>
      <c r="AK155" s="2"/>
      <c r="AL155" s="2"/>
    </row>
    <row r="156" spans="1:38" ht="12.75" hidden="1">
      <c r="A156" s="381"/>
      <c r="B156" s="41"/>
      <c r="C156" s="41"/>
      <c r="D156" s="59"/>
      <c r="E156" s="42"/>
      <c r="F156" s="382"/>
      <c r="G156" s="383"/>
      <c r="H156" s="382"/>
      <c r="I156" s="383"/>
      <c r="J156" s="59"/>
      <c r="K156" s="42"/>
      <c r="L156" s="84"/>
      <c r="M156" s="87"/>
      <c r="N156" s="84"/>
      <c r="O156" s="87"/>
      <c r="P156" s="63"/>
      <c r="Q156" s="63"/>
      <c r="AK156" s="2"/>
      <c r="AL156" s="2"/>
    </row>
    <row r="157" spans="1:38" ht="12.75">
      <c r="A157" s="8"/>
      <c r="B157" s="1"/>
      <c r="C157" s="1"/>
      <c r="D157" s="1"/>
      <c r="E157" s="39"/>
      <c r="F157" s="43"/>
      <c r="G157" s="1"/>
      <c r="H157" s="1"/>
      <c r="P157" s="376"/>
      <c r="Q157" s="376"/>
      <c r="AK157" s="2"/>
      <c r="AL157" s="2"/>
    </row>
    <row r="158" spans="1:38" hidden="1">
      <c r="A158" s="1"/>
      <c r="B158" s="1"/>
      <c r="C158" s="1"/>
      <c r="D158" s="1"/>
      <c r="E158" s="1"/>
      <c r="F158" s="1"/>
      <c r="G158" s="1"/>
      <c r="H158" s="1"/>
      <c r="P158" s="378"/>
      <c r="Q158" s="378"/>
      <c r="AK158" s="2"/>
      <c r="AL158" s="2"/>
    </row>
    <row r="159" spans="1:38">
      <c r="A159" s="385" t="s">
        <v>51</v>
      </c>
      <c r="B159" s="406"/>
      <c r="C159" s="406"/>
      <c r="D159" s="406"/>
      <c r="E159" s="406"/>
      <c r="F159" s="406"/>
      <c r="G159" s="406"/>
      <c r="H159" s="406"/>
      <c r="I159" s="406"/>
      <c r="J159" s="406"/>
      <c r="K159" s="406"/>
      <c r="L159" s="406"/>
      <c r="M159" s="406"/>
      <c r="N159" s="406"/>
      <c r="O159" s="407"/>
      <c r="P159" s="380"/>
      <c r="Q159" s="380"/>
      <c r="AK159" s="2"/>
      <c r="AL159" s="2"/>
    </row>
    <row r="160" spans="1:38" hidden="1">
      <c r="A160" s="30"/>
      <c r="F160" s="1"/>
      <c r="G160" s="1"/>
      <c r="H160" s="1"/>
      <c r="I160" s="1"/>
      <c r="O160" s="25"/>
      <c r="P160" s="380"/>
      <c r="Q160" s="380"/>
      <c r="AK160" s="2"/>
      <c r="AL160" s="2"/>
    </row>
    <row r="161" spans="1:38">
      <c r="A161" s="30"/>
      <c r="D161" s="852" t="s">
        <v>327</v>
      </c>
      <c r="E161" s="853"/>
      <c r="F161" s="847" t="s">
        <v>410</v>
      </c>
      <c r="G161" s="848"/>
      <c r="H161" s="852" t="s">
        <v>329</v>
      </c>
      <c r="I161" s="853"/>
      <c r="J161" s="852" t="s">
        <v>330</v>
      </c>
      <c r="K161" s="853"/>
      <c r="L161" s="852" t="s">
        <v>331</v>
      </c>
      <c r="M161" s="853"/>
      <c r="N161" s="852" t="s">
        <v>332</v>
      </c>
      <c r="O161" s="853"/>
      <c r="P161" s="380"/>
      <c r="Q161" s="380"/>
      <c r="AK161" s="2"/>
      <c r="AL161" s="2"/>
    </row>
    <row r="162" spans="1:38" ht="13.15" customHeight="1">
      <c r="A162" s="30"/>
      <c r="B162" s="26" t="s">
        <v>252</v>
      </c>
      <c r="D162" s="693" t="s">
        <v>253</v>
      </c>
      <c r="E162" s="683" t="s">
        <v>245</v>
      </c>
      <c r="F162" s="387" t="s">
        <v>253</v>
      </c>
      <c r="G162" s="72" t="s">
        <v>245</v>
      </c>
      <c r="H162" s="693" t="s">
        <v>253</v>
      </c>
      <c r="I162" s="683" t="s">
        <v>245</v>
      </c>
      <c r="J162" s="682" t="s">
        <v>253</v>
      </c>
      <c r="K162" s="683" t="s">
        <v>245</v>
      </c>
      <c r="L162" s="682" t="s">
        <v>253</v>
      </c>
      <c r="M162" s="683" t="s">
        <v>245</v>
      </c>
      <c r="N162" s="682" t="s">
        <v>253</v>
      </c>
      <c r="O162" s="684" t="s">
        <v>245</v>
      </c>
      <c r="AC162" s="262"/>
      <c r="AE162" s="384"/>
      <c r="AG162" s="262"/>
      <c r="AI162" s="262"/>
      <c r="AK162" s="2"/>
      <c r="AL162" s="2"/>
    </row>
    <row r="163" spans="1:38">
      <c r="A163" s="30" t="s">
        <v>254</v>
      </c>
      <c r="B163" s="680">
        <f>146712.83/616790</f>
        <v>0.2378651242724428</v>
      </c>
      <c r="C163" s="560"/>
      <c r="D163" s="685">
        <f>1104592/25556319</f>
        <v>4.3221874010885529E-2</v>
      </c>
      <c r="E163" s="686">
        <f>D163*$B163</f>
        <v>1.0280976432887152E-2</v>
      </c>
      <c r="F163" s="529">
        <f>160526.647/4351450</f>
        <v>3.6890380677705135E-2</v>
      </c>
      <c r="G163" s="389">
        <f>F163*$B163</f>
        <v>8.7749349843600551E-3</v>
      </c>
      <c r="H163" s="685">
        <f>$D$163</f>
        <v>4.3221874010885529E-2</v>
      </c>
      <c r="I163" s="686">
        <f>H163*$B163</f>
        <v>1.0280976432887152E-2</v>
      </c>
      <c r="J163" s="685">
        <f>$D$163</f>
        <v>4.3221874010885529E-2</v>
      </c>
      <c r="K163" s="686">
        <f>J163*$B163</f>
        <v>1.0280976432887152E-2</v>
      </c>
      <c r="L163" s="685">
        <f>$D$163</f>
        <v>4.3221874010885529E-2</v>
      </c>
      <c r="M163" s="686">
        <f>L163*$B163</f>
        <v>1.0280976432887152E-2</v>
      </c>
      <c r="N163" s="685">
        <f>$D$163</f>
        <v>4.3221874010885529E-2</v>
      </c>
      <c r="O163" s="687">
        <f>N163*$B163</f>
        <v>1.0280976432887152E-2</v>
      </c>
      <c r="AC163" s="262"/>
      <c r="AE163" s="384"/>
      <c r="AG163" s="262"/>
      <c r="AI163" s="262"/>
      <c r="AK163" s="2"/>
      <c r="AL163" s="2"/>
    </row>
    <row r="164" spans="1:38" ht="16.5">
      <c r="A164" s="30" t="s">
        <v>255</v>
      </c>
      <c r="B164" s="680">
        <f>21413.16/3820102</f>
        <v>5.6053895943092621E-3</v>
      </c>
      <c r="C164" s="9"/>
      <c r="D164" s="685">
        <f>+(7520562/1000)/25556319</f>
        <v>2.942740697515945E-4</v>
      </c>
      <c r="E164" s="688">
        <f>D164*$B164</f>
        <v>1.6495208084606258E-6</v>
      </c>
      <c r="F164" s="529">
        <f>1036301/4351450</f>
        <v>0.23815073136540693</v>
      </c>
      <c r="G164" s="392">
        <f>F164*$B164</f>
        <v>1.3349276314727923E-3</v>
      </c>
      <c r="H164" s="685">
        <f>$D$164</f>
        <v>2.942740697515945E-4</v>
      </c>
      <c r="I164" s="688">
        <f>H164*$B164</f>
        <v>1.6495208084606258E-6</v>
      </c>
      <c r="J164" s="685">
        <f>$D$164</f>
        <v>2.942740697515945E-4</v>
      </c>
      <c r="K164" s="688">
        <f>J164*$B164</f>
        <v>1.6495208084606258E-6</v>
      </c>
      <c r="L164" s="685">
        <f>$D$164</f>
        <v>2.942740697515945E-4</v>
      </c>
      <c r="M164" s="688">
        <f>L164*$B164</f>
        <v>1.6495208084606258E-6</v>
      </c>
      <c r="N164" s="685">
        <f>$D$164</f>
        <v>2.942740697515945E-4</v>
      </c>
      <c r="O164" s="689">
        <f>N164*$B164</f>
        <v>1.6495208084606258E-6</v>
      </c>
      <c r="AK164" s="2"/>
      <c r="AL164" s="2"/>
    </row>
    <row r="165" spans="1:38">
      <c r="A165" s="30" t="s">
        <v>256</v>
      </c>
      <c r="B165" s="394"/>
      <c r="D165" s="690"/>
      <c r="E165" s="691">
        <f>SUM(E163:E164)</f>
        <v>1.0282625953695612E-2</v>
      </c>
      <c r="F165" s="395"/>
      <c r="G165" s="396">
        <f>SUM(G163:G164)</f>
        <v>1.0109862615832847E-2</v>
      </c>
      <c r="H165" s="690"/>
      <c r="I165" s="691">
        <f>SUM(I163:I164)</f>
        <v>1.0282625953695612E-2</v>
      </c>
      <c r="J165" s="690"/>
      <c r="K165" s="691">
        <f>SUM(K163:K164)</f>
        <v>1.0282625953695612E-2</v>
      </c>
      <c r="L165" s="690"/>
      <c r="M165" s="691">
        <f>SUM(M163:M164)</f>
        <v>1.0282625953695612E-2</v>
      </c>
      <c r="N165" s="690"/>
      <c r="O165" s="692">
        <f>SUM(O163:O164)</f>
        <v>1.0282625953695612E-2</v>
      </c>
      <c r="P165" s="5"/>
      <c r="Q165" s="5"/>
      <c r="R165" s="5"/>
      <c r="S165" s="5"/>
      <c r="V165" s="5"/>
      <c r="W165" s="5"/>
      <c r="X165" s="5"/>
      <c r="AK165" s="2"/>
      <c r="AL165" s="2"/>
    </row>
    <row r="166" spans="1:38" ht="12.75">
      <c r="A166" s="30"/>
      <c r="B166" s="1"/>
      <c r="D166" s="59"/>
      <c r="E166" s="41"/>
      <c r="F166" s="41"/>
      <c r="G166" s="41"/>
      <c r="H166" s="41"/>
      <c r="I166" s="41"/>
      <c r="J166" s="85"/>
      <c r="K166" s="85"/>
      <c r="L166" s="85"/>
      <c r="M166" s="85"/>
      <c r="N166" s="85"/>
      <c r="O166" s="87"/>
      <c r="P166" s="539"/>
      <c r="R166" s="846"/>
      <c r="S166" s="846"/>
      <c r="V166" s="1"/>
      <c r="W166" s="1"/>
      <c r="X166" s="1"/>
      <c r="AK166" s="2"/>
      <c r="AL166" s="2"/>
    </row>
    <row r="167" spans="1:38" ht="15" hidden="1" customHeight="1">
      <c r="A167" s="30"/>
      <c r="F167" s="1"/>
      <c r="G167" s="1"/>
      <c r="H167" s="1"/>
      <c r="I167" s="1"/>
      <c r="O167" s="25"/>
      <c r="P167" s="539"/>
      <c r="R167" s="846"/>
      <c r="S167" s="846"/>
      <c r="V167" s="1"/>
      <c r="W167" s="1"/>
      <c r="X167" s="1"/>
      <c r="AK167" s="2"/>
      <c r="AL167" s="2"/>
    </row>
    <row r="168" spans="1:38">
      <c r="A168" s="30"/>
      <c r="D168" s="847" t="s">
        <v>322</v>
      </c>
      <c r="E168" s="848"/>
      <c r="F168" s="847" t="s">
        <v>333</v>
      </c>
      <c r="G168" s="848"/>
      <c r="H168" s="847" t="s">
        <v>400</v>
      </c>
      <c r="I168" s="848"/>
      <c r="J168" s="852" t="s">
        <v>335</v>
      </c>
      <c r="K168" s="853"/>
      <c r="L168" s="852" t="s">
        <v>407</v>
      </c>
      <c r="M168" s="853"/>
      <c r="N168" s="852" t="s">
        <v>407</v>
      </c>
      <c r="O168" s="853"/>
      <c r="P168" s="539"/>
      <c r="R168" s="846"/>
      <c r="S168" s="846"/>
      <c r="V168" s="29"/>
      <c r="W168" s="1"/>
      <c r="X168" s="1"/>
      <c r="AA168" s="285"/>
      <c r="AK168" s="2"/>
      <c r="AL168" s="2"/>
    </row>
    <row r="169" spans="1:38" ht="30">
      <c r="A169" s="30"/>
      <c r="B169" s="26" t="s">
        <v>252</v>
      </c>
      <c r="D169" s="386" t="s">
        <v>253</v>
      </c>
      <c r="E169" s="72" t="s">
        <v>245</v>
      </c>
      <c r="F169" s="387" t="s">
        <v>253</v>
      </c>
      <c r="G169" s="72" t="s">
        <v>245</v>
      </c>
      <c r="H169" s="387" t="s">
        <v>253</v>
      </c>
      <c r="I169" s="72" t="s">
        <v>245</v>
      </c>
      <c r="J169" s="682" t="s">
        <v>253</v>
      </c>
      <c r="K169" s="683" t="s">
        <v>245</v>
      </c>
      <c r="L169" s="682" t="s">
        <v>253</v>
      </c>
      <c r="M169" s="683" t="s">
        <v>245</v>
      </c>
      <c r="N169" s="682" t="s">
        <v>253</v>
      </c>
      <c r="O169" s="684" t="s">
        <v>245</v>
      </c>
      <c r="P169" s="539"/>
      <c r="R169" s="846"/>
      <c r="S169" s="846"/>
      <c r="V169" s="1"/>
      <c r="W169" s="1"/>
      <c r="X169" s="1"/>
      <c r="AA169" s="657" t="s">
        <v>87</v>
      </c>
      <c r="AB169" s="657" t="s">
        <v>86</v>
      </c>
      <c r="AF169" s="621">
        <f>D163*1000</f>
        <v>43.221874010885529</v>
      </c>
      <c r="AK169" s="2"/>
      <c r="AL169" s="2"/>
    </row>
    <row r="170" spans="1:38">
      <c r="A170" s="30" t="s">
        <v>254</v>
      </c>
      <c r="B170" s="680">
        <f>B163</f>
        <v>0.2378651242724428</v>
      </c>
      <c r="D170" s="529">
        <f>4995.49/123240</f>
        <v>4.0534647841609865E-2</v>
      </c>
      <c r="E170" s="389">
        <f>D170*$B170</f>
        <v>9.6417790461842366E-3</v>
      </c>
      <c r="F170" s="529">
        <f>9570.571/387260</f>
        <v>2.4713554201311778E-2</v>
      </c>
      <c r="G170" s="389">
        <f>F170*$B170</f>
        <v>5.8784926413087768E-3</v>
      </c>
      <c r="H170" s="529">
        <f>161650.299/5145930</f>
        <v>3.1413233176510368E-2</v>
      </c>
      <c r="I170" s="389">
        <f>H170*$B170</f>
        <v>7.4721126133298621E-3</v>
      </c>
      <c r="J170" s="685">
        <f>$D$163</f>
        <v>4.3221874010885529E-2</v>
      </c>
      <c r="K170" s="686">
        <f>J170*$B170</f>
        <v>1.0280976432887152E-2</v>
      </c>
      <c r="L170" s="685">
        <v>0</v>
      </c>
      <c r="M170" s="686">
        <f>L170*$B170</f>
        <v>0</v>
      </c>
      <c r="N170" s="685">
        <v>0</v>
      </c>
      <c r="O170" s="687">
        <f>N170*$B170</f>
        <v>0</v>
      </c>
      <c r="P170" s="539"/>
      <c r="R170" s="846"/>
      <c r="S170" s="846"/>
      <c r="V170" s="29"/>
      <c r="W170" s="1"/>
      <c r="X170" s="1"/>
      <c r="AA170" s="657" t="s">
        <v>89</v>
      </c>
      <c r="AB170" s="657" t="s">
        <v>88</v>
      </c>
      <c r="AF170" s="621">
        <f>D164*1000*1000</f>
        <v>294.27406975159448</v>
      </c>
      <c r="AK170" s="2"/>
      <c r="AL170" s="2"/>
    </row>
    <row r="171" spans="1:38" ht="16.5">
      <c r="A171" s="30" t="s">
        <v>255</v>
      </c>
      <c r="B171" s="680">
        <f>+B164</f>
        <v>5.6053895943092621E-3</v>
      </c>
      <c r="D171" s="529">
        <f>36724/123240</f>
        <v>0.29798766634209672</v>
      </c>
      <c r="E171" s="392">
        <f>D171*$B171</f>
        <v>1.6703369641464893E-3</v>
      </c>
      <c r="F171" s="529">
        <f>79341/387260</f>
        <v>0.20487785983576925</v>
      </c>
      <c r="G171" s="392">
        <f>F171*$B171</f>
        <v>1.1484202236277726E-3</v>
      </c>
      <c r="H171" s="529">
        <f>1251587/5145930</f>
        <v>0.24321881564654008</v>
      </c>
      <c r="I171" s="392">
        <f>H171*$B171</f>
        <v>1.3633362183653385E-3</v>
      </c>
      <c r="J171" s="685">
        <f>$D$164</f>
        <v>2.942740697515945E-4</v>
      </c>
      <c r="K171" s="688">
        <f>J171*$B171</f>
        <v>1.6495208084606258E-6</v>
      </c>
      <c r="L171" s="685">
        <v>0</v>
      </c>
      <c r="M171" s="688">
        <f>L171*$B171</f>
        <v>0</v>
      </c>
      <c r="N171" s="685">
        <v>0</v>
      </c>
      <c r="O171" s="689">
        <f>N171*$B171</f>
        <v>0</v>
      </c>
      <c r="P171" s="276"/>
      <c r="R171" s="276"/>
      <c r="V171" s="1"/>
      <c r="W171" s="1"/>
      <c r="X171" s="1"/>
      <c r="AK171" s="2"/>
      <c r="AL171" s="2"/>
    </row>
    <row r="172" spans="1:38">
      <c r="A172" s="30" t="s">
        <v>256</v>
      </c>
      <c r="B172" s="394"/>
      <c r="D172" s="395"/>
      <c r="E172" s="396">
        <f>SUM(E170:E171)</f>
        <v>1.1312116010330726E-2</v>
      </c>
      <c r="F172" s="395"/>
      <c r="G172" s="396">
        <f>SUM(G170:G171)</f>
        <v>7.0269128649365492E-3</v>
      </c>
      <c r="H172" s="395"/>
      <c r="I172" s="396">
        <f>SUM(I170:I171)</f>
        <v>8.8354488316952015E-3</v>
      </c>
      <c r="J172" s="690"/>
      <c r="K172" s="691">
        <f>SUM(K170:K171)</f>
        <v>1.0282625953695612E-2</v>
      </c>
      <c r="L172" s="690"/>
      <c r="M172" s="691">
        <f>SUM(M170:M171)</f>
        <v>0</v>
      </c>
      <c r="N172" s="690"/>
      <c r="O172" s="692">
        <f>SUM(O170:O171)</f>
        <v>0</v>
      </c>
      <c r="P172" s="539"/>
      <c r="R172" s="846"/>
      <c r="S172" s="846"/>
      <c r="V172" s="1"/>
      <c r="W172" s="1"/>
      <c r="X172" s="1"/>
      <c r="AK172" s="2"/>
      <c r="AL172" s="2"/>
    </row>
    <row r="173" spans="1:38" ht="12.75" hidden="1">
      <c r="A173" s="30"/>
      <c r="B173" s="1"/>
      <c r="D173" s="59"/>
      <c r="E173" s="41"/>
      <c r="F173" s="41"/>
      <c r="G173" s="41"/>
      <c r="H173" s="41"/>
      <c r="I173" s="41"/>
      <c r="J173" s="85"/>
      <c r="K173" s="85"/>
      <c r="L173" s="85"/>
      <c r="M173" s="85"/>
      <c r="N173" s="85"/>
      <c r="O173" s="87"/>
      <c r="P173" s="539"/>
      <c r="R173" s="846"/>
      <c r="S173" s="846"/>
      <c r="V173" s="1"/>
      <c r="W173" s="1"/>
      <c r="X173" s="1"/>
      <c r="AK173" s="2"/>
      <c r="AL173" s="2"/>
    </row>
    <row r="174" spans="1:38" ht="12.75">
      <c r="A174" s="59"/>
      <c r="B174" s="41"/>
      <c r="C174" s="41"/>
      <c r="D174" s="41"/>
      <c r="E174" s="41"/>
      <c r="F174" s="41"/>
      <c r="G174" s="41"/>
      <c r="H174" s="41"/>
      <c r="I174" s="41"/>
      <c r="J174" s="85"/>
      <c r="K174" s="85"/>
      <c r="L174" s="85"/>
      <c r="M174" s="85"/>
      <c r="N174" s="85"/>
      <c r="O174" s="87"/>
      <c r="P174" s="539"/>
      <c r="R174" s="846"/>
      <c r="S174" s="846"/>
      <c r="V174" s="1"/>
      <c r="W174" s="1"/>
      <c r="X174" s="1"/>
      <c r="AK174" s="2"/>
      <c r="AL174" s="2"/>
    </row>
    <row r="175" spans="1:38" ht="12.75">
      <c r="A175" s="1"/>
      <c r="B175" s="1"/>
      <c r="C175" s="1"/>
      <c r="D175" s="1"/>
      <c r="E175" s="1"/>
      <c r="F175" s="1"/>
      <c r="G175" s="1"/>
      <c r="H175" s="1"/>
      <c r="P175" s="539"/>
      <c r="R175" s="846"/>
      <c r="S175" s="846"/>
      <c r="V175" s="29"/>
      <c r="W175" s="1"/>
      <c r="X175" s="1"/>
      <c r="AA175" s="285"/>
      <c r="AK175" s="2"/>
      <c r="AL175" s="2"/>
    </row>
    <row r="176" spans="1:38" ht="12.75">
      <c r="A176" s="1"/>
      <c r="B176" s="1"/>
      <c r="C176" s="1"/>
      <c r="D176" s="1"/>
      <c r="E176" s="1"/>
      <c r="F176" s="1"/>
      <c r="G176" s="1"/>
      <c r="H176" s="1"/>
      <c r="P176" s="539"/>
      <c r="R176" s="846"/>
      <c r="S176" s="846"/>
      <c r="V176" s="1"/>
      <c r="W176" s="1"/>
      <c r="X176" s="1"/>
      <c r="AA176" s="657" t="s">
        <v>87</v>
      </c>
      <c r="AB176" s="657" t="s">
        <v>86</v>
      </c>
      <c r="AF176" s="621">
        <f>D170*1000</f>
        <v>40.534647841609868</v>
      </c>
      <c r="AK176" s="2"/>
      <c r="AL176" s="2"/>
    </row>
    <row r="177" spans="1:38" ht="12.75">
      <c r="A177" s="385" t="s">
        <v>259</v>
      </c>
      <c r="B177" s="406"/>
      <c r="C177" s="488" t="s">
        <v>359</v>
      </c>
      <c r="D177" s="488"/>
      <c r="E177" s="406"/>
      <c r="F177" s="406"/>
      <c r="G177" s="406"/>
      <c r="H177" s="407"/>
      <c r="P177" s="539"/>
      <c r="R177" s="846"/>
      <c r="S177" s="846"/>
      <c r="V177" s="29"/>
      <c r="W177" s="1"/>
      <c r="X177" s="1"/>
      <c r="AA177" s="657" t="s">
        <v>89</v>
      </c>
      <c r="AB177" s="657" t="s">
        <v>88</v>
      </c>
      <c r="AF177" s="621">
        <f>D171*1000*1000</f>
        <v>297987.66634209669</v>
      </c>
      <c r="AK177" s="2"/>
      <c r="AL177" s="2"/>
    </row>
    <row r="178" spans="1:38" ht="12.75">
      <c r="A178" s="30" t="s">
        <v>63</v>
      </c>
      <c r="B178" s="271"/>
      <c r="C178" s="489" t="s">
        <v>360</v>
      </c>
      <c r="D178" s="430" t="s">
        <v>361</v>
      </c>
      <c r="G178" s="490" t="s">
        <v>64</v>
      </c>
      <c r="H178" s="81" t="s">
        <v>261</v>
      </c>
      <c r="M178" s="560"/>
      <c r="P178" s="276"/>
      <c r="R178" s="276"/>
      <c r="V178" s="1"/>
      <c r="W178" s="1"/>
      <c r="X178" s="1"/>
      <c r="AK178" s="2"/>
      <c r="AL178" s="2"/>
    </row>
    <row r="179" spans="1:38" ht="16.5">
      <c r="A179" s="30" t="s">
        <v>395</v>
      </c>
      <c r="B179" s="679">
        <v>27000000</v>
      </c>
      <c r="C179" s="36">
        <f>G179/B179</f>
        <v>4.4444444444444444E-3</v>
      </c>
      <c r="D179" s="27">
        <f>G239</f>
        <v>6.9750000000000006E-2</v>
      </c>
      <c r="E179" s="1"/>
      <c r="F179" s="1"/>
      <c r="G179" s="401">
        <v>120000</v>
      </c>
      <c r="H179" s="402">
        <f>G179/$B$64/1000</f>
        <v>4.3010752688172043E-3</v>
      </c>
      <c r="J179" s="2" t="s">
        <v>7</v>
      </c>
      <c r="P179" s="539"/>
      <c r="R179" s="846"/>
      <c r="S179" s="846"/>
      <c r="V179" s="1"/>
      <c r="W179" s="1"/>
      <c r="X179" s="1"/>
      <c r="AK179" s="2"/>
      <c r="AL179" s="2"/>
    </row>
    <row r="180" spans="1:38" ht="12.75">
      <c r="A180" s="33"/>
      <c r="B180" s="1"/>
      <c r="C180" s="1"/>
      <c r="D180" s="1"/>
      <c r="E180" s="1"/>
      <c r="F180" s="1"/>
      <c r="G180" s="1"/>
      <c r="H180" s="403"/>
      <c r="P180" s="1"/>
      <c r="R180" s="846"/>
      <c r="S180" s="846"/>
      <c r="V180" s="1"/>
      <c r="W180" s="1"/>
      <c r="X180" s="1"/>
      <c r="AK180" s="2"/>
      <c r="AL180" s="2"/>
    </row>
    <row r="181" spans="1:38">
      <c r="A181" s="30" t="s">
        <v>264</v>
      </c>
      <c r="C181" s="430" t="s">
        <v>358</v>
      </c>
      <c r="H181" s="313"/>
      <c r="P181" s="1"/>
      <c r="R181" s="846"/>
      <c r="S181" s="846"/>
      <c r="V181" s="29"/>
      <c r="W181" s="1"/>
      <c r="X181" s="1"/>
      <c r="AJ181" s="398" t="s">
        <v>435</v>
      </c>
      <c r="AK181" s="2"/>
      <c r="AL181" s="2"/>
    </row>
    <row r="182" spans="1:38" ht="16.5">
      <c r="A182" s="30" t="s">
        <v>265</v>
      </c>
      <c r="C182" s="52">
        <f>G182/12</f>
        <v>833.33333333333337</v>
      </c>
      <c r="G182" s="401">
        <v>10000</v>
      </c>
      <c r="H182" s="402">
        <f>G182/$B$64/1000</f>
        <v>3.5842293906810036E-4</v>
      </c>
      <c r="J182" s="2" t="s">
        <v>7</v>
      </c>
      <c r="P182" s="1"/>
      <c r="R182" s="846"/>
      <c r="S182" s="846"/>
      <c r="V182" s="1"/>
      <c r="W182" s="1"/>
      <c r="X182" s="1"/>
      <c r="AC182" s="638">
        <f t="shared" ref="AC182:AC184" si="55">ROUND($AC$13*$AI182,0)</f>
        <v>4519</v>
      </c>
      <c r="AD182" s="624"/>
      <c r="AE182" s="624"/>
      <c r="AF182" s="639"/>
      <c r="AG182" s="617" t="s">
        <v>258</v>
      </c>
      <c r="AH182" s="640">
        <v>631040</v>
      </c>
      <c r="AI182" s="652">
        <f>+AJ182/$AJ$189</f>
        <v>3.0123336981911327E-2</v>
      </c>
      <c r="AJ182" s="2">
        <v>5339</v>
      </c>
      <c r="AK182" s="2"/>
      <c r="AL182" s="2"/>
    </row>
    <row r="183" spans="1:38">
      <c r="A183" s="33"/>
      <c r="B183" s="1"/>
      <c r="C183" s="1"/>
      <c r="D183" s="1"/>
      <c r="E183" s="1"/>
      <c r="F183" s="1"/>
      <c r="G183" s="1"/>
      <c r="H183" s="403"/>
      <c r="P183" s="1"/>
      <c r="R183" s="846"/>
      <c r="S183" s="846"/>
      <c r="V183" s="29"/>
      <c r="W183" s="1"/>
      <c r="X183" s="1"/>
      <c r="AC183" s="638">
        <f t="shared" si="55"/>
        <v>5502</v>
      </c>
      <c r="AD183" s="624"/>
      <c r="AE183" s="624"/>
      <c r="AF183" s="639"/>
      <c r="AG183" s="617" t="s">
        <v>260</v>
      </c>
      <c r="AH183" s="640">
        <v>631060</v>
      </c>
      <c r="AI183" s="652">
        <f t="shared" ref="AI183:AI188" si="56">+AJ183/$AJ$189</f>
        <v>3.6679493110958146E-2</v>
      </c>
      <c r="AJ183" s="2">
        <v>6501</v>
      </c>
      <c r="AK183" s="2"/>
      <c r="AL183" s="2"/>
    </row>
    <row r="184" spans="1:38">
      <c r="A184" s="30" t="s">
        <v>266</v>
      </c>
      <c r="C184" s="430" t="s">
        <v>358</v>
      </c>
      <c r="H184" s="313"/>
      <c r="P184" s="1"/>
      <c r="R184" s="846"/>
      <c r="S184" s="846"/>
      <c r="V184" s="29"/>
      <c r="W184" s="1"/>
      <c r="X184" s="1"/>
      <c r="AC184" s="638">
        <f t="shared" si="55"/>
        <v>3202</v>
      </c>
      <c r="AD184" s="624"/>
      <c r="AE184" s="624"/>
      <c r="AF184" s="639"/>
      <c r="AG184" s="617" t="s">
        <v>262</v>
      </c>
      <c r="AH184" s="640">
        <v>630020</v>
      </c>
      <c r="AI184" s="652">
        <f t="shared" si="56"/>
        <v>2.13441812703822E-2</v>
      </c>
      <c r="AJ184" s="2">
        <v>3783</v>
      </c>
      <c r="AK184" s="2"/>
      <c r="AL184" s="2"/>
    </row>
    <row r="185" spans="1:38" ht="16.5">
      <c r="A185" s="30" t="s">
        <v>268</v>
      </c>
      <c r="C185" s="52">
        <f>G185/12</f>
        <v>12500</v>
      </c>
      <c r="G185" s="401">
        <v>150000</v>
      </c>
      <c r="H185" s="402">
        <f>G185/$B$64/1000</f>
        <v>5.3763440860215049E-3</v>
      </c>
      <c r="J185" s="2" t="s">
        <v>7</v>
      </c>
      <c r="P185" s="5"/>
      <c r="AC185" s="638">
        <f>ROUND($AC$13*$AI185,0)</f>
        <v>3046</v>
      </c>
      <c r="AD185" s="624"/>
      <c r="AE185" s="624"/>
      <c r="AF185" s="639"/>
      <c r="AG185" s="617" t="s">
        <v>417</v>
      </c>
      <c r="AH185" s="640" t="s">
        <v>418</v>
      </c>
      <c r="AI185" s="652">
        <f t="shared" si="56"/>
        <v>2.030602918110112E-2</v>
      </c>
      <c r="AJ185" s="2">
        <v>3599</v>
      </c>
      <c r="AK185" s="2"/>
      <c r="AL185" s="2"/>
    </row>
    <row r="186" spans="1:38">
      <c r="A186" s="59"/>
      <c r="B186" s="41"/>
      <c r="C186" s="405"/>
      <c r="D186" s="41"/>
      <c r="E186" s="41"/>
      <c r="F186" s="41"/>
      <c r="G186" s="41"/>
      <c r="H186" s="42"/>
      <c r="Z186" s="404"/>
      <c r="AC186" s="638">
        <f t="shared" ref="AC186:AC188" si="57">ROUND($AC$13*$AI186,0)</f>
        <v>82411</v>
      </c>
      <c r="AD186" s="624"/>
      <c r="AE186" s="624"/>
      <c r="AF186" s="639"/>
      <c r="AG186" s="617" t="s">
        <v>263</v>
      </c>
      <c r="AH186" s="640">
        <v>630080</v>
      </c>
      <c r="AI186" s="652">
        <f t="shared" si="56"/>
        <v>0.54940814046649133</v>
      </c>
      <c r="AJ186" s="2">
        <v>97376</v>
      </c>
      <c r="AK186" s="2"/>
      <c r="AL186" s="2"/>
    </row>
    <row r="187" spans="1:38">
      <c r="A187" s="1"/>
      <c r="B187" s="1"/>
      <c r="C187" s="1"/>
      <c r="D187" s="1"/>
      <c r="E187" s="1"/>
      <c r="F187" s="8"/>
      <c r="G187" s="8"/>
      <c r="H187" s="1"/>
      <c r="AC187" s="638">
        <f t="shared" si="57"/>
        <v>44385</v>
      </c>
      <c r="AD187" s="624"/>
      <c r="AE187" s="624"/>
      <c r="AF187" s="639"/>
      <c r="AG187" s="617" t="s">
        <v>412</v>
      </c>
      <c r="AH187" s="640" t="s">
        <v>414</v>
      </c>
      <c r="AI187" s="652">
        <f t="shared" si="56"/>
        <v>0.29590155609970775</v>
      </c>
      <c r="AJ187" s="2">
        <v>52445</v>
      </c>
      <c r="AK187" s="2"/>
      <c r="AL187" s="2"/>
    </row>
    <row r="188" spans="1:38" ht="16.5">
      <c r="A188" s="1"/>
      <c r="B188" s="1"/>
      <c r="C188" s="1"/>
      <c r="D188" s="1"/>
      <c r="E188" s="1"/>
      <c r="F188" s="8"/>
      <c r="G188" s="8"/>
      <c r="H188" s="1"/>
      <c r="AC188" s="643">
        <f t="shared" si="57"/>
        <v>6936</v>
      </c>
      <c r="AD188" s="624"/>
      <c r="AE188" s="624"/>
      <c r="AF188" s="639"/>
      <c r="AG188" s="617" t="s">
        <v>413</v>
      </c>
      <c r="AH188" s="640" t="s">
        <v>415</v>
      </c>
      <c r="AI188" s="652">
        <f t="shared" si="56"/>
        <v>4.6237262889448086E-2</v>
      </c>
      <c r="AJ188" s="83">
        <v>8195</v>
      </c>
      <c r="AK188" s="2"/>
      <c r="AL188" s="2"/>
    </row>
    <row r="189" spans="1:38" ht="12.75">
      <c r="A189" s="385" t="s">
        <v>269</v>
      </c>
      <c r="B189" s="406"/>
      <c r="C189" s="406"/>
      <c r="D189" s="406"/>
      <c r="E189" s="406"/>
      <c r="F189" s="406"/>
      <c r="G189" s="406"/>
      <c r="H189" s="406"/>
      <c r="I189" s="406"/>
      <c r="J189" s="407"/>
      <c r="K189" s="30"/>
      <c r="Z189" s="404"/>
      <c r="AC189" s="612">
        <f>SUM(AC182:AC188)</f>
        <v>150001</v>
      </c>
      <c r="AD189" s="624"/>
      <c r="AE189" s="624"/>
      <c r="AF189" s="639"/>
      <c r="AG189" s="624"/>
      <c r="AH189" s="624"/>
      <c r="AI189" s="1"/>
      <c r="AJ189" s="2">
        <f>SUM(AJ182:AJ188)</f>
        <v>177238</v>
      </c>
      <c r="AK189" s="2"/>
      <c r="AL189" s="2"/>
    </row>
    <row r="190" spans="1:38">
      <c r="A190" s="30" t="s">
        <v>271</v>
      </c>
      <c r="I190" s="356"/>
      <c r="J190" s="408"/>
      <c r="K190" s="409"/>
      <c r="L190" s="356"/>
      <c r="M190" s="356"/>
      <c r="N190" s="356"/>
      <c r="AC190" s="1"/>
      <c r="AD190" s="1"/>
      <c r="AE190" s="1"/>
      <c r="AF190" s="394"/>
      <c r="AG190" s="1"/>
      <c r="AH190" s="1"/>
      <c r="AI190" s="1"/>
      <c r="AK190" s="2"/>
      <c r="AL190" s="2"/>
    </row>
    <row r="191" spans="1:38" ht="16.5">
      <c r="A191" s="30"/>
      <c r="I191" s="356"/>
      <c r="J191" s="408"/>
      <c r="K191" s="409"/>
      <c r="L191" s="356"/>
      <c r="M191" s="356"/>
      <c r="N191" s="356"/>
      <c r="AC191" s="1"/>
      <c r="AD191" s="1"/>
      <c r="AE191" s="1"/>
      <c r="AF191" s="394"/>
      <c r="AG191" s="1"/>
      <c r="AH191" s="1"/>
      <c r="AI191" s="1"/>
      <c r="AJ191" s="398" t="s">
        <v>435</v>
      </c>
      <c r="AK191" s="2"/>
      <c r="AL191" s="2"/>
    </row>
    <row r="192" spans="1:38">
      <c r="A192" s="30" t="s">
        <v>274</v>
      </c>
      <c r="B192" s="26" t="s">
        <v>275</v>
      </c>
      <c r="C192" s="26" t="s">
        <v>43</v>
      </c>
      <c r="D192" s="356"/>
      <c r="E192" s="847" t="s">
        <v>276</v>
      </c>
      <c r="F192" s="848"/>
      <c r="G192" s="356"/>
      <c r="I192" s="26"/>
      <c r="J192" s="541"/>
      <c r="K192" s="540"/>
      <c r="L192" s="26"/>
      <c r="M192" s="26"/>
      <c r="N192" s="26"/>
      <c r="AC192" s="707">
        <f>$AC$21*$AI192</f>
        <v>484802.69181621197</v>
      </c>
      <c r="AE192" s="6"/>
      <c r="AF192" s="639"/>
      <c r="AG192" s="617" t="s">
        <v>267</v>
      </c>
      <c r="AH192" s="640" t="s">
        <v>164</v>
      </c>
      <c r="AI192" s="706">
        <f>+AJ192/AJ243</f>
        <v>0.8612284015778654</v>
      </c>
      <c r="AJ192" s="2">
        <v>372030</v>
      </c>
      <c r="AK192" s="2"/>
      <c r="AL192" s="2"/>
    </row>
    <row r="193" spans="1:38">
      <c r="A193" s="112" t="s">
        <v>277</v>
      </c>
      <c r="B193" s="417">
        <v>10</v>
      </c>
      <c r="C193" s="417">
        <v>2</v>
      </c>
      <c r="E193" s="30" t="s">
        <v>278</v>
      </c>
      <c r="F193" s="417">
        <v>50</v>
      </c>
      <c r="J193" s="25"/>
      <c r="K193" s="30"/>
      <c r="AE193" s="6"/>
      <c r="AK193" s="2"/>
      <c r="AL193" s="2"/>
    </row>
    <row r="194" spans="1:38">
      <c r="A194" s="112" t="s">
        <v>279</v>
      </c>
      <c r="B194" s="765">
        <f>ROUND((28.57*1.02)*(1+$F$160),2)</f>
        <v>29.14</v>
      </c>
      <c r="C194" s="765">
        <f>ROUND((33.14*1.02)*(1+$F$160),2)</f>
        <v>33.799999999999997</v>
      </c>
      <c r="E194" s="30" t="s">
        <v>280</v>
      </c>
      <c r="F194" s="417">
        <v>40</v>
      </c>
      <c r="J194" s="25"/>
      <c r="K194" s="30"/>
      <c r="AE194" s="6"/>
      <c r="AK194" s="2"/>
      <c r="AL194" s="2"/>
    </row>
    <row r="195" spans="1:38">
      <c r="A195" s="112" t="s">
        <v>282</v>
      </c>
      <c r="B195" s="419">
        <v>0.1</v>
      </c>
      <c r="C195" s="420">
        <v>0.1</v>
      </c>
      <c r="E195" s="30" t="s">
        <v>283</v>
      </c>
      <c r="F195" s="421">
        <v>1.5</v>
      </c>
      <c r="J195" s="25"/>
      <c r="K195" s="30"/>
      <c r="AE195" s="6"/>
      <c r="AK195" s="2"/>
      <c r="AL195" s="2"/>
    </row>
    <row r="196" spans="1:38">
      <c r="A196" s="112" t="s">
        <v>285</v>
      </c>
      <c r="B196" s="419">
        <v>0</v>
      </c>
      <c r="E196" s="422" t="s">
        <v>286</v>
      </c>
      <c r="F196" s="763">
        <v>0.3</v>
      </c>
      <c r="H196" s="205"/>
      <c r="J196" s="25"/>
      <c r="K196" s="30"/>
      <c r="AE196" s="6"/>
      <c r="AK196" s="2"/>
      <c r="AL196" s="2"/>
    </row>
    <row r="197" spans="1:38">
      <c r="A197" s="112" t="s">
        <v>387</v>
      </c>
      <c r="B197" s="419">
        <v>0.3</v>
      </c>
      <c r="E197" s="1"/>
      <c r="F197" s="1"/>
      <c r="H197" s="205"/>
      <c r="J197" s="25"/>
      <c r="K197" s="30"/>
      <c r="AD197" s="410"/>
      <c r="AE197" s="410"/>
      <c r="AJ197" s="398" t="s">
        <v>435</v>
      </c>
      <c r="AK197" s="2"/>
      <c r="AL197" s="2"/>
    </row>
    <row r="198" spans="1:38" ht="12.75">
      <c r="A198" s="112"/>
      <c r="E198" s="1"/>
      <c r="F198" s="1"/>
      <c r="H198" s="205"/>
      <c r="J198" s="25"/>
      <c r="K198" s="30"/>
      <c r="AC198" s="638">
        <f>$AC$16*$AI198</f>
        <v>638698.99075125752</v>
      </c>
      <c r="AD198" s="641"/>
      <c r="AE198" s="641"/>
      <c r="AF198" s="642"/>
      <c r="AG198" s="617" t="s">
        <v>272</v>
      </c>
      <c r="AH198" s="640" t="s">
        <v>167</v>
      </c>
      <c r="AI198" s="650">
        <f>+AJ198/AJ200</f>
        <v>0.95296916050141367</v>
      </c>
      <c r="AJ198" s="2">
        <v>276038</v>
      </c>
      <c r="AK198" s="2"/>
      <c r="AL198" s="2"/>
    </row>
    <row r="199" spans="1:38">
      <c r="A199" s="30"/>
      <c r="E199" s="1"/>
      <c r="F199" s="1"/>
      <c r="G199" s="1"/>
      <c r="H199" s="205"/>
      <c r="J199" s="25"/>
      <c r="K199" s="30"/>
      <c r="AC199" s="643">
        <f>$AC$16*$AI199</f>
        <v>31521.009248742499</v>
      </c>
      <c r="AD199" s="644"/>
      <c r="AE199" s="644"/>
      <c r="AF199" s="642"/>
      <c r="AG199" s="617" t="s">
        <v>273</v>
      </c>
      <c r="AH199" s="640" t="s">
        <v>168</v>
      </c>
      <c r="AI199" s="650">
        <f>+AJ199/AJ200</f>
        <v>4.7030839498586281E-2</v>
      </c>
      <c r="AJ199" s="83">
        <v>13623</v>
      </c>
      <c r="AK199" s="2"/>
      <c r="AL199" s="2"/>
    </row>
    <row r="200" spans="1:38">
      <c r="A200" s="30" t="s">
        <v>388</v>
      </c>
      <c r="B200" s="533" t="s">
        <v>375</v>
      </c>
      <c r="C200" s="533" t="s">
        <v>376</v>
      </c>
      <c r="D200" s="266"/>
      <c r="E200" s="1"/>
      <c r="J200" s="25"/>
      <c r="K200" s="30"/>
      <c r="AC200" s="618">
        <f>SUM(AC198:AC199)</f>
        <v>670220</v>
      </c>
      <c r="AD200" s="624"/>
      <c r="AE200" s="624"/>
      <c r="AF200" s="642" t="s">
        <v>95</v>
      </c>
      <c r="AG200" s="645" t="s">
        <v>94</v>
      </c>
      <c r="AH200" s="646" t="s">
        <v>229</v>
      </c>
      <c r="AJ200" s="2">
        <f>SUM(AJ198:AJ199)</f>
        <v>289661</v>
      </c>
      <c r="AK200" s="2"/>
      <c r="AL200" s="2"/>
    </row>
    <row r="201" spans="1:38" ht="12.75">
      <c r="A201" s="112" t="s">
        <v>377</v>
      </c>
      <c r="B201" s="196" t="s">
        <v>378</v>
      </c>
      <c r="C201" s="2">
        <f>ROUND(B197*B64,-2)</f>
        <v>8400</v>
      </c>
      <c r="J201" s="25"/>
      <c r="K201" s="30"/>
      <c r="AC201" s="624"/>
      <c r="AD201" s="641"/>
      <c r="AE201" s="641"/>
      <c r="AF201" s="639"/>
      <c r="AG201" s="624"/>
      <c r="AH201" s="624"/>
      <c r="AK201" s="2"/>
      <c r="AL201" s="2"/>
    </row>
    <row r="202" spans="1:38" ht="12.75">
      <c r="A202" s="112" t="s">
        <v>383</v>
      </c>
      <c r="B202" s="196" t="s">
        <v>378</v>
      </c>
      <c r="C202" s="2">
        <v>2600</v>
      </c>
      <c r="J202" s="25"/>
      <c r="K202" s="30"/>
      <c r="AC202" s="638">
        <f>$AC$17*$AI202</f>
        <v>142185.66278487226</v>
      </c>
      <c r="AD202" s="641"/>
      <c r="AE202" s="641"/>
      <c r="AF202" s="642"/>
      <c r="AG202" s="617" t="s">
        <v>281</v>
      </c>
      <c r="AH202" s="640" t="s">
        <v>169</v>
      </c>
      <c r="AI202" s="650">
        <f>+AJ202/AJ204</f>
        <v>0.91449487255513406</v>
      </c>
      <c r="AJ202" s="2">
        <v>89444</v>
      </c>
      <c r="AK202" s="2"/>
      <c r="AL202" s="2"/>
    </row>
    <row r="203" spans="1:38">
      <c r="A203" s="112" t="s">
        <v>287</v>
      </c>
      <c r="B203" s="538">
        <f>ROUND(B193*B196,0)</f>
        <v>0</v>
      </c>
      <c r="C203" s="31">
        <f>(C201/(C202*4)*1000)/($F$193*$F$194)</f>
        <v>0.40384615384615385</v>
      </c>
      <c r="D203" s="537"/>
      <c r="E203" s="1"/>
      <c r="J203" s="25"/>
      <c r="K203" s="30"/>
      <c r="AC203" s="643">
        <f>$AC$17*$AI203</f>
        <v>13294.337215127751</v>
      </c>
      <c r="AD203" s="644"/>
      <c r="AE203" s="644"/>
      <c r="AF203" s="642"/>
      <c r="AG203" s="617" t="s">
        <v>284</v>
      </c>
      <c r="AH203" s="640" t="s">
        <v>170</v>
      </c>
      <c r="AI203" s="650">
        <f>+AJ203/AJ204</f>
        <v>8.5505127444865908E-2</v>
      </c>
      <c r="AJ203" s="83">
        <v>8363</v>
      </c>
      <c r="AK203" s="2"/>
      <c r="AL203" s="2"/>
    </row>
    <row r="204" spans="1:38" ht="12.75">
      <c r="A204" s="112" t="s">
        <v>289</v>
      </c>
      <c r="B204" s="425">
        <f>(B203*$F$193*$F$194)</f>
        <v>0</v>
      </c>
      <c r="C204" s="425">
        <f>(C203*$F$193*$F$194)</f>
        <v>807.69230769230774</v>
      </c>
      <c r="J204" s="25"/>
      <c r="K204" s="30"/>
      <c r="AC204" s="618">
        <f>SUM(AC202:AC203)</f>
        <v>155480</v>
      </c>
      <c r="AD204" s="644"/>
      <c r="AE204" s="644"/>
      <c r="AF204" s="642" t="s">
        <v>95</v>
      </c>
      <c r="AG204" s="645" t="s">
        <v>96</v>
      </c>
      <c r="AH204" s="646" t="s">
        <v>229</v>
      </c>
      <c r="AJ204" s="2">
        <f>SUM(AJ202:AJ203)</f>
        <v>97807</v>
      </c>
      <c r="AK204" s="2"/>
      <c r="AL204" s="2"/>
    </row>
    <row r="205" spans="1:38" ht="12.75">
      <c r="A205" s="112" t="s">
        <v>381</v>
      </c>
      <c r="B205" s="426">
        <f>(B203*$F$193*$F$194*$C$210)+((B203*$F$193*$F$194*$B$195)*$C$211)</f>
        <v>0</v>
      </c>
      <c r="C205" s="426">
        <f>$C$204*$C$214</f>
        <v>24605.979020979023</v>
      </c>
      <c r="D205" s="427"/>
      <c r="E205" s="428"/>
      <c r="J205" s="25"/>
      <c r="K205" s="30"/>
      <c r="AC205" s="634"/>
      <c r="AD205" s="414"/>
      <c r="AE205" s="414"/>
      <c r="AF205" s="635"/>
      <c r="AG205" s="636"/>
      <c r="AH205" s="637"/>
      <c r="AK205" s="2"/>
      <c r="AL205" s="2"/>
    </row>
    <row r="206" spans="1:38" ht="12.75">
      <c r="A206" s="112" t="s">
        <v>382</v>
      </c>
      <c r="B206" s="426">
        <f>B205*F196</f>
        <v>0</v>
      </c>
      <c r="C206" s="426">
        <f>$C$204*$I$214</f>
        <v>9000.4458041958042</v>
      </c>
      <c r="D206" s="427"/>
      <c r="E206" s="1"/>
      <c r="J206" s="25"/>
      <c r="K206" s="30"/>
      <c r="AC206" s="634"/>
      <c r="AD206" s="414"/>
      <c r="AE206" s="414"/>
      <c r="AF206" s="635"/>
      <c r="AG206" s="636"/>
      <c r="AH206" s="637"/>
      <c r="AK206" s="2"/>
      <c r="AL206" s="2"/>
    </row>
    <row r="207" spans="1:38">
      <c r="A207" s="30"/>
      <c r="B207" s="429"/>
      <c r="C207" s="70"/>
      <c r="D207" s="70"/>
      <c r="E207" s="1"/>
      <c r="J207" s="25"/>
      <c r="K207" s="30"/>
      <c r="AC207" s="634"/>
      <c r="AD207" s="213"/>
      <c r="AE207" s="213"/>
      <c r="AF207" s="635"/>
      <c r="AG207" s="636"/>
      <c r="AH207" s="637"/>
      <c r="AK207" s="2"/>
      <c r="AL207" s="2"/>
    </row>
    <row r="208" spans="1:38" ht="16.5">
      <c r="A208" s="30"/>
      <c r="B208" s="849" t="s">
        <v>14</v>
      </c>
      <c r="C208" s="849"/>
      <c r="D208" s="849"/>
      <c r="E208" s="850" t="s">
        <v>294</v>
      </c>
      <c r="F208" s="849"/>
      <c r="G208" s="851"/>
      <c r="H208" s="849" t="str">
        <f>CONCATENATE("Indirect Payroll Cost (IPC) at ",F196*100,"%")</f>
        <v>Indirect Payroll Cost (IPC) at 30%</v>
      </c>
      <c r="I208" s="849"/>
      <c r="J208" s="851"/>
      <c r="K208" s="30"/>
      <c r="AC208"/>
      <c r="AD208" s="410"/>
      <c r="AE208" s="410"/>
      <c r="AF208" s="424"/>
      <c r="AG208" s="213"/>
      <c r="AH208" s="215"/>
      <c r="AK208" s="2"/>
      <c r="AL208" s="2"/>
    </row>
    <row r="209" spans="1:38">
      <c r="A209" s="431" t="s">
        <v>296</v>
      </c>
      <c r="B209" s="432" t="s">
        <v>289</v>
      </c>
      <c r="C209" s="432" t="s">
        <v>297</v>
      </c>
      <c r="D209" s="433" t="s">
        <v>48</v>
      </c>
      <c r="E209" s="434" t="s">
        <v>289</v>
      </c>
      <c r="F209" s="432" t="s">
        <v>297</v>
      </c>
      <c r="G209" s="435" t="s">
        <v>48</v>
      </c>
      <c r="H209" s="432" t="s">
        <v>289</v>
      </c>
      <c r="I209" s="432" t="s">
        <v>297</v>
      </c>
      <c r="J209" s="435" t="s">
        <v>48</v>
      </c>
      <c r="K209" s="30"/>
      <c r="AC209" s="647"/>
      <c r="AD209" s="410"/>
      <c r="AE209" s="410"/>
      <c r="AF209" s="111"/>
      <c r="AG209" s="9"/>
      <c r="AH209" s="648"/>
      <c r="AI209" s="650"/>
      <c r="AK209" s="2"/>
      <c r="AL209" s="2"/>
    </row>
    <row r="210" spans="1:38">
      <c r="A210" s="436" t="s">
        <v>49</v>
      </c>
      <c r="B210" s="65">
        <f>$F$193*$F$194*B$193</f>
        <v>20000</v>
      </c>
      <c r="C210" s="53">
        <f>B194</f>
        <v>29.14</v>
      </c>
      <c r="D210" s="437">
        <f>B210*C210</f>
        <v>582800</v>
      </c>
      <c r="E210" s="454">
        <f>$F$193*$F$194*C$193</f>
        <v>4000</v>
      </c>
      <c r="F210" s="53">
        <f>C$194</f>
        <v>33.799999999999997</v>
      </c>
      <c r="G210" s="438">
        <f>E210*F210</f>
        <v>135200</v>
      </c>
      <c r="J210" s="25"/>
      <c r="K210" s="30"/>
      <c r="AC210" s="647"/>
      <c r="AD210" s="410"/>
      <c r="AE210" s="410"/>
      <c r="AF210" s="111"/>
      <c r="AG210" s="9"/>
      <c r="AH210" s="648"/>
      <c r="AI210" s="650"/>
      <c r="AJ210" s="398" t="s">
        <v>435</v>
      </c>
      <c r="AK210" s="2"/>
      <c r="AL210" s="2"/>
    </row>
    <row r="211" spans="1:38">
      <c r="A211" s="436" t="s">
        <v>50</v>
      </c>
      <c r="B211" s="356">
        <f>$F$193*$F$194*B$195*B$193</f>
        <v>2000</v>
      </c>
      <c r="C211" s="439">
        <f>B$194*$F$195</f>
        <v>43.71</v>
      </c>
      <c r="D211" s="440">
        <f>B211*C211</f>
        <v>87420</v>
      </c>
      <c r="E211" s="409">
        <f>$F$193*$F$194*C$195*C$193</f>
        <v>400</v>
      </c>
      <c r="F211" s="441">
        <f>C$194*$F$195</f>
        <v>50.699999999999996</v>
      </c>
      <c r="G211" s="442">
        <f>E211*F211</f>
        <v>20280</v>
      </c>
      <c r="I211" s="29"/>
      <c r="J211" s="25"/>
      <c r="K211" s="30"/>
      <c r="AC211" s="638">
        <f t="shared" ref="AC211:AC216" si="58">$AC$18*$AI211</f>
        <v>41219.332654320991</v>
      </c>
      <c r="AD211" s="641"/>
      <c r="AE211" s="641"/>
      <c r="AF211" s="614"/>
      <c r="AG211" s="617" t="s">
        <v>288</v>
      </c>
      <c r="AH211" s="640" t="s">
        <v>171</v>
      </c>
      <c r="AI211" s="650">
        <f>+AJ211/AJ217</f>
        <v>0.14011316872427984</v>
      </c>
      <c r="AJ211" s="2">
        <v>27238</v>
      </c>
      <c r="AK211" s="2"/>
      <c r="AL211" s="2"/>
    </row>
    <row r="212" spans="1:38" ht="12.75">
      <c r="A212" s="443" t="s">
        <v>138</v>
      </c>
      <c r="B212" s="65">
        <f>SUM(B210:B211)</f>
        <v>22000</v>
      </c>
      <c r="C212" s="53">
        <f>D212/B212</f>
        <v>30.464545454545455</v>
      </c>
      <c r="D212" s="444">
        <f>SUM(D210:D211)</f>
        <v>670220</v>
      </c>
      <c r="E212" s="454">
        <f>SUM(E210:E211)</f>
        <v>4400</v>
      </c>
      <c r="F212" s="53">
        <f>IF(E212&lt;&gt;0,G212/E212,0)</f>
        <v>35.336363636363636</v>
      </c>
      <c r="G212" s="445">
        <f>SUM(G210:G211)</f>
        <v>155480</v>
      </c>
      <c r="H212" s="65">
        <f>B212+E212</f>
        <v>26400</v>
      </c>
      <c r="I212" s="53">
        <f>J212/H212</f>
        <v>11.14340909090909</v>
      </c>
      <c r="J212" s="446">
        <f>+(D212+G212+C243)*F196</f>
        <v>294186</v>
      </c>
      <c r="K212" s="30"/>
      <c r="AC212" s="638">
        <f t="shared" si="58"/>
        <v>37204.541203703702</v>
      </c>
      <c r="AD212" s="641"/>
      <c r="AE212" s="641"/>
      <c r="AF212" s="614"/>
      <c r="AG212" s="617" t="s">
        <v>290</v>
      </c>
      <c r="AH212" s="640" t="s">
        <v>172</v>
      </c>
      <c r="AI212" s="650">
        <f>+AJ212/AJ217</f>
        <v>0.12646604938271605</v>
      </c>
      <c r="AJ212" s="2">
        <v>24585</v>
      </c>
      <c r="AK212" s="2"/>
      <c r="AL212" s="2"/>
    </row>
    <row r="213" spans="1:38">
      <c r="A213" s="443" t="s">
        <v>298</v>
      </c>
      <c r="B213" s="356">
        <f>-B204</f>
        <v>0</v>
      </c>
      <c r="C213" s="447">
        <f>IF(B213&lt;&gt;0,D213/B213,0)</f>
        <v>0</v>
      </c>
      <c r="D213" s="440">
        <f>-B205</f>
        <v>0</v>
      </c>
      <c r="E213" s="483">
        <v>0</v>
      </c>
      <c r="F213" s="447">
        <f>IF(E213&lt;&gt;0,(G213/E213),0)</f>
        <v>0</v>
      </c>
      <c r="G213" s="448">
        <v>0</v>
      </c>
      <c r="H213" s="356">
        <f>-B204</f>
        <v>0</v>
      </c>
      <c r="I213" s="447">
        <f>IF(H213&lt;&gt;0,J213/H213,0)</f>
        <v>0</v>
      </c>
      <c r="J213" s="449">
        <f>-B206</f>
        <v>0</v>
      </c>
      <c r="K213" s="30"/>
      <c r="R213" s="430"/>
      <c r="S213" s="430"/>
      <c r="T213" s="430"/>
      <c r="U213" s="430"/>
      <c r="V213" s="430"/>
      <c r="W213" s="430"/>
      <c r="X213" s="430"/>
      <c r="Y213" s="430"/>
      <c r="AC213" s="638">
        <f t="shared" si="58"/>
        <v>14341.567500000001</v>
      </c>
      <c r="AD213" s="641"/>
      <c r="AE213" s="641"/>
      <c r="AF213" s="614"/>
      <c r="AG213" s="617" t="s">
        <v>291</v>
      </c>
      <c r="AH213" s="640" t="s">
        <v>173</v>
      </c>
      <c r="AI213" s="650">
        <f>+AJ213/AJ217</f>
        <v>4.8750000000000002E-2</v>
      </c>
      <c r="AJ213" s="2">
        <v>9477</v>
      </c>
      <c r="AK213" s="2"/>
      <c r="AL213" s="2"/>
    </row>
    <row r="214" spans="1:38" ht="12.75">
      <c r="A214" s="443" t="s">
        <v>386</v>
      </c>
      <c r="B214" s="342">
        <f>SUM(B212:B213)</f>
        <v>22000</v>
      </c>
      <c r="C214" s="179">
        <f>D214/B214</f>
        <v>30.464545454545455</v>
      </c>
      <c r="D214" s="534">
        <f>SUM(D212:D213)</f>
        <v>670220</v>
      </c>
      <c r="E214" s="535">
        <f>SUM(E212:E213)</f>
        <v>4400</v>
      </c>
      <c r="F214" s="179">
        <f>IF(E214&lt;&gt;0,G214/E214,0)</f>
        <v>35.336363636363636</v>
      </c>
      <c r="G214" s="536">
        <f>SUM(G212:G213)</f>
        <v>155480</v>
      </c>
      <c r="H214" s="342">
        <f>SUM(H212:H213)</f>
        <v>26400</v>
      </c>
      <c r="I214" s="179">
        <f>J214/H214</f>
        <v>11.14340909090909</v>
      </c>
      <c r="J214" s="536">
        <f>SUM(J212:J213)</f>
        <v>294186</v>
      </c>
      <c r="K214" s="30"/>
      <c r="AC214" s="638">
        <f t="shared" si="58"/>
        <v>138657.85203703705</v>
      </c>
      <c r="AD214" s="641"/>
      <c r="AE214" s="641"/>
      <c r="AF214" s="614"/>
      <c r="AG214" s="617" t="s">
        <v>292</v>
      </c>
      <c r="AH214" s="640" t="s">
        <v>174</v>
      </c>
      <c r="AI214" s="650">
        <f>+AJ214/AJ217</f>
        <v>0.47132716049382717</v>
      </c>
      <c r="AJ214" s="2">
        <v>91626</v>
      </c>
      <c r="AK214" s="2"/>
      <c r="AL214" s="2"/>
    </row>
    <row r="215" spans="1:38">
      <c r="A215" s="443" t="s">
        <v>380</v>
      </c>
      <c r="B215" s="342">
        <f>C204</f>
        <v>807.69230769230774</v>
      </c>
      <c r="C215" s="450"/>
      <c r="D215" s="180">
        <f>B215*C214</f>
        <v>24605.979020979023</v>
      </c>
      <c r="E215" s="535">
        <v>0</v>
      </c>
      <c r="F215" s="450"/>
      <c r="G215" s="181">
        <f>E215*F214</f>
        <v>0</v>
      </c>
      <c r="H215" s="342">
        <f>B215+E215</f>
        <v>807.69230769230774</v>
      </c>
      <c r="I215" s="450"/>
      <c r="J215" s="536">
        <f>H215*I214</f>
        <v>9000.4458041958042</v>
      </c>
      <c r="K215" s="30"/>
      <c r="Q215" s="430"/>
      <c r="R215" s="29"/>
      <c r="S215" s="29"/>
      <c r="T215" s="29"/>
      <c r="U215" s="29"/>
      <c r="V215" s="29"/>
      <c r="W215" s="29"/>
      <c r="X215" s="29"/>
      <c r="Y215" s="29"/>
      <c r="AC215" s="638">
        <f t="shared" si="58"/>
        <v>56014.890895061726</v>
      </c>
      <c r="AD215" s="641"/>
      <c r="AE215" s="641"/>
      <c r="AF215" s="614"/>
      <c r="AG215" s="617" t="s">
        <v>293</v>
      </c>
      <c r="AH215" s="640" t="s">
        <v>175</v>
      </c>
      <c r="AI215" s="650">
        <f>+AJ215/AJ217</f>
        <v>0.19040637860082305</v>
      </c>
      <c r="AJ215" s="2">
        <v>37015</v>
      </c>
      <c r="AK215" s="2"/>
      <c r="AL215" s="2"/>
    </row>
    <row r="216" spans="1:38">
      <c r="A216" s="443" t="s">
        <v>379</v>
      </c>
      <c r="B216" s="342">
        <f>B214-B215</f>
        <v>21192.307692307691</v>
      </c>
      <c r="C216" s="450"/>
      <c r="D216" s="180">
        <f>B216*C214</f>
        <v>645614.02097902098</v>
      </c>
      <c r="E216" s="535">
        <f>E214-E215</f>
        <v>4400</v>
      </c>
      <c r="F216" s="450"/>
      <c r="G216" s="536">
        <f>E216*F214</f>
        <v>155480</v>
      </c>
      <c r="H216" s="342">
        <f>H214-H215</f>
        <v>25592.307692307691</v>
      </c>
      <c r="I216" s="450"/>
      <c r="J216" s="536">
        <f>H216*I214</f>
        <v>285185.55419580417</v>
      </c>
      <c r="K216" s="30"/>
      <c r="R216" s="29"/>
      <c r="S216" s="29"/>
      <c r="T216" s="29"/>
      <c r="U216" s="29"/>
      <c r="V216" s="29"/>
      <c r="W216" s="29"/>
      <c r="X216" s="29"/>
      <c r="Y216" s="29"/>
      <c r="AC216" s="643">
        <f t="shared" si="58"/>
        <v>6747.8157098765432</v>
      </c>
      <c r="AD216" s="644"/>
      <c r="AE216" s="644"/>
      <c r="AF216" s="614"/>
      <c r="AG216" s="617" t="s">
        <v>295</v>
      </c>
      <c r="AH216" s="640" t="s">
        <v>176</v>
      </c>
      <c r="AI216" s="650">
        <f>+AJ216/AJ217</f>
        <v>2.2937242798353911E-2</v>
      </c>
      <c r="AJ216" s="83">
        <v>4459</v>
      </c>
      <c r="AK216" s="2"/>
      <c r="AL216" s="2"/>
    </row>
    <row r="217" spans="1:38" ht="12.75">
      <c r="A217" s="451"/>
      <c r="B217" s="342"/>
      <c r="C217" s="179"/>
      <c r="D217" s="176"/>
      <c r="E217" s="30"/>
      <c r="F217" s="342"/>
      <c r="G217" s="452"/>
      <c r="H217" s="176"/>
      <c r="J217" s="25"/>
      <c r="K217" s="30"/>
      <c r="Q217" s="29"/>
      <c r="R217" s="29"/>
      <c r="S217" s="29"/>
      <c r="T217" s="29"/>
      <c r="U217" s="29"/>
      <c r="V217" s="29"/>
      <c r="W217" s="29"/>
      <c r="X217" s="29"/>
      <c r="Y217" s="29"/>
      <c r="AC217" s="618">
        <f>SUM(AC211:AC216)</f>
        <v>294186</v>
      </c>
      <c r="AD217" s="612"/>
      <c r="AE217" s="649"/>
      <c r="AF217" s="642" t="s">
        <v>95</v>
      </c>
      <c r="AG217" s="645" t="s">
        <v>97</v>
      </c>
      <c r="AH217" s="646" t="s">
        <v>229</v>
      </c>
      <c r="AJ217" s="2">
        <f>SUM(AJ211:AJ216)</f>
        <v>194400</v>
      </c>
      <c r="AK217" s="2"/>
      <c r="AL217" s="2"/>
    </row>
    <row r="218" spans="1:38" ht="12.75">
      <c r="A218" s="23" t="s">
        <v>299</v>
      </c>
      <c r="E218" s="33"/>
      <c r="F218" s="1"/>
      <c r="G218" s="38"/>
      <c r="H218" s="453"/>
      <c r="J218" s="25"/>
      <c r="Q218" s="29"/>
      <c r="AE218" s="6"/>
      <c r="AK218" s="2"/>
      <c r="AL218" s="2"/>
    </row>
    <row r="219" spans="1:38" ht="12.75">
      <c r="A219" s="112" t="s">
        <v>327</v>
      </c>
      <c r="B219" s="65">
        <f>ROUND($B$216*$E81,0)+1</f>
        <v>15952</v>
      </c>
      <c r="C219" s="53"/>
      <c r="D219" s="52">
        <f>ROUND($D$216*$E81,0)+1</f>
        <v>485947</v>
      </c>
      <c r="E219" s="454">
        <f>ROUND($E$216*$E81,0)-1</f>
        <v>3311</v>
      </c>
      <c r="F219" s="1"/>
      <c r="G219" s="54">
        <f t="shared" ref="G219:G230" si="59">ROUND($G$216*$E81,0)</f>
        <v>117028</v>
      </c>
      <c r="H219" s="65">
        <f>ROUND($H$216*$E81,0)+1</f>
        <v>19264</v>
      </c>
      <c r="J219" s="54">
        <f t="shared" ref="J219:J230" si="60">ROUND($J$216*$E81,0)</f>
        <v>214656</v>
      </c>
      <c r="Q219" s="29"/>
      <c r="AA219" s="657" t="s">
        <v>95</v>
      </c>
      <c r="AB219" s="657" t="s">
        <v>94</v>
      </c>
      <c r="AE219" s="6"/>
      <c r="AF219" s="621" t="e">
        <f>$B$214/$B$29</f>
        <v>#DIV/0!</v>
      </c>
      <c r="AK219" s="2"/>
      <c r="AL219" s="2"/>
    </row>
    <row r="220" spans="1:38" ht="12.75">
      <c r="A220" s="112" t="s">
        <v>328</v>
      </c>
      <c r="B220" s="65">
        <f t="shared" ref="B220:B230" si="61">ROUND($B$216*$E82,0)</f>
        <v>0</v>
      </c>
      <c r="C220" s="53"/>
      <c r="D220" s="52">
        <f t="shared" ref="D220:D230" si="62">ROUND($D$216*$E82,0)</f>
        <v>0</v>
      </c>
      <c r="E220" s="454">
        <f t="shared" ref="E220:E230" si="63">ROUND($E$216*$E82,0)</f>
        <v>0</v>
      </c>
      <c r="F220" s="1"/>
      <c r="G220" s="54">
        <f t="shared" si="59"/>
        <v>0</v>
      </c>
      <c r="H220" s="65">
        <f t="shared" ref="H220:H230" si="64">ROUND($H$216*$E82,0)</f>
        <v>0</v>
      </c>
      <c r="J220" s="54">
        <f t="shared" si="60"/>
        <v>0</v>
      </c>
      <c r="AA220" s="657" t="s">
        <v>95</v>
      </c>
      <c r="AB220" s="657" t="s">
        <v>96</v>
      </c>
      <c r="AE220" s="6"/>
      <c r="AF220" s="621" t="e">
        <f>$E$214/$B$29</f>
        <v>#DIV/0!</v>
      </c>
      <c r="AK220" s="2"/>
      <c r="AL220" s="2"/>
    </row>
    <row r="221" spans="1:38" ht="12.75">
      <c r="A221" s="112" t="s">
        <v>329</v>
      </c>
      <c r="B221" s="65">
        <f t="shared" si="61"/>
        <v>0</v>
      </c>
      <c r="C221" s="53"/>
      <c r="D221" s="52">
        <f t="shared" si="62"/>
        <v>0</v>
      </c>
      <c r="E221" s="454">
        <f t="shared" si="63"/>
        <v>0</v>
      </c>
      <c r="F221" s="1"/>
      <c r="G221" s="54">
        <f t="shared" si="59"/>
        <v>0</v>
      </c>
      <c r="H221" s="65">
        <f t="shared" si="64"/>
        <v>0</v>
      </c>
      <c r="J221" s="54">
        <f t="shared" si="60"/>
        <v>0</v>
      </c>
      <c r="AA221" s="657" t="s">
        <v>95</v>
      </c>
      <c r="AB221" s="657" t="s">
        <v>97</v>
      </c>
      <c r="AF221" s="621" t="e">
        <f>$H$214/$B$29</f>
        <v>#DIV/0!</v>
      </c>
      <c r="AK221" s="2"/>
      <c r="AL221" s="2"/>
    </row>
    <row r="222" spans="1:38" ht="12.75">
      <c r="A222" s="112" t="s">
        <v>330</v>
      </c>
      <c r="B222" s="65">
        <f t="shared" si="61"/>
        <v>0</v>
      </c>
      <c r="C222" s="53"/>
      <c r="D222" s="52">
        <f t="shared" si="62"/>
        <v>0</v>
      </c>
      <c r="E222" s="454">
        <f t="shared" si="63"/>
        <v>0</v>
      </c>
      <c r="F222" s="1"/>
      <c r="G222" s="54">
        <f t="shared" si="59"/>
        <v>0</v>
      </c>
      <c r="H222" s="65">
        <f t="shared" si="64"/>
        <v>0</v>
      </c>
      <c r="J222" s="54">
        <f t="shared" si="60"/>
        <v>0</v>
      </c>
      <c r="AK222" s="2"/>
      <c r="AL222" s="2"/>
    </row>
    <row r="223" spans="1:38" ht="12.75">
      <c r="A223" s="112" t="s">
        <v>331</v>
      </c>
      <c r="B223" s="65">
        <f t="shared" si="61"/>
        <v>0</v>
      </c>
      <c r="C223" s="53"/>
      <c r="D223" s="52">
        <f t="shared" si="62"/>
        <v>0</v>
      </c>
      <c r="E223" s="454">
        <f t="shared" si="63"/>
        <v>0</v>
      </c>
      <c r="F223" s="1"/>
      <c r="G223" s="54">
        <f t="shared" si="59"/>
        <v>0</v>
      </c>
      <c r="H223" s="65">
        <f t="shared" si="64"/>
        <v>0</v>
      </c>
      <c r="J223" s="54">
        <f t="shared" si="60"/>
        <v>0</v>
      </c>
      <c r="AK223" s="2"/>
      <c r="AL223" s="2"/>
    </row>
    <row r="224" spans="1:38" ht="12.75">
      <c r="A224" s="112" t="s">
        <v>332</v>
      </c>
      <c r="B224" s="65">
        <f t="shared" si="61"/>
        <v>0</v>
      </c>
      <c r="C224" s="53"/>
      <c r="D224" s="52">
        <f t="shared" si="62"/>
        <v>0</v>
      </c>
      <c r="E224" s="454">
        <f t="shared" si="63"/>
        <v>0</v>
      </c>
      <c r="F224" s="1"/>
      <c r="G224" s="54">
        <f t="shared" si="59"/>
        <v>0</v>
      </c>
      <c r="H224" s="65">
        <f t="shared" si="64"/>
        <v>0</v>
      </c>
      <c r="J224" s="54">
        <f t="shared" si="60"/>
        <v>0</v>
      </c>
      <c r="AK224" s="2"/>
      <c r="AL224" s="2"/>
    </row>
    <row r="225" spans="1:38" ht="12.75">
      <c r="A225" s="112" t="s">
        <v>322</v>
      </c>
      <c r="B225" s="65">
        <f t="shared" si="61"/>
        <v>3342</v>
      </c>
      <c r="C225" s="53"/>
      <c r="D225" s="52">
        <f t="shared" si="62"/>
        <v>101817</v>
      </c>
      <c r="E225" s="454">
        <f t="shared" si="63"/>
        <v>694</v>
      </c>
      <c r="F225" s="1"/>
      <c r="G225" s="54">
        <f t="shared" si="59"/>
        <v>24520</v>
      </c>
      <c r="H225" s="65">
        <f t="shared" si="64"/>
        <v>4036</v>
      </c>
      <c r="J225" s="54">
        <f t="shared" si="60"/>
        <v>44975</v>
      </c>
      <c r="AE225" s="6"/>
      <c r="AK225" s="2"/>
      <c r="AL225" s="2"/>
    </row>
    <row r="226" spans="1:38" ht="12.75">
      <c r="A226" s="112" t="s">
        <v>333</v>
      </c>
      <c r="B226" s="65">
        <f t="shared" si="61"/>
        <v>1671</v>
      </c>
      <c r="C226" s="53"/>
      <c r="D226" s="52">
        <f t="shared" si="62"/>
        <v>50909</v>
      </c>
      <c r="E226" s="454">
        <f t="shared" si="63"/>
        <v>347</v>
      </c>
      <c r="F226" s="1"/>
      <c r="G226" s="54">
        <f t="shared" si="59"/>
        <v>12260</v>
      </c>
      <c r="H226" s="65">
        <f t="shared" si="64"/>
        <v>2018</v>
      </c>
      <c r="J226" s="54">
        <f t="shared" si="60"/>
        <v>22488</v>
      </c>
      <c r="AE226" s="6"/>
      <c r="AK226" s="2"/>
      <c r="AL226" s="2"/>
    </row>
    <row r="227" spans="1:38" ht="12.75">
      <c r="A227" s="112" t="s">
        <v>334</v>
      </c>
      <c r="B227" s="65">
        <f t="shared" si="61"/>
        <v>0</v>
      </c>
      <c r="C227" s="53"/>
      <c r="D227" s="52">
        <f t="shared" si="62"/>
        <v>0</v>
      </c>
      <c r="E227" s="454">
        <f t="shared" si="63"/>
        <v>0</v>
      </c>
      <c r="F227" s="1"/>
      <c r="G227" s="54">
        <f t="shared" si="59"/>
        <v>0</v>
      </c>
      <c r="H227" s="65">
        <f t="shared" si="64"/>
        <v>0</v>
      </c>
      <c r="J227" s="54">
        <f t="shared" si="60"/>
        <v>0</v>
      </c>
      <c r="AE227" s="6"/>
      <c r="AK227" s="2"/>
      <c r="AL227" s="2"/>
    </row>
    <row r="228" spans="1:38" ht="12.75">
      <c r="A228" s="112" t="s">
        <v>335</v>
      </c>
      <c r="B228" s="65">
        <f t="shared" si="61"/>
        <v>0</v>
      </c>
      <c r="C228" s="53"/>
      <c r="D228" s="52">
        <f t="shared" si="62"/>
        <v>0</v>
      </c>
      <c r="E228" s="454">
        <f t="shared" si="63"/>
        <v>0</v>
      </c>
      <c r="F228" s="1"/>
      <c r="G228" s="54">
        <f t="shared" si="59"/>
        <v>0</v>
      </c>
      <c r="H228" s="65">
        <f t="shared" si="64"/>
        <v>0</v>
      </c>
      <c r="J228" s="54">
        <f t="shared" si="60"/>
        <v>0</v>
      </c>
      <c r="AE228" s="6"/>
      <c r="AK228" s="2"/>
      <c r="AL228" s="2"/>
    </row>
    <row r="229" spans="1:38" ht="12.75">
      <c r="A229" s="112" t="s">
        <v>326</v>
      </c>
      <c r="B229" s="65">
        <f t="shared" si="61"/>
        <v>0</v>
      </c>
      <c r="C229" s="53"/>
      <c r="D229" s="52">
        <f t="shared" si="62"/>
        <v>0</v>
      </c>
      <c r="E229" s="454">
        <f t="shared" si="63"/>
        <v>0</v>
      </c>
      <c r="F229" s="1"/>
      <c r="G229" s="54">
        <f t="shared" si="59"/>
        <v>0</v>
      </c>
      <c r="H229" s="65">
        <f t="shared" si="64"/>
        <v>0</v>
      </c>
      <c r="J229" s="54">
        <f t="shared" si="60"/>
        <v>0</v>
      </c>
      <c r="AE229" s="6"/>
      <c r="AK229" s="2"/>
      <c r="AL229" s="2"/>
    </row>
    <row r="230" spans="1:38" ht="12.75">
      <c r="A230" s="112" t="s">
        <v>400</v>
      </c>
      <c r="B230" s="65">
        <f t="shared" si="61"/>
        <v>228</v>
      </c>
      <c r="C230" s="53"/>
      <c r="D230" s="52">
        <f t="shared" si="62"/>
        <v>6942</v>
      </c>
      <c r="E230" s="454">
        <f t="shared" si="63"/>
        <v>47</v>
      </c>
      <c r="F230" s="1"/>
      <c r="G230" s="54">
        <f t="shared" si="59"/>
        <v>1672</v>
      </c>
      <c r="H230" s="65">
        <f t="shared" si="64"/>
        <v>275</v>
      </c>
      <c r="J230" s="54">
        <f t="shared" si="60"/>
        <v>3067</v>
      </c>
      <c r="AE230" s="6"/>
      <c r="AK230" s="2"/>
      <c r="AL230" s="2"/>
    </row>
    <row r="231" spans="1:38">
      <c r="A231" s="112" t="s">
        <v>376</v>
      </c>
      <c r="B231" s="356">
        <f>B215</f>
        <v>807.69230769230774</v>
      </c>
      <c r="C231" s="53"/>
      <c r="D231" s="455">
        <f>D215</f>
        <v>24605.979020979023</v>
      </c>
      <c r="E231" s="409">
        <f>E215</f>
        <v>0</v>
      </c>
      <c r="F231" s="1"/>
      <c r="G231" s="456">
        <f>G215</f>
        <v>0</v>
      </c>
      <c r="H231" s="356">
        <f>H215</f>
        <v>807.69230769230774</v>
      </c>
      <c r="J231" s="456">
        <f>J215</f>
        <v>9000.4458041958042</v>
      </c>
      <c r="AE231" s="6"/>
      <c r="AK231" s="2"/>
      <c r="AL231" s="2"/>
    </row>
    <row r="232" spans="1:38">
      <c r="A232" s="353" t="s">
        <v>229</v>
      </c>
      <c r="B232" s="457">
        <f>SUM(B219:B231)</f>
        <v>22000.692307692309</v>
      </c>
      <c r="C232" s="53"/>
      <c r="D232" s="458">
        <f>SUM(D219:D231)</f>
        <v>670220.97902097902</v>
      </c>
      <c r="E232" s="459">
        <f>SUM(E219:E231)</f>
        <v>4399</v>
      </c>
      <c r="F232" s="1"/>
      <c r="G232" s="460">
        <f>SUM(G219:G231)</f>
        <v>155480</v>
      </c>
      <c r="H232" s="457">
        <f>SUM(H219:H231)</f>
        <v>26400.692307692309</v>
      </c>
      <c r="J232" s="460">
        <f>SUM(J219:J231)</f>
        <v>294186.44580419583</v>
      </c>
      <c r="AE232" s="6"/>
      <c r="AK232" s="2"/>
      <c r="AL232" s="2"/>
    </row>
    <row r="233" spans="1:38" ht="12.75">
      <c r="A233" s="84"/>
      <c r="B233" s="85"/>
      <c r="C233" s="85"/>
      <c r="D233" s="85"/>
      <c r="E233" s="85"/>
      <c r="F233" s="85"/>
      <c r="G233" s="85"/>
      <c r="H233" s="85"/>
      <c r="I233" s="85"/>
      <c r="J233" s="87"/>
      <c r="AE233" s="6"/>
      <c r="AK233" s="2"/>
      <c r="AL233" s="2"/>
    </row>
    <row r="234" spans="1:38" ht="12.75">
      <c r="A234" s="1"/>
      <c r="B234" s="1"/>
      <c r="C234" s="1"/>
      <c r="D234" s="1"/>
      <c r="E234" s="1"/>
      <c r="F234" s="1"/>
      <c r="G234" s="1"/>
      <c r="H234" s="1"/>
      <c r="AE234" s="6"/>
      <c r="AK234" s="2"/>
      <c r="AL234" s="2"/>
    </row>
    <row r="235" spans="1:38" ht="12.75">
      <c r="A235" s="1"/>
      <c r="B235" s="1"/>
      <c r="C235" s="1"/>
      <c r="D235" s="1"/>
      <c r="E235" s="1"/>
      <c r="F235" s="1"/>
      <c r="G235" s="1"/>
      <c r="H235" s="1"/>
      <c r="AE235" s="6"/>
      <c r="AK235" s="2"/>
      <c r="AL235" s="2"/>
    </row>
    <row r="236" spans="1:38" ht="12.75">
      <c r="A236" s="1"/>
      <c r="B236" s="1"/>
      <c r="C236" s="1"/>
      <c r="D236" s="1"/>
      <c r="E236" s="1"/>
      <c r="F236" s="1"/>
      <c r="G236" s="1"/>
      <c r="H236" s="1"/>
      <c r="AE236" s="6"/>
      <c r="AK236" s="2"/>
      <c r="AL236" s="2"/>
    </row>
    <row r="237" spans="1:38" ht="12.75">
      <c r="A237" s="385" t="s">
        <v>301</v>
      </c>
      <c r="B237" s="406"/>
      <c r="C237" s="406"/>
      <c r="D237" s="406"/>
      <c r="E237" s="406"/>
      <c r="F237" s="406"/>
      <c r="G237" s="406"/>
      <c r="H237" s="407"/>
      <c r="AE237" s="6"/>
      <c r="AK237" s="2"/>
      <c r="AL237" s="2"/>
    </row>
    <row r="238" spans="1:38">
      <c r="A238" s="33"/>
      <c r="C238" s="345" t="s">
        <v>302</v>
      </c>
      <c r="H238" s="25"/>
      <c r="AE238" s="6"/>
      <c r="AK238" s="2"/>
      <c r="AL238" s="2"/>
    </row>
    <row r="239" spans="1:38" ht="12.75">
      <c r="A239" s="33"/>
      <c r="B239" s="2" t="s">
        <v>303</v>
      </c>
      <c r="C239" s="268">
        <f>B93</f>
        <v>27900</v>
      </c>
      <c r="E239" s="844" t="s">
        <v>304</v>
      </c>
      <c r="F239" s="844"/>
      <c r="G239" s="462">
        <f>C239/C240</f>
        <v>6.9750000000000006E-2</v>
      </c>
      <c r="H239" s="25"/>
      <c r="AK239" s="2"/>
      <c r="AL239" s="2"/>
    </row>
    <row r="240" spans="1:38">
      <c r="A240" s="33"/>
      <c r="B240" s="2" t="s">
        <v>305</v>
      </c>
      <c r="C240" s="268">
        <v>400000</v>
      </c>
      <c r="H240" s="45"/>
      <c r="AJ240" s="398" t="s">
        <v>435</v>
      </c>
      <c r="AK240" s="2"/>
      <c r="AL240" s="2"/>
    </row>
    <row r="241" spans="1:38" ht="12.75">
      <c r="A241" s="33"/>
      <c r="B241" s="1"/>
      <c r="C241" s="1"/>
      <c r="D241" s="463"/>
      <c r="E241" s="1"/>
      <c r="F241" s="65"/>
      <c r="G241" s="65"/>
      <c r="H241" s="464"/>
      <c r="AC241" s="631">
        <f>+AC21*AI241</f>
        <v>484802.69181621197</v>
      </c>
      <c r="AD241" s="624"/>
      <c r="AE241" s="624"/>
      <c r="AF241" s="612"/>
      <c r="AG241" s="617" t="s">
        <v>421</v>
      </c>
      <c r="AH241" s="640" t="s">
        <v>164</v>
      </c>
      <c r="AI241" s="653">
        <f>+AJ241/AJ243</f>
        <v>0.8612284015778654</v>
      </c>
      <c r="AJ241" s="2">
        <v>372030</v>
      </c>
      <c r="AK241" s="2"/>
      <c r="AL241" s="2"/>
    </row>
    <row r="242" spans="1:38" ht="36.6" customHeight="1">
      <c r="A242" s="30"/>
      <c r="B242" s="465" t="s">
        <v>135</v>
      </c>
      <c r="C242" s="465" t="s">
        <v>136</v>
      </c>
      <c r="D242" s="465" t="s">
        <v>307</v>
      </c>
      <c r="E242" s="465" t="s">
        <v>308</v>
      </c>
      <c r="F242" s="285"/>
      <c r="G242" s="285"/>
      <c r="H242" s="38"/>
      <c r="AC242" s="643">
        <f>$AC$21*$AI242</f>
        <v>78117.308183787987</v>
      </c>
      <c r="AD242" s="624"/>
      <c r="AE242" s="624"/>
      <c r="AF242" s="639"/>
      <c r="AG242" s="617" t="s">
        <v>300</v>
      </c>
      <c r="AH242" s="640">
        <v>630040</v>
      </c>
      <c r="AI242" s="652">
        <f>+AJ242/AJ243</f>
        <v>0.13877159842213457</v>
      </c>
      <c r="AJ242" s="83">
        <v>59946</v>
      </c>
      <c r="AK242" s="2"/>
      <c r="AL242" s="2"/>
    </row>
    <row r="243" spans="1:38">
      <c r="A243" s="30" t="s">
        <v>17</v>
      </c>
      <c r="B243" s="466">
        <f>C243/12</f>
        <v>12910</v>
      </c>
      <c r="C243" s="401">
        <f>12910*12</f>
        <v>154920</v>
      </c>
      <c r="D243" s="65">
        <f>$B$64</f>
        <v>27900</v>
      </c>
      <c r="E243" s="282">
        <f>C243/D243/1000</f>
        <v>5.552688172043011E-3</v>
      </c>
      <c r="F243" s="282"/>
      <c r="G243" s="282"/>
      <c r="H243" s="38"/>
      <c r="AC243" s="651">
        <f>+AC242+AC241</f>
        <v>562920</v>
      </c>
      <c r="AD243" s="612"/>
      <c r="AE243" s="612"/>
      <c r="AF243" s="642" t="s">
        <v>91</v>
      </c>
      <c r="AG243" s="645" t="s">
        <v>99</v>
      </c>
      <c r="AH243" s="646" t="s">
        <v>229</v>
      </c>
      <c r="AI243" s="654">
        <f>+AI241+AI242</f>
        <v>1</v>
      </c>
      <c r="AJ243" s="2">
        <f>+AJ241+AJ242</f>
        <v>431976</v>
      </c>
      <c r="AK243" s="2"/>
      <c r="AL243" s="2"/>
    </row>
    <row r="244" spans="1:38">
      <c r="A244" s="30" t="s">
        <v>19</v>
      </c>
      <c r="B244" s="466">
        <f>C244/12</f>
        <v>9340</v>
      </c>
      <c r="C244" s="401">
        <f>9340*12</f>
        <v>112080</v>
      </c>
      <c r="D244" s="65">
        <f>$B$64</f>
        <v>27900</v>
      </c>
      <c r="E244" s="282">
        <f>C244/D244/1000</f>
        <v>4.0172043010752688E-3</v>
      </c>
      <c r="F244" s="282"/>
      <c r="G244" s="282"/>
      <c r="H244" s="38"/>
      <c r="AK244" s="2"/>
      <c r="AL244" s="2"/>
    </row>
    <row r="245" spans="1:38" ht="16.5">
      <c r="A245" s="30" t="s">
        <v>18</v>
      </c>
      <c r="B245" s="466">
        <f>+C245/12</f>
        <v>46910</v>
      </c>
      <c r="C245" s="401">
        <f>46910*12</f>
        <v>562920</v>
      </c>
      <c r="D245" s="65">
        <f>$B$64</f>
        <v>27900</v>
      </c>
      <c r="E245" s="468">
        <f t="shared" ref="E245" si="65">C245/D245/1000</f>
        <v>2.0176344086021505E-2</v>
      </c>
      <c r="F245" s="282"/>
      <c r="G245" s="282"/>
      <c r="H245" s="38"/>
      <c r="AK245" s="2"/>
      <c r="AL245" s="2"/>
    </row>
    <row r="246" spans="1:38">
      <c r="A246" s="30" t="s">
        <v>72</v>
      </c>
      <c r="B246" s="63"/>
      <c r="C246" s="1"/>
      <c r="D246" s="63"/>
      <c r="E246" s="469">
        <f>SUM(E243:E245)</f>
        <v>2.9746236559139785E-2</v>
      </c>
      <c r="F246" s="282"/>
      <c r="G246" s="282"/>
      <c r="H246" s="38"/>
      <c r="AK246" s="2"/>
      <c r="AL246" s="2"/>
    </row>
    <row r="247" spans="1:38" ht="12.75">
      <c r="A247" s="59"/>
      <c r="B247" s="41"/>
      <c r="C247" s="41"/>
      <c r="D247" s="41"/>
      <c r="E247" s="41"/>
      <c r="F247" s="41"/>
      <c r="G247" s="41"/>
      <c r="H247" s="42"/>
      <c r="AK247" s="2"/>
      <c r="AL247" s="2"/>
    </row>
    <row r="248" spans="1:38">
      <c r="AJ248" s="398" t="s">
        <v>436</v>
      </c>
      <c r="AK248" s="2"/>
      <c r="AL248" s="2"/>
    </row>
    <row r="249" spans="1:38">
      <c r="B249" s="2" t="s">
        <v>7</v>
      </c>
      <c r="AC249" s="638">
        <f t="shared" ref="AC249:AC255" si="66">ROUND($AC$20*$AI249,0)</f>
        <v>187</v>
      </c>
      <c r="AD249" s="624"/>
      <c r="AE249" s="624"/>
      <c r="AF249" s="639"/>
      <c r="AG249" s="617" t="s">
        <v>306</v>
      </c>
      <c r="AH249" s="640" t="s">
        <v>166</v>
      </c>
      <c r="AI249" s="652">
        <f>+AJ249/AJ256</f>
        <v>1.6668188875696411E-3</v>
      </c>
      <c r="AJ249" s="2">
        <v>146</v>
      </c>
      <c r="AK249" s="2"/>
      <c r="AL249" s="2"/>
    </row>
    <row r="250" spans="1:38">
      <c r="B250" s="2" t="s">
        <v>7</v>
      </c>
      <c r="AC250" s="638">
        <f t="shared" si="66"/>
        <v>14126</v>
      </c>
      <c r="AD250" s="624"/>
      <c r="AE250" s="624"/>
      <c r="AF250" s="639"/>
      <c r="AG250" s="617" t="s">
        <v>309</v>
      </c>
      <c r="AH250" s="640">
        <v>640010</v>
      </c>
      <c r="AI250" s="652">
        <f>+AJ250/AJ256</f>
        <v>0.12603890766280026</v>
      </c>
      <c r="AJ250" s="2">
        <v>11040</v>
      </c>
      <c r="AK250" s="2"/>
      <c r="AL250" s="2"/>
    </row>
    <row r="251" spans="1:38">
      <c r="B251" s="2" t="s">
        <v>7</v>
      </c>
      <c r="AC251" s="638">
        <f t="shared" si="66"/>
        <v>97222</v>
      </c>
      <c r="AD251" s="624"/>
      <c r="AE251" s="624"/>
      <c r="AF251" s="639"/>
      <c r="AG251" s="617" t="s">
        <v>311</v>
      </c>
      <c r="AH251" s="640">
        <v>640020</v>
      </c>
      <c r="AI251" s="652">
        <f>+AJ251/AJ256</f>
        <v>0.86743081559959812</v>
      </c>
      <c r="AJ251" s="2">
        <v>75980</v>
      </c>
      <c r="AK251" s="2"/>
      <c r="AL251" s="2"/>
    </row>
    <row r="252" spans="1:38">
      <c r="B252" s="2" t="s">
        <v>7</v>
      </c>
      <c r="H252" s="262"/>
      <c r="AC252" s="638">
        <f t="shared" si="66"/>
        <v>209</v>
      </c>
      <c r="AD252" s="624"/>
      <c r="AE252" s="624"/>
      <c r="AF252" s="639"/>
      <c r="AG252" s="617" t="s">
        <v>419</v>
      </c>
      <c r="AH252" s="640" t="s">
        <v>420</v>
      </c>
      <c r="AI252" s="652">
        <f>+AJ252/AJ256</f>
        <v>1.8609005388619964E-3</v>
      </c>
      <c r="AJ252" s="2">
        <v>163</v>
      </c>
      <c r="AK252" s="2"/>
      <c r="AL252" s="2"/>
    </row>
    <row r="253" spans="1:38">
      <c r="B253" s="2" t="s">
        <v>7</v>
      </c>
      <c r="H253" s="271"/>
      <c r="AC253" s="638">
        <f t="shared" si="66"/>
        <v>0</v>
      </c>
      <c r="AD253" s="624"/>
      <c r="AE253" s="624"/>
      <c r="AF253" s="639"/>
      <c r="AG253" s="617" t="s">
        <v>312</v>
      </c>
      <c r="AH253" s="640" t="s">
        <v>313</v>
      </c>
      <c r="AI253" s="652">
        <f>+AJ253/AJ256</f>
        <v>0</v>
      </c>
      <c r="AJ253" s="2">
        <v>0</v>
      </c>
      <c r="AK253" s="2"/>
      <c r="AL253" s="2"/>
    </row>
    <row r="254" spans="1:38">
      <c r="A254" s="1"/>
      <c r="B254" s="1"/>
      <c r="C254" s="1"/>
      <c r="D254" s="470"/>
      <c r="E254" s="1"/>
      <c r="F254" s="1"/>
      <c r="G254" s="1"/>
      <c r="H254" s="39"/>
      <c r="AC254" s="638">
        <f t="shared" si="66"/>
        <v>163</v>
      </c>
      <c r="AD254" s="624"/>
      <c r="AE254" s="624"/>
      <c r="AF254" s="639"/>
      <c r="AG254" s="617" t="s">
        <v>314</v>
      </c>
      <c r="AH254" s="640">
        <v>640070</v>
      </c>
      <c r="AI254" s="652">
        <f>+AJ254/AJ256</f>
        <v>1.4499041008311261E-3</v>
      </c>
      <c r="AJ254" s="2">
        <v>127</v>
      </c>
      <c r="AK254" s="2"/>
      <c r="AL254" s="2"/>
    </row>
    <row r="255" spans="1:38" ht="16.5">
      <c r="A255" s="1"/>
      <c r="B255" s="1"/>
      <c r="C255" s="1"/>
      <c r="D255" s="1"/>
      <c r="E255" s="1"/>
      <c r="F255" s="1"/>
      <c r="G255" s="1"/>
      <c r="H255" s="1"/>
      <c r="AC255" s="643">
        <f t="shared" si="66"/>
        <v>174</v>
      </c>
      <c r="AD255" s="624"/>
      <c r="AE255" s="624"/>
      <c r="AF255" s="639"/>
      <c r="AG255" s="617" t="s">
        <v>315</v>
      </c>
      <c r="AH255" s="640">
        <v>640080</v>
      </c>
      <c r="AI255" s="652">
        <f>+AJ255/AJ256</f>
        <v>1.5526532103388438E-3</v>
      </c>
      <c r="AJ255" s="83">
        <v>136</v>
      </c>
      <c r="AK255" s="2"/>
      <c r="AL255" s="2"/>
    </row>
    <row r="256" spans="1:38">
      <c r="A256" s="1"/>
      <c r="B256" s="845"/>
      <c r="C256" s="845"/>
      <c r="D256" s="845"/>
      <c r="E256" s="1"/>
      <c r="F256" s="845"/>
      <c r="G256" s="845"/>
      <c r="H256" s="845"/>
      <c r="AC256" s="651">
        <f>SUM(AC249:AC255)</f>
        <v>112081</v>
      </c>
      <c r="AD256" s="612"/>
      <c r="AE256" s="612"/>
      <c r="AF256" s="642" t="s">
        <v>91</v>
      </c>
      <c r="AG256" s="645" t="s">
        <v>100</v>
      </c>
      <c r="AH256" s="646" t="s">
        <v>229</v>
      </c>
      <c r="AI256" s="652">
        <f>SUM(AI249:AI255)</f>
        <v>1</v>
      </c>
      <c r="AJ256" s="2">
        <f>SUM(AJ249:AJ255)</f>
        <v>87592</v>
      </c>
      <c r="AK256" s="2"/>
      <c r="AL256" s="2"/>
    </row>
    <row r="257" spans="1:38" ht="12.75">
      <c r="A257" s="1"/>
      <c r="B257" s="471"/>
      <c r="C257" s="471"/>
      <c r="D257" s="472"/>
      <c r="E257" s="5"/>
      <c r="F257" s="471"/>
      <c r="G257" s="471"/>
      <c r="H257" s="472"/>
      <c r="AK257" s="2"/>
      <c r="AL257" s="2"/>
    </row>
    <row r="258" spans="1:38" ht="12.75">
      <c r="A258" s="1"/>
      <c r="B258" s="1"/>
      <c r="C258" s="473"/>
      <c r="D258" s="474"/>
      <c r="E258" s="1"/>
      <c r="F258" s="1"/>
      <c r="G258" s="473"/>
      <c r="H258" s="474"/>
      <c r="AC258" s="2" t="s">
        <v>7</v>
      </c>
      <c r="AK258" s="2"/>
      <c r="AL258" s="2"/>
    </row>
    <row r="259" spans="1:38" ht="12.75">
      <c r="A259" s="1"/>
      <c r="B259" s="1"/>
      <c r="C259" s="473"/>
      <c r="D259" s="463"/>
      <c r="E259" s="1"/>
      <c r="F259" s="1"/>
      <c r="G259" s="473"/>
      <c r="H259" s="463"/>
      <c r="AC259" s="2" t="s">
        <v>7</v>
      </c>
      <c r="AK259" s="2"/>
      <c r="AL259" s="2"/>
    </row>
    <row r="260" spans="1:38" ht="12.75">
      <c r="A260" s="1"/>
      <c r="B260" s="1"/>
      <c r="C260" s="475"/>
      <c r="D260" s="463"/>
      <c r="E260" s="1"/>
      <c r="F260" s="1"/>
      <c r="G260" s="475"/>
      <c r="H260" s="463"/>
      <c r="AK260" s="2"/>
      <c r="AL260" s="2"/>
    </row>
    <row r="261" spans="1:38" ht="12.75">
      <c r="A261" s="1"/>
      <c r="B261" s="1"/>
      <c r="C261" s="476"/>
      <c r="D261" s="463"/>
      <c r="E261" s="1"/>
      <c r="F261" s="1"/>
      <c r="G261" s="476"/>
      <c r="H261" s="463"/>
      <c r="AK261" s="2"/>
      <c r="AL261" s="2"/>
    </row>
    <row r="262" spans="1:38" ht="12.75">
      <c r="A262" s="1"/>
      <c r="B262" s="1"/>
      <c r="C262" s="477"/>
      <c r="D262" s="463"/>
      <c r="E262" s="1"/>
      <c r="F262" s="1"/>
      <c r="G262" s="477"/>
      <c r="H262" s="463"/>
      <c r="AK262" s="2"/>
      <c r="AL262" s="2"/>
    </row>
    <row r="263" spans="1:38" ht="12.75">
      <c r="A263" s="1"/>
      <c r="B263" s="1"/>
      <c r="C263" s="475"/>
      <c r="D263" s="463"/>
      <c r="E263" s="1"/>
      <c r="F263" s="1"/>
      <c r="G263" s="475"/>
      <c r="H263" s="463"/>
      <c r="AK263" s="2"/>
      <c r="AL263" s="2"/>
    </row>
    <row r="264" spans="1:38">
      <c r="A264" s="1"/>
      <c r="B264" s="1"/>
      <c r="C264" s="478"/>
      <c r="D264" s="479"/>
      <c r="E264" s="1"/>
      <c r="F264" s="1"/>
      <c r="G264" s="478"/>
      <c r="H264" s="479"/>
      <c r="AK264" s="2"/>
      <c r="AL264" s="2"/>
    </row>
    <row r="265" spans="1:38">
      <c r="A265" s="1"/>
      <c r="B265" s="1"/>
      <c r="C265" s="1"/>
      <c r="D265" s="480"/>
      <c r="E265" s="1"/>
      <c r="F265" s="1"/>
      <c r="G265" s="1"/>
      <c r="H265" s="480"/>
      <c r="AK265" s="2"/>
      <c r="AL265" s="2"/>
    </row>
    <row r="266" spans="1:38" ht="12.75">
      <c r="A266" s="1"/>
      <c r="B266" s="1"/>
      <c r="C266" s="1"/>
      <c r="D266" s="1"/>
      <c r="E266" s="1"/>
      <c r="F266" s="1"/>
      <c r="G266" s="1"/>
      <c r="H266" s="1"/>
      <c r="AK266" s="2"/>
      <c r="AL266" s="2"/>
    </row>
    <row r="267" spans="1:38" ht="12.75">
      <c r="A267" s="1"/>
      <c r="B267" s="1"/>
      <c r="C267" s="1"/>
      <c r="D267" s="1"/>
      <c r="E267" s="1"/>
      <c r="F267" s="1"/>
      <c r="G267" s="1"/>
      <c r="H267" s="1"/>
      <c r="AK267" s="2"/>
      <c r="AL267" s="2"/>
    </row>
    <row r="268" spans="1:38" ht="12.75">
      <c r="A268" s="1"/>
      <c r="B268" s="1"/>
      <c r="C268" s="1"/>
      <c r="D268" s="1"/>
      <c r="E268" s="1"/>
      <c r="F268" s="1"/>
      <c r="G268" s="1"/>
      <c r="H268" s="1"/>
      <c r="AK268" s="2"/>
      <c r="AL268" s="2"/>
    </row>
    <row r="269" spans="1:38" ht="12.75">
      <c r="A269" s="1"/>
      <c r="B269" s="1"/>
      <c r="C269" s="1"/>
      <c r="D269" s="1"/>
      <c r="E269" s="1"/>
      <c r="F269" s="1"/>
      <c r="G269" s="1"/>
      <c r="H269" s="1"/>
      <c r="AK269" s="2"/>
      <c r="AL269" s="2"/>
    </row>
    <row r="270" spans="1:38">
      <c r="A270" s="1"/>
      <c r="B270" s="481"/>
      <c r="C270" s="481"/>
      <c r="D270" s="1"/>
      <c r="E270" s="1"/>
      <c r="F270" s="1"/>
      <c r="G270" s="1"/>
      <c r="H270" s="1"/>
      <c r="AK270" s="2"/>
      <c r="AL270" s="2"/>
    </row>
    <row r="271" spans="1:38" ht="12.75">
      <c r="A271" s="1"/>
      <c r="B271" s="70"/>
      <c r="C271" s="70"/>
      <c r="D271" s="1"/>
      <c r="E271" s="1"/>
      <c r="F271" s="1"/>
      <c r="G271" s="1"/>
      <c r="H271" s="1"/>
      <c r="AK271" s="2"/>
      <c r="AL271" s="2"/>
    </row>
    <row r="272" spans="1:38" ht="12.75">
      <c r="A272" s="1"/>
      <c r="B272" s="70"/>
      <c r="C272" s="482"/>
      <c r="D272" s="1"/>
      <c r="E272" s="1"/>
      <c r="F272" s="1"/>
      <c r="G272" s="1"/>
      <c r="H272" s="1"/>
      <c r="AK272" s="2"/>
      <c r="AL272" s="2"/>
    </row>
    <row r="273" spans="1:38" ht="12.75">
      <c r="A273" s="1"/>
      <c r="B273" s="70"/>
      <c r="C273" s="70"/>
      <c r="D273" s="1"/>
      <c r="E273" s="1"/>
      <c r="F273" s="1"/>
      <c r="G273" s="1"/>
      <c r="H273" s="1"/>
      <c r="AK273" s="2"/>
      <c r="AL273" s="2"/>
    </row>
    <row r="274" spans="1:38" ht="12.75">
      <c r="A274" s="1"/>
      <c r="B274" s="70"/>
      <c r="C274" s="70"/>
      <c r="D274" s="1"/>
      <c r="E274" s="1"/>
      <c r="F274" s="1"/>
      <c r="G274" s="1"/>
      <c r="H274" s="1"/>
      <c r="AK274" s="2"/>
      <c r="AL274" s="2"/>
    </row>
    <row r="275" spans="1:38" ht="12.75">
      <c r="AK275" s="2"/>
      <c r="AL275" s="2"/>
    </row>
    <row r="276" spans="1:38" ht="12.75">
      <c r="AK276" s="2"/>
      <c r="AL276" s="2"/>
    </row>
    <row r="277" spans="1:38" ht="12.75">
      <c r="AK277" s="2"/>
      <c r="AL277" s="2"/>
    </row>
    <row r="278" spans="1:38" ht="12.75">
      <c r="AK278" s="2"/>
      <c r="AL278" s="2"/>
    </row>
    <row r="279" spans="1:38" ht="12.75">
      <c r="AK279" s="2"/>
      <c r="AL279" s="2"/>
    </row>
    <row r="280" spans="1:38" ht="12.75">
      <c r="AK280" s="2"/>
      <c r="AL280" s="2"/>
    </row>
  </sheetData>
  <sheetProtection formatCells="0" formatColumns="0" formatRows="0"/>
  <mergeCells count="66">
    <mergeCell ref="Q3:S3"/>
    <mergeCell ref="B3:D3"/>
    <mergeCell ref="E3:G3"/>
    <mergeCell ref="H3:J3"/>
    <mergeCell ref="K3:M3"/>
    <mergeCell ref="N3:P3"/>
    <mergeCell ref="AA23:AB23"/>
    <mergeCell ref="AA24:AB24"/>
    <mergeCell ref="AA27:AB27"/>
    <mergeCell ref="AA28:AB28"/>
    <mergeCell ref="AA29:AB29"/>
    <mergeCell ref="Q34:S34"/>
    <mergeCell ref="B68:D68"/>
    <mergeCell ref="D98:E98"/>
    <mergeCell ref="F98:G98"/>
    <mergeCell ref="H98:I98"/>
    <mergeCell ref="J98:K98"/>
    <mergeCell ref="L98:M98"/>
    <mergeCell ref="N98:O98"/>
    <mergeCell ref="B34:D34"/>
    <mergeCell ref="E34:G34"/>
    <mergeCell ref="H34:J34"/>
    <mergeCell ref="K34:M34"/>
    <mergeCell ref="N34:P34"/>
    <mergeCell ref="N161:O161"/>
    <mergeCell ref="D127:E127"/>
    <mergeCell ref="F127:G127"/>
    <mergeCell ref="H127:I127"/>
    <mergeCell ref="J127:K127"/>
    <mergeCell ref="L127:M127"/>
    <mergeCell ref="N127:O127"/>
    <mergeCell ref="D161:E161"/>
    <mergeCell ref="F161:G161"/>
    <mergeCell ref="H161:I161"/>
    <mergeCell ref="J161:K161"/>
    <mergeCell ref="L161:M161"/>
    <mergeCell ref="R166:S166"/>
    <mergeCell ref="R167:S167"/>
    <mergeCell ref="D168:E168"/>
    <mergeCell ref="F168:G168"/>
    <mergeCell ref="H168:I168"/>
    <mergeCell ref="J168:K168"/>
    <mergeCell ref="L168:M168"/>
    <mergeCell ref="N168:O168"/>
    <mergeCell ref="R168:S168"/>
    <mergeCell ref="R182:S182"/>
    <mergeCell ref="R169:S169"/>
    <mergeCell ref="R170:S170"/>
    <mergeCell ref="R172:S172"/>
    <mergeCell ref="R173:S173"/>
    <mergeCell ref="R174:S174"/>
    <mergeCell ref="R175:S175"/>
    <mergeCell ref="R176:S176"/>
    <mergeCell ref="R177:S177"/>
    <mergeCell ref="R179:S179"/>
    <mergeCell ref="R180:S180"/>
    <mergeCell ref="R181:S181"/>
    <mergeCell ref="E239:F239"/>
    <mergeCell ref="B256:D256"/>
    <mergeCell ref="F256:H256"/>
    <mergeCell ref="R183:S183"/>
    <mergeCell ref="R184:S184"/>
    <mergeCell ref="E192:F192"/>
    <mergeCell ref="B208:D208"/>
    <mergeCell ref="E208:G208"/>
    <mergeCell ref="H208:J208"/>
  </mergeCells>
  <printOptions horizontalCentered="1"/>
  <pageMargins left="0.25" right="0.25" top="0.25" bottom="0.25" header="0" footer="0"/>
  <pageSetup scale="50" fitToHeight="4" orientation="landscape" r:id="rId1"/>
  <headerFooter alignWithMargins="0">
    <oddHeader>&amp;R&amp;D  &amp;T</oddHeader>
  </headerFooter>
  <rowBreaks count="3" manualBreakCount="3">
    <brk id="95" max="18" man="1"/>
    <brk id="176" max="18" man="1"/>
    <brk id="188" max="18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80"/>
  <sheetViews>
    <sheetView zoomScale="90" zoomScaleNormal="90" workbookViewId="0">
      <pane xSplit="1" ySplit="2" topLeftCell="B155" activePane="bottomRight" state="frozenSplit"/>
      <selection pane="topRight" activeCell="B1" sqref="B1"/>
      <selection pane="bottomLeft" activeCell="A3" sqref="A3"/>
      <selection pane="bottomRight" activeCell="K179" sqref="K179:L184"/>
    </sheetView>
  </sheetViews>
  <sheetFormatPr defaultColWidth="10.7109375" defaultRowHeight="15" outlineLevelCol="1"/>
  <cols>
    <col min="1" max="1" width="35.7109375" style="2" bestFit="1" customWidth="1"/>
    <col min="2" max="2" width="15.28515625" style="2" customWidth="1"/>
    <col min="3" max="3" width="13.28515625" style="2" customWidth="1"/>
    <col min="4" max="5" width="12.28515625" style="2" customWidth="1"/>
    <col min="6" max="6" width="9.7109375" style="2" customWidth="1"/>
    <col min="7" max="8" width="12.28515625" style="2" customWidth="1"/>
    <col min="9" max="9" width="9.7109375" style="2" customWidth="1"/>
    <col min="10" max="10" width="12.28515625" style="2" customWidth="1"/>
    <col min="11" max="11" width="15" style="2" customWidth="1"/>
    <col min="12" max="12" width="9.7109375" style="2" customWidth="1"/>
    <col min="13" max="14" width="12.28515625" style="2" customWidth="1"/>
    <col min="15" max="15" width="9.7109375" style="2" customWidth="1"/>
    <col min="16" max="16" width="12.28515625" style="2" customWidth="1"/>
    <col min="17" max="17" width="13.28515625" style="2" customWidth="1"/>
    <col min="18" max="18" width="9.7109375" style="2" customWidth="1"/>
    <col min="19" max="19" width="12.28515625" style="2" customWidth="1"/>
    <col min="20" max="21" width="1.7109375" style="2" customWidth="1"/>
    <col min="22" max="22" width="10.7109375" style="2" customWidth="1"/>
    <col min="23" max="23" width="13" style="2" customWidth="1"/>
    <col min="24" max="24" width="12.7109375" style="2" customWidth="1"/>
    <col min="25" max="26" width="1.7109375" style="2" customWidth="1"/>
    <col min="27" max="27" width="4.7109375" style="2" customWidth="1" outlineLevel="1"/>
    <col min="28" max="28" width="7.7109375" style="2" customWidth="1" outlineLevel="1"/>
    <col min="29" max="29" width="12.28515625" style="2" customWidth="1" outlineLevel="1"/>
    <col min="30" max="30" width="11.42578125" style="2" customWidth="1" outlineLevel="1"/>
    <col min="31" max="31" width="12.28515625" style="2" customWidth="1" outlineLevel="1"/>
    <col min="32" max="32" width="11.7109375" style="2" customWidth="1" outlineLevel="1"/>
    <col min="33" max="33" width="12.42578125" style="2" customWidth="1" outlineLevel="1"/>
    <col min="34" max="34" width="11.7109375" style="2" bestFit="1" customWidth="1" outlineLevel="1"/>
    <col min="35" max="35" width="12.28515625" style="2" bestFit="1" customWidth="1" outlineLevel="1"/>
    <col min="36" max="36" width="10.7109375" style="2" customWidth="1" outlineLevel="1"/>
    <col min="37" max="37" width="11.28515625" customWidth="1" outlineLevel="1"/>
    <col min="38" max="38" width="11.28515625" customWidth="1"/>
    <col min="39" max="245" width="8.7109375" style="2" customWidth="1"/>
    <col min="246" max="16384" width="10.7109375" style="2"/>
  </cols>
  <sheetData>
    <row r="1" spans="1:36" s="2" customFormat="1" ht="19.5">
      <c r="A1" s="239" t="s">
        <v>364</v>
      </c>
      <c r="B1" s="297"/>
      <c r="C1" s="297"/>
      <c r="D1" s="297"/>
      <c r="E1" s="297"/>
      <c r="F1" s="297"/>
      <c r="G1" s="297"/>
      <c r="H1" s="297"/>
      <c r="AA1" s="603"/>
      <c r="AB1" s="604" t="s">
        <v>210</v>
      </c>
      <c r="AC1" s="605">
        <v>10001005</v>
      </c>
      <c r="AD1" s="605">
        <v>10001005</v>
      </c>
      <c r="AE1" s="606" t="s">
        <v>211</v>
      </c>
      <c r="AF1" s="606" t="s">
        <v>212</v>
      </c>
      <c r="AG1" s="605">
        <v>10001005</v>
      </c>
      <c r="AH1" s="606" t="s">
        <v>184</v>
      </c>
      <c r="AI1" s="605">
        <v>10001005</v>
      </c>
      <c r="AJ1" s="606" t="s">
        <v>186</v>
      </c>
    </row>
    <row r="2" spans="1:36" s="2" customFormat="1" ht="15.75">
      <c r="A2" s="240" t="s">
        <v>431</v>
      </c>
      <c r="B2" s="288"/>
      <c r="C2" s="288"/>
      <c r="D2" s="288"/>
      <c r="E2" s="288"/>
      <c r="F2" s="288"/>
      <c r="G2" s="288"/>
      <c r="H2" s="288"/>
      <c r="AA2" s="607" t="s">
        <v>79</v>
      </c>
      <c r="AB2" s="608" t="s">
        <v>214</v>
      </c>
      <c r="AC2" s="609" t="s">
        <v>64</v>
      </c>
      <c r="AD2" s="609" t="s">
        <v>81</v>
      </c>
      <c r="AE2" s="610" t="s">
        <v>57</v>
      </c>
      <c r="AF2" s="606" t="s">
        <v>215</v>
      </c>
      <c r="AG2" s="609" t="s">
        <v>181</v>
      </c>
      <c r="AH2" s="610" t="s">
        <v>57</v>
      </c>
      <c r="AI2" s="611" t="s">
        <v>185</v>
      </c>
      <c r="AJ2" s="610" t="s">
        <v>187</v>
      </c>
    </row>
    <row r="3" spans="1:36" s="2" customFormat="1" ht="19.899999999999999" customHeight="1" thickBot="1">
      <c r="A3" s="1" t="s">
        <v>7</v>
      </c>
      <c r="B3" s="860" t="s">
        <v>316</v>
      </c>
      <c r="C3" s="861"/>
      <c r="D3" s="862"/>
      <c r="E3" s="874" t="s">
        <v>408</v>
      </c>
      <c r="F3" s="875"/>
      <c r="G3" s="876"/>
      <c r="H3" s="877" t="s">
        <v>318</v>
      </c>
      <c r="I3" s="878"/>
      <c r="J3" s="879"/>
      <c r="K3" s="860" t="s">
        <v>319</v>
      </c>
      <c r="L3" s="861"/>
      <c r="M3" s="862"/>
      <c r="N3" s="874" t="s">
        <v>407</v>
      </c>
      <c r="O3" s="875"/>
      <c r="P3" s="876"/>
      <c r="Q3" s="871" t="s">
        <v>321</v>
      </c>
      <c r="R3" s="872"/>
      <c r="S3" s="873"/>
      <c r="AA3" s="612"/>
      <c r="AB3" s="612"/>
      <c r="AC3" s="612"/>
      <c r="AD3" s="612"/>
      <c r="AE3" s="612"/>
      <c r="AF3" s="612"/>
      <c r="AG3" s="612"/>
      <c r="AH3" s="612"/>
      <c r="AI3" s="612"/>
      <c r="AJ3" s="612"/>
    </row>
    <row r="4" spans="1:36" s="4" customFormat="1">
      <c r="A4" s="5"/>
      <c r="B4" s="304" t="s">
        <v>432</v>
      </c>
      <c r="C4" s="670" t="s">
        <v>402</v>
      </c>
      <c r="D4" s="305" t="s">
        <v>399</v>
      </c>
      <c r="E4" s="569" t="str">
        <f>+B4</f>
        <v>21 Standard</v>
      </c>
      <c r="F4" s="570" t="s">
        <v>402</v>
      </c>
      <c r="G4" s="571" t="str">
        <f>+D4</f>
        <v>20 Standard</v>
      </c>
      <c r="H4" s="569" t="str">
        <f>+B4</f>
        <v>21 Standard</v>
      </c>
      <c r="I4" s="570" t="str">
        <f>+C4</f>
        <v>19 Actual</v>
      </c>
      <c r="J4" s="571" t="str">
        <f>+D4</f>
        <v>20 Standard</v>
      </c>
      <c r="K4" s="304" t="str">
        <f>+B4</f>
        <v>21 Standard</v>
      </c>
      <c r="L4" s="670" t="s">
        <v>218</v>
      </c>
      <c r="M4" s="306" t="str">
        <f>+D4</f>
        <v>20 Standard</v>
      </c>
      <c r="N4" s="569" t="str">
        <f>+B4</f>
        <v>21 Standard</v>
      </c>
      <c r="O4" s="570" t="s">
        <v>402</v>
      </c>
      <c r="P4" s="571" t="str">
        <f>+D4</f>
        <v>20 Standard</v>
      </c>
      <c r="Q4" s="569" t="str">
        <f>+B4</f>
        <v>21 Standard</v>
      </c>
      <c r="R4" s="570" t="s">
        <v>218</v>
      </c>
      <c r="S4" s="571" t="str">
        <f>+D4</f>
        <v>20 Standard</v>
      </c>
      <c r="V4" s="530" t="s">
        <v>220</v>
      </c>
      <c r="W4" s="531" t="s">
        <v>183</v>
      </c>
      <c r="X4" s="532" t="s">
        <v>374</v>
      </c>
      <c r="AA4" s="613"/>
      <c r="AB4" s="613"/>
      <c r="AC4" s="613"/>
      <c r="AD4" s="613"/>
      <c r="AE4" s="613"/>
      <c r="AF4" s="613"/>
      <c r="AG4" s="613"/>
      <c r="AH4" s="613"/>
      <c r="AI4" s="613"/>
      <c r="AJ4" s="613"/>
    </row>
    <row r="5" spans="1:36" s="4" customFormat="1" ht="12.75">
      <c r="B5" s="307"/>
      <c r="C5" s="394" t="s">
        <v>401</v>
      </c>
      <c r="D5" s="308"/>
      <c r="E5" s="572"/>
      <c r="F5" s="573" t="s">
        <v>401</v>
      </c>
      <c r="G5" s="574"/>
      <c r="H5" s="572"/>
      <c r="I5" s="573" t="str">
        <f>+C5</f>
        <v>(Jan-Sept)</v>
      </c>
      <c r="J5" s="574"/>
      <c r="K5" s="307"/>
      <c r="L5" s="394" t="s">
        <v>221</v>
      </c>
      <c r="M5" s="308"/>
      <c r="N5" s="572"/>
      <c r="O5" s="573"/>
      <c r="P5" s="574"/>
      <c r="Q5" s="572"/>
      <c r="R5" s="573" t="s">
        <v>222</v>
      </c>
      <c r="S5" s="574"/>
      <c r="V5" s="309"/>
      <c r="W5" s="256"/>
      <c r="X5" s="310"/>
      <c r="AA5" s="614"/>
      <c r="AB5" s="612"/>
      <c r="AC5" s="615"/>
      <c r="AD5" s="613"/>
      <c r="AE5" s="613"/>
      <c r="AF5" s="613"/>
      <c r="AG5" s="615"/>
      <c r="AH5" s="613"/>
      <c r="AI5" s="615"/>
      <c r="AJ5" s="613"/>
    </row>
    <row r="6" spans="1:36">
      <c r="A6" s="6" t="s">
        <v>223</v>
      </c>
      <c r="B6" s="312">
        <f>E121</f>
        <v>0.16395289918884523</v>
      </c>
      <c r="C6" s="671">
        <v>0.16092997508923548</v>
      </c>
      <c r="D6" s="313">
        <v>0.14369989399492902</v>
      </c>
      <c r="E6" s="575">
        <f>G121</f>
        <v>0.15970956812749004</v>
      </c>
      <c r="F6" s="576">
        <v>0.15896740504648074</v>
      </c>
      <c r="G6" s="577">
        <v>0.13998073912350598</v>
      </c>
      <c r="H6" s="699"/>
      <c r="I6" s="576">
        <v>0.30191317244168803</v>
      </c>
      <c r="J6" s="577">
        <v>0.28067655000000002</v>
      </c>
      <c r="K6" s="312">
        <f>K121</f>
        <v>0.17527983603972883</v>
      </c>
      <c r="L6" s="671">
        <v>0.18307969415103262</v>
      </c>
      <c r="M6" s="313">
        <v>0.15362762099952701</v>
      </c>
      <c r="N6" s="575"/>
      <c r="O6" s="576">
        <v>0</v>
      </c>
      <c r="P6" s="577">
        <v>0</v>
      </c>
      <c r="Q6" s="575"/>
      <c r="R6" s="576">
        <v>0.15968840601565604</v>
      </c>
      <c r="S6" s="577">
        <v>0.14400712302208574</v>
      </c>
      <c r="V6" s="315">
        <f>($B6*$B$29+$E6*$E$29+$H6*$H$29+$K6*$K$29+$N6*$N$29+$Q6*$Q$29+$B37*$B$60+$E37*$E$60+$H37*$H$60+$K37*$K$60+$N37*$N$60+$Q37*$Q$60)/$B$64</f>
        <v>0.25841034974867483</v>
      </c>
      <c r="W6" s="249">
        <f>V6</f>
        <v>0.25841034974867483</v>
      </c>
      <c r="X6" s="316"/>
      <c r="AA6" s="614"/>
      <c r="AB6" s="612"/>
      <c r="AC6" s="616"/>
      <c r="AD6" s="612"/>
      <c r="AE6" s="612"/>
      <c r="AF6" s="612"/>
      <c r="AG6" s="616"/>
      <c r="AH6" s="612"/>
      <c r="AI6" s="616"/>
      <c r="AJ6" s="612"/>
    </row>
    <row r="7" spans="1:36">
      <c r="A7" s="500" t="s">
        <v>362</v>
      </c>
      <c r="B7" s="317">
        <f>$C100*D100</f>
        <v>0</v>
      </c>
      <c r="C7" s="40"/>
      <c r="D7" s="318">
        <v>8.8727451325727999E-2</v>
      </c>
      <c r="E7" s="578">
        <f>$C100*F100</f>
        <v>0</v>
      </c>
      <c r="F7" s="579"/>
      <c r="G7" s="580">
        <v>8.6431060398406367E-2</v>
      </c>
      <c r="H7" s="700"/>
      <c r="I7" s="579"/>
      <c r="J7" s="580">
        <v>0.22562455300000001</v>
      </c>
      <c r="K7" s="317">
        <f>$C100*J100</f>
        <v>0</v>
      </c>
      <c r="L7" s="40"/>
      <c r="M7" s="318">
        <v>9.4857323033265009E-2</v>
      </c>
      <c r="N7" s="578"/>
      <c r="O7" s="579"/>
      <c r="P7" s="580">
        <v>0</v>
      </c>
      <c r="Q7" s="578"/>
      <c r="R7" s="579"/>
      <c r="S7" s="580">
        <v>8.8917149785448915E-2</v>
      </c>
      <c r="V7" s="315">
        <v>0</v>
      </c>
      <c r="W7" s="249">
        <v>0</v>
      </c>
      <c r="X7" s="320"/>
      <c r="AA7" s="614"/>
      <c r="AB7" s="617"/>
      <c r="AC7" s="618"/>
      <c r="AD7" s="619"/>
      <c r="AE7" s="620"/>
      <c r="AF7" s="621"/>
      <c r="AG7" s="616"/>
      <c r="AH7" s="620"/>
      <c r="AI7" s="618"/>
      <c r="AJ7" s="622"/>
    </row>
    <row r="8" spans="1:36">
      <c r="A8" s="6" t="s">
        <v>373</v>
      </c>
      <c r="B8" s="317">
        <f>E122+E123</f>
        <v>3.8078000000000001E-2</v>
      </c>
      <c r="C8" s="40">
        <v>5.190379416087533E-2</v>
      </c>
      <c r="D8" s="318">
        <v>4.9388694560045736E-2</v>
      </c>
      <c r="E8" s="578">
        <f>G122+G123</f>
        <v>4.7521438427622846E-2</v>
      </c>
      <c r="F8" s="579">
        <v>5.3990670916334665E-2</v>
      </c>
      <c r="G8" s="580">
        <v>5.3042779181131469E-2</v>
      </c>
      <c r="H8" s="700"/>
      <c r="I8" s="579">
        <v>5.384575974113523E-2</v>
      </c>
      <c r="J8" s="580">
        <v>4.7107900000000008E-2</v>
      </c>
      <c r="K8" s="317">
        <f>K122+K123</f>
        <v>7.3985808E-2</v>
      </c>
      <c r="L8" s="40">
        <v>7.1924562509853379E-2</v>
      </c>
      <c r="M8" s="318">
        <v>0.15903358032476744</v>
      </c>
      <c r="N8" s="578"/>
      <c r="O8" s="579">
        <v>0</v>
      </c>
      <c r="P8" s="580">
        <v>0</v>
      </c>
      <c r="Q8" s="578"/>
      <c r="R8" s="579">
        <v>7.2759576655744868E-2</v>
      </c>
      <c r="S8" s="580">
        <v>7.4666525309022111E-2</v>
      </c>
      <c r="V8" s="315">
        <f t="shared" ref="V8:V13" si="0">($B8*$B$29+$E8*$E$29+$H8*$H$29+$K8*$K$29+$N8*$N$29+$Q8*$Q$29+$B39*$B$60+$E39*$E$60+$H39*$H$60+$K39*$K$60+$N39*$N$60+$Q39*$Q$60)/$B$64</f>
        <v>2.99517634350541E-2</v>
      </c>
      <c r="W8" s="249">
        <f>V8</f>
        <v>2.99517634350541E-2</v>
      </c>
      <c r="X8" s="320">
        <f>V8-W8</f>
        <v>0</v>
      </c>
      <c r="AA8" s="614"/>
      <c r="AB8" s="617"/>
      <c r="AC8" s="618"/>
      <c r="AD8" s="619"/>
      <c r="AE8" s="620"/>
      <c r="AF8" s="621"/>
      <c r="AG8" s="616"/>
      <c r="AH8" s="620"/>
      <c r="AI8" s="618"/>
      <c r="AJ8" s="622"/>
    </row>
    <row r="9" spans="1:36">
      <c r="A9" s="6" t="s">
        <v>8</v>
      </c>
      <c r="B9" s="317">
        <f>E163</f>
        <v>5.9095494151563841E-3</v>
      </c>
      <c r="C9" s="40">
        <v>7.7075348490227361E-3</v>
      </c>
      <c r="D9" s="318">
        <v>1.0135435073031706E-2</v>
      </c>
      <c r="E9" s="578">
        <f>G163</f>
        <v>5.9095494151563841E-3</v>
      </c>
      <c r="F9" s="579">
        <v>6.4153676654595138E-3</v>
      </c>
      <c r="G9" s="580">
        <v>1.0135435073031706E-2</v>
      </c>
      <c r="H9" s="578"/>
      <c r="I9" s="579">
        <v>2.3850561798671555E-2</v>
      </c>
      <c r="J9" s="580">
        <v>1.0725999999999999E-2</v>
      </c>
      <c r="K9" s="317">
        <f>K163</f>
        <v>5.9095494151563841E-3</v>
      </c>
      <c r="L9" s="40">
        <v>1.9218863313889327E-2</v>
      </c>
      <c r="M9" s="318">
        <v>1.0135435073031706E-2</v>
      </c>
      <c r="N9" s="578"/>
      <c r="O9" s="579">
        <v>0</v>
      </c>
      <c r="P9" s="580">
        <v>0</v>
      </c>
      <c r="Q9" s="578"/>
      <c r="R9" s="579">
        <v>6.5255939569252705E-3</v>
      </c>
      <c r="S9" s="580">
        <v>1.0135435073031706E-2</v>
      </c>
      <c r="V9" s="315">
        <f t="shared" si="0"/>
        <v>5.9095494151563841E-3</v>
      </c>
      <c r="W9" s="249">
        <f t="shared" ref="W9:W13" si="1">V9</f>
        <v>5.9095494151563841E-3</v>
      </c>
      <c r="X9" s="320">
        <f t="shared" ref="X9:X13" si="2">V9-W9</f>
        <v>0</v>
      </c>
      <c r="AA9" s="614" t="s">
        <v>87</v>
      </c>
      <c r="AB9" s="617" t="s">
        <v>86</v>
      </c>
      <c r="AC9" s="618">
        <f>ROUND(((D163*B$29*1000)+(F163*E$29*1000)+(H163*H$29*1000)+(J163*K$29*1000)+(L163*N$29*1000)+(N163*Q$29*1000)+(D170*B$60*1000)+(F170*E$60*1000)+(H170*H$60*1000)+(J170*K$60*1000)+(L170*N$60*1000)+(N170*Q$60*1000))*$B163,0)</f>
        <v>73869</v>
      </c>
      <c r="AD9" s="619">
        <f>ROUND((D163*B$29*1000)+(F163*E$29*1000)+(H163*H$29*1000)+(J163*K$29*1000)+(L163*N$29*1000)+(N163*Q$29*1000)+(D170*B$60*1000)+(F170*E$60*1000)+(H170*H$60*1000)+(J170*K$60*1000)+(L170*N$60*1000)+(N170*Q$60*1000),0)</f>
        <v>540273</v>
      </c>
      <c r="AE9" s="620">
        <f>AC9/AD9</f>
        <v>0.136725322198222</v>
      </c>
      <c r="AF9" s="621">
        <f>ROUND(AD9/$B$64,3)</f>
        <v>43.222000000000001</v>
      </c>
      <c r="AG9" s="616">
        <f>ROUND(W9*$AC$29,0)</f>
        <v>73869</v>
      </c>
      <c r="AH9" s="620">
        <f>AG9/AD9</f>
        <v>0.136725322198222</v>
      </c>
      <c r="AI9" s="618">
        <f>AC9-AG9</f>
        <v>0</v>
      </c>
      <c r="AJ9" s="622">
        <f>AH9*10000</f>
        <v>1367.2532219822201</v>
      </c>
    </row>
    <row r="10" spans="1:36">
      <c r="A10" s="2" t="s">
        <v>9</v>
      </c>
      <c r="B10" s="323">
        <f>E164</f>
        <v>1.3242333138821752E-3</v>
      </c>
      <c r="C10" s="40">
        <v>9.6524486957919454E-4</v>
      </c>
      <c r="D10" s="318">
        <v>1.124759091389829E-3</v>
      </c>
      <c r="E10" s="578">
        <f>G164</f>
        <v>1.3242333138821752E-3</v>
      </c>
      <c r="F10" s="579">
        <v>8.8623983064966974E-4</v>
      </c>
      <c r="G10" s="580">
        <v>1.124759091389829E-3</v>
      </c>
      <c r="H10" s="578"/>
      <c r="I10" s="579">
        <v>1.1573682833829362E-3</v>
      </c>
      <c r="J10" s="580">
        <v>1.2600000000000001E-3</v>
      </c>
      <c r="K10" s="323">
        <f>K164</f>
        <v>1.3242333138821752E-3</v>
      </c>
      <c r="L10" s="40">
        <v>1.1031846129591675E-3</v>
      </c>
      <c r="M10" s="318">
        <v>1.124759091389829E-3</v>
      </c>
      <c r="N10" s="581"/>
      <c r="O10" s="579">
        <v>0</v>
      </c>
      <c r="P10" s="580">
        <v>0</v>
      </c>
      <c r="Q10" s="581"/>
      <c r="R10" s="579">
        <v>1.1625954512427511E-3</v>
      </c>
      <c r="S10" s="580">
        <v>1.124759091389829E-3</v>
      </c>
      <c r="V10" s="315">
        <f t="shared" si="0"/>
        <v>1.3242333138821752E-3</v>
      </c>
      <c r="W10" s="249">
        <f t="shared" si="1"/>
        <v>1.3242333138821752E-3</v>
      </c>
      <c r="X10" s="320">
        <f t="shared" si="2"/>
        <v>0</v>
      </c>
      <c r="AA10" s="614" t="s">
        <v>89</v>
      </c>
      <c r="AB10" s="617" t="s">
        <v>88</v>
      </c>
      <c r="AC10" s="618">
        <f>ROUND(((D164*B$29*1000)+(F164*E$29*1000)+(H164*H$29*1000)+(J164*K$29*1000)+(L164*N$29*1000)+(N164*Q$29*1000)+(D171*B$60*1000)+(F171*E$60*1000)+(H171*H$60*1000)+(J171*K$60*1000)+(L171*N$60*1000)+(N171*Q$60*1000))*$B164,0)</f>
        <v>16553</v>
      </c>
      <c r="AD10" s="619">
        <f>ROUND(((D164*B$29*1000)+(F164*E$29*1000)+(H164*H$29*1000)+(J164*K$29*1000)+(L164*N$29*1000)+(N164*Q$29*1000)+(D171*B$60*1000)+(F171*E$60*1000)+(H171*H$60*1000)+(J171*K$60*1000)+(L171*N$60*1000)+(N171*Q$60*1000))*1000,0)</f>
        <v>3678426</v>
      </c>
      <c r="AE10" s="620">
        <f>AC10/AD10</f>
        <v>4.5000225639988409E-3</v>
      </c>
      <c r="AF10" s="621">
        <f>ROUND(AD10/$B$64,3)</f>
        <v>294.274</v>
      </c>
      <c r="AG10" s="618">
        <f>ROUND(W10*$AC$29,0)</f>
        <v>16553</v>
      </c>
      <c r="AH10" s="620">
        <f>AG10/AD10</f>
        <v>4.5000225639988409E-3</v>
      </c>
      <c r="AI10" s="618">
        <f t="shared" ref="AI10:AI13" si="3">AC10-AG10</f>
        <v>0</v>
      </c>
      <c r="AJ10" s="622">
        <f t="shared" ref="AJ10:AJ13" si="4">AH10*10000</f>
        <v>45.000225639988408</v>
      </c>
    </row>
    <row r="11" spans="1:36">
      <c r="A11" s="6" t="s">
        <v>10</v>
      </c>
      <c r="B11" s="323">
        <f>$H$179</f>
        <v>6.0000000000000001E-3</v>
      </c>
      <c r="C11" s="40">
        <v>5.2601958836921477E-3</v>
      </c>
      <c r="D11" s="318">
        <v>8.670520231213872E-3</v>
      </c>
      <c r="E11" s="581">
        <f>$H$179</f>
        <v>6.0000000000000001E-3</v>
      </c>
      <c r="F11" s="579">
        <v>5.124287625544087E-3</v>
      </c>
      <c r="G11" s="580">
        <v>8.670520231213872E-3</v>
      </c>
      <c r="H11" s="581"/>
      <c r="I11" s="579">
        <v>2.3215912931792065E-2</v>
      </c>
      <c r="J11" s="580">
        <v>9.9121126015991549E-3</v>
      </c>
      <c r="K11" s="323">
        <f>$H$179</f>
        <v>6.0000000000000001E-3</v>
      </c>
      <c r="L11" s="40">
        <v>2.6688593725366548E-2</v>
      </c>
      <c r="M11" s="318">
        <v>8.670520231213872E-3</v>
      </c>
      <c r="N11" s="581"/>
      <c r="O11" s="579">
        <v>0</v>
      </c>
      <c r="P11" s="580">
        <v>0</v>
      </c>
      <c r="Q11" s="581"/>
      <c r="R11" s="579">
        <v>1.6241103327255528E-2</v>
      </c>
      <c r="S11" s="580">
        <v>8.670520231213872E-3</v>
      </c>
      <c r="V11" s="315">
        <f t="shared" si="0"/>
        <v>6.0000000000000001E-3</v>
      </c>
      <c r="W11" s="249">
        <f t="shared" si="1"/>
        <v>6.0000000000000001E-3</v>
      </c>
      <c r="X11" s="320">
        <f t="shared" si="2"/>
        <v>0</v>
      </c>
      <c r="AA11" s="614" t="s">
        <v>91</v>
      </c>
      <c r="AB11" s="617" t="s">
        <v>90</v>
      </c>
      <c r="AC11" s="618">
        <f>ROUND(G179,0)</f>
        <v>75000</v>
      </c>
      <c r="AD11" s="612">
        <f>$B$64*1000</f>
        <v>12500000</v>
      </c>
      <c r="AE11" s="620">
        <f>AC11/AD11</f>
        <v>6.0000000000000001E-3</v>
      </c>
      <c r="AF11" s="621">
        <f>ROUND(AD11/$B$64,3)</f>
        <v>1000</v>
      </c>
      <c r="AG11" s="618">
        <f>ROUND(W11*$AC$29,0)</f>
        <v>75000</v>
      </c>
      <c r="AH11" s="620">
        <f>AG11/AD11</f>
        <v>6.0000000000000001E-3</v>
      </c>
      <c r="AI11" s="618">
        <f t="shared" si="3"/>
        <v>0</v>
      </c>
      <c r="AJ11" s="622">
        <f t="shared" si="4"/>
        <v>60</v>
      </c>
    </row>
    <row r="12" spans="1:36">
      <c r="A12" s="6" t="s">
        <v>11</v>
      </c>
      <c r="B12" s="323">
        <f>$H$182</f>
        <v>2E-3</v>
      </c>
      <c r="C12" s="40">
        <v>2.8145605276015071E-4</v>
      </c>
      <c r="D12" s="318">
        <v>4.3352601156069364E-4</v>
      </c>
      <c r="E12" s="581">
        <f>$H$182</f>
        <v>2E-3</v>
      </c>
      <c r="F12" s="579">
        <v>1.6132370454116404E-4</v>
      </c>
      <c r="G12" s="580">
        <v>4.3352601156069364E-4</v>
      </c>
      <c r="H12" s="581"/>
      <c r="I12" s="579">
        <v>7.6914756979652537E-4</v>
      </c>
      <c r="J12" s="580">
        <v>4.956056300799577E-4</v>
      </c>
      <c r="K12" s="323">
        <f>$H$182</f>
        <v>2E-3</v>
      </c>
      <c r="L12" s="40">
        <v>1.3365915182090493E-3</v>
      </c>
      <c r="M12" s="318">
        <v>4.3352601156069364E-4</v>
      </c>
      <c r="N12" s="581"/>
      <c r="O12" s="579">
        <v>0</v>
      </c>
      <c r="P12" s="580">
        <v>0</v>
      </c>
      <c r="Q12" s="581"/>
      <c r="R12" s="579">
        <v>5.3366327132144272E-4</v>
      </c>
      <c r="S12" s="580">
        <v>4.3352601156069364E-4</v>
      </c>
      <c r="V12" s="315">
        <f t="shared" si="0"/>
        <v>2E-3</v>
      </c>
      <c r="W12" s="249">
        <f t="shared" si="1"/>
        <v>2E-3</v>
      </c>
      <c r="X12" s="320">
        <f t="shared" si="2"/>
        <v>0</v>
      </c>
      <c r="AA12" s="614" t="s">
        <v>91</v>
      </c>
      <c r="AB12" s="617" t="s">
        <v>92</v>
      </c>
      <c r="AC12" s="618">
        <f>ROUND(G182,0)</f>
        <v>25000</v>
      </c>
      <c r="AD12" s="612">
        <f>$B$64*1000</f>
        <v>12500000</v>
      </c>
      <c r="AE12" s="620">
        <f>AC12/AD12</f>
        <v>2E-3</v>
      </c>
      <c r="AF12" s="621">
        <f>ROUND(AD12/$B$64,3)</f>
        <v>1000</v>
      </c>
      <c r="AG12" s="618">
        <f>ROUND(W12*$AC$29,0)</f>
        <v>25000</v>
      </c>
      <c r="AH12" s="620">
        <f>AG12/AD12</f>
        <v>2E-3</v>
      </c>
      <c r="AI12" s="618">
        <f t="shared" si="3"/>
        <v>0</v>
      </c>
      <c r="AJ12" s="622">
        <f t="shared" si="4"/>
        <v>20</v>
      </c>
    </row>
    <row r="13" spans="1:36" ht="16.5">
      <c r="A13" s="6" t="s">
        <v>12</v>
      </c>
      <c r="B13" s="324">
        <f>$H$185</f>
        <v>6.0000000000000001E-3</v>
      </c>
      <c r="C13" s="672">
        <v>5.5392710451476149E-3</v>
      </c>
      <c r="D13" s="325">
        <v>5.7803468208092491E-3</v>
      </c>
      <c r="E13" s="582">
        <f>$H$185</f>
        <v>6.0000000000000001E-3</v>
      </c>
      <c r="F13" s="583">
        <v>4.7523717432735738E-3</v>
      </c>
      <c r="G13" s="584">
        <v>5.7803468208092491E-3</v>
      </c>
      <c r="H13" s="582"/>
      <c r="I13" s="583">
        <v>1.7048252551882647E-2</v>
      </c>
      <c r="J13" s="584">
        <v>6.6080750677327688E-3</v>
      </c>
      <c r="K13" s="324">
        <f>$H$185</f>
        <v>6.0000000000000001E-3</v>
      </c>
      <c r="L13" s="672">
        <v>2.682161437805455E-2</v>
      </c>
      <c r="M13" s="325">
        <v>5.7803468208092491E-3</v>
      </c>
      <c r="N13" s="582"/>
      <c r="O13" s="583">
        <v>0</v>
      </c>
      <c r="P13" s="584">
        <v>0</v>
      </c>
      <c r="Q13" s="582"/>
      <c r="R13" s="583">
        <v>5.9964108961792087E-3</v>
      </c>
      <c r="S13" s="584">
        <v>5.7803468208092491E-3</v>
      </c>
      <c r="V13" s="326">
        <f t="shared" si="0"/>
        <v>6.0000000000000001E-3</v>
      </c>
      <c r="W13" s="250">
        <f t="shared" si="1"/>
        <v>6.0000000000000001E-3</v>
      </c>
      <c r="X13" s="327">
        <f t="shared" si="2"/>
        <v>0</v>
      </c>
      <c r="AA13" s="614" t="s">
        <v>91</v>
      </c>
      <c r="AB13" s="617" t="s">
        <v>93</v>
      </c>
      <c r="AC13" s="623">
        <f>ROUND(G185,0)</f>
        <v>75000</v>
      </c>
      <c r="AD13" s="612">
        <f>$B$64*1000</f>
        <v>12500000</v>
      </c>
      <c r="AE13" s="620">
        <f>AC13/AD13</f>
        <v>6.0000000000000001E-3</v>
      </c>
      <c r="AF13" s="621">
        <f>ROUND(AD13/$B$64,3)</f>
        <v>1000</v>
      </c>
      <c r="AG13" s="623">
        <f>ROUND(W13*$AC$29,0)</f>
        <v>75000</v>
      </c>
      <c r="AH13" s="620">
        <f>AG13/AD13</f>
        <v>6.0000000000000001E-3</v>
      </c>
      <c r="AI13" s="623">
        <f t="shared" si="3"/>
        <v>0</v>
      </c>
      <c r="AJ13" s="622">
        <f t="shared" si="4"/>
        <v>60</v>
      </c>
    </row>
    <row r="14" spans="1:36">
      <c r="A14" s="328" t="s">
        <v>224</v>
      </c>
      <c r="B14" s="10">
        <f t="shared" ref="B14:R14" si="5">SUM(B6:B13)</f>
        <v>0.22326468191788382</v>
      </c>
      <c r="C14" s="40">
        <f t="shared" si="5"/>
        <v>0.23258747195031265</v>
      </c>
      <c r="D14" s="318">
        <v>0.30796062710870814</v>
      </c>
      <c r="E14" s="579">
        <f t="shared" si="5"/>
        <v>0.22846478928415148</v>
      </c>
      <c r="F14" s="579">
        <f t="shared" si="5"/>
        <v>0.23029766653228345</v>
      </c>
      <c r="G14" s="580">
        <v>0.30559916593104919</v>
      </c>
      <c r="H14" s="579"/>
      <c r="I14" s="579">
        <f t="shared" si="5"/>
        <v>0.42180017531834896</v>
      </c>
      <c r="J14" s="580">
        <f t="shared" si="5"/>
        <v>0.58241079629941195</v>
      </c>
      <c r="K14" s="10">
        <f t="shared" si="5"/>
        <v>0.27049942676876737</v>
      </c>
      <c r="L14" s="40">
        <f t="shared" si="5"/>
        <v>0.33017310420936458</v>
      </c>
      <c r="M14" s="318">
        <v>0.43366311158556486</v>
      </c>
      <c r="N14" s="579"/>
      <c r="O14" s="579">
        <f t="shared" si="5"/>
        <v>0</v>
      </c>
      <c r="P14" s="580">
        <f t="shared" si="5"/>
        <v>0</v>
      </c>
      <c r="Q14" s="579"/>
      <c r="R14" s="579">
        <f t="shared" si="5"/>
        <v>0.26290734957432504</v>
      </c>
      <c r="S14" s="580">
        <v>0.33373538534456215</v>
      </c>
      <c r="V14" s="315">
        <f>SUM(V6:V13)</f>
        <v>0.30959589591276748</v>
      </c>
      <c r="W14" s="249">
        <f>SUM(W6:W13)</f>
        <v>0.30959589591276748</v>
      </c>
      <c r="X14" s="320">
        <f>SUM(X6:X13)</f>
        <v>0</v>
      </c>
      <c r="AA14" s="614"/>
      <c r="AB14" s="617"/>
      <c r="AC14" s="618">
        <f>SUM(AC9:AC13)</f>
        <v>265422</v>
      </c>
      <c r="AD14" s="612"/>
      <c r="AE14" s="612"/>
      <c r="AF14" s="612"/>
      <c r="AG14" s="618">
        <f>SUM(AG9:AG13)</f>
        <v>265422</v>
      </c>
      <c r="AH14" s="612"/>
      <c r="AI14" s="618">
        <f>SUM(AI9:AI13)</f>
        <v>0</v>
      </c>
      <c r="AJ14" s="622"/>
    </row>
    <row r="15" spans="1:36" ht="7.15" customHeight="1">
      <c r="A15" s="514"/>
      <c r="B15" s="323"/>
      <c r="C15" s="40"/>
      <c r="D15" s="318"/>
      <c r="E15" s="581"/>
      <c r="F15" s="579"/>
      <c r="G15" s="580"/>
      <c r="H15" s="581"/>
      <c r="I15" s="579"/>
      <c r="J15" s="580"/>
      <c r="K15" s="323"/>
      <c r="L15" s="40"/>
      <c r="M15" s="513"/>
      <c r="N15" s="581"/>
      <c r="O15" s="579"/>
      <c r="P15" s="580"/>
      <c r="Q15" s="581"/>
      <c r="R15" s="579"/>
      <c r="S15" s="580"/>
      <c r="V15" s="315"/>
      <c r="W15" s="249"/>
      <c r="X15" s="320"/>
      <c r="AA15" s="614"/>
      <c r="AB15" s="617"/>
      <c r="AC15" s="618"/>
      <c r="AD15" s="612"/>
      <c r="AE15" s="612"/>
      <c r="AF15" s="612"/>
      <c r="AG15" s="618"/>
      <c r="AH15" s="612"/>
      <c r="AI15" s="618"/>
      <c r="AJ15" s="622"/>
    </row>
    <row r="16" spans="1:36">
      <c r="A16" s="6" t="s">
        <v>14</v>
      </c>
      <c r="B16" s="323">
        <f>$D$216/$B$64/1000</f>
        <v>3.5940794790209792E-2</v>
      </c>
      <c r="C16" s="40">
        <v>1.8200142276386267E-2</v>
      </c>
      <c r="D16" s="318">
        <v>1.1741675249605885E-2</v>
      </c>
      <c r="E16" s="581">
        <f>$D$216/$B$64/1000</f>
        <v>3.5940794790209792E-2</v>
      </c>
      <c r="F16" s="579">
        <v>2.0063712828685257E-2</v>
      </c>
      <c r="G16" s="580">
        <v>1.1741675249605885E-2</v>
      </c>
      <c r="H16" s="581"/>
      <c r="I16" s="579">
        <v>1.2521634745348524E-2</v>
      </c>
      <c r="J16" s="580">
        <v>1.4552450935042623E-2</v>
      </c>
      <c r="K16" s="323">
        <f>$D$216/$B$64/1000</f>
        <v>3.5940794790209792E-2</v>
      </c>
      <c r="L16" s="40">
        <v>3.2785826895790633E-2</v>
      </c>
      <c r="M16" s="318">
        <v>1.1741675249605885E-2</v>
      </c>
      <c r="N16" s="581"/>
      <c r="O16" s="579">
        <v>0</v>
      </c>
      <c r="P16" s="580">
        <v>0</v>
      </c>
      <c r="Q16" s="581"/>
      <c r="R16" s="579">
        <v>1.3727222625885965E-2</v>
      </c>
      <c r="S16" s="580">
        <v>1.1741675249605885E-2</v>
      </c>
      <c r="V16" s="315">
        <f>($B16*$B$29+$E16*$E$29+$H16*$H$29+$K16*$K$29+$N16*$N$29+$Q16*$Q$29+$B47*$B$60+$E47*$E$60+$H47*$H$60+$K47*$K$60+$N47*$N$60+$Q47*$Q$60)/$B$64</f>
        <v>3.5940794790209792E-2</v>
      </c>
      <c r="W16" s="704">
        <f>+W24-W14</f>
        <v>2.856621727096148E-2</v>
      </c>
      <c r="X16" s="320">
        <f t="shared" ref="X16:X21" si="6">V16-W16</f>
        <v>7.3745775192483112E-3</v>
      </c>
      <c r="AA16" s="614" t="s">
        <v>95</v>
      </c>
      <c r="AB16" s="617" t="s">
        <v>94</v>
      </c>
      <c r="AC16" s="705">
        <f>ROUND(D214,0)</f>
        <v>460178</v>
      </c>
      <c r="AD16" s="612">
        <f>ROUND(B214,0)</f>
        <v>15400</v>
      </c>
      <c r="AE16" s="620">
        <f t="shared" ref="AE16:AE21" si="7">AC16/AD16</f>
        <v>29.881688311688311</v>
      </c>
      <c r="AF16" s="621">
        <f>ROUND(AD16/$B$64,3)</f>
        <v>1.232</v>
      </c>
      <c r="AG16" s="618">
        <f t="shared" ref="AG16:AG21" si="8">ROUND(W16*$AC$29,0)</f>
        <v>357078</v>
      </c>
      <c r="AH16" s="620">
        <f t="shared" ref="AH16:AH21" si="9">AG16/AD16</f>
        <v>23.186883116883116</v>
      </c>
      <c r="AI16" s="618">
        <f t="shared" ref="AI16:AI21" si="10">AC16-AG16</f>
        <v>103100</v>
      </c>
      <c r="AJ16" s="622">
        <f t="shared" ref="AJ16:AJ21" si="11">AH16*10000</f>
        <v>231868.83116883115</v>
      </c>
    </row>
    <row r="17" spans="1:36">
      <c r="A17" s="6" t="s">
        <v>15</v>
      </c>
      <c r="B17" s="323">
        <f>$G$216/$B$64/1000</f>
        <v>1.13712E-2</v>
      </c>
      <c r="C17" s="40">
        <v>4.8304191095260513E-3</v>
      </c>
      <c r="D17" s="318">
        <v>4.1080924855491328E-3</v>
      </c>
      <c r="E17" s="581">
        <f>$G$216/$B$64/1000</f>
        <v>1.13712E-2</v>
      </c>
      <c r="F17" s="579">
        <v>4.4471790908216062E-3</v>
      </c>
      <c r="G17" s="580">
        <v>4.1080924855491328E-3</v>
      </c>
      <c r="H17" s="581"/>
      <c r="I17" s="579">
        <v>4.4303097747335034E-3</v>
      </c>
      <c r="J17" s="580">
        <v>4.6963589506376791E-3</v>
      </c>
      <c r="K17" s="323">
        <f>$G$216/$B$64/1000</f>
        <v>1.13712E-2</v>
      </c>
      <c r="L17" s="40">
        <v>8.8578354091124068E-3</v>
      </c>
      <c r="M17" s="318">
        <v>4.1080924855491328E-3</v>
      </c>
      <c r="N17" s="581"/>
      <c r="O17" s="579">
        <v>0</v>
      </c>
      <c r="P17" s="580">
        <v>0</v>
      </c>
      <c r="Q17" s="581"/>
      <c r="R17" s="579">
        <v>1.6693747172449721E-3</v>
      </c>
      <c r="S17" s="580">
        <v>4.1080924855491328E-3</v>
      </c>
      <c r="V17" s="315">
        <f t="shared" ref="V17:V21" si="12">($B17*$B$29+$E17*$E$29+$H17*$H$29+$K17*$K$29+$N17*$N$29+$Q17*$Q$29+$B48*$B$60+$E48*$E$60+$H48*$H$60+$K48*$K$60+$N48*$N$60+$Q48*$Q$60)/$B$64</f>
        <v>1.13712E-2</v>
      </c>
      <c r="W17" s="249">
        <v>0</v>
      </c>
      <c r="X17" s="320">
        <f t="shared" si="6"/>
        <v>1.13712E-2</v>
      </c>
      <c r="AA17" s="614" t="s">
        <v>95</v>
      </c>
      <c r="AB17" s="617" t="s">
        <v>96</v>
      </c>
      <c r="AC17" s="705">
        <f>ROUND(G214,0)</f>
        <v>142140</v>
      </c>
      <c r="AD17" s="612">
        <f>ROUND(E214,0)</f>
        <v>4400</v>
      </c>
      <c r="AE17" s="620">
        <f t="shared" si="7"/>
        <v>32.304545454545455</v>
      </c>
      <c r="AF17" s="621">
        <f>ROUND(AD17/$B$64,3)</f>
        <v>0.35199999999999998</v>
      </c>
      <c r="AG17" s="618">
        <f t="shared" si="8"/>
        <v>0</v>
      </c>
      <c r="AH17" s="620">
        <f t="shared" si="9"/>
        <v>0</v>
      </c>
      <c r="AI17" s="618">
        <f t="shared" si="10"/>
        <v>142140</v>
      </c>
      <c r="AJ17" s="622">
        <f t="shared" si="11"/>
        <v>0</v>
      </c>
    </row>
    <row r="18" spans="1:36">
      <c r="A18" s="6" t="s">
        <v>16</v>
      </c>
      <c r="B18" s="323">
        <f>$J$216/$B$64/1000</f>
        <v>1.4188877003496501E-2</v>
      </c>
      <c r="C18" s="40">
        <v>6.8508297256488276E-3</v>
      </c>
      <c r="D18" s="318">
        <v>7.259843652712092E-3</v>
      </c>
      <c r="E18" s="581">
        <f>$J$216/$B$64/1000</f>
        <v>1.4188877003496501E-2</v>
      </c>
      <c r="F18" s="579">
        <v>5.9757404668890251E-3</v>
      </c>
      <c r="G18" s="580">
        <v>7.259843652712092E-3</v>
      </c>
      <c r="H18" s="581"/>
      <c r="I18" s="579">
        <v>1.4238166270196374E-2</v>
      </c>
      <c r="J18" s="580">
        <v>8.7651909820467295E-3</v>
      </c>
      <c r="K18" s="323">
        <f>$J$216/$B$64/1000</f>
        <v>1.4188877003496501E-2</v>
      </c>
      <c r="L18" s="40">
        <v>3.8686583635503702E-2</v>
      </c>
      <c r="M18" s="318">
        <v>7.259843652712092E-3</v>
      </c>
      <c r="N18" s="581"/>
      <c r="O18" s="579">
        <v>0</v>
      </c>
      <c r="P18" s="580">
        <v>0</v>
      </c>
      <c r="Q18" s="581"/>
      <c r="R18" s="579">
        <v>5.663317933180703E-3</v>
      </c>
      <c r="S18" s="580">
        <v>7.259843652712092E-3</v>
      </c>
      <c r="V18" s="315">
        <f t="shared" si="12"/>
        <v>1.4188877003496501E-2</v>
      </c>
      <c r="W18" s="249">
        <v>0</v>
      </c>
      <c r="X18" s="320">
        <f t="shared" si="6"/>
        <v>1.4188877003496501E-2</v>
      </c>
      <c r="AA18" s="614" t="s">
        <v>95</v>
      </c>
      <c r="AB18" s="617" t="s">
        <v>97</v>
      </c>
      <c r="AC18" s="705">
        <f>ROUND(J214,0)</f>
        <v>180695</v>
      </c>
      <c r="AD18" s="612">
        <f>ROUND(H214,0)</f>
        <v>19800</v>
      </c>
      <c r="AE18" s="620">
        <f t="shared" si="7"/>
        <v>9.1260101010101007</v>
      </c>
      <c r="AF18" s="621">
        <f>ROUND(AD18/$B$64,3)</f>
        <v>1.5840000000000001</v>
      </c>
      <c r="AG18" s="618">
        <f t="shared" si="8"/>
        <v>0</v>
      </c>
      <c r="AH18" s="620">
        <f t="shared" si="9"/>
        <v>0</v>
      </c>
      <c r="AI18" s="618">
        <f t="shared" si="10"/>
        <v>180695</v>
      </c>
      <c r="AJ18" s="622">
        <f t="shared" si="11"/>
        <v>0</v>
      </c>
    </row>
    <row r="19" spans="1:36">
      <c r="A19" s="2" t="s">
        <v>17</v>
      </c>
      <c r="B19" s="323">
        <f>$E$243</f>
        <v>0</v>
      </c>
      <c r="C19" s="40">
        <v>2.2776301313225766E-3</v>
      </c>
      <c r="D19" s="318">
        <v>2.4498520231213874E-3</v>
      </c>
      <c r="E19" s="581">
        <f>$E$243</f>
        <v>0</v>
      </c>
      <c r="F19" s="579">
        <v>1.9225049068814621E-3</v>
      </c>
      <c r="G19" s="580">
        <v>2.4498520231213874E-3</v>
      </c>
      <c r="H19" s="581"/>
      <c r="I19" s="579">
        <v>9.2721692692489689E-3</v>
      </c>
      <c r="J19" s="580">
        <v>2.8006634507368004E-3</v>
      </c>
      <c r="K19" s="323">
        <f>$E$243</f>
        <v>0</v>
      </c>
      <c r="L19" s="40">
        <v>1.2541660097745547E-2</v>
      </c>
      <c r="M19" s="318">
        <v>2.4498520231213874E-3</v>
      </c>
      <c r="N19" s="581"/>
      <c r="O19" s="579">
        <v>0</v>
      </c>
      <c r="P19" s="580">
        <v>0</v>
      </c>
      <c r="Q19" s="581"/>
      <c r="R19" s="579">
        <v>2.3710733038125658E-3</v>
      </c>
      <c r="S19" s="580">
        <v>2.4498520231213874E-3</v>
      </c>
      <c r="V19" s="315">
        <f t="shared" si="12"/>
        <v>0</v>
      </c>
      <c r="W19" s="249">
        <v>0</v>
      </c>
      <c r="X19" s="320">
        <f t="shared" si="6"/>
        <v>0</v>
      </c>
      <c r="AA19" s="614" t="s">
        <v>91</v>
      </c>
      <c r="AB19" s="617" t="s">
        <v>98</v>
      </c>
      <c r="AC19" s="618">
        <f>ROUND(C243,0)</f>
        <v>0</v>
      </c>
      <c r="AD19" s="612">
        <f>$B$64*1000</f>
        <v>12500000</v>
      </c>
      <c r="AE19" s="620">
        <f t="shared" si="7"/>
        <v>0</v>
      </c>
      <c r="AF19" s="621">
        <f>ROUND(AD19/$B$64,3)</f>
        <v>1000</v>
      </c>
      <c r="AG19" s="618">
        <f t="shared" si="8"/>
        <v>0</v>
      </c>
      <c r="AH19" s="620">
        <f t="shared" si="9"/>
        <v>0</v>
      </c>
      <c r="AI19" s="618">
        <f t="shared" si="10"/>
        <v>0</v>
      </c>
      <c r="AJ19" s="622">
        <f t="shared" si="11"/>
        <v>0</v>
      </c>
    </row>
    <row r="20" spans="1:36">
      <c r="A20" s="2" t="s">
        <v>19</v>
      </c>
      <c r="B20" s="323">
        <f>$E$244</f>
        <v>1.0390480000000001E-2</v>
      </c>
      <c r="C20" s="40">
        <v>6.1012872106399337E-2</v>
      </c>
      <c r="D20" s="318">
        <v>6.3670520231213876E-2</v>
      </c>
      <c r="E20" s="581">
        <f>$E$244</f>
        <v>1.0390480000000001E-2</v>
      </c>
      <c r="F20" s="579">
        <v>5.149888380217553E-2</v>
      </c>
      <c r="G20" s="580">
        <v>6.3670520231213876E-2</v>
      </c>
      <c r="H20" s="581"/>
      <c r="I20" s="579">
        <v>0.24870656391536544</v>
      </c>
      <c r="J20" s="580">
        <v>7.2787946871076453E-2</v>
      </c>
      <c r="K20" s="323">
        <f>$E$244</f>
        <v>1.0390480000000001E-2</v>
      </c>
      <c r="L20" s="40">
        <v>0.34045175784329179</v>
      </c>
      <c r="M20" s="318">
        <v>6.3670520231213876E-2</v>
      </c>
      <c r="N20" s="581"/>
      <c r="O20" s="579">
        <v>0</v>
      </c>
      <c r="P20" s="580">
        <v>0</v>
      </c>
      <c r="Q20" s="581"/>
      <c r="R20" s="579">
        <v>6.4182394472396251E-2</v>
      </c>
      <c r="S20" s="580">
        <v>6.3670520231213876E-2</v>
      </c>
      <c r="V20" s="315">
        <f t="shared" si="12"/>
        <v>1.0390480000000001E-2</v>
      </c>
      <c r="W20" s="249">
        <f>W24-W14-W16-W17-W18-W19-W21</f>
        <v>0</v>
      </c>
      <c r="X20" s="320">
        <f t="shared" si="6"/>
        <v>1.0390480000000001E-2</v>
      </c>
      <c r="AA20" s="614" t="s">
        <v>91</v>
      </c>
      <c r="AB20" s="617" t="s">
        <v>100</v>
      </c>
      <c r="AC20" s="618">
        <f>ROUND(C244,0)</f>
        <v>129881</v>
      </c>
      <c r="AD20" s="612">
        <f>($B$29+$E$29+$H$29+$K$29+$N$29+B60+E60+H60+K60+N60)*1000</f>
        <v>12500000</v>
      </c>
      <c r="AE20" s="620">
        <f>AC20/AD20</f>
        <v>1.0390480000000001E-2</v>
      </c>
      <c r="AF20" s="621">
        <f>ROUND(AD20/($B$29+$E$29+$H$29+$K$29+$N$29+B60+E60+H60+K60+N60),3)</f>
        <v>1000</v>
      </c>
      <c r="AG20" s="618">
        <f t="shared" si="8"/>
        <v>0</v>
      </c>
      <c r="AH20" s="620">
        <f>AG20/AD20</f>
        <v>0</v>
      </c>
      <c r="AI20" s="618">
        <f>AC20-AG20</f>
        <v>129881</v>
      </c>
      <c r="AJ20" s="622">
        <f>AH20*10000</f>
        <v>0</v>
      </c>
    </row>
    <row r="21" spans="1:36" ht="16.5">
      <c r="A21" s="2" t="s">
        <v>18</v>
      </c>
      <c r="B21" s="324">
        <f>$E$245</f>
        <v>3.7630079999999996E-2</v>
      </c>
      <c r="C21" s="672">
        <v>1.5477890159406295E-2</v>
      </c>
      <c r="D21" s="325">
        <v>1.4046242774566474E-2</v>
      </c>
      <c r="E21" s="582">
        <f>$E$245</f>
        <v>3.7630079999999996E-2</v>
      </c>
      <c r="F21" s="583">
        <v>1.2959418954210666E-2</v>
      </c>
      <c r="G21" s="584">
        <v>1.4046242774566474E-2</v>
      </c>
      <c r="H21" s="582"/>
      <c r="I21" s="583">
        <v>6.4467031704184413E-2</v>
      </c>
      <c r="J21" s="584">
        <v>1.8172206436265118E-2</v>
      </c>
      <c r="K21" s="324">
        <f>$E$245</f>
        <v>3.7630079999999996E-2</v>
      </c>
      <c r="L21" s="672">
        <v>8.3528141258079766E-2</v>
      </c>
      <c r="M21" s="325">
        <v>1.4046242774566474E-2</v>
      </c>
      <c r="N21" s="582"/>
      <c r="O21" s="583">
        <v>0</v>
      </c>
      <c r="P21" s="584">
        <v>0</v>
      </c>
      <c r="Q21" s="582"/>
      <c r="R21" s="583">
        <v>1.5675971649095871E-2</v>
      </c>
      <c r="S21" s="584">
        <v>1.4046242774566474E-2</v>
      </c>
      <c r="V21" s="326">
        <f t="shared" si="12"/>
        <v>3.7630079999999996E-2</v>
      </c>
      <c r="W21" s="250">
        <f>W24-W14-W16-W17-W18-W19</f>
        <v>0</v>
      </c>
      <c r="X21" s="327">
        <f t="shared" si="6"/>
        <v>3.7630079999999996E-2</v>
      </c>
      <c r="AA21" s="614" t="s">
        <v>91</v>
      </c>
      <c r="AB21" s="617" t="s">
        <v>99</v>
      </c>
      <c r="AC21" s="623">
        <f>ROUND(C245,0)</f>
        <v>470376</v>
      </c>
      <c r="AD21" s="612">
        <f>$B$64*1000</f>
        <v>12500000</v>
      </c>
      <c r="AE21" s="620">
        <f t="shared" si="7"/>
        <v>3.7630080000000003E-2</v>
      </c>
      <c r="AF21" s="621">
        <f>ROUND(AD21/$B$64,3)</f>
        <v>1000</v>
      </c>
      <c r="AG21" s="623">
        <f t="shared" si="8"/>
        <v>0</v>
      </c>
      <c r="AH21" s="620">
        <f t="shared" si="9"/>
        <v>0</v>
      </c>
      <c r="AI21" s="623">
        <f t="shared" si="10"/>
        <v>470376</v>
      </c>
      <c r="AJ21" s="622">
        <f t="shared" si="11"/>
        <v>0</v>
      </c>
    </row>
    <row r="22" spans="1:36" ht="16.5">
      <c r="A22" s="328" t="s">
        <v>225</v>
      </c>
      <c r="B22" s="323">
        <f t="shared" ref="B22:K22" si="13">SUM(B16:B21)</f>
        <v>0.10952143179370628</v>
      </c>
      <c r="C22" s="40">
        <f t="shared" si="13"/>
        <v>0.10864978350868934</v>
      </c>
      <c r="D22" s="318">
        <v>0.10327622641676884</v>
      </c>
      <c r="E22" s="581">
        <f t="shared" si="13"/>
        <v>0.10952143179370628</v>
      </c>
      <c r="F22" s="579">
        <f t="shared" si="13"/>
        <v>9.686744004966355E-2</v>
      </c>
      <c r="G22" s="580">
        <v>0.10327622641676884</v>
      </c>
      <c r="H22" s="581"/>
      <c r="I22" s="579">
        <f t="shared" ref="I22:J22" si="14">SUM(I16:I21)</f>
        <v>0.35363587567907728</v>
      </c>
      <c r="J22" s="580">
        <f t="shared" si="14"/>
        <v>0.1217748176258054</v>
      </c>
      <c r="K22" s="323">
        <f t="shared" si="13"/>
        <v>0.10952143179370628</v>
      </c>
      <c r="L22" s="40">
        <f t="shared" ref="L22:P22" si="15">SUM(L16:L21)</f>
        <v>0.51685180513952378</v>
      </c>
      <c r="M22" s="318">
        <v>0.10327622641676884</v>
      </c>
      <c r="N22" s="581"/>
      <c r="O22" s="579">
        <f t="shared" si="15"/>
        <v>0</v>
      </c>
      <c r="P22" s="580">
        <f t="shared" si="15"/>
        <v>0</v>
      </c>
      <c r="Q22" s="581"/>
      <c r="R22" s="579">
        <f t="shared" ref="R22" si="16">SUM(R16:R21)</f>
        <v>0.10328935470161633</v>
      </c>
      <c r="S22" s="580">
        <v>0.10327622641676884</v>
      </c>
      <c r="V22" s="315">
        <f>SUM(V16:V21)</f>
        <v>0.10952143179370628</v>
      </c>
      <c r="W22" s="249">
        <f>SUM(W16:W21)</f>
        <v>2.856621727096148E-2</v>
      </c>
      <c r="X22" s="320">
        <f>SUM(X16:X21)</f>
        <v>8.0955214522744817E-2</v>
      </c>
      <c r="AA22" s="624"/>
      <c r="AB22" s="625"/>
      <c r="AC22" s="623">
        <f>SUM(AC16:AC21)</f>
        <v>1383270</v>
      </c>
      <c r="AD22" s="626"/>
      <c r="AE22" s="612"/>
      <c r="AF22" s="612"/>
      <c r="AG22" s="623">
        <f>SUM(AG16:AG21)</f>
        <v>357078</v>
      </c>
      <c r="AH22" s="612"/>
      <c r="AI22" s="623">
        <f>SUM(AI16:AI21)</f>
        <v>1026192</v>
      </c>
      <c r="AJ22" s="612"/>
    </row>
    <row r="23" spans="1:36">
      <c r="A23" s="509"/>
      <c r="B23" s="323"/>
      <c r="C23" s="10"/>
      <c r="D23" s="318"/>
      <c r="E23" s="581"/>
      <c r="F23" s="579"/>
      <c r="G23" s="580"/>
      <c r="H23" s="581"/>
      <c r="I23" s="579"/>
      <c r="J23" s="580"/>
      <c r="K23" s="323"/>
      <c r="L23" s="10"/>
      <c r="M23" s="513"/>
      <c r="N23" s="581"/>
      <c r="O23" s="579"/>
      <c r="P23" s="580"/>
      <c r="Q23" s="581"/>
      <c r="R23" s="579"/>
      <c r="S23" s="580"/>
      <c r="V23" s="315"/>
      <c r="W23" s="249"/>
      <c r="X23" s="320"/>
      <c r="AA23" s="866" t="s">
        <v>226</v>
      </c>
      <c r="AB23" s="866"/>
      <c r="AC23" s="627">
        <f>AC14+AC22</f>
        <v>1648692</v>
      </c>
      <c r="AD23" s="626"/>
      <c r="AE23" s="612"/>
      <c r="AF23" s="612"/>
      <c r="AG23" s="627">
        <f>AG14+AG22</f>
        <v>622500</v>
      </c>
      <c r="AH23" s="612"/>
      <c r="AI23" s="628">
        <f>AI14+AI22</f>
        <v>1026192</v>
      </c>
      <c r="AJ23" s="612"/>
    </row>
    <row r="24" spans="1:36" ht="15.75" thickBot="1">
      <c r="A24" s="526" t="s">
        <v>365</v>
      </c>
      <c r="B24" s="502">
        <f t="shared" ref="B24:P24" si="17">B14+B22</f>
        <v>0.33278611371159011</v>
      </c>
      <c r="C24" s="503">
        <f t="shared" si="17"/>
        <v>0.34123725545900196</v>
      </c>
      <c r="D24" s="504">
        <f t="shared" si="17"/>
        <v>0.41123685352547701</v>
      </c>
      <c r="E24" s="585">
        <f t="shared" si="17"/>
        <v>0.33798622107785775</v>
      </c>
      <c r="F24" s="586">
        <f t="shared" si="17"/>
        <v>0.32716510658194697</v>
      </c>
      <c r="G24" s="587">
        <f t="shared" si="17"/>
        <v>0.408875392347818</v>
      </c>
      <c r="H24" s="585">
        <f t="shared" si="17"/>
        <v>0</v>
      </c>
      <c r="I24" s="586">
        <f t="shared" si="17"/>
        <v>0.7754360509974263</v>
      </c>
      <c r="J24" s="587">
        <f t="shared" si="17"/>
        <v>0.70418561392521739</v>
      </c>
      <c r="K24" s="502">
        <f t="shared" si="17"/>
        <v>0.38002085856247364</v>
      </c>
      <c r="L24" s="503">
        <f t="shared" si="17"/>
        <v>0.84702490934888841</v>
      </c>
      <c r="M24" s="504">
        <f t="shared" si="17"/>
        <v>0.53693933800233373</v>
      </c>
      <c r="N24" s="585">
        <f t="shared" si="17"/>
        <v>0</v>
      </c>
      <c r="O24" s="586">
        <f t="shared" si="17"/>
        <v>0</v>
      </c>
      <c r="P24" s="587">
        <f t="shared" si="17"/>
        <v>0</v>
      </c>
      <c r="Q24" s="585">
        <f>Q14+Q22</f>
        <v>0</v>
      </c>
      <c r="R24" s="586">
        <f t="shared" ref="R24:S24" si="18">R14+R22</f>
        <v>0.36619670427594136</v>
      </c>
      <c r="S24" s="587">
        <f t="shared" si="18"/>
        <v>0.43701161176133096</v>
      </c>
      <c r="V24" s="333">
        <f>V14+V22</f>
        <v>0.41911732770647375</v>
      </c>
      <c r="W24" s="334">
        <f>0.0498+V6+V7+V8</f>
        <v>0.33816211318372896</v>
      </c>
      <c r="X24" s="335">
        <f>X14+X22</f>
        <v>8.0955214522744817E-2</v>
      </c>
      <c r="AA24" s="866" t="s">
        <v>227</v>
      </c>
      <c r="AB24" s="866"/>
      <c r="AC24" s="629">
        <f>ROUND(AC23/AC29,5)</f>
        <v>0.13189999999999999</v>
      </c>
      <c r="AD24" s="630"/>
      <c r="AE24" s="612"/>
      <c r="AF24" s="612"/>
      <c r="AG24" s="629">
        <f>ROUND(AG23/AC29,5)</f>
        <v>4.9799999999999997E-2</v>
      </c>
      <c r="AH24" s="612"/>
      <c r="AI24" s="629">
        <f>ROUND(AI23/AC29,5)</f>
        <v>8.2100000000000006E-2</v>
      </c>
      <c r="AJ24" s="612"/>
    </row>
    <row r="25" spans="1:36">
      <c r="A25" s="501" t="s">
        <v>368</v>
      </c>
      <c r="B25" s="494">
        <f>-B7</f>
        <v>0</v>
      </c>
      <c r="C25" s="497"/>
      <c r="D25" s="498">
        <v>-2.8073919999999999E-2</v>
      </c>
      <c r="E25" s="588">
        <f>-E7</f>
        <v>0</v>
      </c>
      <c r="F25" s="589"/>
      <c r="G25" s="590">
        <v>-2.8073919999999999E-2</v>
      </c>
      <c r="H25" s="588">
        <f>-H7</f>
        <v>0</v>
      </c>
      <c r="I25" s="589"/>
      <c r="J25" s="590">
        <v>-0.22562455300000001</v>
      </c>
      <c r="K25" s="494">
        <f>-K7</f>
        <v>0</v>
      </c>
      <c r="L25" s="497"/>
      <c r="M25" s="498">
        <v>-2.8869620053602395E-2</v>
      </c>
      <c r="N25" s="588">
        <f>-N7</f>
        <v>0</v>
      </c>
      <c r="O25" s="589"/>
      <c r="P25" s="590"/>
      <c r="Q25" s="588">
        <f>-Q7</f>
        <v>0</v>
      </c>
      <c r="R25" s="589"/>
      <c r="S25" s="590">
        <v>-2.7061741239049669E-2</v>
      </c>
      <c r="V25" s="499">
        <v>0</v>
      </c>
      <c r="W25" s="493"/>
      <c r="X25" s="493"/>
      <c r="AA25" s="631"/>
      <c r="AB25" s="631"/>
      <c r="AC25" s="629"/>
      <c r="AD25" s="630"/>
      <c r="AE25" s="612"/>
      <c r="AF25" s="612"/>
      <c r="AG25" s="629"/>
      <c r="AH25" s="612"/>
      <c r="AI25" s="629"/>
      <c r="AJ25" s="612"/>
    </row>
    <row r="26" spans="1:36">
      <c r="A26" s="328" t="s">
        <v>367</v>
      </c>
      <c r="B26" s="323">
        <f t="shared" ref="B26:S26" si="19">IF(B9+B10+B11+B12+B13+B22&gt;0.0498,0.0498-B9-B10-B11-B12-B13-B22,0)</f>
        <v>-8.0955214522744845E-2</v>
      </c>
      <c r="C26" s="544">
        <v>-7.9184631924661131E-2</v>
      </c>
      <c r="D26" s="318">
        <f t="shared" si="19"/>
        <v>-7.9620813644774191E-2</v>
      </c>
      <c r="E26" s="581">
        <f>IF(E9+E10+E11+E12+E13+E22&gt;0.0498,0.0498-E9-E10-E11-E12-E13-E22,0)</f>
        <v>-8.0955214522744845E-2</v>
      </c>
      <c r="F26" s="591">
        <f t="shared" si="19"/>
        <v>-6.4407030619131556E-2</v>
      </c>
      <c r="G26" s="580">
        <f t="shared" si="19"/>
        <v>-7.9620813644774191E-2</v>
      </c>
      <c r="H26" s="581">
        <f>IF(H9+H10+H11+H12+H13+H22&gt;0.0498,0.0498-H9-H10-H11-H12-H13-H22,0)</f>
        <v>0</v>
      </c>
      <c r="I26" s="591">
        <v>-0.36723742753134692</v>
      </c>
      <c r="J26" s="580">
        <f t="shared" si="19"/>
        <v>-0.10097661092521729</v>
      </c>
      <c r="K26" s="323">
        <f t="shared" si="19"/>
        <v>-8.0955214522744845E-2</v>
      </c>
      <c r="L26" s="544">
        <f t="shared" si="19"/>
        <v>-0.54222065268800246</v>
      </c>
      <c r="M26" s="318">
        <f t="shared" si="19"/>
        <v>-7.9620813644774191E-2</v>
      </c>
      <c r="N26" s="581">
        <f t="shared" si="19"/>
        <v>0</v>
      </c>
      <c r="O26" s="591">
        <f t="shared" si="19"/>
        <v>0</v>
      </c>
      <c r="P26" s="580">
        <f t="shared" si="19"/>
        <v>0</v>
      </c>
      <c r="Q26" s="581">
        <f t="shared" si="19"/>
        <v>0</v>
      </c>
      <c r="R26" s="591">
        <f t="shared" si="19"/>
        <v>-8.3948721604540533E-2</v>
      </c>
      <c r="S26" s="580">
        <f t="shared" si="19"/>
        <v>-7.9620813644774191E-2</v>
      </c>
      <c r="V26" s="499">
        <f>($B26*$B$29+$E26*$E$29+$H26*$H$29+$K26*$K$29+$N26*$N$29+$Q26*$Q$29+$B57*$B$60+$E57*$E$60+$H57*$H$60+$K57*$K$60+$N57*$N$60+$Q57*$Q$60)/$B$64</f>
        <v>-8.0955214522744845E-2</v>
      </c>
      <c r="W26" s="495"/>
      <c r="X26" s="495"/>
      <c r="AA26" s="612"/>
      <c r="AB26" s="612"/>
      <c r="AC26" s="632"/>
      <c r="AD26" s="625"/>
      <c r="AE26" s="612"/>
      <c r="AF26" s="612"/>
      <c r="AG26" s="632"/>
      <c r="AH26" s="612"/>
      <c r="AI26" s="632"/>
      <c r="AJ26" s="612"/>
    </row>
    <row r="27" spans="1:36" ht="15.75" thickBot="1">
      <c r="A27" s="526" t="s">
        <v>366</v>
      </c>
      <c r="B27" s="502">
        <f t="shared" ref="B27:S27" si="20">SUM(B24:B26)</f>
        <v>0.25183089918884527</v>
      </c>
      <c r="C27" s="503">
        <f t="shared" si="20"/>
        <v>0.26205262353434083</v>
      </c>
      <c r="D27" s="504">
        <f t="shared" si="20"/>
        <v>0.30354211988070284</v>
      </c>
      <c r="E27" s="585">
        <f t="shared" si="20"/>
        <v>0.25703100655511291</v>
      </c>
      <c r="F27" s="586">
        <f t="shared" si="20"/>
        <v>0.26275807596281542</v>
      </c>
      <c r="G27" s="587">
        <f t="shared" si="20"/>
        <v>0.30118065870304384</v>
      </c>
      <c r="H27" s="698">
        <f t="shared" si="20"/>
        <v>0</v>
      </c>
      <c r="I27" s="586">
        <f t="shared" si="20"/>
        <v>0.40819862346607938</v>
      </c>
      <c r="J27" s="587">
        <f t="shared" si="20"/>
        <v>0.37758445000000007</v>
      </c>
      <c r="K27" s="502">
        <f t="shared" si="20"/>
        <v>0.2990656440397288</v>
      </c>
      <c r="L27" s="503">
        <f t="shared" si="20"/>
        <v>0.30480425666088595</v>
      </c>
      <c r="M27" s="504">
        <f t="shared" si="20"/>
        <v>0.42844890430395716</v>
      </c>
      <c r="N27" s="585">
        <f t="shared" si="20"/>
        <v>0</v>
      </c>
      <c r="O27" s="586">
        <f t="shared" si="20"/>
        <v>0</v>
      </c>
      <c r="P27" s="587">
        <f t="shared" si="20"/>
        <v>0</v>
      </c>
      <c r="Q27" s="585">
        <f t="shared" si="20"/>
        <v>0</v>
      </c>
      <c r="R27" s="586">
        <f t="shared" si="20"/>
        <v>0.28224798267140083</v>
      </c>
      <c r="S27" s="587">
        <f t="shared" si="20"/>
        <v>0.33032905687750708</v>
      </c>
      <c r="V27" s="333">
        <f>SUM(V24:V26)</f>
        <v>0.33816211318372891</v>
      </c>
      <c r="W27" s="334"/>
      <c r="X27" s="335"/>
      <c r="AA27" s="866"/>
      <c r="AB27" s="866"/>
      <c r="AC27" s="629"/>
      <c r="AD27" s="630"/>
      <c r="AE27" s="612"/>
      <c r="AF27" s="612"/>
      <c r="AG27" s="629"/>
      <c r="AH27" s="612"/>
      <c r="AI27" s="629"/>
      <c r="AJ27" s="612"/>
    </row>
    <row r="28" spans="1:36" ht="15.75" thickBot="1">
      <c r="A28" s="509"/>
      <c r="B28" s="558"/>
      <c r="D28" s="511"/>
      <c r="E28" s="592"/>
      <c r="F28" s="593"/>
      <c r="G28" s="594"/>
      <c r="H28" s="592"/>
      <c r="I28" s="593"/>
      <c r="J28" s="594"/>
      <c r="K28" s="558"/>
      <c r="M28" s="511"/>
      <c r="N28" s="592"/>
      <c r="O28" s="593"/>
      <c r="P28" s="594"/>
      <c r="Q28" s="592"/>
      <c r="R28" s="593"/>
      <c r="S28" s="594"/>
      <c r="AA28" s="866" t="s">
        <v>228</v>
      </c>
      <c r="AB28" s="866"/>
      <c r="AC28" s="629">
        <f>ROUND((AC24+(B8*B29+E8*E29+H8*H29+K8*K29+N8*N29+Q8*Q29+B39*B60+E39*E60+H39*H60)/B64),5)</f>
        <v>0.16184999999999999</v>
      </c>
      <c r="AD28" s="624"/>
      <c r="AE28" s="612"/>
      <c r="AF28" s="612"/>
      <c r="AG28" s="629">
        <f>ROUND(AG24+W8,5)</f>
        <v>7.9750000000000001E-2</v>
      </c>
      <c r="AH28" s="612"/>
      <c r="AI28" s="629">
        <f>ROUND(AI24+X8,5)</f>
        <v>8.2100000000000006E-2</v>
      </c>
      <c r="AJ28" s="612"/>
    </row>
    <row r="29" spans="1:36" ht="15.75" thickBot="1">
      <c r="A29" s="526" t="s">
        <v>392</v>
      </c>
      <c r="B29" s="517">
        <f>+B81</f>
        <v>3000</v>
      </c>
      <c r="C29" s="518">
        <v>15431</v>
      </c>
      <c r="D29" s="519">
        <v>10000</v>
      </c>
      <c r="E29" s="595">
        <v>0</v>
      </c>
      <c r="F29" s="596">
        <v>9412</v>
      </c>
      <c r="G29" s="597">
        <v>10000</v>
      </c>
      <c r="H29" s="701">
        <v>0</v>
      </c>
      <c r="I29" s="596">
        <v>74</v>
      </c>
      <c r="J29" s="597">
        <v>0</v>
      </c>
      <c r="K29" s="517">
        <f>+B84</f>
        <v>1200</v>
      </c>
      <c r="L29" s="518">
        <v>254</v>
      </c>
      <c r="M29" s="519">
        <v>1000</v>
      </c>
      <c r="N29" s="595">
        <f>$B$85</f>
        <v>0</v>
      </c>
      <c r="O29" s="596">
        <v>0</v>
      </c>
      <c r="P29" s="597">
        <v>0</v>
      </c>
      <c r="Q29" s="595">
        <v>0</v>
      </c>
      <c r="R29" s="596">
        <v>3647.15</v>
      </c>
      <c r="S29" s="597">
        <v>1300</v>
      </c>
      <c r="V29" s="339">
        <f>B29+E29+H29+K29+N29+Q29+B60+E60+H60+K60+N60+Q60</f>
        <v>12500</v>
      </c>
      <c r="AA29" s="867" t="s">
        <v>215</v>
      </c>
      <c r="AB29" s="867"/>
      <c r="AC29" s="633">
        <f>ROUND($B$64*1000,0)</f>
        <v>12500000</v>
      </c>
      <c r="AD29" s="624"/>
      <c r="AE29" s="612"/>
      <c r="AF29" s="612"/>
      <c r="AG29" s="631"/>
      <c r="AH29" s="612"/>
      <c r="AI29" s="631"/>
      <c r="AJ29" s="612"/>
    </row>
    <row r="30" spans="1:36">
      <c r="A30" s="505"/>
      <c r="B30" s="557"/>
      <c r="C30" s="4"/>
      <c r="D30" s="508"/>
      <c r="E30" s="598"/>
      <c r="F30" s="599"/>
      <c r="G30" s="600"/>
      <c r="H30" s="598"/>
      <c r="I30" s="599"/>
      <c r="J30" s="600"/>
      <c r="K30" s="557"/>
      <c r="L30" s="4"/>
      <c r="M30" s="508"/>
      <c r="N30" s="598"/>
      <c r="O30" s="599"/>
      <c r="P30" s="600"/>
      <c r="Q30" s="598"/>
      <c r="R30" s="599"/>
      <c r="S30" s="600"/>
      <c r="AA30" s="341"/>
      <c r="AB30" s="341"/>
      <c r="AC30" s="342"/>
      <c r="AD30" s="1"/>
      <c r="AG30" s="176"/>
      <c r="AI30" s="176"/>
    </row>
    <row r="31" spans="1:36">
      <c r="A31" s="564"/>
      <c r="B31" s="502"/>
      <c r="C31" s="543"/>
      <c r="D31" s="556"/>
      <c r="E31" s="502"/>
      <c r="F31" s="543"/>
      <c r="G31" s="504"/>
      <c r="H31" s="502"/>
      <c r="I31" s="543"/>
      <c r="J31" s="556"/>
      <c r="K31" s="502"/>
      <c r="L31" s="543"/>
      <c r="M31" s="556"/>
      <c r="N31" s="502"/>
      <c r="O31" s="543"/>
      <c r="P31" s="504"/>
      <c r="Q31" s="502"/>
      <c r="R31" s="543"/>
      <c r="S31" s="556"/>
      <c r="AA31" s="341"/>
      <c r="AB31" s="341"/>
      <c r="AC31" s="342"/>
      <c r="AD31" s="1"/>
      <c r="AG31" s="176"/>
      <c r="AI31" s="176"/>
    </row>
    <row r="32" spans="1:36">
      <c r="A32" s="505"/>
      <c r="B32" s="515"/>
      <c r="C32" s="507"/>
      <c r="D32" s="507"/>
      <c r="E32" s="509"/>
      <c r="F32" s="509"/>
      <c r="G32" s="509"/>
      <c r="H32" s="516"/>
      <c r="I32" s="509"/>
      <c r="J32" s="509"/>
      <c r="K32" s="509"/>
      <c r="L32" s="509"/>
      <c r="M32" s="509"/>
      <c r="N32" s="509"/>
      <c r="O32" s="509"/>
      <c r="P32" s="509"/>
      <c r="Q32" s="509"/>
      <c r="R32" s="509"/>
      <c r="S32" s="509"/>
      <c r="AA32" s="341"/>
      <c r="AB32" s="341"/>
      <c r="AC32" s="342"/>
      <c r="AD32" s="1"/>
      <c r="AG32" s="176"/>
      <c r="AI32" s="176"/>
    </row>
    <row r="33" spans="1:35">
      <c r="A33" s="505"/>
      <c r="B33" s="515"/>
      <c r="C33" s="507"/>
      <c r="D33" s="507"/>
      <c r="E33" s="509"/>
      <c r="F33" s="509"/>
      <c r="G33" s="509"/>
      <c r="H33" s="516"/>
      <c r="I33" s="509"/>
      <c r="J33" s="509"/>
      <c r="K33" s="509"/>
      <c r="L33" s="509"/>
      <c r="M33" s="509"/>
      <c r="N33" s="509"/>
      <c r="O33" s="509"/>
      <c r="P33" s="509"/>
      <c r="Q33" s="509"/>
      <c r="R33" s="509"/>
      <c r="S33" s="509"/>
      <c r="AA33" s="341"/>
      <c r="AB33" s="341"/>
      <c r="AC33" s="342"/>
      <c r="AD33" s="1"/>
      <c r="AG33" s="176"/>
      <c r="AI33" s="176"/>
    </row>
    <row r="34" spans="1:35" ht="16.899999999999999" customHeight="1">
      <c r="A34" s="340"/>
      <c r="B34" s="860" t="s">
        <v>322</v>
      </c>
      <c r="C34" s="861"/>
      <c r="D34" s="862"/>
      <c r="E34" s="860" t="s">
        <v>323</v>
      </c>
      <c r="F34" s="861"/>
      <c r="G34" s="862"/>
      <c r="H34" s="860" t="s">
        <v>400</v>
      </c>
      <c r="I34" s="861"/>
      <c r="J34" s="862"/>
      <c r="K34" s="871" t="s">
        <v>325</v>
      </c>
      <c r="L34" s="872"/>
      <c r="M34" s="873"/>
      <c r="N34" s="874" t="s">
        <v>407</v>
      </c>
      <c r="O34" s="875"/>
      <c r="P34" s="876"/>
      <c r="Q34" s="874" t="s">
        <v>407</v>
      </c>
      <c r="R34" s="875"/>
      <c r="S34" s="876"/>
      <c r="AA34" s="341"/>
      <c r="AB34" s="341"/>
      <c r="AC34" s="342"/>
      <c r="AD34" s="1"/>
      <c r="AG34" s="176"/>
      <c r="AI34" s="176"/>
    </row>
    <row r="35" spans="1:35" ht="15" customHeight="1">
      <c r="A35" s="340"/>
      <c r="B35" s="304" t="str">
        <f>+B4</f>
        <v>21 Standard</v>
      </c>
      <c r="C35" s="670" t="s">
        <v>402</v>
      </c>
      <c r="D35" s="306" t="str">
        <f>+D4</f>
        <v>20 Standard</v>
      </c>
      <c r="E35" s="304" t="str">
        <f>+B4</f>
        <v>21 Standard</v>
      </c>
      <c r="F35" s="670" t="s">
        <v>402</v>
      </c>
      <c r="G35" s="306" t="str">
        <f>+D4</f>
        <v>20 Standard</v>
      </c>
      <c r="H35" s="304" t="str">
        <f>+B4</f>
        <v>21 Standard</v>
      </c>
      <c r="I35" s="670" t="s">
        <v>402</v>
      </c>
      <c r="J35" s="306" t="str">
        <f>+D4</f>
        <v>20 Standard</v>
      </c>
      <c r="K35" s="569" t="str">
        <f>+B4</f>
        <v>21 Standard</v>
      </c>
      <c r="L35" s="570" t="s">
        <v>402</v>
      </c>
      <c r="M35" s="571" t="str">
        <f>+D4</f>
        <v>20 Standard</v>
      </c>
      <c r="N35" s="569" t="str">
        <f>+B4</f>
        <v>21 Standard</v>
      </c>
      <c r="O35" s="570" t="s">
        <v>402</v>
      </c>
      <c r="P35" s="571" t="str">
        <f>+D4</f>
        <v>20 Standard</v>
      </c>
      <c r="Q35" s="569" t="str">
        <f>+B4</f>
        <v>21 Standard</v>
      </c>
      <c r="R35" s="570" t="s">
        <v>402</v>
      </c>
      <c r="S35" s="571" t="str">
        <f>+D4</f>
        <v>20 Standard</v>
      </c>
      <c r="AA35" s="341"/>
      <c r="AB35" s="341"/>
      <c r="AC35" s="342"/>
      <c r="AD35" s="1"/>
      <c r="AG35" s="176"/>
      <c r="AI35" s="176"/>
    </row>
    <row r="36" spans="1:35">
      <c r="A36" s="340"/>
      <c r="B36" s="307"/>
      <c r="C36" s="394" t="s">
        <v>401</v>
      </c>
      <c r="D36" s="308"/>
      <c r="E36" s="307"/>
      <c r="F36" s="394" t="s">
        <v>401</v>
      </c>
      <c r="G36" s="308"/>
      <c r="H36" s="307"/>
      <c r="I36" s="394" t="s">
        <v>401</v>
      </c>
      <c r="J36" s="308"/>
      <c r="K36" s="572"/>
      <c r="L36" s="573" t="s">
        <v>401</v>
      </c>
      <c r="M36" s="574"/>
      <c r="N36" s="572"/>
      <c r="O36" s="573"/>
      <c r="P36" s="574"/>
      <c r="Q36" s="572"/>
      <c r="R36" s="573"/>
      <c r="S36" s="574"/>
      <c r="AA36" s="341"/>
      <c r="AB36" s="341"/>
      <c r="AC36" s="342"/>
      <c r="AD36" s="1"/>
      <c r="AG36" s="176"/>
      <c r="AI36" s="176"/>
    </row>
    <row r="37" spans="1:35">
      <c r="A37" s="6" t="s">
        <v>223</v>
      </c>
      <c r="B37" s="312">
        <f>E150</f>
        <v>0.22007722007722005</v>
      </c>
      <c r="C37" s="671">
        <v>0.34054143154143152</v>
      </c>
      <c r="D37" s="313">
        <v>0.19598455598455597</v>
      </c>
      <c r="E37" s="312">
        <f>G150</f>
        <v>0.41282107222012276</v>
      </c>
      <c r="F37" s="671">
        <v>0.41049999999999998</v>
      </c>
      <c r="G37" s="313">
        <v>0.41539541165776384</v>
      </c>
      <c r="H37" s="312">
        <f>I150</f>
        <v>0.28800983748819542</v>
      </c>
      <c r="I37" s="671">
        <v>0.26541432306194557</v>
      </c>
      <c r="J37" s="313">
        <v>0.29172285629901884</v>
      </c>
      <c r="K37" s="575"/>
      <c r="L37" s="576">
        <v>0</v>
      </c>
      <c r="M37" s="577">
        <v>1.8829093264248706</v>
      </c>
      <c r="N37" s="575"/>
      <c r="O37" s="576">
        <v>0</v>
      </c>
      <c r="P37" s="577">
        <v>0</v>
      </c>
      <c r="Q37" s="575"/>
      <c r="R37" s="576">
        <v>0</v>
      </c>
      <c r="S37" s="577">
        <v>0</v>
      </c>
      <c r="AA37" s="341"/>
      <c r="AB37" s="341"/>
      <c r="AC37" s="342"/>
      <c r="AD37" s="1"/>
      <c r="AG37" s="176"/>
      <c r="AI37" s="176"/>
    </row>
    <row r="38" spans="1:35">
      <c r="A38" s="500" t="s">
        <v>362</v>
      </c>
      <c r="B38" s="317">
        <f>$C136*D136</f>
        <v>0</v>
      </c>
      <c r="C38" s="40"/>
      <c r="D38" s="318">
        <v>0.10656370656370655</v>
      </c>
      <c r="E38" s="317">
        <f>$C134*F134</f>
        <v>4.6029189145022416E-2</v>
      </c>
      <c r="F38" s="40"/>
      <c r="G38" s="318">
        <v>0.1175958255114443</v>
      </c>
      <c r="H38" s="317">
        <f>$C131*H131</f>
        <v>9.3327229569345554E-2</v>
      </c>
      <c r="I38" s="40"/>
      <c r="J38" s="318">
        <v>0.18665445913869111</v>
      </c>
      <c r="K38" s="578"/>
      <c r="L38" s="579"/>
      <c r="M38" s="580">
        <v>0.16177979274611401</v>
      </c>
      <c r="N38" s="578"/>
      <c r="O38" s="579"/>
      <c r="P38" s="580">
        <v>0</v>
      </c>
      <c r="Q38" s="578"/>
      <c r="R38" s="579"/>
      <c r="S38" s="580">
        <v>0</v>
      </c>
      <c r="AA38" s="341"/>
      <c r="AB38" s="341"/>
      <c r="AC38" s="342"/>
      <c r="AD38" s="1"/>
      <c r="AG38" s="176"/>
      <c r="AI38" s="176"/>
    </row>
    <row r="39" spans="1:35">
      <c r="A39" s="6" t="s">
        <v>373</v>
      </c>
      <c r="B39" s="317">
        <f>E151+E152</f>
        <v>4.6760700000000009E-2</v>
      </c>
      <c r="C39" s="40">
        <v>9.3737946737946748E-2</v>
      </c>
      <c r="D39" s="318">
        <v>8.681591575091574E-2</v>
      </c>
      <c r="E39" s="317">
        <f>G151+G152</f>
        <v>4.2218479904809571E-2</v>
      </c>
      <c r="F39" s="40">
        <v>4.389437130396593E-2</v>
      </c>
      <c r="G39" s="318">
        <v>4.4288615549632829E-2</v>
      </c>
      <c r="H39" s="317">
        <f>I151+I152</f>
        <v>8.7585249999999996E-3</v>
      </c>
      <c r="I39" s="40">
        <v>4.8438019813532553E-2</v>
      </c>
      <c r="J39" s="318">
        <v>0.10420357547847456</v>
      </c>
      <c r="K39" s="578"/>
      <c r="L39" s="579">
        <v>0</v>
      </c>
      <c r="M39" s="580">
        <v>4.2578634824999996E-2</v>
      </c>
      <c r="N39" s="578"/>
      <c r="O39" s="579">
        <v>0</v>
      </c>
      <c r="P39" s="580">
        <v>0</v>
      </c>
      <c r="Q39" s="578"/>
      <c r="R39" s="579">
        <v>0</v>
      </c>
      <c r="S39" s="580">
        <v>0</v>
      </c>
      <c r="AA39" s="341"/>
      <c r="AB39" s="341"/>
      <c r="AC39" s="342"/>
      <c r="AD39" s="1"/>
      <c r="AG39" s="176"/>
      <c r="AI39" s="176"/>
    </row>
    <row r="40" spans="1:35">
      <c r="A40" s="6" t="s">
        <v>8</v>
      </c>
      <c r="B40" s="317">
        <f>E170</f>
        <v>5.9095494151563841E-3</v>
      </c>
      <c r="C40" s="40">
        <v>2.6041382041382042E-2</v>
      </c>
      <c r="D40" s="318">
        <v>1.0135435073031706E-2</v>
      </c>
      <c r="E40" s="317">
        <f>G170</f>
        <v>5.9095494151563841E-3</v>
      </c>
      <c r="F40" s="40">
        <v>1.4645894009708308E-2</v>
      </c>
      <c r="G40" s="318">
        <v>1.0135435073031706E-2</v>
      </c>
      <c r="H40" s="317">
        <f>I170</f>
        <v>5.9095494151563841E-3</v>
      </c>
      <c r="I40" s="40">
        <v>1.0462455295705731E-2</v>
      </c>
      <c r="J40" s="318">
        <v>1.0135435073031706E-2</v>
      </c>
      <c r="K40" s="578"/>
      <c r="L40" s="579">
        <v>0</v>
      </c>
      <c r="M40" s="580">
        <v>1.0135435073031706E-2</v>
      </c>
      <c r="N40" s="578"/>
      <c r="O40" s="579">
        <v>0</v>
      </c>
      <c r="P40" s="580">
        <v>0</v>
      </c>
      <c r="Q40" s="578"/>
      <c r="R40" s="579">
        <v>0</v>
      </c>
      <c r="S40" s="580">
        <v>0</v>
      </c>
      <c r="AA40" s="341"/>
      <c r="AB40" s="341"/>
      <c r="AC40" s="342"/>
      <c r="AD40" s="1"/>
      <c r="AG40" s="176"/>
      <c r="AI40" s="176"/>
    </row>
    <row r="41" spans="1:35">
      <c r="A41" s="2" t="s">
        <v>9</v>
      </c>
      <c r="B41" s="317">
        <f>E171</f>
        <v>1.3242333138821752E-3</v>
      </c>
      <c r="C41" s="40">
        <v>1.6828036828036826E-3</v>
      </c>
      <c r="D41" s="318">
        <v>1.124759091389829E-3</v>
      </c>
      <c r="E41" s="317">
        <f>G171</f>
        <v>1.3242333138821752E-3</v>
      </c>
      <c r="F41" s="40">
        <v>5.5474856174528601E-3</v>
      </c>
      <c r="G41" s="318">
        <v>1.124759091389829E-3</v>
      </c>
      <c r="H41" s="317">
        <f>I171</f>
        <v>1.3242333138821752E-3</v>
      </c>
      <c r="I41" s="40">
        <v>8.430598374822016E-4</v>
      </c>
      <c r="J41" s="318">
        <v>1.124759091389829E-3</v>
      </c>
      <c r="K41" s="578"/>
      <c r="L41" s="579">
        <v>0</v>
      </c>
      <c r="M41" s="580">
        <v>1.124759091389829E-3</v>
      </c>
      <c r="N41" s="578"/>
      <c r="O41" s="579">
        <v>0</v>
      </c>
      <c r="P41" s="580">
        <v>0</v>
      </c>
      <c r="Q41" s="578"/>
      <c r="R41" s="579">
        <v>0</v>
      </c>
      <c r="S41" s="580">
        <v>0</v>
      </c>
      <c r="AA41" s="341"/>
      <c r="AB41" s="341"/>
      <c r="AC41" s="342"/>
      <c r="AD41" s="1"/>
      <c r="AG41" s="176"/>
      <c r="AI41" s="176"/>
    </row>
    <row r="42" spans="1:35">
      <c r="A42" s="6" t="s">
        <v>10</v>
      </c>
      <c r="B42" s="323">
        <f>$H$179</f>
        <v>6.0000000000000001E-3</v>
      </c>
      <c r="C42" s="40">
        <v>1.9710325710325712E-2</v>
      </c>
      <c r="D42" s="318">
        <v>8.670520231213872E-3</v>
      </c>
      <c r="E42" s="323">
        <f>$H$179</f>
        <v>6.0000000000000001E-3</v>
      </c>
      <c r="F42" s="40">
        <v>1.2018642132290923E-2</v>
      </c>
      <c r="G42" s="318">
        <v>8.670520231213872E-3</v>
      </c>
      <c r="H42" s="323">
        <f>$H$179</f>
        <v>6.0000000000000001E-3</v>
      </c>
      <c r="I42" s="40">
        <v>7.3389729203708108E-3</v>
      </c>
      <c r="J42" s="318">
        <v>8.670520231213872E-3</v>
      </c>
      <c r="K42" s="581"/>
      <c r="L42" s="579">
        <v>0</v>
      </c>
      <c r="M42" s="580">
        <v>8.670520231213872E-3</v>
      </c>
      <c r="N42" s="581"/>
      <c r="O42" s="579">
        <v>0</v>
      </c>
      <c r="P42" s="580">
        <v>0</v>
      </c>
      <c r="Q42" s="581"/>
      <c r="R42" s="579">
        <v>0</v>
      </c>
      <c r="S42" s="580">
        <v>0</v>
      </c>
      <c r="AA42" s="341"/>
      <c r="AB42" s="341"/>
      <c r="AC42" s="342"/>
      <c r="AD42" s="1"/>
      <c r="AG42" s="176"/>
      <c r="AI42" s="176"/>
    </row>
    <row r="43" spans="1:35">
      <c r="A43" s="6" t="s">
        <v>11</v>
      </c>
      <c r="B43" s="323">
        <f>$H$182</f>
        <v>2E-3</v>
      </c>
      <c r="C43" s="40">
        <v>2.4000594000594001E-3</v>
      </c>
      <c r="D43" s="318">
        <v>4.3352601156069364E-4</v>
      </c>
      <c r="E43" s="323">
        <f>$H$182</f>
        <v>2E-3</v>
      </c>
      <c r="F43" s="40">
        <v>7.8089620468290593E-4</v>
      </c>
      <c r="G43" s="318">
        <v>4.3352601156069364E-4</v>
      </c>
      <c r="H43" s="323">
        <f>$H$182</f>
        <v>2E-3</v>
      </c>
      <c r="I43" s="40">
        <v>6.3205420772589004E-4</v>
      </c>
      <c r="J43" s="318">
        <v>4.3352601156069364E-4</v>
      </c>
      <c r="K43" s="581"/>
      <c r="L43" s="579">
        <v>0</v>
      </c>
      <c r="M43" s="580">
        <v>4.3352601156069364E-4</v>
      </c>
      <c r="N43" s="581"/>
      <c r="O43" s="579">
        <v>0</v>
      </c>
      <c r="P43" s="580">
        <v>0</v>
      </c>
      <c r="Q43" s="581"/>
      <c r="R43" s="579">
        <v>0</v>
      </c>
      <c r="S43" s="580">
        <v>0</v>
      </c>
      <c r="AA43" s="341"/>
      <c r="AB43" s="341"/>
      <c r="AC43" s="342"/>
      <c r="AD43" s="1"/>
      <c r="AG43" s="176"/>
      <c r="AI43" s="176"/>
    </row>
    <row r="44" spans="1:35" ht="16.5">
      <c r="A44" s="6" t="s">
        <v>12</v>
      </c>
      <c r="B44" s="324">
        <f>$H$185</f>
        <v>6.0000000000000001E-3</v>
      </c>
      <c r="C44" s="672">
        <v>2.6652311652311654E-2</v>
      </c>
      <c r="D44" s="325">
        <v>5.7803468208092491E-3</v>
      </c>
      <c r="E44" s="324">
        <f>$H$185</f>
        <v>6.0000000000000001E-3</v>
      </c>
      <c r="F44" s="672">
        <v>2.6473850543307895E-2</v>
      </c>
      <c r="G44" s="325">
        <v>5.7803468208092491E-3</v>
      </c>
      <c r="H44" s="324">
        <f>$H$185</f>
        <v>6.0000000000000001E-3</v>
      </c>
      <c r="I44" s="672">
        <v>9.4086246314516973E-3</v>
      </c>
      <c r="J44" s="325">
        <v>5.7803468208092491E-3</v>
      </c>
      <c r="K44" s="582"/>
      <c r="L44" s="583">
        <v>0</v>
      </c>
      <c r="M44" s="584">
        <v>5.7803468208092491E-3</v>
      </c>
      <c r="N44" s="582"/>
      <c r="O44" s="583">
        <v>0</v>
      </c>
      <c r="P44" s="584">
        <v>0</v>
      </c>
      <c r="Q44" s="582"/>
      <c r="R44" s="583">
        <v>0</v>
      </c>
      <c r="S44" s="584">
        <v>0</v>
      </c>
      <c r="AA44" s="341"/>
      <c r="AB44" s="341"/>
      <c r="AC44" s="342"/>
      <c r="AD44" s="1"/>
      <c r="AG44" s="176"/>
      <c r="AI44" s="176"/>
    </row>
    <row r="45" spans="1:35">
      <c r="A45" s="328" t="s">
        <v>224</v>
      </c>
      <c r="B45" s="10">
        <f t="shared" ref="B45:S45" si="21">SUM(B37:B44)</f>
        <v>0.2880717028062586</v>
      </c>
      <c r="C45" s="40">
        <f t="shared" si="21"/>
        <v>0.51076626076626075</v>
      </c>
      <c r="D45" s="318">
        <v>0.41550876552718363</v>
      </c>
      <c r="E45" s="10">
        <f t="shared" si="21"/>
        <v>0.52230252399899335</v>
      </c>
      <c r="F45" s="40">
        <f t="shared" si="21"/>
        <v>0.5138611398114088</v>
      </c>
      <c r="G45" s="318">
        <v>0.60342443994684636</v>
      </c>
      <c r="H45" s="10">
        <f t="shared" si="21"/>
        <v>0.41132937478657955</v>
      </c>
      <c r="I45" s="40">
        <f t="shared" si="21"/>
        <v>0.34253750976821445</v>
      </c>
      <c r="J45" s="318">
        <v>0.60872547814418987</v>
      </c>
      <c r="K45" s="579"/>
      <c r="L45" s="579">
        <f t="shared" si="21"/>
        <v>0</v>
      </c>
      <c r="M45" s="580">
        <v>2.1134123412239898</v>
      </c>
      <c r="N45" s="579"/>
      <c r="O45" s="579">
        <f t="shared" si="21"/>
        <v>0</v>
      </c>
      <c r="P45" s="580">
        <f t="shared" si="21"/>
        <v>0</v>
      </c>
      <c r="Q45" s="579"/>
      <c r="R45" s="579">
        <f t="shared" si="21"/>
        <v>0</v>
      </c>
      <c r="S45" s="580">
        <f t="shared" si="21"/>
        <v>0</v>
      </c>
      <c r="AA45" s="341"/>
      <c r="AB45" s="341"/>
      <c r="AC45" s="342"/>
      <c r="AD45" s="1"/>
      <c r="AG45" s="176"/>
      <c r="AI45" s="176"/>
    </row>
    <row r="46" spans="1:35">
      <c r="A46" s="514"/>
      <c r="B46" s="323"/>
      <c r="C46" s="40"/>
      <c r="D46" s="513"/>
      <c r="E46" s="323"/>
      <c r="F46" s="40"/>
      <c r="G46" s="513"/>
      <c r="H46" s="323"/>
      <c r="I46" s="40"/>
      <c r="J46" s="513"/>
      <c r="K46" s="581"/>
      <c r="L46" s="579"/>
      <c r="M46" s="580"/>
      <c r="N46" s="581"/>
      <c r="O46" s="579"/>
      <c r="P46" s="580"/>
      <c r="Q46" s="581"/>
      <c r="R46" s="579"/>
      <c r="S46" s="580"/>
      <c r="AA46" s="341"/>
      <c r="AB46" s="341"/>
      <c r="AC46" s="342"/>
      <c r="AD46" s="1"/>
      <c r="AG46" s="176"/>
      <c r="AI46" s="176"/>
    </row>
    <row r="47" spans="1:35">
      <c r="A47" s="6" t="s">
        <v>14</v>
      </c>
      <c r="B47" s="323">
        <f>$D$216/$B$64/1000</f>
        <v>3.5940794790209792E-2</v>
      </c>
      <c r="C47" s="40">
        <v>2.099801999802E-2</v>
      </c>
      <c r="D47" s="318">
        <v>1.1741675249605885E-2</v>
      </c>
      <c r="E47" s="323">
        <f>$D$216/$B$64/1000</f>
        <v>3.5940794790209792E-2</v>
      </c>
      <c r="F47" s="40">
        <v>2.0095412332871935E-2</v>
      </c>
      <c r="G47" s="318">
        <v>1.1741675249605885E-2</v>
      </c>
      <c r="H47" s="323">
        <f>$D$216/$B$64/1000</f>
        <v>3.5940794790209792E-2</v>
      </c>
      <c r="I47" s="40">
        <v>1.7675634101440085E-2</v>
      </c>
      <c r="J47" s="318">
        <v>1.1741675249605885E-2</v>
      </c>
      <c r="K47" s="581"/>
      <c r="L47" s="579">
        <v>0</v>
      </c>
      <c r="M47" s="580">
        <v>1.1741675249605885E-2</v>
      </c>
      <c r="N47" s="581"/>
      <c r="O47" s="579">
        <v>0</v>
      </c>
      <c r="P47" s="580">
        <v>0</v>
      </c>
      <c r="Q47" s="581"/>
      <c r="R47" s="579">
        <v>0</v>
      </c>
      <c r="S47" s="580">
        <v>0</v>
      </c>
      <c r="AA47" s="341"/>
      <c r="AB47" s="341"/>
      <c r="AC47" s="342"/>
      <c r="AD47" s="1"/>
      <c r="AG47" s="176"/>
      <c r="AI47" s="176"/>
    </row>
    <row r="48" spans="1:35">
      <c r="A48" s="6" t="s">
        <v>15</v>
      </c>
      <c r="B48" s="323">
        <f>$G$216/$B$64/1000</f>
        <v>1.13712E-2</v>
      </c>
      <c r="C48" s="40">
        <v>1.0055044055044055E-2</v>
      </c>
      <c r="D48" s="318">
        <v>4.1080924855491328E-3</v>
      </c>
      <c r="E48" s="323">
        <f>$G$216/$B$64/1000</f>
        <v>1.13712E-2</v>
      </c>
      <c r="F48" s="40">
        <v>3.1155541912019176E-3</v>
      </c>
      <c r="G48" s="318">
        <v>4.1080924855491328E-3</v>
      </c>
      <c r="H48" s="323">
        <f>$G$216/$B$64/1000</f>
        <v>1.13712E-2</v>
      </c>
      <c r="I48" s="40">
        <v>4.7406695199083797E-3</v>
      </c>
      <c r="J48" s="318">
        <v>4.1080924855491328E-3</v>
      </c>
      <c r="K48" s="581"/>
      <c r="L48" s="579">
        <v>0</v>
      </c>
      <c r="M48" s="580">
        <v>4.1080924855491328E-3</v>
      </c>
      <c r="N48" s="581"/>
      <c r="O48" s="579">
        <v>0</v>
      </c>
      <c r="P48" s="580">
        <v>0</v>
      </c>
      <c r="Q48" s="581"/>
      <c r="R48" s="579">
        <v>0</v>
      </c>
      <c r="S48" s="580">
        <v>0</v>
      </c>
      <c r="AA48" s="341"/>
      <c r="AB48" s="341"/>
      <c r="AC48" s="342"/>
      <c r="AD48" s="1"/>
      <c r="AG48" s="176"/>
      <c r="AI48" s="176"/>
    </row>
    <row r="49" spans="1:35">
      <c r="A49" s="6" t="s">
        <v>16</v>
      </c>
      <c r="B49" s="323">
        <f>$J$216/$B$64/1000</f>
        <v>1.4188877003496501E-2</v>
      </c>
      <c r="C49" s="40">
        <v>2.0373428373428374E-2</v>
      </c>
      <c r="D49" s="318">
        <v>7.259843652712092E-3</v>
      </c>
      <c r="E49" s="323">
        <f>$J$216/$B$64/1000</f>
        <v>1.4188877003496501E-2</v>
      </c>
      <c r="F49" s="40">
        <v>1.9136350366755813E-2</v>
      </c>
      <c r="G49" s="318">
        <v>7.259843652712092E-3</v>
      </c>
      <c r="H49" s="323">
        <f>$J$216/$B$64/1000</f>
        <v>1.4188877003496501E-2</v>
      </c>
      <c r="I49" s="40">
        <v>7.6540782228782531E-3</v>
      </c>
      <c r="J49" s="318">
        <v>7.259843652712092E-3</v>
      </c>
      <c r="K49" s="581"/>
      <c r="L49" s="579">
        <v>0</v>
      </c>
      <c r="M49" s="580">
        <v>7.259843652712092E-3</v>
      </c>
      <c r="N49" s="581"/>
      <c r="O49" s="579">
        <v>0</v>
      </c>
      <c r="P49" s="580">
        <v>0</v>
      </c>
      <c r="Q49" s="581"/>
      <c r="R49" s="579">
        <v>0</v>
      </c>
      <c r="S49" s="580">
        <v>0</v>
      </c>
      <c r="AA49" s="341"/>
      <c r="AB49" s="341"/>
      <c r="AC49" s="342"/>
      <c r="AD49" s="1"/>
      <c r="AG49" s="176"/>
      <c r="AI49" s="176"/>
    </row>
    <row r="50" spans="1:35">
      <c r="A50" s="2" t="s">
        <v>17</v>
      </c>
      <c r="B50" s="323">
        <f>$E$243</f>
        <v>0</v>
      </c>
      <c r="C50" s="40">
        <v>6.8127908127908121E-3</v>
      </c>
      <c r="D50" s="318">
        <v>2.4498520231213874E-3</v>
      </c>
      <c r="E50" s="323">
        <f>$E$243</f>
        <v>0</v>
      </c>
      <c r="F50" s="40">
        <v>8.2982661615873012E-3</v>
      </c>
      <c r="G50" s="318">
        <v>2.4498520231213874E-3</v>
      </c>
      <c r="H50" s="323">
        <f>$E$243</f>
        <v>0</v>
      </c>
      <c r="I50" s="40">
        <v>2.8565150594799908E-3</v>
      </c>
      <c r="J50" s="318">
        <v>2.4498520231213874E-3</v>
      </c>
      <c r="K50" s="581"/>
      <c r="L50" s="579">
        <v>0</v>
      </c>
      <c r="M50" s="580">
        <v>2.4498520231213874E-3</v>
      </c>
      <c r="N50" s="581"/>
      <c r="O50" s="579">
        <v>0</v>
      </c>
      <c r="P50" s="580">
        <v>0</v>
      </c>
      <c r="Q50" s="581"/>
      <c r="R50" s="579">
        <v>0</v>
      </c>
      <c r="S50" s="580">
        <v>0</v>
      </c>
      <c r="AA50" s="341"/>
      <c r="AB50" s="341"/>
      <c r="AC50" s="342"/>
      <c r="AD50" s="1"/>
      <c r="AG50" s="176"/>
      <c r="AI50" s="176"/>
    </row>
    <row r="51" spans="1:35">
      <c r="A51" s="2" t="s">
        <v>19</v>
      </c>
      <c r="B51" s="323">
        <f>$E$244</f>
        <v>1.0390480000000001E-2</v>
      </c>
      <c r="C51" s="40">
        <v>0.18195762795762796</v>
      </c>
      <c r="D51" s="318">
        <v>6.3670520231213876E-2</v>
      </c>
      <c r="E51" s="323">
        <f>$E$244</f>
        <v>1.0390480000000001E-2</v>
      </c>
      <c r="F51" s="40">
        <v>0.22264847113850061</v>
      </c>
      <c r="G51" s="318">
        <v>6.3670520231213876E-2</v>
      </c>
      <c r="H51" s="323">
        <f>$E$244</f>
        <v>1.0390480000000001E-2</v>
      </c>
      <c r="I51" s="40">
        <v>7.6403529716540047E-2</v>
      </c>
      <c r="J51" s="318">
        <v>6.3670520231213876E-2</v>
      </c>
      <c r="K51" s="581"/>
      <c r="L51" s="579">
        <v>0</v>
      </c>
      <c r="M51" s="580">
        <v>6.3670520231213876E-2</v>
      </c>
      <c r="N51" s="581"/>
      <c r="O51" s="579">
        <v>0</v>
      </c>
      <c r="P51" s="580">
        <v>0</v>
      </c>
      <c r="Q51" s="581"/>
      <c r="R51" s="579">
        <v>0</v>
      </c>
      <c r="S51" s="580">
        <v>0</v>
      </c>
      <c r="AA51" s="341"/>
      <c r="AB51" s="341"/>
      <c r="AC51" s="342"/>
      <c r="AD51" s="1"/>
      <c r="AG51" s="176"/>
      <c r="AI51" s="176"/>
    </row>
    <row r="52" spans="1:35" ht="16.5">
      <c r="A52" s="2" t="s">
        <v>18</v>
      </c>
      <c r="B52" s="324">
        <f>$E$245</f>
        <v>3.7630079999999996E-2</v>
      </c>
      <c r="C52" s="672">
        <v>4.5121869121869121E-2</v>
      </c>
      <c r="D52" s="325">
        <v>1.4046242774566474E-2</v>
      </c>
      <c r="E52" s="324">
        <f>$E$245</f>
        <v>3.7630079999999996E-2</v>
      </c>
      <c r="F52" s="672">
        <v>6.4601783897952583E-2</v>
      </c>
      <c r="G52" s="325">
        <v>1.4046242774566474E-2</v>
      </c>
      <c r="H52" s="324">
        <f>$E$245</f>
        <v>3.7630079999999996E-2</v>
      </c>
      <c r="I52" s="672">
        <v>1.9244873615765976E-2</v>
      </c>
      <c r="J52" s="325">
        <v>1.4046242774566474E-2</v>
      </c>
      <c r="K52" s="582"/>
      <c r="L52" s="583">
        <v>0</v>
      </c>
      <c r="M52" s="584">
        <v>1.4046242774566474E-2</v>
      </c>
      <c r="N52" s="582"/>
      <c r="O52" s="583">
        <v>0</v>
      </c>
      <c r="P52" s="584">
        <v>0</v>
      </c>
      <c r="Q52" s="582"/>
      <c r="R52" s="583">
        <v>0</v>
      </c>
      <c r="S52" s="584">
        <v>0</v>
      </c>
      <c r="AA52" s="341"/>
      <c r="AB52" s="341"/>
      <c r="AC52" s="342"/>
      <c r="AD52" s="1"/>
      <c r="AG52" s="176"/>
      <c r="AI52" s="176"/>
    </row>
    <row r="53" spans="1:35">
      <c r="A53" s="328" t="s">
        <v>225</v>
      </c>
      <c r="B53" s="323">
        <f t="shared" ref="B53:L53" si="22">SUM(B47:B52)</f>
        <v>0.10952143179370628</v>
      </c>
      <c r="C53" s="40">
        <f t="shared" si="22"/>
        <v>0.28531878031878033</v>
      </c>
      <c r="D53" s="318">
        <v>0.10327622641676884</v>
      </c>
      <c r="E53" s="323">
        <f t="shared" si="22"/>
        <v>0.10952143179370628</v>
      </c>
      <c r="F53" s="40">
        <f t="shared" si="22"/>
        <v>0.33789583808887014</v>
      </c>
      <c r="G53" s="318">
        <v>0.10327622641676884</v>
      </c>
      <c r="H53" s="323">
        <f t="shared" si="22"/>
        <v>0.10952143179370628</v>
      </c>
      <c r="I53" s="40">
        <f t="shared" ref="I53" si="23">SUM(I47:I52)</f>
        <v>0.12857530023601271</v>
      </c>
      <c r="J53" s="318">
        <v>0.10327622641676884</v>
      </c>
      <c r="K53" s="581"/>
      <c r="L53" s="579">
        <f t="shared" si="22"/>
        <v>0</v>
      </c>
      <c r="M53" s="580">
        <v>0.10327622641676884</v>
      </c>
      <c r="N53" s="581"/>
      <c r="O53" s="579">
        <f t="shared" ref="O53:P53" si="24">SUM(O47:O52)</f>
        <v>0</v>
      </c>
      <c r="P53" s="580">
        <f t="shared" si="24"/>
        <v>0</v>
      </c>
      <c r="Q53" s="581"/>
      <c r="R53" s="579">
        <f t="shared" ref="R53:S53" si="25">SUM(R47:R52)</f>
        <v>0</v>
      </c>
      <c r="S53" s="580">
        <f t="shared" si="25"/>
        <v>0</v>
      </c>
      <c r="AA53" s="341"/>
      <c r="AB53" s="341"/>
      <c r="AC53" s="342"/>
      <c r="AD53" s="1"/>
      <c r="AG53" s="176"/>
      <c r="AI53" s="176"/>
    </row>
    <row r="54" spans="1:35">
      <c r="A54" s="509"/>
      <c r="B54" s="323"/>
      <c r="C54" s="10"/>
      <c r="D54" s="513"/>
      <c r="E54" s="323"/>
      <c r="F54" s="10"/>
      <c r="G54" s="513"/>
      <c r="H54" s="323"/>
      <c r="I54" s="10"/>
      <c r="J54" s="513"/>
      <c r="K54" s="581"/>
      <c r="L54" s="579"/>
      <c r="M54" s="580"/>
      <c r="N54" s="581"/>
      <c r="O54" s="579"/>
      <c r="P54" s="580"/>
      <c r="Q54" s="581"/>
      <c r="R54" s="579"/>
      <c r="S54" s="580"/>
      <c r="AA54" s="341"/>
      <c r="AB54" s="341"/>
      <c r="AC54" s="342"/>
      <c r="AD54" s="1"/>
      <c r="AG54" s="176"/>
      <c r="AI54" s="176"/>
    </row>
    <row r="55" spans="1:35">
      <c r="A55" s="526" t="s">
        <v>365</v>
      </c>
      <c r="B55" s="502">
        <f t="shared" ref="B55:P55" si="26">B45+B53</f>
        <v>0.39759313459996487</v>
      </c>
      <c r="C55" s="503">
        <f t="shared" si="26"/>
        <v>0.79608504108504108</v>
      </c>
      <c r="D55" s="504">
        <f t="shared" si="26"/>
        <v>0.51878499194395244</v>
      </c>
      <c r="E55" s="502">
        <f t="shared" si="26"/>
        <v>0.63182395579269968</v>
      </c>
      <c r="F55" s="503">
        <f t="shared" si="26"/>
        <v>0.85175697790027893</v>
      </c>
      <c r="G55" s="504">
        <f t="shared" si="26"/>
        <v>0.70670066636361517</v>
      </c>
      <c r="H55" s="502">
        <f t="shared" si="26"/>
        <v>0.52085080658028582</v>
      </c>
      <c r="I55" s="503">
        <f t="shared" si="26"/>
        <v>0.47111281000422717</v>
      </c>
      <c r="J55" s="504">
        <f t="shared" si="26"/>
        <v>0.71200170456095868</v>
      </c>
      <c r="K55" s="585">
        <f t="shared" si="26"/>
        <v>0</v>
      </c>
      <c r="L55" s="586">
        <f t="shared" si="26"/>
        <v>0</v>
      </c>
      <c r="M55" s="587">
        <f t="shared" si="26"/>
        <v>2.2166885676407588</v>
      </c>
      <c r="N55" s="585">
        <f t="shared" si="26"/>
        <v>0</v>
      </c>
      <c r="O55" s="586">
        <f t="shared" si="26"/>
        <v>0</v>
      </c>
      <c r="P55" s="587">
        <f t="shared" si="26"/>
        <v>0</v>
      </c>
      <c r="Q55" s="585">
        <f>Q45+Q53</f>
        <v>0</v>
      </c>
      <c r="R55" s="586">
        <f t="shared" ref="R55:S55" si="27">R45+R53</f>
        <v>0</v>
      </c>
      <c r="S55" s="587">
        <f t="shared" si="27"/>
        <v>0</v>
      </c>
      <c r="AA55" s="341"/>
      <c r="AB55" s="341"/>
      <c r="AC55" s="342"/>
      <c r="AD55" s="1"/>
      <c r="AG55" s="176"/>
      <c r="AI55" s="176"/>
    </row>
    <row r="56" spans="1:35">
      <c r="A56" s="501" t="s">
        <v>368</v>
      </c>
      <c r="B56" s="494">
        <f>-B38</f>
        <v>0</v>
      </c>
      <c r="C56" s="497">
        <f>-C38</f>
        <v>0</v>
      </c>
      <c r="D56" s="498">
        <v>-0.14908529211746521</v>
      </c>
      <c r="E56" s="494">
        <f>-E38</f>
        <v>-4.6029189145022416E-2</v>
      </c>
      <c r="F56" s="497"/>
      <c r="G56" s="498">
        <v>-3.4805886386358467E-2</v>
      </c>
      <c r="H56" s="497">
        <f>-H38</f>
        <v>-9.3327229569345554E-2</v>
      </c>
      <c r="I56" s="497"/>
      <c r="J56" s="498"/>
      <c r="K56" s="588">
        <f>-K38</f>
        <v>0</v>
      </c>
      <c r="L56" s="589"/>
      <c r="M56" s="590">
        <v>-7.4705958549222806E-3</v>
      </c>
      <c r="N56" s="588">
        <f>-N38</f>
        <v>0</v>
      </c>
      <c r="O56" s="589"/>
      <c r="P56" s="590">
        <v>0</v>
      </c>
      <c r="Q56" s="588">
        <f>-Q38</f>
        <v>0</v>
      </c>
      <c r="R56" s="589"/>
      <c r="S56" s="590"/>
      <c r="AA56" s="341"/>
      <c r="AB56" s="341"/>
      <c r="AC56" s="342"/>
      <c r="AD56" s="1"/>
      <c r="AG56" s="176"/>
      <c r="AI56" s="176"/>
    </row>
    <row r="57" spans="1:35">
      <c r="A57" s="328" t="s">
        <v>367</v>
      </c>
      <c r="B57" s="323">
        <f t="shared" ref="B57:G57" si="28">IF(B40+B41+B42+B43+B44+B53&gt;0.0498,0.0498-B40-B41-B42-B43-B44-B53,0)</f>
        <v>-8.0955214522744845E-2</v>
      </c>
      <c r="C57" s="544">
        <v>-0.31205821205821205</v>
      </c>
      <c r="D57" s="318">
        <f t="shared" si="28"/>
        <v>-7.9620813644774191E-2</v>
      </c>
      <c r="E57" s="323">
        <f t="shared" si="28"/>
        <v>-8.0955214522744845E-2</v>
      </c>
      <c r="F57" s="544">
        <f>IF(F40+F41+F42+F43+F44+F53&gt;0.0498,0.0498-F40-F41-F42-F43-F44-F53,0)</f>
        <v>-0.34756260659631305</v>
      </c>
      <c r="G57" s="318">
        <f t="shared" si="28"/>
        <v>-7.9620813644774191E-2</v>
      </c>
      <c r="H57" s="323">
        <f>IF(H40+H41+H42+H43+H44+H53&gt;0.0498,0.0498-H40-H41-H42-H43-H44-H53,0)</f>
        <v>-8.0955214522744845E-2</v>
      </c>
      <c r="I57" s="544">
        <f>IF(I40+I41+I42+I43+I44+I53&gt;0.0498,0.0498-I40-I41-I42-I43-I44-I53,0)</f>
        <v>-0.10746046712874904</v>
      </c>
      <c r="J57" s="318">
        <f t="shared" ref="J57:S57" si="29">IF(J40+J41+J42+J43+J44+J53&gt;0.0498,0.0498-J40-J41-J42-J43-J44-J53,0)</f>
        <v>-7.9620813644774191E-2</v>
      </c>
      <c r="K57" s="581">
        <f t="shared" si="29"/>
        <v>0</v>
      </c>
      <c r="L57" s="591">
        <f t="shared" si="29"/>
        <v>0</v>
      </c>
      <c r="M57" s="580">
        <f t="shared" si="29"/>
        <v>-7.9620813644774191E-2</v>
      </c>
      <c r="N57" s="581">
        <f t="shared" si="29"/>
        <v>0</v>
      </c>
      <c r="O57" s="591">
        <v>0</v>
      </c>
      <c r="P57" s="580">
        <f t="shared" si="29"/>
        <v>0</v>
      </c>
      <c r="Q57" s="581">
        <f t="shared" si="29"/>
        <v>0</v>
      </c>
      <c r="R57" s="591">
        <v>0</v>
      </c>
      <c r="S57" s="580">
        <f t="shared" si="29"/>
        <v>0</v>
      </c>
      <c r="AA57" s="341"/>
      <c r="AB57" s="341"/>
      <c r="AC57" s="342"/>
      <c r="AD57" s="1"/>
      <c r="AG57" s="176"/>
      <c r="AI57" s="176"/>
    </row>
    <row r="58" spans="1:35">
      <c r="A58" s="526" t="s">
        <v>366</v>
      </c>
      <c r="B58" s="502">
        <f t="shared" ref="B58:S58" si="30">SUM(B55:B57)</f>
        <v>0.31663792007722003</v>
      </c>
      <c r="C58" s="503">
        <f t="shared" si="30"/>
        <v>0.48402682902682903</v>
      </c>
      <c r="D58" s="504">
        <f t="shared" si="30"/>
        <v>0.29007888618171301</v>
      </c>
      <c r="E58" s="502">
        <f t="shared" si="30"/>
        <v>0.50483955212493248</v>
      </c>
      <c r="F58" s="503">
        <f t="shared" si="30"/>
        <v>0.50419437130396583</v>
      </c>
      <c r="G58" s="504">
        <f t="shared" si="30"/>
        <v>0.59227396633248253</v>
      </c>
      <c r="H58" s="502">
        <f t="shared" si="30"/>
        <v>0.34656836248819539</v>
      </c>
      <c r="I58" s="503">
        <f t="shared" ref="I58:J58" si="31">SUM(I55:I57)</f>
        <v>0.3636523428754781</v>
      </c>
      <c r="J58" s="504">
        <f t="shared" si="31"/>
        <v>0.63238089091618455</v>
      </c>
      <c r="K58" s="585">
        <f t="shared" si="30"/>
        <v>0</v>
      </c>
      <c r="L58" s="586">
        <f t="shared" si="30"/>
        <v>0</v>
      </c>
      <c r="M58" s="587">
        <f t="shared" si="30"/>
        <v>2.1295971581410624</v>
      </c>
      <c r="N58" s="585">
        <f t="shared" si="30"/>
        <v>0</v>
      </c>
      <c r="O58" s="586">
        <f t="shared" ref="O58" si="32">SUM(O55:O57)</f>
        <v>0</v>
      </c>
      <c r="P58" s="587">
        <f t="shared" si="30"/>
        <v>0</v>
      </c>
      <c r="Q58" s="585">
        <f t="shared" si="30"/>
        <v>0</v>
      </c>
      <c r="R58" s="586">
        <f t="shared" si="30"/>
        <v>0</v>
      </c>
      <c r="S58" s="587">
        <f t="shared" si="30"/>
        <v>0</v>
      </c>
      <c r="AA58" s="341"/>
      <c r="AB58" s="341"/>
      <c r="AC58" s="342"/>
      <c r="AD58" s="1"/>
      <c r="AG58" s="176"/>
      <c r="AI58" s="176"/>
    </row>
    <row r="59" spans="1:35">
      <c r="A59" s="509"/>
      <c r="B59" s="558"/>
      <c r="D59" s="511"/>
      <c r="E59" s="558"/>
      <c r="G59" s="511"/>
      <c r="H59" s="558"/>
      <c r="J59" s="511"/>
      <c r="K59" s="592"/>
      <c r="L59" s="593"/>
      <c r="M59" s="594"/>
      <c r="N59" s="592"/>
      <c r="O59" s="593"/>
      <c r="P59" s="594"/>
      <c r="Q59" s="592"/>
      <c r="R59" s="593"/>
      <c r="S59" s="594"/>
      <c r="AA59" s="341"/>
      <c r="AB59" s="341"/>
      <c r="AC59" s="342"/>
      <c r="AD59" s="1"/>
      <c r="AG59" s="176"/>
      <c r="AI59" s="176"/>
    </row>
    <row r="60" spans="1:35">
      <c r="A60" s="526" t="s">
        <v>392</v>
      </c>
      <c r="B60" s="517">
        <f>+B87</f>
        <v>1100</v>
      </c>
      <c r="C60" s="518">
        <v>101</v>
      </c>
      <c r="D60" s="519">
        <v>1300</v>
      </c>
      <c r="E60" s="517">
        <f>+B88</f>
        <v>1700</v>
      </c>
      <c r="F60" s="518">
        <v>979</v>
      </c>
      <c r="G60" s="519">
        <v>3900</v>
      </c>
      <c r="H60" s="517">
        <f>+B92</f>
        <v>5500</v>
      </c>
      <c r="I60" s="518">
        <v>2743</v>
      </c>
      <c r="J60" s="519">
        <v>7000</v>
      </c>
      <c r="K60" s="595">
        <f>+B90</f>
        <v>0</v>
      </c>
      <c r="L60" s="596">
        <v>0</v>
      </c>
      <c r="M60" s="597">
        <v>100</v>
      </c>
      <c r="N60" s="595">
        <v>0</v>
      </c>
      <c r="O60" s="596">
        <v>0</v>
      </c>
      <c r="P60" s="597">
        <v>0</v>
      </c>
      <c r="Q60" s="595">
        <v>0</v>
      </c>
      <c r="R60" s="596">
        <v>0</v>
      </c>
      <c r="S60" s="597">
        <v>0</v>
      </c>
      <c r="AA60" s="341"/>
      <c r="AB60" s="341"/>
      <c r="AC60" s="342"/>
      <c r="AD60" s="1"/>
      <c r="AG60" s="176"/>
      <c r="AI60" s="176"/>
    </row>
    <row r="61" spans="1:35">
      <c r="A61" s="505"/>
      <c r="B61" s="506"/>
      <c r="C61" s="507"/>
      <c r="D61" s="508"/>
      <c r="E61" s="557"/>
      <c r="F61" s="4"/>
      <c r="G61" s="508"/>
      <c r="H61" s="557"/>
      <c r="I61" s="4"/>
      <c r="J61" s="561"/>
      <c r="K61" s="598"/>
      <c r="L61" s="599"/>
      <c r="M61" s="600"/>
      <c r="N61" s="598"/>
      <c r="O61" s="599"/>
      <c r="P61" s="600"/>
      <c r="Q61" s="598"/>
      <c r="R61" s="599"/>
      <c r="S61" s="600"/>
      <c r="AA61" s="341"/>
      <c r="AB61" s="341"/>
      <c r="AC61" s="342"/>
      <c r="AD61" s="1"/>
      <c r="AG61" s="176"/>
      <c r="AI61" s="176"/>
    </row>
    <row r="62" spans="1:35">
      <c r="A62" s="564"/>
      <c r="B62" s="502"/>
      <c r="C62" s="543"/>
      <c r="D62" s="504"/>
      <c r="E62" s="502"/>
      <c r="F62" s="543"/>
      <c r="G62" s="556"/>
      <c r="H62" s="502"/>
      <c r="I62" s="543"/>
      <c r="J62" s="504"/>
      <c r="K62" s="502"/>
      <c r="L62" s="543"/>
      <c r="M62" s="556"/>
      <c r="N62" s="502"/>
      <c r="O62" s="543"/>
      <c r="P62" s="504"/>
      <c r="Q62" s="502"/>
      <c r="R62" s="543"/>
      <c r="S62" s="504"/>
      <c r="AA62" s="341"/>
      <c r="AB62" s="341"/>
      <c r="AC62" s="342"/>
      <c r="AD62" s="1"/>
      <c r="AG62" s="176"/>
      <c r="AI62" s="176"/>
    </row>
    <row r="63" spans="1:35" ht="15.75" thickBot="1">
      <c r="A63" s="523"/>
      <c r="B63" s="524"/>
      <c r="C63" s="509"/>
      <c r="D63" s="509"/>
      <c r="E63" s="525"/>
      <c r="H63" s="525"/>
      <c r="K63" s="338"/>
      <c r="N63" s="338"/>
      <c r="Q63" s="338"/>
      <c r="AA63" s="341"/>
      <c r="AB63" s="341"/>
      <c r="AC63" s="342"/>
      <c r="AD63" s="1"/>
      <c r="AG63" s="176"/>
      <c r="AI63" s="176"/>
    </row>
    <row r="64" spans="1:35" ht="15.75" thickBot="1">
      <c r="A64" s="527" t="s">
        <v>391</v>
      </c>
      <c r="B64" s="520">
        <f>B29+E29+H29+K29+N29+Q29+B60+E60+H60+K60+N60+Q60</f>
        <v>12500</v>
      </c>
      <c r="C64" s="521">
        <f>C29+F29+I29+L29+O29+R29+C60+F60+I60+L60+O60+R60</f>
        <v>32641.15</v>
      </c>
      <c r="D64" s="522">
        <f>D29+G29+J29+M29+P29+S29+D60+G60+J60+M60+P60+S60</f>
        <v>34600</v>
      </c>
      <c r="H64" s="52"/>
      <c r="AA64" s="341"/>
      <c r="AB64" s="341"/>
      <c r="AC64" s="342"/>
      <c r="AD64" s="1"/>
      <c r="AG64" s="176"/>
      <c r="AI64" s="176"/>
    </row>
    <row r="65" spans="1:35">
      <c r="A65" s="340"/>
      <c r="B65" s="196"/>
      <c r="C65" s="4"/>
      <c r="D65" s="4"/>
      <c r="H65" s="52"/>
      <c r="K65" s="562"/>
      <c r="O65" s="2" t="s">
        <v>7</v>
      </c>
      <c r="V65" s="2">
        <v>2078820</v>
      </c>
      <c r="W65" s="562">
        <v>2289955</v>
      </c>
      <c r="AA65" s="341"/>
      <c r="AB65" s="341"/>
      <c r="AC65" s="565">
        <v>1.1020000000000001</v>
      </c>
      <c r="AD65" s="567">
        <v>9.9000000000000005E-2</v>
      </c>
      <c r="AE65" s="566">
        <f>+AC65-AD65</f>
        <v>1.0030000000000001</v>
      </c>
      <c r="AG65" s="176"/>
      <c r="AI65" s="176"/>
    </row>
    <row r="66" spans="1:35">
      <c r="A66" s="340"/>
      <c r="B66" s="196"/>
      <c r="C66" s="4"/>
      <c r="D66" s="4"/>
      <c r="H66" s="52"/>
      <c r="I66" s="560"/>
      <c r="K66" s="562"/>
      <c r="V66" s="2">
        <v>22566</v>
      </c>
      <c r="W66" s="562">
        <v>22313</v>
      </c>
      <c r="AA66" s="341"/>
      <c r="AB66" s="341"/>
      <c r="AC66" s="565">
        <v>0.98899999999999999</v>
      </c>
      <c r="AD66" s="567">
        <v>0</v>
      </c>
      <c r="AE66" s="566">
        <f t="shared" ref="AE66:AE71" si="33">+AC66-AD66</f>
        <v>0.98899999999999999</v>
      </c>
      <c r="AG66" s="176"/>
      <c r="AI66" s="176"/>
    </row>
    <row r="67" spans="1:35" ht="16.5">
      <c r="A67" s="6"/>
      <c r="B67" s="26" t="s">
        <v>229</v>
      </c>
      <c r="C67" s="26" t="s">
        <v>230</v>
      </c>
      <c r="D67" s="26" t="s">
        <v>231</v>
      </c>
      <c r="H67" s="52"/>
      <c r="I67" s="560"/>
      <c r="K67" s="562"/>
      <c r="V67" s="2">
        <v>469400</v>
      </c>
      <c r="W67" s="562">
        <v>521591</v>
      </c>
      <c r="AA67" s="341"/>
      <c r="AB67" s="341"/>
      <c r="AC67" s="565">
        <v>1.111</v>
      </c>
      <c r="AD67" s="567">
        <v>7.0000000000000007E-2</v>
      </c>
      <c r="AE67" s="566">
        <f t="shared" si="33"/>
        <v>1.0409999999999999</v>
      </c>
      <c r="AG67" s="176"/>
      <c r="AI67" s="176"/>
    </row>
    <row r="68" spans="1:35">
      <c r="A68" s="343" t="s">
        <v>232</v>
      </c>
      <c r="B68" s="859" t="s">
        <v>233</v>
      </c>
      <c r="C68" s="859"/>
      <c r="D68" s="859"/>
      <c r="H68" s="52"/>
      <c r="I68" s="560"/>
      <c r="J68" s="83"/>
      <c r="K68" s="602"/>
      <c r="V68" s="2">
        <v>514675</v>
      </c>
      <c r="W68" s="562">
        <v>642354</v>
      </c>
      <c r="AA68" s="341"/>
      <c r="AB68" s="341"/>
      <c r="AC68" s="565">
        <v>1.248</v>
      </c>
      <c r="AD68" s="567">
        <v>1.4999999999999999E-2</v>
      </c>
      <c r="AE68" s="566">
        <f t="shared" si="33"/>
        <v>1.2330000000000001</v>
      </c>
      <c r="AG68" s="176"/>
      <c r="AI68" s="176"/>
    </row>
    <row r="69" spans="1:35">
      <c r="A69" s="328" t="s">
        <v>234</v>
      </c>
      <c r="B69" s="344">
        <f>SUM(C69:D69)</f>
        <v>4227.0264147966118</v>
      </c>
      <c r="C69" s="344">
        <f>W14*$V$29</f>
        <v>3869.9486989095935</v>
      </c>
      <c r="D69" s="344">
        <f>W22*$V$29</f>
        <v>357.07771588701848</v>
      </c>
      <c r="H69" s="52"/>
      <c r="I69" s="560"/>
      <c r="K69" s="562"/>
      <c r="V69" s="2">
        <v>62400</v>
      </c>
      <c r="W69" s="562">
        <v>68640</v>
      </c>
      <c r="AA69" s="341"/>
      <c r="AB69" s="341"/>
      <c r="AC69" s="565">
        <v>1.1000000000000001</v>
      </c>
      <c r="AD69" s="567">
        <v>0.158</v>
      </c>
      <c r="AE69" s="566">
        <f t="shared" si="33"/>
        <v>0.94200000000000006</v>
      </c>
      <c r="AG69" s="176"/>
      <c r="AI69" s="176"/>
    </row>
    <row r="70" spans="1:35">
      <c r="A70" s="328" t="s">
        <v>235</v>
      </c>
      <c r="B70" s="196">
        <f>SUM(C70:D70)</f>
        <v>1011.9401815343102</v>
      </c>
      <c r="C70" s="196">
        <f>X14*$V$29</f>
        <v>0</v>
      </c>
      <c r="D70" s="196">
        <f>X22*$V$29</f>
        <v>1011.9401815343102</v>
      </c>
      <c r="J70" s="176"/>
      <c r="K70" s="176"/>
      <c r="V70" s="2">
        <v>22275</v>
      </c>
      <c r="W70" s="562">
        <v>27844</v>
      </c>
      <c r="AA70" s="341"/>
      <c r="AB70" s="341"/>
      <c r="AC70" s="565">
        <v>1.25</v>
      </c>
      <c r="AD70" s="567">
        <v>0</v>
      </c>
      <c r="AE70" s="566">
        <f t="shared" si="33"/>
        <v>1.25</v>
      </c>
      <c r="AG70" s="176"/>
      <c r="AI70" s="176"/>
    </row>
    <row r="71" spans="1:35" ht="16.5">
      <c r="A71" s="328" t="s">
        <v>236</v>
      </c>
      <c r="B71" s="345">
        <f>SUM(C71:D71)</f>
        <v>0</v>
      </c>
      <c r="C71" s="345">
        <v>0</v>
      </c>
      <c r="D71" s="345">
        <v>0</v>
      </c>
      <c r="V71" s="2">
        <v>10980</v>
      </c>
      <c r="W71" s="562">
        <v>13725</v>
      </c>
      <c r="AA71" s="341"/>
      <c r="AB71" s="341"/>
      <c r="AC71" s="565">
        <v>1.25</v>
      </c>
      <c r="AD71" s="567">
        <v>0</v>
      </c>
      <c r="AE71" s="566">
        <f t="shared" si="33"/>
        <v>1.25</v>
      </c>
      <c r="AG71" s="176"/>
      <c r="AI71" s="176"/>
    </row>
    <row r="72" spans="1:35">
      <c r="A72" s="340" t="s">
        <v>64</v>
      </c>
      <c r="B72" s="344">
        <f>SUM(B69:B71)</f>
        <v>5238.9665963309217</v>
      </c>
      <c r="C72" s="344">
        <f>SUM(C69:C71)</f>
        <v>3869.9486989095935</v>
      </c>
      <c r="D72" s="344">
        <f>SUM(D69:D71)</f>
        <v>1369.0178974213286</v>
      </c>
      <c r="W72" s="562"/>
      <c r="AA72" s="341"/>
      <c r="AB72" s="341"/>
      <c r="AC72" s="342"/>
      <c r="AD72" s="1"/>
      <c r="AE72" s="566">
        <f>AVERAGE(AE65:AE71)</f>
        <v>1.1011428571428572</v>
      </c>
      <c r="AG72" s="176"/>
      <c r="AI72" s="176"/>
    </row>
    <row r="73" spans="1:35" ht="16.5">
      <c r="A73" s="340" t="s">
        <v>237</v>
      </c>
      <c r="B73" s="346">
        <f>SUM(C73:D73)</f>
        <v>-129.881</v>
      </c>
      <c r="C73" s="346">
        <v>0</v>
      </c>
      <c r="D73" s="346">
        <f>-V20*V29</f>
        <v>-129.881</v>
      </c>
      <c r="V73" s="2">
        <f>SUM(V65:V72)</f>
        <v>3181116</v>
      </c>
      <c r="W73" s="562">
        <f>SUM(W65:W72)</f>
        <v>3586422</v>
      </c>
      <c r="AA73" s="341"/>
      <c r="AB73" s="341"/>
      <c r="AC73" s="342"/>
      <c r="AD73" s="1"/>
      <c r="AG73" s="176"/>
      <c r="AI73" s="176"/>
    </row>
    <row r="74" spans="1:35" ht="16.5">
      <c r="A74" s="340" t="s">
        <v>238</v>
      </c>
      <c r="B74" s="347">
        <f>SUM(B72:B73)</f>
        <v>5109.0855963309214</v>
      </c>
      <c r="C74" s="347">
        <f>SUM(C72:C73)</f>
        <v>3869.9486989095935</v>
      </c>
      <c r="D74" s="347">
        <f>SUM(D72:D73)</f>
        <v>1239.1368974213285</v>
      </c>
      <c r="J74" s="83"/>
      <c r="K74" s="83"/>
      <c r="V74" s="2">
        <v>3233726</v>
      </c>
      <c r="W74" s="562">
        <v>1569174</v>
      </c>
      <c r="X74" s="563">
        <f>+W74/V74</f>
        <v>0.485252615713267</v>
      </c>
      <c r="AA74" s="341"/>
      <c r="AB74" s="341"/>
      <c r="AC74" s="342"/>
      <c r="AD74" s="1"/>
      <c r="AG74" s="176"/>
      <c r="AI74" s="176"/>
    </row>
    <row r="75" spans="1:35">
      <c r="V75" s="2">
        <f>+V73-V74</f>
        <v>-52610</v>
      </c>
      <c r="W75" s="562">
        <f>+W73-W74</f>
        <v>2017248</v>
      </c>
      <c r="AD75" s="1"/>
      <c r="AG75" s="342"/>
      <c r="AI75" s="342"/>
    </row>
    <row r="76" spans="1:35">
      <c r="W76" s="562"/>
      <c r="AD76" s="1"/>
      <c r="AG76" s="342"/>
      <c r="AI76" s="342"/>
    </row>
    <row r="77" spans="1:35">
      <c r="W77" s="562"/>
      <c r="AD77" s="1"/>
      <c r="AG77" s="342"/>
      <c r="AI77" s="342"/>
    </row>
    <row r="78" spans="1:35">
      <c r="W78" s="562"/>
      <c r="AD78" s="1"/>
      <c r="AG78" s="342"/>
      <c r="AI78" s="342"/>
    </row>
    <row r="79" spans="1:35">
      <c r="A79" s="1"/>
      <c r="B79" s="111" t="s">
        <v>356</v>
      </c>
      <c r="C79" s="111" t="s">
        <v>297</v>
      </c>
      <c r="D79" s="1"/>
      <c r="E79" s="1"/>
      <c r="F79" s="1"/>
      <c r="G79" s="1"/>
      <c r="H79" s="1"/>
    </row>
    <row r="80" spans="1:35" ht="16.5">
      <c r="A80" s="348" t="s">
        <v>239</v>
      </c>
      <c r="B80" s="305" t="s">
        <v>357</v>
      </c>
      <c r="C80" s="3" t="s">
        <v>394</v>
      </c>
      <c r="D80" s="3" t="s">
        <v>240</v>
      </c>
      <c r="E80" s="3" t="s">
        <v>241</v>
      </c>
      <c r="J80" s="176"/>
      <c r="AA80" s="6"/>
      <c r="AB80" s="6"/>
    </row>
    <row r="81" spans="1:28">
      <c r="A81" s="112" t="s">
        <v>327</v>
      </c>
      <c r="B81" s="349">
        <v>3000</v>
      </c>
      <c r="C81" s="350">
        <v>350</v>
      </c>
      <c r="D81" s="65">
        <f>IF(C81&lt;&gt;0,B81/C81,0)</f>
        <v>8.5714285714285712</v>
      </c>
      <c r="E81" s="351">
        <f>IF($D$93&lt;&gt;0,D81/$D$93,0)</f>
        <v>0.24</v>
      </c>
      <c r="AA81" s="6"/>
      <c r="AB81" s="6"/>
    </row>
    <row r="82" spans="1:28">
      <c r="A82" s="112" t="s">
        <v>328</v>
      </c>
      <c r="B82" s="349">
        <v>0</v>
      </c>
      <c r="C82" s="350">
        <f>350</f>
        <v>350</v>
      </c>
      <c r="D82" s="65">
        <f>IF(C82&lt;&gt;0,B82/C82,0)</f>
        <v>0</v>
      </c>
      <c r="E82" s="352">
        <f>IF($D$93&lt;&gt;0,D82/$D$93,0)</f>
        <v>0</v>
      </c>
      <c r="J82" s="9"/>
      <c r="AA82" s="6"/>
      <c r="AB82" s="6"/>
    </row>
    <row r="83" spans="1:28">
      <c r="A83" s="112" t="s">
        <v>329</v>
      </c>
      <c r="B83" s="349">
        <v>0</v>
      </c>
      <c r="C83" s="350">
        <f>350</f>
        <v>350</v>
      </c>
      <c r="D83" s="65">
        <f t="shared" ref="D83:D91" si="34">IF(C83&lt;&gt;0,B83/C83,0)</f>
        <v>0</v>
      </c>
      <c r="E83" s="352">
        <f>IF($D$93&lt;&gt;0,D83/$D$93,0)</f>
        <v>0</v>
      </c>
      <c r="AA83" s="6"/>
      <c r="AB83" s="6"/>
    </row>
    <row r="84" spans="1:28">
      <c r="A84" s="112" t="s">
        <v>330</v>
      </c>
      <c r="B84" s="349">
        <v>1200</v>
      </c>
      <c r="C84" s="350">
        <f>350</f>
        <v>350</v>
      </c>
      <c r="D84" s="65">
        <f t="shared" si="34"/>
        <v>3.4285714285714284</v>
      </c>
      <c r="E84" s="352">
        <f>IF($D$93&lt;&gt;0,D84/$D$93,0)</f>
        <v>9.5999999999999988E-2</v>
      </c>
      <c r="AA84" s="6"/>
      <c r="AB84" s="6"/>
    </row>
    <row r="85" spans="1:28">
      <c r="A85" s="112" t="s">
        <v>331</v>
      </c>
      <c r="B85" s="349">
        <v>0</v>
      </c>
      <c r="C85" s="350">
        <f>350</f>
        <v>350</v>
      </c>
      <c r="D85" s="65">
        <f t="shared" si="34"/>
        <v>0</v>
      </c>
      <c r="E85" s="352">
        <f>IF($D$93&lt;&gt;0,D85/$D$93,0)</f>
        <v>0</v>
      </c>
      <c r="AA85" s="6"/>
      <c r="AB85" s="6"/>
    </row>
    <row r="86" spans="1:28">
      <c r="A86" s="112" t="s">
        <v>332</v>
      </c>
      <c r="B86" s="349">
        <v>0</v>
      </c>
      <c r="C86" s="350">
        <f>350</f>
        <v>350</v>
      </c>
      <c r="D86" s="65">
        <f t="shared" si="34"/>
        <v>0</v>
      </c>
      <c r="E86" s="352">
        <f t="shared" ref="E86:E91" si="35">IF($D$93&lt;&gt;0,D86/$D$93,0)</f>
        <v>0</v>
      </c>
      <c r="AA86" s="6"/>
      <c r="AB86" s="6"/>
    </row>
    <row r="87" spans="1:28">
      <c r="A87" s="112" t="s">
        <v>370</v>
      </c>
      <c r="B87" s="349">
        <v>1100</v>
      </c>
      <c r="C87" s="350">
        <f>350</f>
        <v>350</v>
      </c>
      <c r="D87" s="65">
        <f t="shared" si="34"/>
        <v>3.1428571428571428</v>
      </c>
      <c r="E87" s="352">
        <f t="shared" si="35"/>
        <v>8.7999999999999995E-2</v>
      </c>
      <c r="AA87" s="6"/>
      <c r="AB87" s="6"/>
    </row>
    <row r="88" spans="1:28">
      <c r="A88" s="112" t="s">
        <v>333</v>
      </c>
      <c r="B88" s="349">
        <v>1700</v>
      </c>
      <c r="C88" s="350">
        <f>350</f>
        <v>350</v>
      </c>
      <c r="D88" s="65">
        <f t="shared" si="34"/>
        <v>4.8571428571428568</v>
      </c>
      <c r="E88" s="352">
        <f t="shared" si="35"/>
        <v>0.13599999999999998</v>
      </c>
      <c r="AA88" s="6"/>
      <c r="AB88" s="6"/>
    </row>
    <row r="89" spans="1:28">
      <c r="A89" s="112" t="s">
        <v>334</v>
      </c>
      <c r="B89" s="349">
        <v>0</v>
      </c>
      <c r="C89" s="350">
        <f>350</f>
        <v>350</v>
      </c>
      <c r="D89" s="65">
        <f t="shared" si="34"/>
        <v>0</v>
      </c>
      <c r="E89" s="352">
        <f t="shared" si="35"/>
        <v>0</v>
      </c>
      <c r="AA89" s="6"/>
      <c r="AB89" s="6"/>
    </row>
    <row r="90" spans="1:28">
      <c r="A90" s="112" t="s">
        <v>335</v>
      </c>
      <c r="B90" s="349">
        <v>0</v>
      </c>
      <c r="C90" s="350">
        <f>350</f>
        <v>350</v>
      </c>
      <c r="D90" s="65">
        <f t="shared" si="34"/>
        <v>0</v>
      </c>
      <c r="E90" s="352">
        <f t="shared" si="35"/>
        <v>0</v>
      </c>
      <c r="AA90" s="6"/>
      <c r="AB90" s="6"/>
    </row>
    <row r="91" spans="1:28">
      <c r="A91" s="112" t="s">
        <v>326</v>
      </c>
      <c r="B91" s="349">
        <v>0</v>
      </c>
      <c r="C91" s="350">
        <f>350</f>
        <v>350</v>
      </c>
      <c r="D91" s="65">
        <f t="shared" si="34"/>
        <v>0</v>
      </c>
      <c r="E91" s="352">
        <f t="shared" si="35"/>
        <v>0</v>
      </c>
      <c r="AA91" s="6"/>
      <c r="AB91" s="6"/>
    </row>
    <row r="92" spans="1:28">
      <c r="A92" s="112" t="s">
        <v>400</v>
      </c>
      <c r="B92" s="349">
        <v>5500</v>
      </c>
      <c r="C92" s="350">
        <f>350</f>
        <v>350</v>
      </c>
      <c r="D92" s="65">
        <f>IF(C92&lt;&gt;0,B92/C92,0)</f>
        <v>15.714285714285714</v>
      </c>
      <c r="E92" s="352">
        <f>IF($D$93&lt;&gt;0,D92/$D$93,0)</f>
        <v>0.43999999999999995</v>
      </c>
      <c r="AA92" s="6"/>
      <c r="AB92" s="6"/>
    </row>
    <row r="93" spans="1:28" ht="15.75" thickBot="1">
      <c r="A93" s="353" t="s">
        <v>229</v>
      </c>
      <c r="B93" s="354">
        <f>SUM(B81:B92)</f>
        <v>12500</v>
      </c>
      <c r="C93" s="354">
        <f>B93/D93</f>
        <v>350</v>
      </c>
      <c r="D93" s="354">
        <f>SUM(D81:D92)</f>
        <v>35.714285714285715</v>
      </c>
      <c r="E93" s="355">
        <f>IF($D$93&lt;&gt;0,D93/$D$93,0)</f>
        <v>1</v>
      </c>
      <c r="AA93" s="6"/>
      <c r="AB93" s="6"/>
    </row>
    <row r="94" spans="1:28" ht="16.5">
      <c r="C94" s="356"/>
      <c r="D94" s="356"/>
      <c r="AA94" s="6"/>
      <c r="AB94" s="6"/>
    </row>
    <row r="95" spans="1:28">
      <c r="A95" s="23"/>
      <c r="B95" s="351"/>
      <c r="C95" s="351"/>
      <c r="D95" s="351"/>
      <c r="E95" s="1"/>
      <c r="F95" s="357"/>
      <c r="G95" s="1"/>
      <c r="H95" s="1"/>
      <c r="L95" s="85"/>
      <c r="AA95" s="6"/>
      <c r="AB95" s="6"/>
    </row>
    <row r="96" spans="1:28">
      <c r="A96" s="358" t="s">
        <v>242</v>
      </c>
      <c r="B96" s="406"/>
      <c r="C96" s="406"/>
      <c r="D96" s="406"/>
      <c r="E96" s="406"/>
      <c r="F96" s="406"/>
      <c r="G96" s="406"/>
      <c r="H96" s="406"/>
      <c r="I96" s="406"/>
      <c r="J96" s="406"/>
      <c r="K96" s="406"/>
      <c r="L96" s="406"/>
      <c r="M96" s="406"/>
      <c r="N96" s="406"/>
      <c r="O96" s="407"/>
      <c r="AA96" s="6"/>
      <c r="AB96" s="6"/>
    </row>
    <row r="97" spans="1:38">
      <c r="A97" s="30"/>
      <c r="B97" s="359"/>
      <c r="C97" s="359"/>
      <c r="D97" s="360"/>
      <c r="E97" s="360"/>
      <c r="F97" s="1"/>
      <c r="G97" s="8"/>
      <c r="H97" s="1"/>
      <c r="I97" s="8"/>
      <c r="J97" s="1"/>
      <c r="K97" s="70"/>
      <c r="O97" s="25"/>
      <c r="AA97" s="6"/>
      <c r="AB97" s="6"/>
    </row>
    <row r="98" spans="1:38" ht="15.75" thickBot="1">
      <c r="A98" s="30"/>
      <c r="B98" s="1"/>
      <c r="C98" s="1"/>
      <c r="D98" s="847" t="s">
        <v>327</v>
      </c>
      <c r="E98" s="848"/>
      <c r="F98" s="847" t="s">
        <v>410</v>
      </c>
      <c r="G98" s="848"/>
      <c r="H98" s="847" t="s">
        <v>329</v>
      </c>
      <c r="I98" s="848"/>
      <c r="J98" s="847" t="s">
        <v>330</v>
      </c>
      <c r="K98" s="848"/>
      <c r="L98" s="847" t="s">
        <v>407</v>
      </c>
      <c r="M98" s="848"/>
      <c r="N98" s="847" t="s">
        <v>332</v>
      </c>
      <c r="O98" s="848"/>
      <c r="AA98" s="6"/>
      <c r="AB98" s="664"/>
      <c r="AC98" s="663"/>
      <c r="AD98" s="663"/>
      <c r="AE98" s="663"/>
      <c r="AF98" s="663" t="s">
        <v>423</v>
      </c>
      <c r="AG98" s="708"/>
      <c r="AH98" s="708" t="s">
        <v>424</v>
      </c>
      <c r="AI98" s="663"/>
      <c r="AJ98" s="663" t="s">
        <v>425</v>
      </c>
      <c r="AK98" s="708"/>
      <c r="AL98" s="708" t="s">
        <v>426</v>
      </c>
    </row>
    <row r="99" spans="1:38" ht="30">
      <c r="A99" s="30" t="s">
        <v>243</v>
      </c>
      <c r="B99" s="550" t="s">
        <v>27</v>
      </c>
      <c r="C99" s="551" t="s">
        <v>396</v>
      </c>
      <c r="D99" s="48" t="s">
        <v>244</v>
      </c>
      <c r="E99" s="362" t="s">
        <v>245</v>
      </c>
      <c r="F99" s="361" t="s">
        <v>244</v>
      </c>
      <c r="G99" s="362" t="s">
        <v>245</v>
      </c>
      <c r="H99" s="361" t="s">
        <v>244</v>
      </c>
      <c r="I99" s="362" t="s">
        <v>245</v>
      </c>
      <c r="J99" s="361" t="s">
        <v>244</v>
      </c>
      <c r="K99" s="362" t="s">
        <v>245</v>
      </c>
      <c r="L99" s="361" t="s">
        <v>244</v>
      </c>
      <c r="M99" s="362" t="s">
        <v>245</v>
      </c>
      <c r="N99" s="361" t="s">
        <v>244</v>
      </c>
      <c r="O99" s="362" t="s">
        <v>245</v>
      </c>
      <c r="P99" s="72"/>
      <c r="Q99" s="72"/>
      <c r="AA99" s="111"/>
      <c r="AB99" s="655" t="s">
        <v>246</v>
      </c>
      <c r="AC99" s="612"/>
      <c r="AD99" s="612"/>
      <c r="AE99" s="656" t="s">
        <v>247</v>
      </c>
      <c r="AF99" s="656" t="s">
        <v>248</v>
      </c>
      <c r="AG99" s="709" t="s">
        <v>247</v>
      </c>
      <c r="AH99" s="709" t="s">
        <v>248</v>
      </c>
      <c r="AI99" s="656" t="s">
        <v>247</v>
      </c>
      <c r="AJ99" s="656" t="s">
        <v>248</v>
      </c>
      <c r="AK99" s="709" t="s">
        <v>247</v>
      </c>
      <c r="AL99" s="709" t="s">
        <v>248</v>
      </c>
    </row>
    <row r="100" spans="1:38">
      <c r="A100" s="112" t="s">
        <v>336</v>
      </c>
      <c r="B100" s="665">
        <f>0.138+0.032-C100</f>
        <v>0.17</v>
      </c>
      <c r="C100" s="547">
        <v>0</v>
      </c>
      <c r="D100" s="528">
        <v>0.96442881875791298</v>
      </c>
      <c r="E100" s="275">
        <f t="shared" ref="E100:E118" si="36">$B100*D100</f>
        <v>0.16395289918884523</v>
      </c>
      <c r="F100" s="528">
        <v>0.93946804780876492</v>
      </c>
      <c r="G100" s="275">
        <f t="shared" ref="G100:G118" si="37">$B100*F100</f>
        <v>0.15970956812749004</v>
      </c>
      <c r="H100" s="528">
        <v>0</v>
      </c>
      <c r="I100" s="275">
        <f t="shared" ref="I100:I118" si="38">$B100*H100</f>
        <v>0</v>
      </c>
      <c r="J100" s="528">
        <v>1.0310578590572284</v>
      </c>
      <c r="K100" s="275">
        <f t="shared" ref="K100:K118" si="39">$B100*J100</f>
        <v>0.17527983603972883</v>
      </c>
      <c r="L100" s="528">
        <v>0</v>
      </c>
      <c r="M100" s="275">
        <f t="shared" ref="M100:M118" si="40">$B100*L100</f>
        <v>0</v>
      </c>
      <c r="N100" s="528">
        <v>0</v>
      </c>
      <c r="O100" s="275">
        <f t="shared" ref="O100:O118" si="41">$B100*N100</f>
        <v>0</v>
      </c>
      <c r="P100" s="63"/>
      <c r="Q100" s="63"/>
      <c r="AB100" s="657" t="s">
        <v>422</v>
      </c>
      <c r="AC100" s="612"/>
      <c r="AD100" s="614"/>
      <c r="AE100" s="658">
        <f>B100*1000</f>
        <v>170</v>
      </c>
      <c r="AF100" s="621">
        <f>E100/B100*1000</f>
        <v>964.42881875791306</v>
      </c>
      <c r="AG100" s="710"/>
      <c r="AH100" s="711">
        <f>G100/B100*1000</f>
        <v>939.46804780876494</v>
      </c>
      <c r="AI100" s="661"/>
      <c r="AJ100" s="621">
        <f>K100/B100*1000</f>
        <v>1031.0578590572284</v>
      </c>
      <c r="AK100" s="714"/>
      <c r="AL100" s="711"/>
    </row>
    <row r="101" spans="1:38">
      <c r="A101" s="112" t="s">
        <v>337</v>
      </c>
      <c r="B101" s="665">
        <f>0.138+0.032-C101</f>
        <v>0.17</v>
      </c>
      <c r="C101" s="547">
        <v>0</v>
      </c>
      <c r="D101" s="545">
        <v>0</v>
      </c>
      <c r="E101" s="367">
        <f t="shared" si="36"/>
        <v>0</v>
      </c>
      <c r="F101" s="528">
        <v>0</v>
      </c>
      <c r="G101" s="555">
        <f t="shared" si="37"/>
        <v>0</v>
      </c>
      <c r="H101" s="528">
        <v>0</v>
      </c>
      <c r="I101" s="367">
        <f t="shared" si="38"/>
        <v>0</v>
      </c>
      <c r="J101" s="528">
        <v>0</v>
      </c>
      <c r="K101" s="367">
        <f t="shared" si="39"/>
        <v>0</v>
      </c>
      <c r="L101" s="528">
        <v>0</v>
      </c>
      <c r="M101" s="367">
        <f t="shared" si="40"/>
        <v>0</v>
      </c>
      <c r="N101" s="528">
        <v>0.96649075853748823</v>
      </c>
      <c r="O101" s="367">
        <f t="shared" si="41"/>
        <v>0.16430342895137301</v>
      </c>
      <c r="P101" s="368"/>
      <c r="Q101" s="368"/>
      <c r="AB101" s="657"/>
      <c r="AC101" s="612"/>
      <c r="AD101" s="614"/>
      <c r="AE101" s="658"/>
      <c r="AF101" s="621"/>
      <c r="AG101" s="710"/>
      <c r="AH101" s="711"/>
      <c r="AI101" s="661"/>
      <c r="AJ101" s="621"/>
      <c r="AK101" s="714"/>
      <c r="AL101" s="711">
        <f>O101/B101*1000</f>
        <v>966.4907585374882</v>
      </c>
    </row>
    <row r="102" spans="1:38">
      <c r="A102" s="112" t="s">
        <v>338</v>
      </c>
      <c r="B102" s="665">
        <f>0.348+0.032-C102</f>
        <v>0.28700000000000003</v>
      </c>
      <c r="C102" s="547">
        <v>9.2999999999999999E-2</v>
      </c>
      <c r="D102" s="545">
        <v>0</v>
      </c>
      <c r="E102" s="367">
        <f t="shared" si="36"/>
        <v>0</v>
      </c>
      <c r="F102" s="528">
        <v>0</v>
      </c>
      <c r="G102" s="367">
        <f t="shared" si="37"/>
        <v>0</v>
      </c>
      <c r="H102" s="528">
        <v>0</v>
      </c>
      <c r="I102" s="367">
        <f t="shared" si="38"/>
        <v>0</v>
      </c>
      <c r="J102" s="528">
        <v>0</v>
      </c>
      <c r="K102" s="367">
        <f t="shared" si="39"/>
        <v>0</v>
      </c>
      <c r="L102" s="528">
        <v>0</v>
      </c>
      <c r="M102" s="367">
        <f t="shared" si="40"/>
        <v>0</v>
      </c>
      <c r="N102" s="528">
        <v>0</v>
      </c>
      <c r="O102" s="367">
        <f t="shared" si="41"/>
        <v>0</v>
      </c>
      <c r="P102" s="368"/>
      <c r="Q102" s="368"/>
      <c r="AB102" s="657"/>
      <c r="AC102" s="612"/>
      <c r="AD102" s="614"/>
      <c r="AE102" s="658"/>
      <c r="AF102" s="621"/>
      <c r="AG102" s="710"/>
      <c r="AH102" s="711"/>
      <c r="AI102" s="661"/>
      <c r="AJ102" s="621"/>
      <c r="AK102" s="714"/>
      <c r="AL102" s="711"/>
    </row>
    <row r="103" spans="1:38">
      <c r="A103" s="112" t="s">
        <v>339</v>
      </c>
      <c r="B103" s="665">
        <f>0.205+0.032-C103</f>
        <v>0.23699999999999999</v>
      </c>
      <c r="C103" s="547">
        <v>0</v>
      </c>
      <c r="D103" s="545">
        <v>0</v>
      </c>
      <c r="E103" s="367">
        <f t="shared" si="36"/>
        <v>0</v>
      </c>
      <c r="F103" s="528">
        <v>0</v>
      </c>
      <c r="G103" s="367">
        <f t="shared" si="37"/>
        <v>0</v>
      </c>
      <c r="H103" s="528">
        <v>0</v>
      </c>
      <c r="I103" s="367">
        <f t="shared" si="38"/>
        <v>0</v>
      </c>
      <c r="J103" s="528">
        <v>0</v>
      </c>
      <c r="K103" s="367">
        <f t="shared" si="39"/>
        <v>0</v>
      </c>
      <c r="L103" s="528">
        <v>0</v>
      </c>
      <c r="M103" s="367">
        <f t="shared" si="40"/>
        <v>0</v>
      </c>
      <c r="N103" s="528">
        <v>0</v>
      </c>
      <c r="O103" s="367">
        <f t="shared" si="41"/>
        <v>0</v>
      </c>
      <c r="P103" s="368"/>
      <c r="Q103" s="368"/>
      <c r="AB103" s="657"/>
      <c r="AC103" s="612"/>
      <c r="AD103" s="614"/>
      <c r="AE103" s="658"/>
      <c r="AF103" s="621"/>
      <c r="AG103" s="710"/>
      <c r="AH103" s="711"/>
      <c r="AI103" s="661"/>
      <c r="AJ103" s="621"/>
      <c r="AK103" s="714"/>
      <c r="AL103" s="711"/>
    </row>
    <row r="104" spans="1:38">
      <c r="A104" s="112" t="s">
        <v>340</v>
      </c>
      <c r="B104" s="667">
        <v>0</v>
      </c>
      <c r="C104" s="547">
        <v>0</v>
      </c>
      <c r="D104" s="545">
        <v>0</v>
      </c>
      <c r="E104" s="367">
        <f t="shared" si="36"/>
        <v>0</v>
      </c>
      <c r="F104" s="528">
        <v>0</v>
      </c>
      <c r="G104" s="367">
        <f t="shared" si="37"/>
        <v>0</v>
      </c>
      <c r="H104" s="528">
        <v>0</v>
      </c>
      <c r="I104" s="367">
        <f t="shared" si="38"/>
        <v>0</v>
      </c>
      <c r="J104" s="528">
        <v>0</v>
      </c>
      <c r="K104" s="367">
        <f t="shared" si="39"/>
        <v>0</v>
      </c>
      <c r="L104" s="528">
        <v>0</v>
      </c>
      <c r="M104" s="367">
        <f t="shared" si="40"/>
        <v>0</v>
      </c>
      <c r="N104" s="528">
        <v>0</v>
      </c>
      <c r="O104" s="367">
        <f t="shared" si="41"/>
        <v>0</v>
      </c>
      <c r="P104" s="368"/>
      <c r="Q104" s="368"/>
      <c r="AB104" s="657"/>
      <c r="AC104" s="612"/>
      <c r="AD104" s="614"/>
      <c r="AE104" s="658"/>
      <c r="AF104" s="621"/>
      <c r="AG104" s="710"/>
      <c r="AH104" s="711"/>
      <c r="AI104" s="661"/>
      <c r="AJ104" s="621"/>
      <c r="AK104" s="714"/>
      <c r="AL104" s="711"/>
    </row>
    <row r="105" spans="1:38">
      <c r="A105" s="112" t="s">
        <v>343</v>
      </c>
      <c r="B105" s="665">
        <f>0.4456-C105</f>
        <v>0.40089999999999998</v>
      </c>
      <c r="C105" s="547">
        <f>0.0447+0</f>
        <v>4.4699999999999997E-2</v>
      </c>
      <c r="D105" s="545">
        <v>0</v>
      </c>
      <c r="E105" s="367">
        <f t="shared" si="36"/>
        <v>0</v>
      </c>
      <c r="F105" s="528">
        <v>0</v>
      </c>
      <c r="G105" s="367">
        <f t="shared" si="37"/>
        <v>0</v>
      </c>
      <c r="H105" s="528">
        <v>0</v>
      </c>
      <c r="I105" s="367">
        <f t="shared" si="38"/>
        <v>0</v>
      </c>
      <c r="J105" s="528">
        <v>0</v>
      </c>
      <c r="K105" s="367">
        <f t="shared" si="39"/>
        <v>0</v>
      </c>
      <c r="L105" s="528">
        <v>0</v>
      </c>
      <c r="M105" s="367">
        <f t="shared" si="40"/>
        <v>0</v>
      </c>
      <c r="N105" s="528">
        <v>0</v>
      </c>
      <c r="O105" s="367">
        <f t="shared" si="41"/>
        <v>0</v>
      </c>
      <c r="P105" s="368"/>
      <c r="Q105" s="368"/>
      <c r="AB105" s="657"/>
      <c r="AC105" s="612"/>
      <c r="AD105" s="614"/>
      <c r="AE105" s="658"/>
      <c r="AF105" s="621"/>
      <c r="AG105" s="710"/>
      <c r="AH105" s="711"/>
      <c r="AI105" s="661"/>
      <c r="AJ105" s="621"/>
      <c r="AK105" s="714"/>
      <c r="AL105" s="711"/>
    </row>
    <row r="106" spans="1:38">
      <c r="A106" s="112" t="s">
        <v>397</v>
      </c>
      <c r="B106" s="665">
        <f>1.9036-C106</f>
        <v>1.74</v>
      </c>
      <c r="C106" s="547">
        <f>0.0552+0.1084</f>
        <v>0.1636</v>
      </c>
      <c r="D106" s="545">
        <v>0</v>
      </c>
      <c r="E106" s="367">
        <f t="shared" si="36"/>
        <v>0</v>
      </c>
      <c r="F106" s="528">
        <v>0</v>
      </c>
      <c r="G106" s="367">
        <f t="shared" si="37"/>
        <v>0</v>
      </c>
      <c r="H106" s="528">
        <v>0</v>
      </c>
      <c r="I106" s="367">
        <f t="shared" si="38"/>
        <v>0</v>
      </c>
      <c r="J106" s="528">
        <v>0</v>
      </c>
      <c r="K106" s="367">
        <f t="shared" si="39"/>
        <v>0</v>
      </c>
      <c r="L106" s="528">
        <v>0</v>
      </c>
      <c r="M106" s="367">
        <f t="shared" si="40"/>
        <v>0</v>
      </c>
      <c r="N106" s="528">
        <v>0</v>
      </c>
      <c r="O106" s="367">
        <f t="shared" si="41"/>
        <v>0</v>
      </c>
      <c r="P106" s="368"/>
      <c r="Q106" s="368"/>
      <c r="AB106" s="657"/>
      <c r="AC106" s="612"/>
      <c r="AD106" s="614"/>
      <c r="AE106" s="658"/>
      <c r="AF106" s="621"/>
      <c r="AG106" s="710"/>
      <c r="AH106" s="711"/>
      <c r="AI106" s="661"/>
      <c r="AJ106" s="621"/>
      <c r="AK106" s="714"/>
      <c r="AL106" s="711"/>
    </row>
    <row r="107" spans="1:38">
      <c r="A107" s="112" t="s">
        <v>345</v>
      </c>
      <c r="B107" s="665">
        <f>0.138+0.032-C107+0.02</f>
        <v>0.19</v>
      </c>
      <c r="C107" s="547">
        <v>0</v>
      </c>
      <c r="D107" s="545">
        <v>0</v>
      </c>
      <c r="E107" s="367">
        <f t="shared" si="36"/>
        <v>0</v>
      </c>
      <c r="F107" s="528">
        <v>0</v>
      </c>
      <c r="G107" s="367">
        <f t="shared" si="37"/>
        <v>0</v>
      </c>
      <c r="H107" s="528">
        <v>0</v>
      </c>
      <c r="I107" s="367">
        <f t="shared" si="38"/>
        <v>0</v>
      </c>
      <c r="J107" s="528">
        <v>0</v>
      </c>
      <c r="K107" s="367">
        <f t="shared" si="39"/>
        <v>0</v>
      </c>
      <c r="L107" s="528">
        <v>0</v>
      </c>
      <c r="M107" s="367">
        <f t="shared" si="40"/>
        <v>0</v>
      </c>
      <c r="N107" s="528">
        <v>0</v>
      </c>
      <c r="O107" s="367">
        <f t="shared" si="41"/>
        <v>0</v>
      </c>
      <c r="P107" s="368"/>
      <c r="Q107" s="368"/>
      <c r="AB107" s="657"/>
      <c r="AC107" s="612"/>
      <c r="AD107" s="614"/>
      <c r="AE107" s="658"/>
      <c r="AF107" s="621"/>
      <c r="AG107" s="710"/>
      <c r="AH107" s="711"/>
      <c r="AI107" s="661"/>
      <c r="AJ107" s="621"/>
      <c r="AK107" s="714"/>
      <c r="AL107" s="711"/>
    </row>
    <row r="108" spans="1:38">
      <c r="A108" s="112" t="s">
        <v>403</v>
      </c>
      <c r="B108" s="665">
        <f>1094.68/1000</f>
        <v>1.0946800000000001</v>
      </c>
      <c r="C108" s="547">
        <v>0</v>
      </c>
      <c r="D108" s="528">
        <v>0</v>
      </c>
      <c r="E108" s="367">
        <f t="shared" si="36"/>
        <v>0</v>
      </c>
      <c r="F108" s="528">
        <v>0</v>
      </c>
      <c r="G108" s="367">
        <f t="shared" si="37"/>
        <v>0</v>
      </c>
      <c r="H108" s="528">
        <v>0</v>
      </c>
      <c r="I108" s="367">
        <f t="shared" si="38"/>
        <v>0</v>
      </c>
      <c r="J108" s="528">
        <v>0</v>
      </c>
      <c r="K108" s="367">
        <f t="shared" si="39"/>
        <v>0</v>
      </c>
      <c r="L108" s="528">
        <v>0</v>
      </c>
      <c r="M108" s="367">
        <f t="shared" si="40"/>
        <v>0</v>
      </c>
      <c r="N108" s="528">
        <v>4.0703571281685696E-2</v>
      </c>
      <c r="O108" s="367">
        <f t="shared" si="41"/>
        <v>4.4557385410635704E-2</v>
      </c>
      <c r="P108" s="368"/>
      <c r="Q108" s="368"/>
      <c r="AB108" s="657">
        <v>30090</v>
      </c>
      <c r="AC108" s="612"/>
      <c r="AD108" s="614"/>
      <c r="AE108" s="658">
        <f t="shared" ref="AE108:AE115" si="42">B108*1000</f>
        <v>1094.68</v>
      </c>
      <c r="AF108" s="621">
        <f>E108/B108*1000</f>
        <v>0</v>
      </c>
      <c r="AG108" s="710"/>
      <c r="AH108" s="711"/>
      <c r="AI108" s="661"/>
      <c r="AJ108" s="621"/>
      <c r="AK108" s="714"/>
      <c r="AL108" s="711">
        <f t="shared" ref="AL108:AL118" si="43">O108/B108*1000</f>
        <v>40.703571281685697</v>
      </c>
    </row>
    <row r="109" spans="1:38">
      <c r="A109" s="112" t="s">
        <v>404</v>
      </c>
      <c r="B109" s="694">
        <v>1.06</v>
      </c>
      <c r="C109" s="547">
        <v>0</v>
      </c>
      <c r="D109" s="669">
        <v>3.1699999999999999E-2</v>
      </c>
      <c r="E109" s="367">
        <f t="shared" si="36"/>
        <v>3.3602E-2</v>
      </c>
      <c r="F109" s="528">
        <v>3.5855511288180611E-2</v>
      </c>
      <c r="G109" s="367">
        <f t="shared" si="37"/>
        <v>3.8006841965471452E-2</v>
      </c>
      <c r="H109" s="528">
        <v>0</v>
      </c>
      <c r="I109" s="367">
        <f t="shared" si="38"/>
        <v>0</v>
      </c>
      <c r="J109" s="528">
        <v>0</v>
      </c>
      <c r="K109" s="367">
        <f t="shared" si="39"/>
        <v>0</v>
      </c>
      <c r="L109" s="528">
        <v>0</v>
      </c>
      <c r="M109" s="367">
        <f t="shared" si="40"/>
        <v>0</v>
      </c>
      <c r="N109" s="528">
        <v>0</v>
      </c>
      <c r="O109" s="367">
        <f t="shared" si="41"/>
        <v>0</v>
      </c>
      <c r="P109" s="368"/>
      <c r="Q109" s="368"/>
      <c r="AB109" s="657">
        <v>30120</v>
      </c>
      <c r="AC109" s="612"/>
      <c r="AD109" s="614"/>
      <c r="AE109" s="658">
        <f t="shared" si="42"/>
        <v>1060</v>
      </c>
      <c r="AF109" s="621">
        <f>E109/B109*1000</f>
        <v>31.7</v>
      </c>
      <c r="AG109" s="710"/>
      <c r="AH109" s="711">
        <f>G109/B109*1000</f>
        <v>35.855511288180608</v>
      </c>
      <c r="AI109" s="661"/>
      <c r="AJ109" s="621" t="s">
        <v>7</v>
      </c>
      <c r="AK109" s="714"/>
      <c r="AL109" s="711"/>
    </row>
    <row r="110" spans="1:38">
      <c r="A110" s="112" t="s">
        <v>346</v>
      </c>
      <c r="B110" s="694">
        <v>0.9</v>
      </c>
      <c r="C110" s="547">
        <v>0</v>
      </c>
      <c r="D110" s="669">
        <v>4.4000000000000003E-3</v>
      </c>
      <c r="E110" s="367">
        <f t="shared" si="36"/>
        <v>3.96E-3</v>
      </c>
      <c r="F110" s="528">
        <v>4.7245683930942899E-3</v>
      </c>
      <c r="G110" s="367">
        <f t="shared" si="37"/>
        <v>4.2521115537848611E-3</v>
      </c>
      <c r="H110" s="528">
        <v>0</v>
      </c>
      <c r="I110" s="367">
        <f t="shared" si="38"/>
        <v>0</v>
      </c>
      <c r="J110" s="528">
        <v>0</v>
      </c>
      <c r="K110" s="367">
        <f t="shared" si="39"/>
        <v>0</v>
      </c>
      <c r="L110" s="528">
        <v>0</v>
      </c>
      <c r="M110" s="367">
        <f t="shared" si="40"/>
        <v>0</v>
      </c>
      <c r="N110" s="528">
        <v>0</v>
      </c>
      <c r="O110" s="367">
        <f t="shared" si="41"/>
        <v>0</v>
      </c>
      <c r="P110" s="368"/>
      <c r="Q110" s="368"/>
      <c r="AB110" s="657">
        <v>30362</v>
      </c>
      <c r="AC110" s="612"/>
      <c r="AD110" s="614"/>
      <c r="AE110" s="658">
        <f t="shared" si="42"/>
        <v>900</v>
      </c>
      <c r="AF110" s="621">
        <f>E110/B110*1000</f>
        <v>4.4000000000000004</v>
      </c>
      <c r="AG110" s="710"/>
      <c r="AH110" s="711">
        <f>G110/B110*1000</f>
        <v>4.7245683930942901</v>
      </c>
      <c r="AI110" s="661"/>
      <c r="AJ110" s="621" t="s">
        <v>7</v>
      </c>
      <c r="AK110" s="714"/>
      <c r="AL110" s="711"/>
    </row>
    <row r="111" spans="1:38">
      <c r="A111" s="112" t="s">
        <v>347</v>
      </c>
      <c r="B111" s="694">
        <v>4.83</v>
      </c>
      <c r="C111" s="547">
        <v>0</v>
      </c>
      <c r="D111" s="528">
        <v>0</v>
      </c>
      <c r="E111" s="367">
        <f t="shared" si="36"/>
        <v>0</v>
      </c>
      <c r="F111" s="528">
        <v>9.5981301460823368E-4</v>
      </c>
      <c r="G111" s="367">
        <f t="shared" si="37"/>
        <v>4.6358968605577687E-3</v>
      </c>
      <c r="H111" s="528">
        <v>0</v>
      </c>
      <c r="I111" s="367">
        <f t="shared" si="38"/>
        <v>0</v>
      </c>
      <c r="J111" s="528">
        <v>0</v>
      </c>
      <c r="K111" s="367">
        <f t="shared" si="39"/>
        <v>0</v>
      </c>
      <c r="L111" s="528">
        <v>0</v>
      </c>
      <c r="M111" s="367">
        <f t="shared" si="40"/>
        <v>0</v>
      </c>
      <c r="N111" s="528">
        <v>8.225600811592614E-6</v>
      </c>
      <c r="O111" s="367">
        <f t="shared" si="41"/>
        <v>3.9729651919992326E-5</v>
      </c>
      <c r="P111" s="368"/>
      <c r="Q111" s="368"/>
      <c r="R111" s="111"/>
      <c r="S111" s="111"/>
      <c r="T111" s="111"/>
      <c r="U111" s="111"/>
      <c r="V111" s="111"/>
      <c r="W111" s="111"/>
      <c r="X111" s="111"/>
      <c r="Y111" s="111"/>
      <c r="AB111" s="657">
        <v>30360</v>
      </c>
      <c r="AC111" s="612"/>
      <c r="AD111" s="614"/>
      <c r="AE111" s="658"/>
      <c r="AF111" s="621"/>
      <c r="AG111" s="710"/>
      <c r="AH111" s="711">
        <f>G111/B111*1000</f>
        <v>0.95981301460823365</v>
      </c>
      <c r="AI111" s="661"/>
      <c r="AJ111" s="621" t="s">
        <v>7</v>
      </c>
      <c r="AK111" s="714"/>
      <c r="AL111" s="711">
        <f t="shared" si="43"/>
        <v>8.2256008115926139E-3</v>
      </c>
    </row>
    <row r="112" spans="1:38">
      <c r="A112" s="112" t="s">
        <v>348</v>
      </c>
      <c r="B112" s="694">
        <v>0.88</v>
      </c>
      <c r="C112" s="547">
        <v>0</v>
      </c>
      <c r="D112" s="528">
        <v>0</v>
      </c>
      <c r="E112" s="367">
        <f t="shared" si="36"/>
        <v>0</v>
      </c>
      <c r="F112" s="528">
        <v>7.1203187250996013E-4</v>
      </c>
      <c r="G112" s="367">
        <f t="shared" si="37"/>
        <v>6.2658804780876495E-4</v>
      </c>
      <c r="H112" s="528">
        <v>0</v>
      </c>
      <c r="I112" s="367">
        <f t="shared" si="38"/>
        <v>0</v>
      </c>
      <c r="J112" s="528">
        <v>0</v>
      </c>
      <c r="K112" s="367">
        <f t="shared" si="39"/>
        <v>0</v>
      </c>
      <c r="L112" s="528">
        <v>0</v>
      </c>
      <c r="M112" s="367">
        <f t="shared" si="40"/>
        <v>0</v>
      </c>
      <c r="N112" s="528">
        <v>3.1805656471491436E-5</v>
      </c>
      <c r="O112" s="367">
        <f t="shared" si="41"/>
        <v>2.7988977694912463E-5</v>
      </c>
      <c r="P112" s="368"/>
      <c r="Q112" s="368"/>
      <c r="R112" s="111"/>
      <c r="S112" s="111"/>
      <c r="T112" s="111"/>
      <c r="U112" s="111"/>
      <c r="V112" s="111"/>
      <c r="W112" s="111"/>
      <c r="X112" s="111"/>
      <c r="Y112" s="111"/>
      <c r="AB112" s="657">
        <v>30361</v>
      </c>
      <c r="AC112" s="612"/>
      <c r="AD112" s="614"/>
      <c r="AE112" s="658"/>
      <c r="AF112" s="621"/>
      <c r="AG112" s="710"/>
      <c r="AH112" s="711">
        <f>G112/B112*1000</f>
        <v>0.71203187250996014</v>
      </c>
      <c r="AI112" s="661"/>
      <c r="AJ112" s="621" t="s">
        <v>427</v>
      </c>
      <c r="AK112" s="714"/>
      <c r="AL112" s="711">
        <f t="shared" si="43"/>
        <v>3.1805656471491438E-2</v>
      </c>
    </row>
    <row r="113" spans="1:38">
      <c r="A113" s="112" t="s">
        <v>405</v>
      </c>
      <c r="B113" s="694">
        <v>1.29</v>
      </c>
      <c r="C113" s="547">
        <v>0</v>
      </c>
      <c r="D113" s="669">
        <v>4.0000000000000002E-4</v>
      </c>
      <c r="E113" s="367">
        <f t="shared" si="36"/>
        <v>5.1600000000000007E-4</v>
      </c>
      <c r="F113" s="528">
        <v>0</v>
      </c>
      <c r="G113" s="367">
        <f t="shared" si="37"/>
        <v>0</v>
      </c>
      <c r="H113" s="528">
        <v>0</v>
      </c>
      <c r="I113" s="367">
        <f t="shared" si="38"/>
        <v>0</v>
      </c>
      <c r="J113" s="528">
        <v>0</v>
      </c>
      <c r="K113" s="367">
        <f t="shared" si="39"/>
        <v>0</v>
      </c>
      <c r="L113" s="528">
        <v>0</v>
      </c>
      <c r="M113" s="367">
        <f t="shared" si="40"/>
        <v>0</v>
      </c>
      <c r="N113" s="528">
        <v>1.5403808453175768E-3</v>
      </c>
      <c r="O113" s="367">
        <f t="shared" si="41"/>
        <v>1.987091290459674E-3</v>
      </c>
      <c r="P113" s="368"/>
      <c r="Q113" s="368"/>
      <c r="R113" s="111"/>
      <c r="S113" s="111"/>
      <c r="T113" s="111"/>
      <c r="U113" s="111"/>
      <c r="V113" s="111"/>
      <c r="W113" s="111"/>
      <c r="X113" s="111"/>
      <c r="Y113" s="111"/>
      <c r="AB113" s="657">
        <v>30054</v>
      </c>
      <c r="AC113" s="612"/>
      <c r="AD113" s="614"/>
      <c r="AE113" s="658">
        <f>B113*1000</f>
        <v>1290</v>
      </c>
      <c r="AF113" s="621">
        <f t="shared" ref="AF113:AF115" si="44">E113/B113*1000</f>
        <v>0.40000000000000008</v>
      </c>
      <c r="AG113" s="710"/>
      <c r="AH113" s="711"/>
      <c r="AI113" s="658"/>
      <c r="AJ113" s="621"/>
      <c r="AK113" s="714"/>
      <c r="AL113" s="711">
        <f t="shared" si="43"/>
        <v>1.5403808453175767</v>
      </c>
    </row>
    <row r="114" spans="1:38">
      <c r="A114" s="112" t="s">
        <v>409</v>
      </c>
      <c r="B114" s="694">
        <v>1</v>
      </c>
      <c r="C114" s="547">
        <v>0</v>
      </c>
      <c r="D114" s="528">
        <v>0</v>
      </c>
      <c r="E114" s="367">
        <f t="shared" si="36"/>
        <v>0</v>
      </c>
      <c r="F114" s="568">
        <v>0</v>
      </c>
      <c r="G114" s="367">
        <f t="shared" si="37"/>
        <v>0</v>
      </c>
      <c r="H114" s="528">
        <v>0</v>
      </c>
      <c r="I114" s="367">
        <f t="shared" si="38"/>
        <v>0</v>
      </c>
      <c r="J114" s="528">
        <v>0</v>
      </c>
      <c r="K114" s="367">
        <f t="shared" si="39"/>
        <v>0</v>
      </c>
      <c r="L114" s="528">
        <v>0</v>
      </c>
      <c r="M114" s="367">
        <f t="shared" si="40"/>
        <v>0</v>
      </c>
      <c r="N114" s="528">
        <v>5.3356401573831621E-3</v>
      </c>
      <c r="O114" s="367">
        <f t="shared" si="41"/>
        <v>5.3356401573831621E-3</v>
      </c>
      <c r="P114" s="368"/>
      <c r="Q114" s="368"/>
      <c r="AB114" s="657">
        <v>30055</v>
      </c>
      <c r="AC114" s="612"/>
      <c r="AD114" s="614"/>
      <c r="AE114" s="658">
        <f t="shared" si="42"/>
        <v>1000</v>
      </c>
      <c r="AF114" s="621">
        <f t="shared" si="44"/>
        <v>0</v>
      </c>
      <c r="AG114" s="710"/>
      <c r="AH114" s="711"/>
      <c r="AI114" s="658"/>
      <c r="AJ114" s="621"/>
      <c r="AK114" s="714"/>
      <c r="AL114" s="711">
        <f t="shared" si="43"/>
        <v>5.3356401573831622</v>
      </c>
    </row>
    <row r="115" spans="1:38">
      <c r="A115" s="112" t="s">
        <v>406</v>
      </c>
      <c r="B115" s="694">
        <v>3.94</v>
      </c>
      <c r="C115" s="547">
        <v>0</v>
      </c>
      <c r="D115" s="528">
        <v>0</v>
      </c>
      <c r="E115" s="367">
        <f t="shared" si="36"/>
        <v>0</v>
      </c>
      <c r="F115" s="528">
        <v>0</v>
      </c>
      <c r="G115" s="367">
        <f t="shared" si="37"/>
        <v>0</v>
      </c>
      <c r="H115" s="528">
        <v>0</v>
      </c>
      <c r="I115" s="367">
        <f t="shared" si="38"/>
        <v>0</v>
      </c>
      <c r="J115" s="528">
        <v>0</v>
      </c>
      <c r="K115" s="367">
        <f t="shared" si="39"/>
        <v>0</v>
      </c>
      <c r="L115" s="528">
        <v>0</v>
      </c>
      <c r="M115" s="367">
        <f t="shared" si="40"/>
        <v>0</v>
      </c>
      <c r="N115" s="528">
        <v>1.0131198332944903E-3</v>
      </c>
      <c r="O115" s="367">
        <f t="shared" si="41"/>
        <v>3.9916921431802921E-3</v>
      </c>
      <c r="P115" s="368"/>
      <c r="Q115" s="368"/>
      <c r="R115" s="111"/>
      <c r="S115" s="111"/>
      <c r="T115" s="111"/>
      <c r="U115" s="111"/>
      <c r="V115" s="111"/>
      <c r="W115" s="111"/>
      <c r="X115" s="111"/>
      <c r="Y115" s="111"/>
      <c r="AB115" s="657">
        <v>30058</v>
      </c>
      <c r="AC115" s="612"/>
      <c r="AD115" s="614"/>
      <c r="AE115" s="658">
        <f t="shared" si="42"/>
        <v>3940</v>
      </c>
      <c r="AF115" s="621">
        <f t="shared" si="44"/>
        <v>0</v>
      </c>
      <c r="AG115" s="710"/>
      <c r="AH115" s="711"/>
      <c r="AI115" s="658"/>
      <c r="AJ115" s="621"/>
      <c r="AK115" s="714"/>
      <c r="AL115" s="711">
        <f t="shared" si="43"/>
        <v>1.0131198332944904</v>
      </c>
    </row>
    <row r="116" spans="1:38" ht="16.5">
      <c r="A116" s="112" t="s">
        <v>411</v>
      </c>
      <c r="B116" s="665">
        <f>13699.7/1000</f>
        <v>13.6997</v>
      </c>
      <c r="C116" s="547">
        <v>0</v>
      </c>
      <c r="D116" s="545">
        <v>0</v>
      </c>
      <c r="E116" s="367">
        <f t="shared" si="36"/>
        <v>0</v>
      </c>
      <c r="F116" s="528">
        <v>0</v>
      </c>
      <c r="G116" s="367">
        <f t="shared" si="37"/>
        <v>0</v>
      </c>
      <c r="H116" s="528">
        <v>0</v>
      </c>
      <c r="I116" s="367">
        <f t="shared" si="38"/>
        <v>0</v>
      </c>
      <c r="J116" s="528">
        <v>0</v>
      </c>
      <c r="K116" s="367">
        <f>$B116*J116</f>
        <v>0</v>
      </c>
      <c r="L116" s="528">
        <v>0</v>
      </c>
      <c r="M116" s="367">
        <f t="shared" si="40"/>
        <v>0</v>
      </c>
      <c r="N116" s="528">
        <v>0</v>
      </c>
      <c r="O116" s="367">
        <f t="shared" si="41"/>
        <v>0</v>
      </c>
      <c r="P116" s="368"/>
      <c r="Q116" s="368"/>
      <c r="R116" s="111"/>
      <c r="S116" s="111"/>
      <c r="T116" s="111"/>
      <c r="U116" s="111"/>
      <c r="V116" s="111"/>
      <c r="W116" s="111"/>
      <c r="X116" s="111"/>
      <c r="Y116" s="111"/>
      <c r="AB116" s="657">
        <v>30454</v>
      </c>
      <c r="AC116" s="612"/>
      <c r="AD116" s="614"/>
      <c r="AE116" s="658"/>
      <c r="AF116" s="659"/>
      <c r="AG116" s="712"/>
      <c r="AH116" s="712"/>
      <c r="AI116" s="612"/>
      <c r="AJ116" s="621">
        <f>K116/B116*1000</f>
        <v>0</v>
      </c>
      <c r="AK116" s="712"/>
      <c r="AL116" s="711"/>
    </row>
    <row r="117" spans="1:38" ht="16.5">
      <c r="A117" s="112" t="s">
        <v>354</v>
      </c>
      <c r="B117" s="673">
        <f>9485.36/1000</f>
        <v>9.48536</v>
      </c>
      <c r="C117" s="674"/>
      <c r="D117" s="545"/>
      <c r="E117" s="367"/>
      <c r="F117" s="528"/>
      <c r="G117" s="367"/>
      <c r="H117" s="528"/>
      <c r="I117" s="367"/>
      <c r="J117" s="669">
        <v>7.7999999999999996E-3</v>
      </c>
      <c r="K117" s="367">
        <f>$B117*J117</f>
        <v>7.3985808E-2</v>
      </c>
      <c r="L117" s="528"/>
      <c r="M117" s="367"/>
      <c r="N117" s="528"/>
      <c r="O117" s="367"/>
      <c r="P117" s="368"/>
      <c r="Q117" s="368"/>
      <c r="R117" s="111"/>
      <c r="S117" s="111"/>
      <c r="T117" s="111"/>
      <c r="U117" s="111"/>
      <c r="V117" s="111"/>
      <c r="W117" s="111"/>
      <c r="X117" s="111"/>
      <c r="Y117" s="111"/>
      <c r="AB117" s="657"/>
      <c r="AC117" s="612"/>
      <c r="AD117" s="614"/>
      <c r="AE117" s="658"/>
      <c r="AF117" s="659"/>
      <c r="AG117" s="712"/>
      <c r="AH117" s="712"/>
      <c r="AI117" s="612"/>
      <c r="AJ117" s="621"/>
      <c r="AK117" s="712"/>
      <c r="AL117" s="711"/>
    </row>
    <row r="118" spans="1:38" ht="17.25" thickBot="1">
      <c r="A118" s="112" t="s">
        <v>355</v>
      </c>
      <c r="B118" s="666">
        <f>9219.5/1000</f>
        <v>9.2195</v>
      </c>
      <c r="C118" s="549">
        <v>0</v>
      </c>
      <c r="D118" s="545">
        <v>0</v>
      </c>
      <c r="E118" s="367">
        <f t="shared" si="36"/>
        <v>0</v>
      </c>
      <c r="F118" s="528">
        <v>0</v>
      </c>
      <c r="G118" s="367">
        <f t="shared" si="37"/>
        <v>0</v>
      </c>
      <c r="H118" s="528">
        <v>0</v>
      </c>
      <c r="I118" s="367">
        <f t="shared" si="38"/>
        <v>0</v>
      </c>
      <c r="J118" s="528">
        <v>0</v>
      </c>
      <c r="K118" s="367">
        <f t="shared" si="39"/>
        <v>0</v>
      </c>
      <c r="L118" s="528">
        <v>0</v>
      </c>
      <c r="M118" s="367">
        <f t="shared" si="40"/>
        <v>0</v>
      </c>
      <c r="N118" s="528">
        <v>1.734834048503626E-3</v>
      </c>
      <c r="O118" s="367">
        <f t="shared" si="41"/>
        <v>1.5994302510179179E-2</v>
      </c>
      <c r="P118" s="368"/>
      <c r="Q118" s="368"/>
      <c r="R118" s="111"/>
      <c r="S118" s="111"/>
      <c r="T118" s="111"/>
      <c r="U118" s="111"/>
      <c r="V118" s="111"/>
      <c r="W118" s="111"/>
      <c r="X118" s="111"/>
      <c r="Y118" s="111"/>
      <c r="AB118" s="657">
        <v>30242</v>
      </c>
      <c r="AC118" s="612"/>
      <c r="AD118" s="614"/>
      <c r="AE118" s="658"/>
      <c r="AF118" s="659"/>
      <c r="AG118" s="712"/>
      <c r="AH118" s="712"/>
      <c r="AI118" s="612"/>
      <c r="AJ118" s="612"/>
      <c r="AK118" s="712"/>
      <c r="AL118" s="711">
        <f t="shared" si="43"/>
        <v>1.7348340485036258</v>
      </c>
    </row>
    <row r="119" spans="1:38">
      <c r="A119" s="23"/>
      <c r="D119" s="371"/>
      <c r="E119" s="372"/>
      <c r="F119" s="30"/>
      <c r="G119" s="25"/>
      <c r="H119" s="30"/>
      <c r="I119" s="25"/>
      <c r="J119" s="675">
        <f>3355.5/427740</f>
        <v>7.8447187543835041E-3</v>
      </c>
      <c r="K119" s="25"/>
      <c r="L119" s="30"/>
      <c r="M119" s="25"/>
      <c r="N119" s="30"/>
      <c r="O119" s="25"/>
      <c r="P119" s="368"/>
      <c r="Q119" s="368"/>
      <c r="R119" s="111"/>
      <c r="S119" s="111"/>
      <c r="T119" s="111"/>
      <c r="U119" s="111"/>
      <c r="V119" s="111"/>
      <c r="W119" s="111"/>
      <c r="X119" s="111"/>
      <c r="Y119" s="111"/>
      <c r="AB119" s="657"/>
      <c r="AC119" s="612"/>
      <c r="AD119" s="614"/>
      <c r="AE119" s="658"/>
      <c r="AF119" s="659"/>
      <c r="AG119" s="712"/>
      <c r="AH119" s="712"/>
      <c r="AI119" s="612"/>
      <c r="AJ119" s="612"/>
      <c r="AK119" s="712"/>
      <c r="AL119" s="711"/>
    </row>
    <row r="120" spans="1:38">
      <c r="A120" s="23" t="s">
        <v>249</v>
      </c>
      <c r="D120" s="374"/>
      <c r="E120" s="541" t="s">
        <v>250</v>
      </c>
      <c r="F120" s="33"/>
      <c r="G120" s="541" t="s">
        <v>250</v>
      </c>
      <c r="H120" s="33"/>
      <c r="I120" s="541" t="s">
        <v>250</v>
      </c>
      <c r="J120" s="33"/>
      <c r="K120" s="541" t="s">
        <v>250</v>
      </c>
      <c r="L120" s="30"/>
      <c r="M120" s="541" t="s">
        <v>250</v>
      </c>
      <c r="N120" s="33"/>
      <c r="O120" s="541" t="s">
        <v>250</v>
      </c>
      <c r="P120" s="368"/>
      <c r="Q120" s="368"/>
      <c r="R120" s="111"/>
      <c r="S120" s="111"/>
      <c r="T120" s="111"/>
      <c r="U120" s="111"/>
      <c r="V120" s="111"/>
      <c r="W120" s="111"/>
      <c r="X120" s="111"/>
      <c r="Y120" s="111"/>
      <c r="AB120" s="657"/>
      <c r="AC120" s="612"/>
      <c r="AD120" s="614"/>
      <c r="AE120" s="658"/>
      <c r="AF120" s="659"/>
      <c r="AG120" s="712"/>
      <c r="AH120" s="712"/>
      <c r="AI120" s="612"/>
      <c r="AJ120" s="612"/>
      <c r="AK120" s="712"/>
      <c r="AL120" s="712"/>
    </row>
    <row r="121" spans="1:38">
      <c r="A121" s="112" t="s">
        <v>363</v>
      </c>
      <c r="C121" s="668"/>
      <c r="D121" s="374"/>
      <c r="E121" s="275">
        <f>SUM(E100:E107)</f>
        <v>0.16395289918884523</v>
      </c>
      <c r="F121" s="33"/>
      <c r="G121" s="275">
        <f>SUM(G100:G107)</f>
        <v>0.15970956812749004</v>
      </c>
      <c r="H121" s="33"/>
      <c r="I121" s="275">
        <f>SUM(I100:I107)</f>
        <v>0</v>
      </c>
      <c r="J121" s="33"/>
      <c r="K121" s="275">
        <f>SUM(K100:K107)</f>
        <v>0.17527983603972883</v>
      </c>
      <c r="L121" s="30"/>
      <c r="M121" s="275">
        <f>SUM(M100:M107)</f>
        <v>0</v>
      </c>
      <c r="N121" s="33"/>
      <c r="O121" s="275">
        <f>SUM(O100:O107)</f>
        <v>0.16430342895137301</v>
      </c>
      <c r="P121" s="368"/>
      <c r="Q121" s="368"/>
      <c r="R121" s="111"/>
      <c r="S121" s="111"/>
      <c r="T121" s="111"/>
      <c r="U121" s="111"/>
      <c r="V121" s="111"/>
      <c r="W121" s="111"/>
      <c r="X121" s="111"/>
      <c r="Y121" s="111"/>
      <c r="AB121" s="657"/>
      <c r="AC121" s="612"/>
      <c r="AD121" s="614"/>
      <c r="AE121" s="658"/>
      <c r="AF121" s="659"/>
      <c r="AG121" s="712"/>
      <c r="AH121" s="712"/>
      <c r="AI121" s="612"/>
      <c r="AJ121" s="612"/>
      <c r="AK121" s="712"/>
      <c r="AL121" s="712"/>
    </row>
    <row r="122" spans="1:38" ht="12.75">
      <c r="A122" s="112" t="s">
        <v>36</v>
      </c>
      <c r="D122" s="374"/>
      <c r="E122" s="375">
        <f>SUM(E108:E109)</f>
        <v>3.3602E-2</v>
      </c>
      <c r="F122" s="33"/>
      <c r="G122" s="375">
        <f>SUM(G108:G109)</f>
        <v>3.8006841965471452E-2</v>
      </c>
      <c r="H122" s="33"/>
      <c r="I122" s="375">
        <f>SUM(I108:I109)</f>
        <v>0</v>
      </c>
      <c r="J122" s="33"/>
      <c r="K122" s="375">
        <f>SUM(K108:K109)</f>
        <v>0</v>
      </c>
      <c r="L122" s="30"/>
      <c r="M122" s="375">
        <f>SUM(M108:M109)</f>
        <v>0</v>
      </c>
      <c r="N122" s="33"/>
      <c r="O122" s="375">
        <f>SUM(O108:O109)</f>
        <v>4.4557385410635704E-2</v>
      </c>
      <c r="AB122" s="612"/>
      <c r="AC122" s="612"/>
      <c r="AD122" s="612"/>
      <c r="AE122" s="658"/>
      <c r="AF122" s="660">
        <f>SUM(AF100:AF116)</f>
        <v>1000.9288187579131</v>
      </c>
      <c r="AG122" s="712"/>
      <c r="AH122" s="713">
        <f>SUM(AH100:AH116)</f>
        <v>981.71997237715811</v>
      </c>
      <c r="AI122" s="612"/>
      <c r="AJ122" s="660">
        <f>SUM(AJ100:AJ116)</f>
        <v>1031.0578590572284</v>
      </c>
      <c r="AK122" s="712"/>
      <c r="AL122" s="713">
        <f>SUM(AL100:AL119)</f>
        <v>1016.8583359609559</v>
      </c>
    </row>
    <row r="123" spans="1:38" ht="16.5">
      <c r="A123" s="112" t="s">
        <v>147</v>
      </c>
      <c r="D123" s="374"/>
      <c r="E123" s="377">
        <f>SUM(E110:E118)</f>
        <v>4.4759999999999999E-3</v>
      </c>
      <c r="F123" s="33"/>
      <c r="G123" s="377">
        <f>SUM(G110:G118)</f>
        <v>9.5145964621513937E-3</v>
      </c>
      <c r="H123" s="33"/>
      <c r="I123" s="377">
        <f>SUM(I110:I118)</f>
        <v>0</v>
      </c>
      <c r="J123" s="33"/>
      <c r="K123" s="377">
        <f>SUM(K110:K118)</f>
        <v>7.3985808E-2</v>
      </c>
      <c r="L123" s="30"/>
      <c r="M123" s="377">
        <f>SUM(M110:M118)</f>
        <v>0</v>
      </c>
      <c r="N123" s="33"/>
      <c r="O123" s="377">
        <f>SUM(O110:O118)</f>
        <v>2.7376444730817212E-2</v>
      </c>
      <c r="P123" s="26"/>
      <c r="Q123" s="26"/>
    </row>
    <row r="124" spans="1:38" ht="16.5">
      <c r="A124" s="353" t="s">
        <v>251</v>
      </c>
      <c r="D124" s="371"/>
      <c r="E124" s="379">
        <f>SUM(E121:E123)</f>
        <v>0.20203089918884523</v>
      </c>
      <c r="F124" s="33"/>
      <c r="G124" s="379">
        <f>SUM(G121:G123)</f>
        <v>0.20723100655511287</v>
      </c>
      <c r="H124" s="33"/>
      <c r="I124" s="379">
        <f>SUM(I121:I123)</f>
        <v>0</v>
      </c>
      <c r="J124" s="33"/>
      <c r="K124" s="379">
        <f>SUM(K121:K123)</f>
        <v>0.24926564403972884</v>
      </c>
      <c r="L124" s="30"/>
      <c r="M124" s="379">
        <f>SUM(M121:M123)</f>
        <v>0</v>
      </c>
      <c r="N124" s="33"/>
      <c r="O124" s="379">
        <f>SUM(O121:O123)</f>
        <v>0.23623725909282592</v>
      </c>
      <c r="P124" s="63"/>
      <c r="Q124" s="63"/>
    </row>
    <row r="125" spans="1:38">
      <c r="A125" s="491" t="s">
        <v>389</v>
      </c>
      <c r="B125" s="1"/>
      <c r="C125" s="1"/>
      <c r="D125" s="33"/>
      <c r="E125" s="1"/>
      <c r="F125" s="371"/>
      <c r="G125" s="484"/>
      <c r="H125" s="371"/>
      <c r="I125" s="484"/>
      <c r="J125" s="371"/>
      <c r="K125" s="484"/>
      <c r="L125" s="371"/>
      <c r="M125" s="484"/>
      <c r="N125" s="371"/>
      <c r="O125" s="484"/>
      <c r="P125" s="376"/>
      <c r="Q125" s="376"/>
      <c r="V125" s="249">
        <f>($E122*$B$29+$G122*$E$29+$I122*$H$29+$K122*$K$29+$M122*$N$29+$O122*$Q$29+$E151*$B$60+$G151*$E$60+$I151*$H$60+$K151*$K$60+$M151*$N$60+$O151*$Q$60)/$B$64</f>
        <v>1.5834618086329143E-2</v>
      </c>
      <c r="W125" s="2" t="s">
        <v>433</v>
      </c>
    </row>
    <row r="126" spans="1:38" ht="16.5">
      <c r="A126" s="492" t="s">
        <v>390</v>
      </c>
      <c r="B126" s="359"/>
      <c r="C126" s="359"/>
      <c r="D126" s="485"/>
      <c r="E126" s="486"/>
      <c r="F126" s="59"/>
      <c r="G126" s="487"/>
      <c r="H126" s="59"/>
      <c r="I126" s="487"/>
      <c r="J126" s="59"/>
      <c r="K126" s="487"/>
      <c r="L126" s="59"/>
      <c r="M126" s="487"/>
      <c r="N126" s="59"/>
      <c r="O126" s="487"/>
      <c r="P126" s="378"/>
      <c r="Q126" s="378"/>
      <c r="V126" s="249">
        <f>($E123*$B$29+$G123*$E$29+$I123*$H$29+$K123*$K$29+$M123*$N$29+$O123*$Q$29+$E152*$B$60+$G152*$E$60+$I152*$H$60+$K152*$K$60+$M152*$N$60+$O152*$Q$60)/$B$64</f>
        <v>1.411714534872496E-2</v>
      </c>
      <c r="W126" s="2" t="s">
        <v>434</v>
      </c>
    </row>
    <row r="127" spans="1:38" ht="17.25" thickBot="1">
      <c r="A127" s="30"/>
      <c r="B127" s="1"/>
      <c r="C127" s="1"/>
      <c r="D127" s="847" t="s">
        <v>322</v>
      </c>
      <c r="E127" s="848"/>
      <c r="F127" s="847" t="s">
        <v>333</v>
      </c>
      <c r="G127" s="848"/>
      <c r="H127" s="847" t="s">
        <v>400</v>
      </c>
      <c r="I127" s="848"/>
      <c r="J127" s="847" t="s">
        <v>335</v>
      </c>
      <c r="K127" s="848"/>
      <c r="L127" s="847" t="s">
        <v>407</v>
      </c>
      <c r="M127" s="848"/>
      <c r="N127" s="847" t="s">
        <v>407</v>
      </c>
      <c r="O127" s="848"/>
      <c r="P127" s="380"/>
      <c r="Q127" s="380"/>
      <c r="AB127" s="663"/>
      <c r="AC127" s="663"/>
      <c r="AD127" s="663"/>
      <c r="AE127" s="663"/>
      <c r="AF127" s="663" t="s">
        <v>322</v>
      </c>
      <c r="AG127" s="663"/>
      <c r="AH127" s="663" t="s">
        <v>430</v>
      </c>
      <c r="AI127" s="663"/>
      <c r="AJ127" s="663" t="s">
        <v>400</v>
      </c>
    </row>
    <row r="128" spans="1:38" ht="30">
      <c r="A128" s="30" t="s">
        <v>243</v>
      </c>
      <c r="B128" s="550" t="s">
        <v>27</v>
      </c>
      <c r="C128" s="551" t="s">
        <v>396</v>
      </c>
      <c r="D128" s="48" t="s">
        <v>244</v>
      </c>
      <c r="E128" s="362" t="s">
        <v>245</v>
      </c>
      <c r="F128" s="361" t="s">
        <v>244</v>
      </c>
      <c r="G128" s="362" t="s">
        <v>245</v>
      </c>
      <c r="H128" s="361" t="s">
        <v>244</v>
      </c>
      <c r="I128" s="362" t="s">
        <v>245</v>
      </c>
      <c r="J128" s="361" t="s">
        <v>244</v>
      </c>
      <c r="K128" s="362" t="s">
        <v>245</v>
      </c>
      <c r="L128" s="361" t="s">
        <v>244</v>
      </c>
      <c r="M128" s="362" t="s">
        <v>245</v>
      </c>
      <c r="N128" s="361" t="s">
        <v>244</v>
      </c>
      <c r="O128" s="362" t="s">
        <v>245</v>
      </c>
      <c r="AB128" s="655" t="s">
        <v>246</v>
      </c>
      <c r="AC128" s="612"/>
      <c r="AD128" s="612"/>
      <c r="AE128" s="656" t="s">
        <v>247</v>
      </c>
      <c r="AF128" s="656" t="s">
        <v>248</v>
      </c>
      <c r="AG128" s="656" t="s">
        <v>247</v>
      </c>
      <c r="AH128" s="656" t="s">
        <v>248</v>
      </c>
      <c r="AI128" s="656" t="s">
        <v>247</v>
      </c>
      <c r="AJ128" s="656" t="s">
        <v>248</v>
      </c>
      <c r="AK128" s="2"/>
      <c r="AL128" s="2"/>
    </row>
    <row r="129" spans="1:38">
      <c r="A129" s="112" t="s">
        <v>336</v>
      </c>
      <c r="B129" s="665">
        <f>0.138+0.032-C129</f>
        <v>0.17</v>
      </c>
      <c r="C129" s="547">
        <v>0</v>
      </c>
      <c r="D129" s="545">
        <v>0</v>
      </c>
      <c r="E129" s="275">
        <f t="shared" ref="E129:E147" si="45">$B129*D129</f>
        <v>0</v>
      </c>
      <c r="F129" s="528">
        <v>0</v>
      </c>
      <c r="G129" s="275">
        <f t="shared" ref="G129:G147" si="46">$B129*F129</f>
        <v>0</v>
      </c>
      <c r="H129" s="528">
        <v>0</v>
      </c>
      <c r="I129" s="275">
        <f t="shared" ref="I129:I147" si="47">$B129*H129</f>
        <v>0</v>
      </c>
      <c r="J129" s="528">
        <v>0</v>
      </c>
      <c r="K129" s="275">
        <f t="shared" ref="K129:K147" si="48">$B129*J129</f>
        <v>0</v>
      </c>
      <c r="L129" s="528">
        <v>0</v>
      </c>
      <c r="M129" s="275">
        <f t="shared" ref="M129:M147" si="49">$B129*L129</f>
        <v>0</v>
      </c>
      <c r="N129" s="528">
        <v>0</v>
      </c>
      <c r="O129" s="275">
        <f t="shared" ref="O129:O147" si="50">$B129*N129</f>
        <v>0</v>
      </c>
      <c r="AA129" s="6"/>
      <c r="AB129" s="655"/>
      <c r="AC129" s="612"/>
      <c r="AD129" s="612"/>
      <c r="AE129" s="656"/>
      <c r="AF129" s="656"/>
      <c r="AG129" s="612"/>
      <c r="AH129" s="612"/>
      <c r="AI129" s="612"/>
      <c r="AJ129" s="612"/>
      <c r="AK129" s="2"/>
      <c r="AL129" s="2"/>
    </row>
    <row r="130" spans="1:38">
      <c r="A130" s="112" t="s">
        <v>337</v>
      </c>
      <c r="B130" s="665">
        <f>0.138+0.032-C130</f>
        <v>0.17</v>
      </c>
      <c r="C130" s="547">
        <v>0</v>
      </c>
      <c r="D130" s="545">
        <v>0</v>
      </c>
      <c r="E130" s="367">
        <f t="shared" si="45"/>
        <v>0</v>
      </c>
      <c r="F130" s="528">
        <v>0</v>
      </c>
      <c r="G130" s="367">
        <f t="shared" si="46"/>
        <v>0</v>
      </c>
      <c r="H130" s="528">
        <v>0</v>
      </c>
      <c r="I130" s="367">
        <f t="shared" si="47"/>
        <v>0</v>
      </c>
      <c r="J130" s="528">
        <v>0</v>
      </c>
      <c r="K130" s="367">
        <f t="shared" si="48"/>
        <v>0</v>
      </c>
      <c r="L130" s="528">
        <v>0</v>
      </c>
      <c r="M130" s="367">
        <f t="shared" si="49"/>
        <v>0</v>
      </c>
      <c r="N130" s="528">
        <v>0</v>
      </c>
      <c r="O130" s="367">
        <f t="shared" si="50"/>
        <v>0</v>
      </c>
      <c r="AA130" s="6"/>
      <c r="AB130" s="649"/>
      <c r="AC130" s="612"/>
      <c r="AD130" s="612"/>
      <c r="AE130" s="612"/>
      <c r="AF130" s="612"/>
      <c r="AG130" s="612"/>
      <c r="AH130" s="612"/>
      <c r="AI130" s="612"/>
      <c r="AJ130" s="612"/>
      <c r="AK130" s="2"/>
      <c r="AL130" s="2"/>
    </row>
    <row r="131" spans="1:38" ht="16.5">
      <c r="A131" s="112" t="s">
        <v>338</v>
      </c>
      <c r="B131" s="665">
        <f>0.348+0.032-C131</f>
        <v>0.28700000000000003</v>
      </c>
      <c r="C131" s="547">
        <v>9.2999999999999999E-2</v>
      </c>
      <c r="D131" s="545">
        <v>0</v>
      </c>
      <c r="E131" s="367">
        <f t="shared" si="45"/>
        <v>0</v>
      </c>
      <c r="F131" s="528">
        <v>0</v>
      </c>
      <c r="G131" s="367">
        <f t="shared" si="46"/>
        <v>0</v>
      </c>
      <c r="H131" s="528">
        <v>1.0035185975198446</v>
      </c>
      <c r="I131" s="367">
        <f>$B131*H131</f>
        <v>0.28800983748819542</v>
      </c>
      <c r="J131" s="528">
        <v>0</v>
      </c>
      <c r="K131" s="367">
        <f t="shared" si="48"/>
        <v>0</v>
      </c>
      <c r="L131" s="528">
        <v>0</v>
      </c>
      <c r="M131" s="367">
        <f t="shared" si="49"/>
        <v>0</v>
      </c>
      <c r="N131" s="528">
        <v>0</v>
      </c>
      <c r="O131" s="367">
        <f t="shared" si="50"/>
        <v>0</v>
      </c>
      <c r="P131" s="72"/>
      <c r="Q131" s="601"/>
      <c r="AA131" s="111"/>
      <c r="AB131" s="649" t="s">
        <v>428</v>
      </c>
      <c r="AC131" s="612"/>
      <c r="AD131" s="612"/>
      <c r="AE131" s="662"/>
      <c r="AF131" s="656" t="s">
        <v>7</v>
      </c>
      <c r="AG131" s="612"/>
      <c r="AH131" s="621"/>
      <c r="AI131" s="612"/>
      <c r="AJ131" s="621">
        <f>I131/B131*1000</f>
        <v>1003.5185975198447</v>
      </c>
      <c r="AK131" s="2"/>
      <c r="AL131" s="2"/>
    </row>
    <row r="132" spans="1:38">
      <c r="A132" s="112" t="s">
        <v>339</v>
      </c>
      <c r="B132" s="665">
        <f>0.205+0.032-C132</f>
        <v>0.23699999999999999</v>
      </c>
      <c r="C132" s="547">
        <v>0</v>
      </c>
      <c r="D132" s="545">
        <v>0</v>
      </c>
      <c r="E132" s="367">
        <f t="shared" si="45"/>
        <v>0</v>
      </c>
      <c r="F132" s="528">
        <v>0</v>
      </c>
      <c r="G132" s="367">
        <f t="shared" si="46"/>
        <v>0</v>
      </c>
      <c r="H132" s="528">
        <v>0</v>
      </c>
      <c r="I132" s="367">
        <f t="shared" si="47"/>
        <v>0</v>
      </c>
      <c r="J132" s="528">
        <v>0</v>
      </c>
      <c r="K132" s="367">
        <f t="shared" si="48"/>
        <v>0</v>
      </c>
      <c r="L132" s="528">
        <v>0</v>
      </c>
      <c r="M132" s="367">
        <f t="shared" si="49"/>
        <v>0</v>
      </c>
      <c r="N132" s="528">
        <v>0</v>
      </c>
      <c r="O132" s="367">
        <f t="shared" si="50"/>
        <v>0</v>
      </c>
      <c r="P132" s="63"/>
      <c r="Q132" s="601"/>
      <c r="AB132" s="657" t="s">
        <v>7</v>
      </c>
      <c r="AC132" s="612"/>
      <c r="AD132" s="614"/>
      <c r="AE132" s="662"/>
      <c r="AF132" s="621">
        <f>E129/B129*1000</f>
        <v>0</v>
      </c>
      <c r="AG132" s="612"/>
      <c r="AH132" s="621"/>
      <c r="AI132" s="612"/>
      <c r="AJ132" s="621">
        <f t="shared" ref="AJ132:AJ147" si="51">I132/B132*1000</f>
        <v>0</v>
      </c>
      <c r="AK132" s="2"/>
      <c r="AL132" s="2"/>
    </row>
    <row r="133" spans="1:38">
      <c r="A133" s="112" t="s">
        <v>340</v>
      </c>
      <c r="B133" s="667">
        <v>0</v>
      </c>
      <c r="C133" s="547">
        <v>0</v>
      </c>
      <c r="D133" s="545">
        <v>0</v>
      </c>
      <c r="E133" s="367">
        <f t="shared" si="45"/>
        <v>0</v>
      </c>
      <c r="F133" s="528">
        <v>0</v>
      </c>
      <c r="G133" s="367">
        <f t="shared" si="46"/>
        <v>0</v>
      </c>
      <c r="H133" s="528">
        <v>0</v>
      </c>
      <c r="I133" s="367">
        <f t="shared" si="47"/>
        <v>0</v>
      </c>
      <c r="J133" s="528">
        <v>0</v>
      </c>
      <c r="K133" s="367">
        <f t="shared" si="48"/>
        <v>0</v>
      </c>
      <c r="L133" s="528">
        <v>0</v>
      </c>
      <c r="M133" s="367">
        <f t="shared" si="49"/>
        <v>0</v>
      </c>
      <c r="N133" s="528">
        <v>0</v>
      </c>
      <c r="O133" s="367">
        <f t="shared" si="50"/>
        <v>0</v>
      </c>
      <c r="P133" s="368"/>
      <c r="AB133" s="657" t="s">
        <v>7</v>
      </c>
      <c r="AC133" s="612"/>
      <c r="AD133" s="614"/>
      <c r="AE133" s="662"/>
      <c r="AF133" s="621"/>
      <c r="AG133" s="612"/>
      <c r="AH133" s="621"/>
      <c r="AI133" s="612"/>
      <c r="AJ133" s="621">
        <v>0</v>
      </c>
      <c r="AK133" s="2"/>
      <c r="AL133" s="2"/>
    </row>
    <row r="134" spans="1:38">
      <c r="A134" s="112" t="s">
        <v>343</v>
      </c>
      <c r="B134" s="665">
        <f>0.4456-C134</f>
        <v>0.40089999999999998</v>
      </c>
      <c r="C134" s="547">
        <f>0.0447+0</f>
        <v>4.4699999999999997E-2</v>
      </c>
      <c r="D134" s="545">
        <v>0</v>
      </c>
      <c r="E134" s="367">
        <f t="shared" si="45"/>
        <v>0</v>
      </c>
      <c r="F134" s="528">
        <v>1.02973577505643</v>
      </c>
      <c r="G134" s="367">
        <f>$B134*F134</f>
        <v>0.41282107222012276</v>
      </c>
      <c r="H134" s="528">
        <v>0</v>
      </c>
      <c r="I134" s="367">
        <f t="shared" si="47"/>
        <v>0</v>
      </c>
      <c r="J134" s="528">
        <v>0</v>
      </c>
      <c r="K134" s="367">
        <f t="shared" si="48"/>
        <v>0</v>
      </c>
      <c r="L134" s="528">
        <v>0</v>
      </c>
      <c r="M134" s="367">
        <f t="shared" si="49"/>
        <v>0</v>
      </c>
      <c r="N134" s="528">
        <v>0</v>
      </c>
      <c r="O134" s="367">
        <f t="shared" si="50"/>
        <v>0</v>
      </c>
      <c r="P134" s="368"/>
      <c r="AB134" s="657"/>
      <c r="AC134" s="612"/>
      <c r="AD134" s="614"/>
      <c r="AE134" s="662"/>
      <c r="AF134" s="621"/>
      <c r="AG134" s="612"/>
      <c r="AH134" s="621">
        <f t="shared" ref="AH134:AH145" si="52">G134/B134*1000</f>
        <v>1029.7357750564299</v>
      </c>
      <c r="AI134" s="612"/>
      <c r="AJ134" s="621">
        <f t="shared" si="51"/>
        <v>0</v>
      </c>
      <c r="AK134" s="2"/>
      <c r="AL134" s="2"/>
    </row>
    <row r="135" spans="1:38">
      <c r="A135" s="112" t="s">
        <v>344</v>
      </c>
      <c r="B135" s="665">
        <f>1.9036-C135</f>
        <v>1.74</v>
      </c>
      <c r="C135" s="547">
        <f>0.0552+0.1084</f>
        <v>0.1636</v>
      </c>
      <c r="D135" s="545">
        <v>0</v>
      </c>
      <c r="E135" s="367">
        <f t="shared" si="45"/>
        <v>0</v>
      </c>
      <c r="F135" s="528">
        <v>0</v>
      </c>
      <c r="G135" s="367">
        <f t="shared" si="46"/>
        <v>0</v>
      </c>
      <c r="H135" s="528">
        <v>0</v>
      </c>
      <c r="I135" s="367">
        <f t="shared" si="47"/>
        <v>0</v>
      </c>
      <c r="J135" s="528">
        <v>0.99740932642487057</v>
      </c>
      <c r="K135" s="367">
        <f t="shared" si="48"/>
        <v>1.7354922279792748</v>
      </c>
      <c r="L135" s="528">
        <v>0</v>
      </c>
      <c r="M135" s="367">
        <f t="shared" si="49"/>
        <v>0</v>
      </c>
      <c r="N135" s="528">
        <v>0</v>
      </c>
      <c r="O135" s="367">
        <f t="shared" si="50"/>
        <v>0</v>
      </c>
      <c r="P135" s="368"/>
      <c r="Q135" s="368"/>
      <c r="AB135" s="657"/>
      <c r="AC135" s="612"/>
      <c r="AD135" s="614"/>
      <c r="AE135" s="662"/>
      <c r="AF135" s="621"/>
      <c r="AG135" s="612"/>
      <c r="AH135" s="621">
        <f t="shared" si="52"/>
        <v>0</v>
      </c>
      <c r="AI135" s="612"/>
      <c r="AJ135" s="621">
        <f t="shared" si="51"/>
        <v>0</v>
      </c>
      <c r="AK135" s="2"/>
      <c r="AL135" s="2"/>
    </row>
    <row r="136" spans="1:38">
      <c r="A136" s="112" t="s">
        <v>345</v>
      </c>
      <c r="B136" s="665">
        <f>0.138+0.032-C136+0.02</f>
        <v>0.19</v>
      </c>
      <c r="C136" s="547">
        <v>0</v>
      </c>
      <c r="D136" s="545">
        <v>1.1583011583011582</v>
      </c>
      <c r="E136" s="367">
        <f t="shared" si="45"/>
        <v>0.22007722007722005</v>
      </c>
      <c r="F136" s="528">
        <v>0</v>
      </c>
      <c r="G136" s="367">
        <f t="shared" si="46"/>
        <v>0</v>
      </c>
      <c r="H136" s="528">
        <v>0</v>
      </c>
      <c r="I136" s="367">
        <f t="shared" si="47"/>
        <v>0</v>
      </c>
      <c r="J136" s="528">
        <v>0</v>
      </c>
      <c r="K136" s="367">
        <f t="shared" si="48"/>
        <v>0</v>
      </c>
      <c r="L136" s="528">
        <v>0</v>
      </c>
      <c r="M136" s="367">
        <f t="shared" si="49"/>
        <v>0</v>
      </c>
      <c r="N136" s="528">
        <v>0</v>
      </c>
      <c r="O136" s="367">
        <f t="shared" si="50"/>
        <v>0</v>
      </c>
      <c r="P136" s="368"/>
      <c r="Q136" s="368"/>
      <c r="AB136" s="657" t="s">
        <v>429</v>
      </c>
      <c r="AC136" s="612"/>
      <c r="AD136" s="614"/>
      <c r="AE136" s="662">
        <f t="shared" ref="AE136:AE144" si="53">+B136*1000</f>
        <v>190</v>
      </c>
      <c r="AF136" s="621">
        <f>+E136/B136*1000</f>
        <v>1158.3011583011582</v>
      </c>
      <c r="AG136" s="612"/>
      <c r="AH136" s="621">
        <f t="shared" si="52"/>
        <v>0</v>
      </c>
      <c r="AI136" s="612"/>
      <c r="AJ136" s="621">
        <f t="shared" si="51"/>
        <v>0</v>
      </c>
      <c r="AK136" s="2"/>
      <c r="AL136" s="2"/>
    </row>
    <row r="137" spans="1:38" s="1" customFormat="1">
      <c r="A137" s="112" t="s">
        <v>403</v>
      </c>
      <c r="B137" s="665">
        <v>1.0946800000000001</v>
      </c>
      <c r="C137" s="547">
        <v>0</v>
      </c>
      <c r="D137" s="545">
        <v>0</v>
      </c>
      <c r="E137" s="367">
        <f t="shared" si="45"/>
        <v>0</v>
      </c>
      <c r="F137" s="568">
        <v>1.8971698209561939E-2</v>
      </c>
      <c r="G137" s="367">
        <f t="shared" si="46"/>
        <v>2.0767938596043267E-2</v>
      </c>
      <c r="H137" s="528">
        <v>0</v>
      </c>
      <c r="I137" s="367">
        <f t="shared" si="47"/>
        <v>0</v>
      </c>
      <c r="J137" s="528">
        <v>3.2819999999999995E-2</v>
      </c>
      <c r="K137" s="367">
        <f t="shared" si="48"/>
        <v>3.5927397600000001E-2</v>
      </c>
      <c r="L137" s="528">
        <v>0</v>
      </c>
      <c r="M137" s="367">
        <f t="shared" si="49"/>
        <v>0</v>
      </c>
      <c r="N137" s="528">
        <v>0</v>
      </c>
      <c r="O137" s="367">
        <f t="shared" si="50"/>
        <v>0</v>
      </c>
      <c r="P137" s="559"/>
      <c r="Q137" s="559"/>
      <c r="AB137" s="657">
        <v>30090</v>
      </c>
      <c r="AC137" s="624"/>
      <c r="AD137" s="639"/>
      <c r="AE137" s="662" t="s">
        <v>7</v>
      </c>
      <c r="AF137" s="621" t="s">
        <v>7</v>
      </c>
      <c r="AG137" s="624"/>
      <c r="AH137" s="621">
        <f t="shared" si="52"/>
        <v>18.971698209561939</v>
      </c>
      <c r="AI137" s="624"/>
      <c r="AJ137" s="621">
        <f t="shared" si="51"/>
        <v>0</v>
      </c>
    </row>
    <row r="138" spans="1:38" s="1" customFormat="1">
      <c r="A138" s="112" t="s">
        <v>404</v>
      </c>
      <c r="B138" s="694">
        <v>1.06</v>
      </c>
      <c r="C138" s="547">
        <v>0</v>
      </c>
      <c r="D138" s="676">
        <v>3.5720000000000002E-2</v>
      </c>
      <c r="E138" s="367">
        <f t="shared" si="45"/>
        <v>3.7863200000000007E-2</v>
      </c>
      <c r="F138" s="568">
        <v>1.1194067961065887E-2</v>
      </c>
      <c r="G138" s="367">
        <f t="shared" si="46"/>
        <v>1.1865712038729841E-2</v>
      </c>
      <c r="H138" s="528">
        <v>0</v>
      </c>
      <c r="I138" s="367">
        <f t="shared" si="47"/>
        <v>0</v>
      </c>
      <c r="J138" s="528">
        <v>0</v>
      </c>
      <c r="K138" s="367">
        <f t="shared" si="48"/>
        <v>0</v>
      </c>
      <c r="L138" s="528">
        <v>0</v>
      </c>
      <c r="M138" s="367">
        <f t="shared" si="49"/>
        <v>0</v>
      </c>
      <c r="N138" s="528">
        <v>0</v>
      </c>
      <c r="O138" s="367">
        <f t="shared" si="50"/>
        <v>0</v>
      </c>
      <c r="P138" s="559"/>
      <c r="Q138" s="559"/>
      <c r="AB138" s="657">
        <v>30120</v>
      </c>
      <c r="AC138" s="624"/>
      <c r="AD138" s="639"/>
      <c r="AE138" s="662">
        <f t="shared" si="53"/>
        <v>1060</v>
      </c>
      <c r="AF138" s="621">
        <f>+E138/B138*1000</f>
        <v>35.72</v>
      </c>
      <c r="AG138" s="624"/>
      <c r="AH138" s="621">
        <f t="shared" si="52"/>
        <v>11.194067961065887</v>
      </c>
      <c r="AI138" s="624"/>
      <c r="AJ138" s="621">
        <f t="shared" si="51"/>
        <v>0</v>
      </c>
    </row>
    <row r="139" spans="1:38">
      <c r="A139" s="112" t="s">
        <v>346</v>
      </c>
      <c r="B139" s="694">
        <v>0.9</v>
      </c>
      <c r="C139" s="547">
        <v>0</v>
      </c>
      <c r="D139" s="676">
        <v>4.5599999999999998E-3</v>
      </c>
      <c r="E139" s="367">
        <f t="shared" si="45"/>
        <v>4.104E-3</v>
      </c>
      <c r="F139" s="568">
        <v>3.6309225913858786E-3</v>
      </c>
      <c r="G139" s="367">
        <f t="shared" si="46"/>
        <v>3.2678303322472907E-3</v>
      </c>
      <c r="H139" s="528">
        <v>0</v>
      </c>
      <c r="I139" s="367">
        <f t="shared" si="47"/>
        <v>0</v>
      </c>
      <c r="J139" s="528">
        <v>0</v>
      </c>
      <c r="K139" s="367">
        <f t="shared" si="48"/>
        <v>0</v>
      </c>
      <c r="L139" s="528">
        <v>0</v>
      </c>
      <c r="M139" s="367">
        <f t="shared" si="49"/>
        <v>0</v>
      </c>
      <c r="N139" s="528">
        <v>0</v>
      </c>
      <c r="O139" s="367">
        <f t="shared" si="50"/>
        <v>0</v>
      </c>
      <c r="P139" s="368"/>
      <c r="Q139" s="368"/>
      <c r="AB139" s="657">
        <v>30362</v>
      </c>
      <c r="AC139" s="612"/>
      <c r="AD139" s="614"/>
      <c r="AE139" s="662">
        <f t="shared" si="53"/>
        <v>900</v>
      </c>
      <c r="AF139" s="621">
        <f t="shared" ref="AF139:AF144" si="54">+E139/B139*1000</f>
        <v>4.5599999999999996</v>
      </c>
      <c r="AG139" s="612"/>
      <c r="AH139" s="621">
        <f t="shared" si="52"/>
        <v>3.6309225913858785</v>
      </c>
      <c r="AI139" s="612"/>
      <c r="AJ139" s="621">
        <f t="shared" si="51"/>
        <v>0</v>
      </c>
      <c r="AK139" s="2"/>
      <c r="AL139" s="2"/>
    </row>
    <row r="140" spans="1:38">
      <c r="A140" s="112" t="s">
        <v>347</v>
      </c>
      <c r="B140" s="694">
        <v>4.83</v>
      </c>
      <c r="C140" s="547">
        <v>0</v>
      </c>
      <c r="D140" s="545">
        <v>0</v>
      </c>
      <c r="E140" s="367">
        <f t="shared" si="45"/>
        <v>0</v>
      </c>
      <c r="F140" s="568">
        <v>3.5645344146094843E-4</v>
      </c>
      <c r="G140" s="367">
        <f t="shared" si="46"/>
        <v>1.721670122256381E-3</v>
      </c>
      <c r="H140" s="528">
        <v>0</v>
      </c>
      <c r="I140" s="367">
        <f t="shared" si="47"/>
        <v>0</v>
      </c>
      <c r="J140" s="528">
        <v>0</v>
      </c>
      <c r="K140" s="367">
        <f t="shared" si="48"/>
        <v>0</v>
      </c>
      <c r="L140" s="528">
        <v>0</v>
      </c>
      <c r="M140" s="367">
        <f t="shared" si="49"/>
        <v>0</v>
      </c>
      <c r="N140" s="528">
        <v>0</v>
      </c>
      <c r="O140" s="367">
        <f t="shared" si="50"/>
        <v>0</v>
      </c>
      <c r="P140" s="368"/>
      <c r="Q140" s="368"/>
      <c r="AB140" s="657">
        <v>30360</v>
      </c>
      <c r="AC140" s="612"/>
      <c r="AD140" s="614"/>
      <c r="AE140" s="662" t="s">
        <v>7</v>
      </c>
      <c r="AF140" s="621" t="s">
        <v>7</v>
      </c>
      <c r="AG140" s="612"/>
      <c r="AH140" s="621">
        <f t="shared" si="52"/>
        <v>0.35645344146094843</v>
      </c>
      <c r="AI140" s="612"/>
      <c r="AJ140" s="621">
        <f t="shared" si="51"/>
        <v>0</v>
      </c>
      <c r="AK140" s="2"/>
      <c r="AL140" s="2"/>
    </row>
    <row r="141" spans="1:38">
      <c r="A141" s="112" t="s">
        <v>348</v>
      </c>
      <c r="B141" s="694">
        <v>0.88</v>
      </c>
      <c r="C141" s="547">
        <v>0</v>
      </c>
      <c r="D141" s="545">
        <v>0</v>
      </c>
      <c r="E141" s="367">
        <f t="shared" si="45"/>
        <v>0</v>
      </c>
      <c r="F141" s="568">
        <v>2.246984444739503E-4</v>
      </c>
      <c r="G141" s="367">
        <f t="shared" si="46"/>
        <v>1.9773463113707628E-4</v>
      </c>
      <c r="H141" s="528">
        <v>0</v>
      </c>
      <c r="I141" s="367">
        <f t="shared" si="47"/>
        <v>0</v>
      </c>
      <c r="J141" s="528">
        <v>0</v>
      </c>
      <c r="K141" s="367">
        <f t="shared" si="48"/>
        <v>0</v>
      </c>
      <c r="L141" s="528">
        <v>0</v>
      </c>
      <c r="M141" s="367">
        <f t="shared" si="49"/>
        <v>0</v>
      </c>
      <c r="N141" s="528">
        <v>0</v>
      </c>
      <c r="O141" s="367">
        <f t="shared" si="50"/>
        <v>0</v>
      </c>
      <c r="P141" s="368"/>
      <c r="Q141" s="368"/>
      <c r="AB141" s="657">
        <v>30361</v>
      </c>
      <c r="AC141" s="612"/>
      <c r="AD141" s="614"/>
      <c r="AE141" s="662">
        <v>0</v>
      </c>
      <c r="AF141" s="621">
        <f t="shared" si="54"/>
        <v>0</v>
      </c>
      <c r="AG141" s="612"/>
      <c r="AH141" s="621">
        <f t="shared" si="52"/>
        <v>0.22469844447395029</v>
      </c>
      <c r="AI141" s="612"/>
      <c r="AJ141" s="621">
        <f t="shared" si="51"/>
        <v>0</v>
      </c>
      <c r="AK141" s="2"/>
      <c r="AL141" s="2"/>
    </row>
    <row r="142" spans="1:38">
      <c r="A142" s="112" t="s">
        <v>405</v>
      </c>
      <c r="B142" s="694">
        <v>1.29</v>
      </c>
      <c r="C142" s="547">
        <v>0</v>
      </c>
      <c r="D142" s="676">
        <v>5.6999999999999998E-4</v>
      </c>
      <c r="E142" s="367">
        <f t="shared" si="45"/>
        <v>7.3530000000000004E-4</v>
      </c>
      <c r="F142" s="568">
        <v>4.8257157156134778E-4</v>
      </c>
      <c r="G142" s="367">
        <f t="shared" si="46"/>
        <v>6.2251732731413863E-4</v>
      </c>
      <c r="H142" s="528">
        <v>0</v>
      </c>
      <c r="I142" s="367">
        <f t="shared" si="47"/>
        <v>0</v>
      </c>
      <c r="J142" s="528">
        <v>1.8374999999999999E-4</v>
      </c>
      <c r="K142" s="367">
        <f t="shared" si="48"/>
        <v>2.3703750000000001E-4</v>
      </c>
      <c r="L142" s="528">
        <v>0</v>
      </c>
      <c r="M142" s="367">
        <f t="shared" si="49"/>
        <v>0</v>
      </c>
      <c r="N142" s="528">
        <v>0</v>
      </c>
      <c r="O142" s="367">
        <f t="shared" si="50"/>
        <v>0</v>
      </c>
      <c r="P142" s="368"/>
      <c r="Q142" s="368"/>
      <c r="AB142" s="657">
        <v>30054</v>
      </c>
      <c r="AC142" s="612"/>
      <c r="AD142" s="614"/>
      <c r="AE142" s="662">
        <f t="shared" si="53"/>
        <v>1290</v>
      </c>
      <c r="AF142" s="621">
        <f t="shared" si="54"/>
        <v>0.56999999999999995</v>
      </c>
      <c r="AG142" s="612"/>
      <c r="AH142" s="621">
        <f t="shared" si="52"/>
        <v>0.48257157156134778</v>
      </c>
      <c r="AI142" s="612"/>
      <c r="AJ142" s="621">
        <f t="shared" si="51"/>
        <v>0</v>
      </c>
      <c r="AK142" s="2"/>
      <c r="AL142" s="2"/>
    </row>
    <row r="143" spans="1:38">
      <c r="A143" s="112" t="s">
        <v>409</v>
      </c>
      <c r="B143" s="694">
        <v>1</v>
      </c>
      <c r="C143" s="547">
        <v>0</v>
      </c>
      <c r="D143" s="528">
        <v>0</v>
      </c>
      <c r="E143" s="367">
        <f t="shared" si="45"/>
        <v>0</v>
      </c>
      <c r="F143" s="568">
        <v>2.2980522730290371E-4</v>
      </c>
      <c r="G143" s="367">
        <f t="shared" si="46"/>
        <v>2.2980522730290371E-4</v>
      </c>
      <c r="H143" s="528">
        <v>0</v>
      </c>
      <c r="I143" s="367">
        <f t="shared" si="47"/>
        <v>0</v>
      </c>
      <c r="J143" s="528">
        <v>4.2187500000000003E-3</v>
      </c>
      <c r="K143" s="367">
        <f t="shared" si="48"/>
        <v>4.2187500000000003E-3</v>
      </c>
      <c r="L143" s="528">
        <v>0</v>
      </c>
      <c r="M143" s="367">
        <f t="shared" si="49"/>
        <v>0</v>
      </c>
      <c r="N143" s="528">
        <v>0</v>
      </c>
      <c r="O143" s="367">
        <f t="shared" si="50"/>
        <v>0</v>
      </c>
      <c r="P143" s="368"/>
      <c r="Q143" s="368"/>
      <c r="AB143" s="657">
        <v>30055</v>
      </c>
      <c r="AC143" s="612"/>
      <c r="AD143" s="614"/>
      <c r="AE143" s="662" t="s">
        <v>7</v>
      </c>
      <c r="AF143" s="621" t="s">
        <v>7</v>
      </c>
      <c r="AG143" s="612"/>
      <c r="AH143" s="621">
        <f t="shared" si="52"/>
        <v>0.2298052273029037</v>
      </c>
      <c r="AI143" s="612"/>
      <c r="AJ143" s="621">
        <f t="shared" si="51"/>
        <v>0</v>
      </c>
      <c r="AK143" s="2"/>
      <c r="AL143" s="2"/>
    </row>
    <row r="144" spans="1:38">
      <c r="A144" s="112" t="s">
        <v>406</v>
      </c>
      <c r="B144" s="694">
        <v>3.94</v>
      </c>
      <c r="C144" s="547">
        <v>0</v>
      </c>
      <c r="D144" s="676">
        <v>1.0300000000000001E-3</v>
      </c>
      <c r="E144" s="367">
        <f t="shared" si="45"/>
        <v>4.0582000000000005E-3</v>
      </c>
      <c r="F144" s="568">
        <v>8.9981513446159192E-4</v>
      </c>
      <c r="G144" s="367">
        <f t="shared" si="46"/>
        <v>3.5452716297786719E-3</v>
      </c>
      <c r="H144" s="528">
        <v>0</v>
      </c>
      <c r="I144" s="367">
        <f t="shared" si="47"/>
        <v>0</v>
      </c>
      <c r="J144" s="528">
        <v>2.7375000000000001E-4</v>
      </c>
      <c r="K144" s="367">
        <f t="shared" si="48"/>
        <v>1.078575E-3</v>
      </c>
      <c r="L144" s="528">
        <v>0</v>
      </c>
      <c r="M144" s="367">
        <f t="shared" si="49"/>
        <v>0</v>
      </c>
      <c r="N144" s="528">
        <v>0</v>
      </c>
      <c r="O144" s="367">
        <f t="shared" si="50"/>
        <v>0</v>
      </c>
      <c r="P144" s="368"/>
      <c r="Q144" s="368"/>
      <c r="R144" s="111"/>
      <c r="S144" s="111"/>
      <c r="T144" s="111"/>
      <c r="U144" s="111"/>
      <c r="V144" s="111"/>
      <c r="W144" s="111"/>
      <c r="X144" s="111"/>
      <c r="Y144" s="111"/>
      <c r="AB144" s="657">
        <v>30058</v>
      </c>
      <c r="AC144" s="612"/>
      <c r="AD144" s="614"/>
      <c r="AE144" s="662">
        <f t="shared" si="53"/>
        <v>3940</v>
      </c>
      <c r="AF144" s="621">
        <f t="shared" si="54"/>
        <v>1.03</v>
      </c>
      <c r="AG144" s="612"/>
      <c r="AH144" s="621">
        <f t="shared" si="52"/>
        <v>0.89981513446159189</v>
      </c>
      <c r="AI144" s="612"/>
      <c r="AJ144" s="621">
        <f t="shared" si="51"/>
        <v>0</v>
      </c>
      <c r="AK144" s="2"/>
      <c r="AL144" s="2"/>
    </row>
    <row r="145" spans="1:38">
      <c r="A145" s="112" t="s">
        <v>411</v>
      </c>
      <c r="B145" s="665">
        <v>13.6997</v>
      </c>
      <c r="C145" s="547">
        <v>0</v>
      </c>
      <c r="D145" s="545">
        <v>0</v>
      </c>
      <c r="E145" s="367">
        <f t="shared" si="45"/>
        <v>0</v>
      </c>
      <c r="F145" s="528">
        <v>0</v>
      </c>
      <c r="G145" s="367">
        <f t="shared" si="46"/>
        <v>0</v>
      </c>
      <c r="H145" s="528">
        <v>0</v>
      </c>
      <c r="I145" s="367">
        <f t="shared" si="47"/>
        <v>0</v>
      </c>
      <c r="J145" s="528">
        <v>0</v>
      </c>
      <c r="K145" s="367">
        <f t="shared" si="48"/>
        <v>0</v>
      </c>
      <c r="L145" s="528">
        <v>0</v>
      </c>
      <c r="M145" s="367">
        <f t="shared" si="49"/>
        <v>0</v>
      </c>
      <c r="N145" s="528">
        <v>0</v>
      </c>
      <c r="O145" s="367">
        <f t="shared" si="50"/>
        <v>0</v>
      </c>
      <c r="P145" s="368"/>
      <c r="Q145" s="368"/>
      <c r="R145" s="111"/>
      <c r="S145" s="111"/>
      <c r="T145" s="111"/>
      <c r="U145" s="111"/>
      <c r="V145" s="111"/>
      <c r="W145" s="111"/>
      <c r="X145" s="111"/>
      <c r="Y145" s="111"/>
      <c r="AB145" s="657">
        <v>30454</v>
      </c>
      <c r="AC145" s="612"/>
      <c r="AD145" s="614"/>
      <c r="AE145" s="662" t="s">
        <v>7</v>
      </c>
      <c r="AF145" s="621" t="s">
        <v>7</v>
      </c>
      <c r="AG145" s="612"/>
      <c r="AH145" s="621">
        <f t="shared" si="52"/>
        <v>0</v>
      </c>
      <c r="AI145" s="612"/>
      <c r="AJ145" s="621">
        <f t="shared" si="51"/>
        <v>0</v>
      </c>
      <c r="AK145" s="2"/>
      <c r="AL145" s="2"/>
    </row>
    <row r="146" spans="1:38" ht="16.5">
      <c r="A146" s="112" t="s">
        <v>354</v>
      </c>
      <c r="B146" s="673">
        <v>9.48536</v>
      </c>
      <c r="C146" s="674"/>
      <c r="D146" s="545"/>
      <c r="E146" s="367"/>
      <c r="F146" s="528"/>
      <c r="G146" s="367"/>
      <c r="H146" s="528"/>
      <c r="I146" s="367"/>
      <c r="J146" s="528">
        <v>0</v>
      </c>
      <c r="K146" s="367">
        <f>$B146*J146</f>
        <v>0</v>
      </c>
      <c r="L146" s="528"/>
      <c r="M146" s="367"/>
      <c r="N146" s="528"/>
      <c r="O146" s="367"/>
      <c r="P146" s="368"/>
      <c r="Q146" s="368"/>
      <c r="R146" s="111"/>
      <c r="S146" s="111"/>
      <c r="T146" s="111"/>
      <c r="U146" s="111"/>
      <c r="V146" s="111"/>
      <c r="W146" s="111"/>
      <c r="X146" s="111"/>
      <c r="Y146" s="111"/>
      <c r="AB146" s="657"/>
      <c r="AC146" s="612"/>
      <c r="AD146" s="614"/>
      <c r="AE146" s="658"/>
      <c r="AF146" s="659"/>
      <c r="AG146" s="612"/>
      <c r="AH146" s="612"/>
      <c r="AI146" s="612"/>
      <c r="AJ146" s="621"/>
      <c r="AK146" s="2"/>
      <c r="AL146" s="2"/>
    </row>
    <row r="147" spans="1:38" ht="15.75" thickBot="1">
      <c r="A147" s="112" t="s">
        <v>355</v>
      </c>
      <c r="B147" s="666">
        <v>9.2195</v>
      </c>
      <c r="C147" s="549">
        <v>0</v>
      </c>
      <c r="D147" s="545">
        <v>0</v>
      </c>
      <c r="E147" s="367">
        <f t="shared" si="45"/>
        <v>0</v>
      </c>
      <c r="F147" s="528">
        <v>0</v>
      </c>
      <c r="G147" s="367">
        <f t="shared" si="46"/>
        <v>0</v>
      </c>
      <c r="H147" s="669">
        <v>9.5E-4</v>
      </c>
      <c r="I147" s="367">
        <f t="shared" si="47"/>
        <v>8.7585249999999996E-3</v>
      </c>
      <c r="J147" s="528">
        <v>0</v>
      </c>
      <c r="K147" s="367">
        <f t="shared" si="48"/>
        <v>0</v>
      </c>
      <c r="L147" s="528">
        <v>0</v>
      </c>
      <c r="M147" s="367">
        <f t="shared" si="49"/>
        <v>0</v>
      </c>
      <c r="N147" s="528">
        <v>0</v>
      </c>
      <c r="O147" s="367">
        <f t="shared" si="50"/>
        <v>0</v>
      </c>
      <c r="P147" s="368"/>
      <c r="Q147" s="368"/>
      <c r="R147" s="111"/>
      <c r="S147" s="111"/>
      <c r="T147" s="111"/>
      <c r="U147" s="111"/>
      <c r="V147" s="111"/>
      <c r="W147" s="111"/>
      <c r="X147" s="111"/>
      <c r="Y147" s="111"/>
      <c r="AB147" s="657">
        <v>30242</v>
      </c>
      <c r="AC147" s="612"/>
      <c r="AD147" s="614"/>
      <c r="AE147" s="662" t="s">
        <v>7</v>
      </c>
      <c r="AF147" s="621" t="s">
        <v>7</v>
      </c>
      <c r="AG147" s="612"/>
      <c r="AH147" s="612"/>
      <c r="AI147" s="612"/>
      <c r="AJ147" s="621">
        <f t="shared" si="51"/>
        <v>0.95</v>
      </c>
      <c r="AK147" s="2"/>
      <c r="AL147" s="2"/>
    </row>
    <row r="148" spans="1:38">
      <c r="A148" s="23"/>
      <c r="B148" s="370"/>
      <c r="C148" s="370"/>
      <c r="D148" s="677"/>
      <c r="E148" s="372"/>
      <c r="F148" s="30"/>
      <c r="G148" s="25"/>
      <c r="H148" s="678"/>
      <c r="I148" s="25"/>
      <c r="J148" s="30"/>
      <c r="K148" s="25"/>
      <c r="L148" s="30"/>
      <c r="M148" s="25"/>
      <c r="N148" s="30"/>
      <c r="O148" s="25"/>
      <c r="P148" s="368"/>
      <c r="Q148" s="368"/>
      <c r="R148" s="111"/>
      <c r="S148" s="111"/>
      <c r="T148" s="111"/>
      <c r="U148" s="111"/>
      <c r="V148" s="111"/>
      <c r="W148" s="111"/>
      <c r="X148" s="111"/>
      <c r="Y148" s="111"/>
      <c r="AB148" s="657"/>
      <c r="AC148" s="612"/>
      <c r="AD148" s="614"/>
      <c r="AE148" s="658"/>
      <c r="AF148" s="659"/>
      <c r="AG148" s="612"/>
      <c r="AH148" s="612"/>
      <c r="AI148" s="612"/>
      <c r="AJ148" s="612"/>
      <c r="AK148" s="2"/>
      <c r="AL148" s="2"/>
    </row>
    <row r="149" spans="1:38">
      <c r="A149" s="23" t="s">
        <v>249</v>
      </c>
      <c r="D149" s="677"/>
      <c r="E149" s="541" t="s">
        <v>250</v>
      </c>
      <c r="F149" s="33"/>
      <c r="G149" s="541" t="s">
        <v>250</v>
      </c>
      <c r="H149" s="33"/>
      <c r="I149" s="541" t="s">
        <v>250</v>
      </c>
      <c r="J149" s="33"/>
      <c r="K149" s="541" t="s">
        <v>250</v>
      </c>
      <c r="L149" s="30"/>
      <c r="M149" s="541" t="s">
        <v>250</v>
      </c>
      <c r="N149" s="33"/>
      <c r="O149" s="541" t="s">
        <v>250</v>
      </c>
      <c r="P149" s="368"/>
      <c r="Q149" s="368"/>
      <c r="R149" s="111"/>
      <c r="S149" s="111"/>
      <c r="T149" s="111"/>
      <c r="U149" s="111"/>
      <c r="V149" s="111"/>
      <c r="W149" s="111"/>
      <c r="X149" s="111"/>
      <c r="Y149" s="111"/>
      <c r="AB149" s="657"/>
      <c r="AC149" s="612"/>
      <c r="AD149" s="614"/>
      <c r="AE149" s="658"/>
      <c r="AF149" s="659"/>
      <c r="AG149" s="612"/>
      <c r="AH149" s="612"/>
      <c r="AI149" s="612"/>
      <c r="AJ149" s="612"/>
      <c r="AK149" s="2"/>
      <c r="AL149" s="2"/>
    </row>
    <row r="150" spans="1:38">
      <c r="A150" s="112" t="s">
        <v>363</v>
      </c>
      <c r="D150" s="677"/>
      <c r="E150" s="275">
        <f>SUM(E129:E136)</f>
        <v>0.22007722007722005</v>
      </c>
      <c r="F150" s="33"/>
      <c r="G150" s="275">
        <f>SUM(G129:G136)</f>
        <v>0.41282107222012276</v>
      </c>
      <c r="H150" s="33"/>
      <c r="I150" s="275">
        <f>SUM(I129:I136)</f>
        <v>0.28800983748819542</v>
      </c>
      <c r="J150" s="33"/>
      <c r="K150" s="275">
        <f>SUM(K129:K136)</f>
        <v>1.7354922279792748</v>
      </c>
      <c r="L150" s="30"/>
      <c r="M150" s="275">
        <f>SUM(M129:M136)</f>
        <v>0</v>
      </c>
      <c r="N150" s="33"/>
      <c r="O150" s="275">
        <f>SUM(O129:O136)</f>
        <v>0</v>
      </c>
      <c r="P150" s="368"/>
      <c r="Q150" s="368"/>
      <c r="R150" s="111"/>
      <c r="S150" s="111"/>
      <c r="T150" s="111"/>
      <c r="U150" s="111"/>
      <c r="V150" s="111"/>
      <c r="W150" s="111"/>
      <c r="X150" s="111"/>
      <c r="Y150" s="111"/>
      <c r="AB150" s="657"/>
      <c r="AC150" s="612"/>
      <c r="AD150" s="614"/>
      <c r="AE150" s="658"/>
      <c r="AF150" s="659"/>
      <c r="AG150" s="612"/>
      <c r="AH150" s="612"/>
      <c r="AI150" s="612"/>
      <c r="AJ150" s="612"/>
      <c r="AK150" s="2"/>
      <c r="AL150" s="2"/>
    </row>
    <row r="151" spans="1:38">
      <c r="A151" s="112" t="s">
        <v>36</v>
      </c>
      <c r="D151" s="677"/>
      <c r="E151" s="375">
        <f>SUM(E137:E138)</f>
        <v>3.7863200000000007E-2</v>
      </c>
      <c r="F151" s="33"/>
      <c r="G151" s="375">
        <f>SUM(G137:G138)</f>
        <v>3.2633650634773109E-2</v>
      </c>
      <c r="H151" s="33"/>
      <c r="I151" s="375">
        <f>SUM(I137:I138)</f>
        <v>0</v>
      </c>
      <c r="J151" s="33"/>
      <c r="K151" s="375">
        <f>SUM(K137:K138)</f>
        <v>3.5927397600000001E-2</v>
      </c>
      <c r="L151" s="30"/>
      <c r="M151" s="375">
        <f>SUM(M137:M138)</f>
        <v>0</v>
      </c>
      <c r="N151" s="33"/>
      <c r="O151" s="375">
        <f>SUM(O137:O138)</f>
        <v>0</v>
      </c>
      <c r="P151" s="368"/>
      <c r="Q151" s="368"/>
      <c r="R151" s="111"/>
      <c r="S151" s="111"/>
      <c r="T151" s="111"/>
      <c r="U151" s="111"/>
      <c r="V151" s="111"/>
      <c r="W151" s="111"/>
      <c r="X151" s="111"/>
      <c r="Y151" s="111"/>
      <c r="AB151" s="657"/>
      <c r="AC151" s="612"/>
      <c r="AD151" s="614"/>
      <c r="AE151" s="658"/>
      <c r="AF151" s="659"/>
      <c r="AG151" s="612"/>
      <c r="AH151" s="612"/>
      <c r="AI151" s="612"/>
      <c r="AJ151" s="612"/>
      <c r="AK151" s="2"/>
      <c r="AL151" s="2"/>
    </row>
    <row r="152" spans="1:38">
      <c r="A152" s="112" t="s">
        <v>147</v>
      </c>
      <c r="D152" s="374"/>
      <c r="E152" s="377">
        <f>SUM(E139:E147)</f>
        <v>8.8975000000000009E-3</v>
      </c>
      <c r="F152" s="33"/>
      <c r="G152" s="377">
        <f>SUM(G139:G147)</f>
        <v>9.5848292700364615E-3</v>
      </c>
      <c r="H152" s="33"/>
      <c r="I152" s="377">
        <f>SUM(I139:I147)</f>
        <v>8.7585249999999996E-3</v>
      </c>
      <c r="J152" s="33"/>
      <c r="K152" s="377">
        <f>SUM(K139:K147)</f>
        <v>5.5343625000000007E-3</v>
      </c>
      <c r="L152" s="30"/>
      <c r="M152" s="377">
        <f>SUM(M139:M147)</f>
        <v>0</v>
      </c>
      <c r="N152" s="33"/>
      <c r="O152" s="377">
        <f>SUM(O139:O147)</f>
        <v>0</v>
      </c>
      <c r="P152" s="368"/>
      <c r="Q152" s="368"/>
      <c r="R152" s="111"/>
      <c r="S152" s="111"/>
      <c r="T152" s="111"/>
      <c r="U152" s="111"/>
      <c r="V152" s="111"/>
      <c r="W152" s="111"/>
      <c r="X152" s="111"/>
      <c r="Y152" s="111"/>
      <c r="AB152" s="657"/>
      <c r="AC152" s="612"/>
      <c r="AD152" s="614"/>
      <c r="AE152" s="658"/>
      <c r="AF152" s="659"/>
      <c r="AG152" s="612"/>
      <c r="AH152" s="612"/>
      <c r="AI152" s="612"/>
      <c r="AJ152" s="612"/>
      <c r="AK152" s="2"/>
      <c r="AL152" s="2"/>
    </row>
    <row r="153" spans="1:38">
      <c r="A153" s="353" t="s">
        <v>251</v>
      </c>
      <c r="D153" s="371"/>
      <c r="E153" s="379">
        <f>SUM(E150:E152)</f>
        <v>0.26683792007722007</v>
      </c>
      <c r="F153" s="33"/>
      <c r="G153" s="379">
        <f>SUM(G150:G152)</f>
        <v>0.4550395521249323</v>
      </c>
      <c r="H153" s="33"/>
      <c r="I153" s="379">
        <f>SUM(I150:I152)</f>
        <v>0.29676836248819544</v>
      </c>
      <c r="J153" s="33"/>
      <c r="K153" s="379">
        <f>SUM(K150:K152)</f>
        <v>1.7769539880792748</v>
      </c>
      <c r="L153" s="30"/>
      <c r="M153" s="379">
        <f>SUM(M150:M152)</f>
        <v>0</v>
      </c>
      <c r="N153" s="33"/>
      <c r="O153" s="379">
        <f>SUM(O150:O152)</f>
        <v>0</v>
      </c>
      <c r="P153" s="368"/>
      <c r="Q153" s="368"/>
      <c r="R153" s="111"/>
      <c r="S153" s="111"/>
      <c r="T153" s="111"/>
      <c r="U153" s="111"/>
      <c r="V153" s="111"/>
      <c r="W153" s="111"/>
      <c r="X153" s="111"/>
      <c r="Y153" s="111"/>
      <c r="AB153" s="657">
        <v>30350</v>
      </c>
      <c r="AC153" s="612"/>
      <c r="AD153" s="614"/>
      <c r="AE153" s="658"/>
      <c r="AF153" s="659"/>
      <c r="AG153" s="612"/>
      <c r="AH153" s="663"/>
      <c r="AI153" s="612"/>
      <c r="AJ153" s="663"/>
      <c r="AK153" s="2"/>
      <c r="AL153" s="2"/>
    </row>
    <row r="154" spans="1:38">
      <c r="A154" s="491" t="s">
        <v>389</v>
      </c>
      <c r="D154" s="371"/>
      <c r="E154" s="379"/>
      <c r="F154" s="33"/>
      <c r="G154" s="379"/>
      <c r="H154" s="33"/>
      <c r="I154" s="379"/>
      <c r="J154" s="33"/>
      <c r="K154" s="379"/>
      <c r="L154" s="30"/>
      <c r="M154" s="379"/>
      <c r="N154" s="33"/>
      <c r="O154" s="379"/>
      <c r="AB154" s="612"/>
      <c r="AC154" s="612"/>
      <c r="AD154" s="612"/>
      <c r="AE154" s="658"/>
      <c r="AF154" s="660">
        <f>SUM(AF132:AF144)</f>
        <v>1200.1811583011581</v>
      </c>
      <c r="AG154" s="612"/>
      <c r="AH154" s="660">
        <f>SUM(AH132:AH144)</f>
        <v>1065.7258076377041</v>
      </c>
      <c r="AI154" s="612"/>
      <c r="AJ154" s="660">
        <f>SUM(AJ130:AJ148)</f>
        <v>1004.4685975198447</v>
      </c>
      <c r="AK154" s="2"/>
      <c r="AL154" s="2"/>
    </row>
    <row r="155" spans="1:38">
      <c r="A155" s="492" t="s">
        <v>390</v>
      </c>
      <c r="D155" s="371"/>
      <c r="E155" s="379"/>
      <c r="F155" s="33"/>
      <c r="G155" s="379"/>
      <c r="H155" s="33"/>
      <c r="I155" s="379"/>
      <c r="J155" s="33"/>
      <c r="K155" s="379"/>
      <c r="L155" s="30"/>
      <c r="M155" s="379"/>
      <c r="N155" s="33"/>
      <c r="O155" s="379"/>
      <c r="P155" s="26"/>
      <c r="Q155" s="26"/>
      <c r="AK155" s="2"/>
      <c r="AL155" s="2"/>
    </row>
    <row r="156" spans="1:38" ht="12.75" hidden="1">
      <c r="A156" s="381"/>
      <c r="B156" s="41"/>
      <c r="C156" s="41"/>
      <c r="D156" s="59"/>
      <c r="E156" s="42"/>
      <c r="F156" s="382"/>
      <c r="G156" s="383"/>
      <c r="H156" s="382"/>
      <c r="I156" s="383"/>
      <c r="J156" s="59"/>
      <c r="K156" s="42"/>
      <c r="L156" s="84"/>
      <c r="M156" s="87"/>
      <c r="N156" s="84"/>
      <c r="O156" s="87"/>
      <c r="P156" s="63"/>
      <c r="Q156" s="63"/>
      <c r="AK156" s="2"/>
      <c r="AL156" s="2"/>
    </row>
    <row r="157" spans="1:38" ht="12.75">
      <c r="A157" s="8"/>
      <c r="B157" s="1"/>
      <c r="C157" s="1"/>
      <c r="D157" s="1"/>
      <c r="E157" s="39"/>
      <c r="F157" s="43"/>
      <c r="G157" s="1"/>
      <c r="H157" s="1"/>
      <c r="P157" s="376"/>
      <c r="Q157" s="376"/>
      <c r="AK157" s="2"/>
      <c r="AL157" s="2"/>
    </row>
    <row r="158" spans="1:38" hidden="1">
      <c r="A158" s="1"/>
      <c r="B158" s="1"/>
      <c r="C158" s="1"/>
      <c r="D158" s="1"/>
      <c r="E158" s="1"/>
      <c r="F158" s="1"/>
      <c r="G158" s="1"/>
      <c r="H158" s="1"/>
      <c r="P158" s="378"/>
      <c r="Q158" s="378"/>
      <c r="AK158" s="2"/>
      <c r="AL158" s="2"/>
    </row>
    <row r="159" spans="1:38">
      <c r="A159" s="385" t="s">
        <v>51</v>
      </c>
      <c r="B159" s="406"/>
      <c r="C159" s="406"/>
      <c r="D159" s="406"/>
      <c r="E159" s="406"/>
      <c r="F159" s="406"/>
      <c r="G159" s="406"/>
      <c r="H159" s="406"/>
      <c r="I159" s="406"/>
      <c r="J159" s="406"/>
      <c r="K159" s="406"/>
      <c r="L159" s="406"/>
      <c r="M159" s="406"/>
      <c r="N159" s="406"/>
      <c r="O159" s="407"/>
      <c r="P159" s="380"/>
      <c r="Q159" s="380"/>
      <c r="AK159" s="2"/>
      <c r="AL159" s="2"/>
    </row>
    <row r="160" spans="1:38" hidden="1">
      <c r="A160" s="30"/>
      <c r="F160" s="1"/>
      <c r="G160" s="1"/>
      <c r="H160" s="1"/>
      <c r="I160" s="1"/>
      <c r="O160" s="25"/>
      <c r="P160" s="380"/>
      <c r="Q160" s="380"/>
      <c r="AK160" s="2"/>
      <c r="AL160" s="2"/>
    </row>
    <row r="161" spans="1:38">
      <c r="A161" s="30"/>
      <c r="D161" s="847" t="s">
        <v>327</v>
      </c>
      <c r="E161" s="848"/>
      <c r="F161" s="852" t="s">
        <v>410</v>
      </c>
      <c r="G161" s="853"/>
      <c r="H161" s="852" t="s">
        <v>329</v>
      </c>
      <c r="I161" s="853"/>
      <c r="J161" s="847" t="s">
        <v>330</v>
      </c>
      <c r="K161" s="848"/>
      <c r="L161" s="847" t="s">
        <v>331</v>
      </c>
      <c r="M161" s="848"/>
      <c r="N161" s="852" t="s">
        <v>332</v>
      </c>
      <c r="O161" s="853"/>
      <c r="P161" s="380"/>
      <c r="Q161" s="380"/>
      <c r="AK161" s="2"/>
      <c r="AL161" s="2"/>
    </row>
    <row r="162" spans="1:38" ht="13.15" customHeight="1">
      <c r="A162" s="30"/>
      <c r="B162" s="26" t="s">
        <v>252</v>
      </c>
      <c r="D162" s="386" t="s">
        <v>253</v>
      </c>
      <c r="E162" s="72" t="s">
        <v>245</v>
      </c>
      <c r="F162" s="693" t="s">
        <v>253</v>
      </c>
      <c r="G162" s="683" t="s">
        <v>245</v>
      </c>
      <c r="H162" s="693" t="s">
        <v>253</v>
      </c>
      <c r="I162" s="683" t="s">
        <v>245</v>
      </c>
      <c r="J162" s="386" t="s">
        <v>253</v>
      </c>
      <c r="K162" s="72" t="s">
        <v>245</v>
      </c>
      <c r="L162" s="386" t="s">
        <v>253</v>
      </c>
      <c r="M162" s="72" t="s">
        <v>245</v>
      </c>
      <c r="N162" s="682" t="s">
        <v>253</v>
      </c>
      <c r="O162" s="684" t="s">
        <v>245</v>
      </c>
      <c r="AC162" s="262"/>
      <c r="AE162" s="384"/>
      <c r="AG162" s="262"/>
      <c r="AI162" s="262"/>
      <c r="AK162" s="2"/>
      <c r="AL162" s="2"/>
    </row>
    <row r="163" spans="1:38">
      <c r="A163" s="30" t="s">
        <v>254</v>
      </c>
      <c r="B163" s="680">
        <f>151026.33/1104592</f>
        <v>0.13672589517215405</v>
      </c>
      <c r="C163" s="560"/>
      <c r="D163" s="529">
        <f>1104592/25556319</f>
        <v>4.3221874010885529E-2</v>
      </c>
      <c r="E163" s="389">
        <f>D163*$B163</f>
        <v>5.9095494151563841E-3</v>
      </c>
      <c r="F163" s="685">
        <f>$D$163</f>
        <v>4.3221874010885529E-2</v>
      </c>
      <c r="G163" s="686">
        <f>F163*$B163</f>
        <v>5.9095494151563841E-3</v>
      </c>
      <c r="H163" s="685">
        <f>$D$163</f>
        <v>4.3221874010885529E-2</v>
      </c>
      <c r="I163" s="686">
        <f>H163*$B163</f>
        <v>5.9095494151563841E-3</v>
      </c>
      <c r="J163" s="529">
        <f>$D$163</f>
        <v>4.3221874010885529E-2</v>
      </c>
      <c r="K163" s="389">
        <f>J163*$B163</f>
        <v>5.9095494151563841E-3</v>
      </c>
      <c r="L163" s="529">
        <f>$D$163</f>
        <v>4.3221874010885529E-2</v>
      </c>
      <c r="M163" s="389">
        <f>L163*$B163</f>
        <v>5.9095494151563841E-3</v>
      </c>
      <c r="N163" s="685">
        <f>$D$163</f>
        <v>4.3221874010885529E-2</v>
      </c>
      <c r="O163" s="687">
        <f>N163*$B163</f>
        <v>5.9095494151563841E-3</v>
      </c>
      <c r="AC163" s="262"/>
      <c r="AE163" s="384"/>
      <c r="AG163" s="262"/>
      <c r="AI163" s="262"/>
      <c r="AK163" s="2"/>
      <c r="AL163" s="2"/>
    </row>
    <row r="164" spans="1:38" ht="16.5">
      <c r="A164" s="30" t="s">
        <v>255</v>
      </c>
      <c r="B164" s="695">
        <v>4.5</v>
      </c>
      <c r="C164" s="9"/>
      <c r="D164" s="529">
        <f>+(7520562/1000)/25556319</f>
        <v>2.942740697515945E-4</v>
      </c>
      <c r="E164" s="392">
        <f>D164*$B164</f>
        <v>1.3242333138821752E-3</v>
      </c>
      <c r="F164" s="685">
        <f>$D$164</f>
        <v>2.942740697515945E-4</v>
      </c>
      <c r="G164" s="688">
        <f>F164*$B164</f>
        <v>1.3242333138821752E-3</v>
      </c>
      <c r="H164" s="685">
        <f>$D$164</f>
        <v>2.942740697515945E-4</v>
      </c>
      <c r="I164" s="688">
        <f>H164*$B164</f>
        <v>1.3242333138821752E-3</v>
      </c>
      <c r="J164" s="529">
        <f>$D$164</f>
        <v>2.942740697515945E-4</v>
      </c>
      <c r="K164" s="392">
        <f>J164*$B164</f>
        <v>1.3242333138821752E-3</v>
      </c>
      <c r="L164" s="529">
        <f>$D$164</f>
        <v>2.942740697515945E-4</v>
      </c>
      <c r="M164" s="392">
        <f>L164*$B164</f>
        <v>1.3242333138821752E-3</v>
      </c>
      <c r="N164" s="685">
        <f>$D$164</f>
        <v>2.942740697515945E-4</v>
      </c>
      <c r="O164" s="689">
        <f>N164*$B164</f>
        <v>1.3242333138821752E-3</v>
      </c>
      <c r="AK164" s="2"/>
      <c r="AL164" s="2"/>
    </row>
    <row r="165" spans="1:38">
      <c r="A165" s="30" t="s">
        <v>256</v>
      </c>
      <c r="B165" s="394"/>
      <c r="D165" s="395"/>
      <c r="E165" s="396">
        <f>SUM(E163:E164)</f>
        <v>7.2337827290385598E-3</v>
      </c>
      <c r="F165" s="690"/>
      <c r="G165" s="691">
        <f>SUM(G163:G164)</f>
        <v>7.2337827290385598E-3</v>
      </c>
      <c r="H165" s="690"/>
      <c r="I165" s="691">
        <f>SUM(I163:I164)</f>
        <v>7.2337827290385598E-3</v>
      </c>
      <c r="J165" s="395"/>
      <c r="K165" s="396">
        <f>SUM(K163:K164)</f>
        <v>7.2337827290385598E-3</v>
      </c>
      <c r="L165" s="395"/>
      <c r="M165" s="396">
        <f>SUM(M163:M164)</f>
        <v>7.2337827290385598E-3</v>
      </c>
      <c r="N165" s="690"/>
      <c r="O165" s="692">
        <f>SUM(O163:O164)</f>
        <v>7.2337827290385598E-3</v>
      </c>
      <c r="P165" s="5"/>
      <c r="Q165" s="5"/>
      <c r="R165" s="5"/>
      <c r="S165" s="5"/>
      <c r="V165" s="5"/>
      <c r="W165" s="5"/>
      <c r="X165" s="5"/>
      <c r="AK165" s="2"/>
      <c r="AL165" s="2"/>
    </row>
    <row r="166" spans="1:38" ht="12.75">
      <c r="A166" s="30"/>
      <c r="B166" s="1"/>
      <c r="D166" s="59"/>
      <c r="E166" s="41"/>
      <c r="F166" s="41"/>
      <c r="G166" s="41"/>
      <c r="H166" s="41"/>
      <c r="I166" s="41"/>
      <c r="J166" s="85"/>
      <c r="K166" s="85"/>
      <c r="L166" s="85"/>
      <c r="M166" s="85"/>
      <c r="N166" s="85"/>
      <c r="O166" s="87"/>
      <c r="P166" s="539"/>
      <c r="R166" s="846"/>
      <c r="S166" s="846"/>
      <c r="V166" s="1"/>
      <c r="W166" s="1"/>
      <c r="X166" s="1"/>
      <c r="AK166" s="2"/>
      <c r="AL166" s="2"/>
    </row>
    <row r="167" spans="1:38" ht="15" hidden="1" customHeight="1">
      <c r="A167" s="30"/>
      <c r="F167" s="1"/>
      <c r="G167" s="1"/>
      <c r="H167" s="1"/>
      <c r="I167" s="1"/>
      <c r="O167" s="25"/>
      <c r="P167" s="539"/>
      <c r="R167" s="846"/>
      <c r="S167" s="846"/>
      <c r="V167" s="1"/>
      <c r="W167" s="1"/>
      <c r="X167" s="1"/>
      <c r="AK167" s="2"/>
      <c r="AL167" s="2"/>
    </row>
    <row r="168" spans="1:38">
      <c r="A168" s="30"/>
      <c r="D168" s="847" t="s">
        <v>322</v>
      </c>
      <c r="E168" s="848"/>
      <c r="F168" s="847" t="s">
        <v>333</v>
      </c>
      <c r="G168" s="848"/>
      <c r="H168" s="847" t="s">
        <v>400</v>
      </c>
      <c r="I168" s="848"/>
      <c r="J168" s="852" t="s">
        <v>335</v>
      </c>
      <c r="K168" s="853"/>
      <c r="L168" s="852" t="s">
        <v>407</v>
      </c>
      <c r="M168" s="853"/>
      <c r="N168" s="852" t="s">
        <v>407</v>
      </c>
      <c r="O168" s="853"/>
      <c r="P168" s="539"/>
      <c r="R168" s="846"/>
      <c r="S168" s="846"/>
      <c r="V168" s="29"/>
      <c r="W168" s="1"/>
      <c r="X168" s="1"/>
      <c r="AA168" s="285"/>
      <c r="AK168" s="2"/>
      <c r="AL168" s="2"/>
    </row>
    <row r="169" spans="1:38" ht="30">
      <c r="A169" s="30"/>
      <c r="B169" s="26" t="s">
        <v>252</v>
      </c>
      <c r="D169" s="386" t="s">
        <v>253</v>
      </c>
      <c r="E169" s="72" t="s">
        <v>245</v>
      </c>
      <c r="F169" s="387" t="s">
        <v>253</v>
      </c>
      <c r="G169" s="72" t="s">
        <v>245</v>
      </c>
      <c r="H169" s="387" t="s">
        <v>253</v>
      </c>
      <c r="I169" s="72" t="s">
        <v>245</v>
      </c>
      <c r="J169" s="682" t="s">
        <v>253</v>
      </c>
      <c r="K169" s="683" t="s">
        <v>245</v>
      </c>
      <c r="L169" s="682" t="s">
        <v>253</v>
      </c>
      <c r="M169" s="683" t="s">
        <v>245</v>
      </c>
      <c r="N169" s="682" t="s">
        <v>253</v>
      </c>
      <c r="O169" s="684" t="s">
        <v>245</v>
      </c>
      <c r="P169" s="539"/>
      <c r="R169" s="846"/>
      <c r="S169" s="846"/>
      <c r="V169" s="1"/>
      <c r="W169" s="1"/>
      <c r="X169" s="1"/>
      <c r="AA169" s="657" t="s">
        <v>87</v>
      </c>
      <c r="AB169" s="657" t="s">
        <v>86</v>
      </c>
      <c r="AF169" s="621">
        <f>D163*1000</f>
        <v>43.221874010885529</v>
      </c>
      <c r="AK169" s="2"/>
      <c r="AL169" s="2"/>
    </row>
    <row r="170" spans="1:38">
      <c r="A170" s="30" t="s">
        <v>254</v>
      </c>
      <c r="B170" s="680">
        <f>B163</f>
        <v>0.13672589517215405</v>
      </c>
      <c r="D170" s="529">
        <f>$D$163</f>
        <v>4.3221874010885529E-2</v>
      </c>
      <c r="E170" s="389">
        <f>D170*$B170</f>
        <v>5.9095494151563841E-3</v>
      </c>
      <c r="F170" s="529">
        <f>$D$163</f>
        <v>4.3221874010885529E-2</v>
      </c>
      <c r="G170" s="389">
        <f>F170*$B170</f>
        <v>5.9095494151563841E-3</v>
      </c>
      <c r="H170" s="529">
        <f>+$D$163</f>
        <v>4.3221874010885529E-2</v>
      </c>
      <c r="I170" s="389">
        <f>H170*$B170</f>
        <v>5.9095494151563841E-3</v>
      </c>
      <c r="J170" s="685">
        <f>$D$163</f>
        <v>4.3221874010885529E-2</v>
      </c>
      <c r="K170" s="686">
        <f>J170*$B170</f>
        <v>5.9095494151563841E-3</v>
      </c>
      <c r="L170" s="685">
        <v>0</v>
      </c>
      <c r="M170" s="686">
        <f>L170*$B170</f>
        <v>0</v>
      </c>
      <c r="N170" s="685">
        <v>0</v>
      </c>
      <c r="O170" s="687">
        <f>N170*$B170</f>
        <v>0</v>
      </c>
      <c r="P170" s="539"/>
      <c r="R170" s="846"/>
      <c r="S170" s="846"/>
      <c r="V170" s="29"/>
      <c r="W170" s="1"/>
      <c r="X170" s="1"/>
      <c r="AA170" s="657" t="s">
        <v>89</v>
      </c>
      <c r="AB170" s="657" t="s">
        <v>88</v>
      </c>
      <c r="AF170" s="621">
        <f>D164*1000*1000</f>
        <v>294.27406975159448</v>
      </c>
      <c r="AK170" s="2"/>
      <c r="AL170" s="2"/>
    </row>
    <row r="171" spans="1:38" ht="16.5">
      <c r="A171" s="30" t="s">
        <v>255</v>
      </c>
      <c r="B171" s="695">
        <v>4.5</v>
      </c>
      <c r="D171" s="529">
        <f>$D$164</f>
        <v>2.942740697515945E-4</v>
      </c>
      <c r="E171" s="392">
        <f>D171*$B171</f>
        <v>1.3242333138821752E-3</v>
      </c>
      <c r="F171" s="529">
        <f>$D$164</f>
        <v>2.942740697515945E-4</v>
      </c>
      <c r="G171" s="392">
        <f>F171*$B171</f>
        <v>1.3242333138821752E-3</v>
      </c>
      <c r="H171" s="529">
        <f>+$D$164</f>
        <v>2.942740697515945E-4</v>
      </c>
      <c r="I171" s="392">
        <f>H171*$B171</f>
        <v>1.3242333138821752E-3</v>
      </c>
      <c r="J171" s="685">
        <f>$D$164</f>
        <v>2.942740697515945E-4</v>
      </c>
      <c r="K171" s="688">
        <f>J171*$B171</f>
        <v>1.3242333138821752E-3</v>
      </c>
      <c r="L171" s="685">
        <v>0</v>
      </c>
      <c r="M171" s="688">
        <f>L171*$B171</f>
        <v>0</v>
      </c>
      <c r="N171" s="685">
        <v>0</v>
      </c>
      <c r="O171" s="689">
        <f>N171*$B171</f>
        <v>0</v>
      </c>
      <c r="P171" s="276"/>
      <c r="R171" s="276"/>
      <c r="V171" s="1"/>
      <c r="W171" s="1"/>
      <c r="X171" s="1"/>
      <c r="AK171" s="2"/>
      <c r="AL171" s="2"/>
    </row>
    <row r="172" spans="1:38">
      <c r="A172" s="30" t="s">
        <v>256</v>
      </c>
      <c r="B172" s="394"/>
      <c r="D172" s="395"/>
      <c r="E172" s="396">
        <f>SUM(E170:E171)</f>
        <v>7.2337827290385598E-3</v>
      </c>
      <c r="F172" s="395"/>
      <c r="G172" s="396">
        <f>SUM(G170:G171)</f>
        <v>7.2337827290385598E-3</v>
      </c>
      <c r="H172" s="395"/>
      <c r="I172" s="396">
        <f>SUM(I170:I171)</f>
        <v>7.2337827290385598E-3</v>
      </c>
      <c r="J172" s="690"/>
      <c r="K172" s="691">
        <f>SUM(K170:K171)</f>
        <v>7.2337827290385598E-3</v>
      </c>
      <c r="L172" s="690"/>
      <c r="M172" s="691">
        <f>SUM(M170:M171)</f>
        <v>0</v>
      </c>
      <c r="N172" s="690"/>
      <c r="O172" s="692">
        <f>SUM(O170:O171)</f>
        <v>0</v>
      </c>
      <c r="P172" s="539"/>
      <c r="R172" s="846"/>
      <c r="S172" s="846"/>
      <c r="V172" s="1"/>
      <c r="W172" s="1"/>
      <c r="X172" s="1"/>
      <c r="AK172" s="2"/>
      <c r="AL172" s="2"/>
    </row>
    <row r="173" spans="1:38" ht="12.75" hidden="1">
      <c r="A173" s="30"/>
      <c r="B173" s="1"/>
      <c r="D173" s="59"/>
      <c r="E173" s="41"/>
      <c r="F173" s="41"/>
      <c r="G173" s="41"/>
      <c r="H173" s="41"/>
      <c r="I173" s="41"/>
      <c r="J173" s="85"/>
      <c r="K173" s="85"/>
      <c r="L173" s="85"/>
      <c r="M173" s="85"/>
      <c r="N173" s="85"/>
      <c r="O173" s="87"/>
      <c r="P173" s="539"/>
      <c r="R173" s="846"/>
      <c r="S173" s="846"/>
      <c r="V173" s="1"/>
      <c r="W173" s="1"/>
      <c r="X173" s="1"/>
      <c r="AK173" s="2"/>
      <c r="AL173" s="2"/>
    </row>
    <row r="174" spans="1:38" ht="12.75">
      <c r="A174" s="59"/>
      <c r="B174" s="41"/>
      <c r="C174" s="41"/>
      <c r="D174" s="41"/>
      <c r="E174" s="41"/>
      <c r="F174" s="41"/>
      <c r="G174" s="41"/>
      <c r="H174" s="41"/>
      <c r="I174" s="41"/>
      <c r="J174" s="85"/>
      <c r="K174" s="85"/>
      <c r="L174" s="85"/>
      <c r="M174" s="85"/>
      <c r="N174" s="85"/>
      <c r="O174" s="87"/>
      <c r="P174" s="539"/>
      <c r="R174" s="846"/>
      <c r="S174" s="846"/>
      <c r="V174" s="1"/>
      <c r="W174" s="1"/>
      <c r="X174" s="1"/>
      <c r="AK174" s="2"/>
      <c r="AL174" s="2"/>
    </row>
    <row r="175" spans="1:38" ht="12.75">
      <c r="A175" s="1"/>
      <c r="B175" s="1"/>
      <c r="C175" s="1"/>
      <c r="D175" s="1"/>
      <c r="E175" s="1"/>
      <c r="F175" s="1"/>
      <c r="G175" s="1"/>
      <c r="H175" s="1"/>
      <c r="P175" s="539"/>
      <c r="R175" s="846"/>
      <c r="S175" s="846"/>
      <c r="V175" s="29"/>
      <c r="W175" s="1"/>
      <c r="X175" s="1"/>
      <c r="AA175" s="285"/>
      <c r="AK175" s="2"/>
      <c r="AL175" s="2"/>
    </row>
    <row r="176" spans="1:38" ht="12.75">
      <c r="A176" s="1"/>
      <c r="B176" s="1"/>
      <c r="C176" s="1"/>
      <c r="D176" s="1"/>
      <c r="E176" s="1"/>
      <c r="F176" s="1"/>
      <c r="G176" s="1"/>
      <c r="H176" s="1"/>
      <c r="P176" s="539"/>
      <c r="R176" s="846"/>
      <c r="S176" s="846"/>
      <c r="V176" s="1"/>
      <c r="W176" s="1"/>
      <c r="X176" s="1"/>
      <c r="AA176" s="657" t="s">
        <v>87</v>
      </c>
      <c r="AB176" s="657" t="s">
        <v>86</v>
      </c>
      <c r="AF176" s="621">
        <f>D170*1000</f>
        <v>43.221874010885529</v>
      </c>
      <c r="AK176" s="2"/>
      <c r="AL176" s="2"/>
    </row>
    <row r="177" spans="1:38" ht="12.75">
      <c r="A177" s="385" t="s">
        <v>259</v>
      </c>
      <c r="B177" s="406"/>
      <c r="C177" s="488" t="s">
        <v>359</v>
      </c>
      <c r="D177" s="488"/>
      <c r="E177" s="406"/>
      <c r="F177" s="406"/>
      <c r="G177" s="406"/>
      <c r="H177" s="407"/>
      <c r="P177" s="539"/>
      <c r="R177" s="846"/>
      <c r="S177" s="846"/>
      <c r="V177" s="29"/>
      <c r="W177" s="1"/>
      <c r="X177" s="1"/>
      <c r="AA177" s="657" t="s">
        <v>89</v>
      </c>
      <c r="AB177" s="657" t="s">
        <v>88</v>
      </c>
      <c r="AF177" s="621">
        <f>D171*1000*1000</f>
        <v>294.27406975159448</v>
      </c>
      <c r="AK177" s="2"/>
      <c r="AL177" s="2"/>
    </row>
    <row r="178" spans="1:38" ht="12.75">
      <c r="A178" s="30" t="s">
        <v>63</v>
      </c>
      <c r="B178" s="271"/>
      <c r="C178" s="489" t="s">
        <v>360</v>
      </c>
      <c r="D178" s="430" t="s">
        <v>361</v>
      </c>
      <c r="G178" s="490" t="s">
        <v>64</v>
      </c>
      <c r="H178" s="81" t="s">
        <v>261</v>
      </c>
      <c r="M178" s="560"/>
      <c r="P178" s="276"/>
      <c r="R178" s="276"/>
      <c r="V178" s="1"/>
      <c r="W178" s="1"/>
      <c r="X178" s="1"/>
      <c r="AK178" s="2"/>
      <c r="AL178" s="2"/>
    </row>
    <row r="179" spans="1:38" ht="16.5">
      <c r="A179" s="30" t="s">
        <v>395</v>
      </c>
      <c r="B179" s="679">
        <v>27000000</v>
      </c>
      <c r="C179" s="36">
        <f>G179/B179</f>
        <v>2.7777777777777779E-3</v>
      </c>
      <c r="D179" s="27">
        <f>G239</f>
        <v>3.125E-2</v>
      </c>
      <c r="E179" s="1"/>
      <c r="F179" s="1"/>
      <c r="G179" s="703">
        <v>75000</v>
      </c>
      <c r="H179" s="402">
        <f>G179/$B$64/1000</f>
        <v>6.0000000000000001E-3</v>
      </c>
      <c r="P179" s="539"/>
      <c r="R179" s="846"/>
      <c r="S179" s="846"/>
      <c r="V179" s="1"/>
      <c r="W179" s="1"/>
      <c r="X179" s="1"/>
      <c r="AK179" s="2"/>
      <c r="AL179" s="2"/>
    </row>
    <row r="180" spans="1:38" ht="12.75">
      <c r="A180" s="33"/>
      <c r="B180" s="1"/>
      <c r="C180" s="1"/>
      <c r="D180" s="1"/>
      <c r="E180" s="1"/>
      <c r="F180" s="1"/>
      <c r="G180" s="1"/>
      <c r="H180" s="403"/>
      <c r="P180" s="1"/>
      <c r="R180" s="846"/>
      <c r="S180" s="846"/>
      <c r="V180" s="1"/>
      <c r="W180" s="1"/>
      <c r="X180" s="1"/>
      <c r="AK180" s="2"/>
      <c r="AL180" s="2"/>
    </row>
    <row r="181" spans="1:38">
      <c r="A181" s="30" t="s">
        <v>264</v>
      </c>
      <c r="C181" s="430" t="s">
        <v>358</v>
      </c>
      <c r="H181" s="313"/>
      <c r="P181" s="1"/>
      <c r="R181" s="846"/>
      <c r="S181" s="846"/>
      <c r="V181" s="29"/>
      <c r="W181" s="1"/>
      <c r="X181" s="1"/>
      <c r="AJ181" s="398" t="s">
        <v>435</v>
      </c>
      <c r="AK181" s="2"/>
      <c r="AL181" s="2"/>
    </row>
    <row r="182" spans="1:38" ht="16.5">
      <c r="A182" s="30" t="s">
        <v>265</v>
      </c>
      <c r="C182" s="52">
        <f>G182/12</f>
        <v>2083.3333333333335</v>
      </c>
      <c r="G182" s="401">
        <v>25000</v>
      </c>
      <c r="H182" s="402">
        <f>G182/$B$64/1000</f>
        <v>2E-3</v>
      </c>
      <c r="P182" s="1"/>
      <c r="R182" s="846"/>
      <c r="S182" s="846"/>
      <c r="V182" s="1"/>
      <c r="W182" s="1"/>
      <c r="X182" s="1"/>
      <c r="AC182" s="638">
        <f t="shared" ref="AC182:AC184" si="55">ROUND($AC$13*$AI182,0)</f>
        <v>2259</v>
      </c>
      <c r="AD182" s="624"/>
      <c r="AE182" s="624"/>
      <c r="AF182" s="639"/>
      <c r="AG182" s="617" t="s">
        <v>258</v>
      </c>
      <c r="AH182" s="640">
        <v>631040</v>
      </c>
      <c r="AI182" s="652">
        <f>+AJ182/$AJ$189</f>
        <v>3.0123336981911327E-2</v>
      </c>
      <c r="AJ182" s="2">
        <v>5339</v>
      </c>
      <c r="AK182" s="2"/>
      <c r="AL182" s="2"/>
    </row>
    <row r="183" spans="1:38">
      <c r="A183" s="33"/>
      <c r="B183" s="1"/>
      <c r="C183" s="1"/>
      <c r="D183" s="1"/>
      <c r="E183" s="1"/>
      <c r="F183" s="1"/>
      <c r="G183" s="1"/>
      <c r="H183" s="403"/>
      <c r="P183" s="1"/>
      <c r="R183" s="846"/>
      <c r="S183" s="846"/>
      <c r="V183" s="29"/>
      <c r="W183" s="1"/>
      <c r="X183" s="1"/>
      <c r="AC183" s="638">
        <f t="shared" si="55"/>
        <v>2751</v>
      </c>
      <c r="AD183" s="624"/>
      <c r="AE183" s="624"/>
      <c r="AF183" s="639"/>
      <c r="AG183" s="617" t="s">
        <v>260</v>
      </c>
      <c r="AH183" s="640">
        <v>631060</v>
      </c>
      <c r="AI183" s="652">
        <f t="shared" ref="AI183:AI188" si="56">+AJ183/$AJ$189</f>
        <v>3.6679493110958146E-2</v>
      </c>
      <c r="AJ183" s="2">
        <v>6501</v>
      </c>
      <c r="AK183" s="2"/>
      <c r="AL183" s="2"/>
    </row>
    <row r="184" spans="1:38">
      <c r="A184" s="30" t="s">
        <v>266</v>
      </c>
      <c r="C184" s="430" t="s">
        <v>358</v>
      </c>
      <c r="H184" s="313"/>
      <c r="P184" s="1"/>
      <c r="R184" s="846"/>
      <c r="S184" s="846"/>
      <c r="V184" s="29"/>
      <c r="W184" s="1"/>
      <c r="X184" s="1"/>
      <c r="AC184" s="638">
        <f t="shared" si="55"/>
        <v>1601</v>
      </c>
      <c r="AD184" s="624"/>
      <c r="AE184" s="624"/>
      <c r="AF184" s="639"/>
      <c r="AG184" s="617" t="s">
        <v>262</v>
      </c>
      <c r="AH184" s="640">
        <v>630020</v>
      </c>
      <c r="AI184" s="652">
        <f t="shared" si="56"/>
        <v>2.13441812703822E-2</v>
      </c>
      <c r="AJ184" s="2">
        <v>3783</v>
      </c>
      <c r="AK184" s="2"/>
      <c r="AL184" s="2"/>
    </row>
    <row r="185" spans="1:38" ht="16.5">
      <c r="A185" s="30" t="s">
        <v>268</v>
      </c>
      <c r="C185" s="52">
        <f>G185/12</f>
        <v>6250</v>
      </c>
      <c r="G185" s="703">
        <v>75000</v>
      </c>
      <c r="H185" s="402">
        <f>G185/$B$64/1000</f>
        <v>6.0000000000000001E-3</v>
      </c>
      <c r="P185" s="5"/>
      <c r="AC185" s="638">
        <f>ROUND($AC$13*$AI185,0)</f>
        <v>1523</v>
      </c>
      <c r="AD185" s="624"/>
      <c r="AE185" s="624"/>
      <c r="AF185" s="639"/>
      <c r="AG185" s="617" t="s">
        <v>417</v>
      </c>
      <c r="AH185" s="640" t="s">
        <v>418</v>
      </c>
      <c r="AI185" s="652">
        <f t="shared" si="56"/>
        <v>2.030602918110112E-2</v>
      </c>
      <c r="AJ185" s="2">
        <v>3599</v>
      </c>
      <c r="AK185" s="2"/>
      <c r="AL185" s="2"/>
    </row>
    <row r="186" spans="1:38">
      <c r="A186" s="59"/>
      <c r="B186" s="41"/>
      <c r="C186" s="405"/>
      <c r="D186" s="41"/>
      <c r="E186" s="41"/>
      <c r="F186" s="41"/>
      <c r="G186" s="41"/>
      <c r="H186" s="42"/>
      <c r="Z186" s="404"/>
      <c r="AC186" s="638">
        <f t="shared" ref="AC186:AC188" si="57">ROUND($AC$13*$AI186,0)</f>
        <v>41206</v>
      </c>
      <c r="AD186" s="624"/>
      <c r="AE186" s="624"/>
      <c r="AF186" s="639"/>
      <c r="AG186" s="617" t="s">
        <v>263</v>
      </c>
      <c r="AH186" s="640">
        <v>630080</v>
      </c>
      <c r="AI186" s="652">
        <f t="shared" si="56"/>
        <v>0.54940814046649133</v>
      </c>
      <c r="AJ186" s="2">
        <v>97376</v>
      </c>
      <c r="AK186" s="2"/>
      <c r="AL186" s="2"/>
    </row>
    <row r="187" spans="1:38">
      <c r="A187" s="1"/>
      <c r="B187" s="1"/>
      <c r="C187" s="1"/>
      <c r="D187" s="1"/>
      <c r="E187" s="1"/>
      <c r="F187" s="8"/>
      <c r="G187" s="8"/>
      <c r="H187" s="1"/>
      <c r="AC187" s="638">
        <f t="shared" si="57"/>
        <v>22193</v>
      </c>
      <c r="AD187" s="624"/>
      <c r="AE187" s="624"/>
      <c r="AF187" s="639"/>
      <c r="AG187" s="617" t="s">
        <v>412</v>
      </c>
      <c r="AH187" s="640" t="s">
        <v>414</v>
      </c>
      <c r="AI187" s="652">
        <f t="shared" si="56"/>
        <v>0.29590155609970775</v>
      </c>
      <c r="AJ187" s="2">
        <v>52445</v>
      </c>
      <c r="AK187" s="2"/>
      <c r="AL187" s="2"/>
    </row>
    <row r="188" spans="1:38" ht="16.5">
      <c r="A188" s="1"/>
      <c r="B188" s="1"/>
      <c r="C188" s="1"/>
      <c r="D188" s="1"/>
      <c r="E188" s="1"/>
      <c r="F188" s="8"/>
      <c r="G188" s="8"/>
      <c r="H188" s="1"/>
      <c r="AC188" s="643">
        <f t="shared" si="57"/>
        <v>3468</v>
      </c>
      <c r="AD188" s="624"/>
      <c r="AE188" s="624"/>
      <c r="AF188" s="639"/>
      <c r="AG188" s="617" t="s">
        <v>413</v>
      </c>
      <c r="AH188" s="640" t="s">
        <v>415</v>
      </c>
      <c r="AI188" s="652">
        <f t="shared" si="56"/>
        <v>4.6237262889448086E-2</v>
      </c>
      <c r="AJ188" s="83">
        <v>8195</v>
      </c>
      <c r="AK188" s="2"/>
      <c r="AL188" s="2"/>
    </row>
    <row r="189" spans="1:38" ht="12.75">
      <c r="A189" s="385" t="s">
        <v>269</v>
      </c>
      <c r="B189" s="406"/>
      <c r="C189" s="406"/>
      <c r="D189" s="406"/>
      <c r="E189" s="406"/>
      <c r="F189" s="406"/>
      <c r="G189" s="406"/>
      <c r="H189" s="406"/>
      <c r="I189" s="406"/>
      <c r="J189" s="407"/>
      <c r="K189" s="30"/>
      <c r="Z189" s="404"/>
      <c r="AC189" s="612">
        <f>SUM(AC182:AC188)</f>
        <v>75001</v>
      </c>
      <c r="AD189" s="624"/>
      <c r="AE189" s="624"/>
      <c r="AF189" s="639"/>
      <c r="AG189" s="624"/>
      <c r="AH189" s="624"/>
      <c r="AI189" s="1"/>
      <c r="AJ189" s="2">
        <f>SUM(AJ182:AJ188)</f>
        <v>177238</v>
      </c>
      <c r="AK189" s="2"/>
      <c r="AL189" s="2"/>
    </row>
    <row r="190" spans="1:38">
      <c r="A190" s="30" t="s">
        <v>271</v>
      </c>
      <c r="I190" s="356"/>
      <c r="J190" s="408"/>
      <c r="K190" s="409"/>
      <c r="L190" s="356"/>
      <c r="M190" s="356"/>
      <c r="N190" s="356"/>
      <c r="AC190" s="1"/>
      <c r="AD190" s="1"/>
      <c r="AE190" s="1"/>
      <c r="AF190" s="394"/>
      <c r="AG190" s="1"/>
      <c r="AH190" s="1"/>
      <c r="AI190" s="1"/>
      <c r="AK190" s="2"/>
      <c r="AL190" s="2"/>
    </row>
    <row r="191" spans="1:38" ht="16.5">
      <c r="A191" s="30"/>
      <c r="I191" s="356"/>
      <c r="J191" s="408"/>
      <c r="K191" s="409"/>
      <c r="L191" s="356"/>
      <c r="M191" s="356"/>
      <c r="N191" s="356"/>
      <c r="AC191" s="1"/>
      <c r="AD191" s="1"/>
      <c r="AE191" s="1"/>
      <c r="AF191" s="394"/>
      <c r="AG191" s="1"/>
      <c r="AH191" s="1"/>
      <c r="AI191" s="1"/>
      <c r="AJ191" s="398" t="s">
        <v>435</v>
      </c>
      <c r="AK191" s="2"/>
      <c r="AL191" s="2"/>
    </row>
    <row r="192" spans="1:38">
      <c r="A192" s="30" t="s">
        <v>274</v>
      </c>
      <c r="B192" s="26" t="s">
        <v>275</v>
      </c>
      <c r="C192" s="26" t="s">
        <v>43</v>
      </c>
      <c r="D192" s="356"/>
      <c r="E192" s="847" t="s">
        <v>276</v>
      </c>
      <c r="F192" s="848"/>
      <c r="G192" s="356"/>
      <c r="I192" s="26"/>
      <c r="J192" s="541"/>
      <c r="K192" s="540"/>
      <c r="L192" s="26"/>
      <c r="M192" s="26"/>
      <c r="N192" s="26"/>
      <c r="AC192" s="707">
        <f>$AC$21*$AI192</f>
        <v>405101.17062059004</v>
      </c>
      <c r="AE192" s="6"/>
      <c r="AF192" s="639"/>
      <c r="AG192" s="617" t="s">
        <v>267</v>
      </c>
      <c r="AH192" s="640" t="s">
        <v>164</v>
      </c>
      <c r="AI192" s="706">
        <f>+AJ192/AJ243</f>
        <v>0.8612284015778654</v>
      </c>
      <c r="AJ192" s="2">
        <v>372030</v>
      </c>
      <c r="AK192" s="2"/>
      <c r="AL192" s="2"/>
    </row>
    <row r="193" spans="1:38">
      <c r="A193" s="112" t="s">
        <v>277</v>
      </c>
      <c r="B193" s="696">
        <v>7</v>
      </c>
      <c r="C193" s="697">
        <v>2</v>
      </c>
      <c r="E193" s="30" t="s">
        <v>278</v>
      </c>
      <c r="F193" s="417">
        <v>50</v>
      </c>
      <c r="J193" s="25"/>
      <c r="K193" s="30"/>
      <c r="AE193" s="6"/>
      <c r="AK193" s="2"/>
      <c r="AL193" s="2"/>
    </row>
    <row r="194" spans="1:38">
      <c r="A194" s="112" t="s">
        <v>279</v>
      </c>
      <c r="B194" s="418">
        <f>27.75*1.03</f>
        <v>28.5825</v>
      </c>
      <c r="C194" s="418">
        <f>30*1.03</f>
        <v>30.900000000000002</v>
      </c>
      <c r="E194" s="30" t="s">
        <v>280</v>
      </c>
      <c r="F194" s="417">
        <v>40</v>
      </c>
      <c r="J194" s="25"/>
      <c r="K194" s="30"/>
      <c r="AE194" s="6"/>
      <c r="AK194" s="2"/>
      <c r="AL194" s="2"/>
    </row>
    <row r="195" spans="1:38">
      <c r="A195" s="112" t="s">
        <v>282</v>
      </c>
      <c r="B195" s="419">
        <v>0.1</v>
      </c>
      <c r="C195" s="420">
        <v>0.1</v>
      </c>
      <c r="E195" s="30" t="s">
        <v>283</v>
      </c>
      <c r="F195" s="421">
        <v>1.5</v>
      </c>
      <c r="J195" s="25"/>
      <c r="K195" s="30"/>
      <c r="AE195" s="6"/>
      <c r="AK195" s="2"/>
      <c r="AL195" s="2"/>
    </row>
    <row r="196" spans="1:38">
      <c r="A196" s="112" t="s">
        <v>285</v>
      </c>
      <c r="B196" s="419">
        <v>0</v>
      </c>
      <c r="E196" s="422" t="s">
        <v>286</v>
      </c>
      <c r="F196" s="702">
        <v>0.3</v>
      </c>
      <c r="H196" s="205"/>
      <c r="J196" s="25"/>
      <c r="K196" s="30"/>
      <c r="AE196" s="6"/>
      <c r="AK196" s="2"/>
      <c r="AL196" s="2"/>
    </row>
    <row r="197" spans="1:38">
      <c r="A197" s="112" t="s">
        <v>387</v>
      </c>
      <c r="B197" s="419">
        <v>0.3</v>
      </c>
      <c r="E197" s="1"/>
      <c r="F197" s="1"/>
      <c r="H197" s="205"/>
      <c r="J197" s="25"/>
      <c r="K197" s="30"/>
      <c r="AD197" s="410"/>
      <c r="AE197" s="410"/>
      <c r="AJ197" s="398" t="s">
        <v>435</v>
      </c>
      <c r="AK197" s="2"/>
      <c r="AL197" s="2"/>
    </row>
    <row r="198" spans="1:38" ht="12.75">
      <c r="A198" s="112"/>
      <c r="E198" s="1"/>
      <c r="F198" s="1"/>
      <c r="H198" s="205"/>
      <c r="J198" s="25"/>
      <c r="K198" s="30"/>
      <c r="AC198" s="638">
        <f>$AC$16*$AI198</f>
        <v>438535.44234121952</v>
      </c>
      <c r="AD198" s="641"/>
      <c r="AE198" s="641"/>
      <c r="AF198" s="642"/>
      <c r="AG198" s="617" t="s">
        <v>272</v>
      </c>
      <c r="AH198" s="640" t="s">
        <v>167</v>
      </c>
      <c r="AI198" s="650">
        <f>+AJ198/AJ200</f>
        <v>0.95296916050141367</v>
      </c>
      <c r="AJ198" s="2">
        <v>276038</v>
      </c>
      <c r="AK198" s="2"/>
      <c r="AL198" s="2"/>
    </row>
    <row r="199" spans="1:38">
      <c r="A199" s="30"/>
      <c r="E199" s="1"/>
      <c r="F199" s="1"/>
      <c r="G199" s="1"/>
      <c r="H199" s="205"/>
      <c r="J199" s="25"/>
      <c r="K199" s="30"/>
      <c r="AC199" s="643">
        <f>$AC$16*$AI199</f>
        <v>21642.557658780439</v>
      </c>
      <c r="AD199" s="644"/>
      <c r="AE199" s="644"/>
      <c r="AF199" s="642"/>
      <c r="AG199" s="617" t="s">
        <v>273</v>
      </c>
      <c r="AH199" s="640" t="s">
        <v>168</v>
      </c>
      <c r="AI199" s="650">
        <f>+AJ199/AJ200</f>
        <v>4.7030839498586281E-2</v>
      </c>
      <c r="AJ199" s="83">
        <v>13623</v>
      </c>
      <c r="AK199" s="2"/>
      <c r="AL199" s="2"/>
    </row>
    <row r="200" spans="1:38">
      <c r="A200" s="30" t="s">
        <v>388</v>
      </c>
      <c r="B200" s="533" t="s">
        <v>375</v>
      </c>
      <c r="C200" s="533" t="s">
        <v>376</v>
      </c>
      <c r="D200" s="266"/>
      <c r="E200" s="1"/>
      <c r="J200" s="25"/>
      <c r="K200" s="30"/>
      <c r="AC200" s="618">
        <f>SUM(AC198:AC199)</f>
        <v>460177.99999999994</v>
      </c>
      <c r="AD200" s="624"/>
      <c r="AE200" s="624"/>
      <c r="AF200" s="642" t="s">
        <v>95</v>
      </c>
      <c r="AG200" s="645" t="s">
        <v>94</v>
      </c>
      <c r="AH200" s="646" t="s">
        <v>229</v>
      </c>
      <c r="AJ200" s="2">
        <f>SUM(AJ198:AJ199)</f>
        <v>289661</v>
      </c>
      <c r="AK200" s="2"/>
      <c r="AL200" s="2"/>
    </row>
    <row r="201" spans="1:38" ht="12.75">
      <c r="A201" s="112" t="s">
        <v>377</v>
      </c>
      <c r="B201" s="196" t="s">
        <v>378</v>
      </c>
      <c r="C201" s="2">
        <f>ROUND(B197*B64,-2)</f>
        <v>3800</v>
      </c>
      <c r="J201" s="25"/>
      <c r="K201" s="30"/>
      <c r="AC201" s="624"/>
      <c r="AD201" s="641"/>
      <c r="AE201" s="641"/>
      <c r="AF201" s="639"/>
      <c r="AG201" s="624"/>
      <c r="AH201" s="624"/>
      <c r="AK201" s="2"/>
      <c r="AL201" s="2"/>
    </row>
    <row r="202" spans="1:38" ht="12.75">
      <c r="A202" s="112" t="s">
        <v>383</v>
      </c>
      <c r="B202" s="196" t="s">
        <v>378</v>
      </c>
      <c r="C202" s="2">
        <v>2600</v>
      </c>
      <c r="J202" s="25"/>
      <c r="K202" s="30"/>
      <c r="AC202" s="638">
        <f>$AC$17*$AI202</f>
        <v>129986.30118498676</v>
      </c>
      <c r="AD202" s="641"/>
      <c r="AE202" s="641"/>
      <c r="AF202" s="642"/>
      <c r="AG202" s="617" t="s">
        <v>281</v>
      </c>
      <c r="AH202" s="640" t="s">
        <v>169</v>
      </c>
      <c r="AI202" s="650">
        <f>+AJ202/AJ204</f>
        <v>0.91449487255513406</v>
      </c>
      <c r="AJ202" s="2">
        <v>89444</v>
      </c>
      <c r="AK202" s="2"/>
      <c r="AL202" s="2"/>
    </row>
    <row r="203" spans="1:38">
      <c r="A203" s="112" t="s">
        <v>287</v>
      </c>
      <c r="B203" s="538">
        <f>ROUND(B193*B196,0)</f>
        <v>0</v>
      </c>
      <c r="C203" s="31">
        <f>(C201/(C202*4)*1000)/($F$193*$F$194)</f>
        <v>0.18269230769230768</v>
      </c>
      <c r="D203" s="537"/>
      <c r="E203" s="1"/>
      <c r="J203" s="25"/>
      <c r="K203" s="30"/>
      <c r="AC203" s="643">
        <f>$AC$17*$AI203</f>
        <v>12153.69881501324</v>
      </c>
      <c r="AD203" s="644"/>
      <c r="AE203" s="644"/>
      <c r="AF203" s="642"/>
      <c r="AG203" s="617" t="s">
        <v>284</v>
      </c>
      <c r="AH203" s="640" t="s">
        <v>170</v>
      </c>
      <c r="AI203" s="650">
        <f>+AJ203/AJ204</f>
        <v>8.5505127444865908E-2</v>
      </c>
      <c r="AJ203" s="83">
        <v>8363</v>
      </c>
      <c r="AK203" s="2"/>
      <c r="AL203" s="2"/>
    </row>
    <row r="204" spans="1:38" ht="12.75">
      <c r="A204" s="112" t="s">
        <v>289</v>
      </c>
      <c r="B204" s="425">
        <f>(B203*$F$193*$F$194)</f>
        <v>0</v>
      </c>
      <c r="C204" s="425">
        <f>(C203*$F$193*$F$194)</f>
        <v>365.38461538461536</v>
      </c>
      <c r="J204" s="25"/>
      <c r="K204" s="30"/>
      <c r="AC204" s="618">
        <f>SUM(AC202:AC203)</f>
        <v>142140</v>
      </c>
      <c r="AD204" s="644"/>
      <c r="AE204" s="644"/>
      <c r="AF204" s="642" t="s">
        <v>95</v>
      </c>
      <c r="AG204" s="645" t="s">
        <v>96</v>
      </c>
      <c r="AH204" s="646" t="s">
        <v>229</v>
      </c>
      <c r="AJ204" s="2">
        <f>SUM(AJ202:AJ203)</f>
        <v>97807</v>
      </c>
      <c r="AK204" s="2"/>
      <c r="AL204" s="2"/>
    </row>
    <row r="205" spans="1:38" ht="12.75">
      <c r="A205" s="112" t="s">
        <v>381</v>
      </c>
      <c r="B205" s="426">
        <f>(B203*$F$193*$F$194*$C$210)+((B203*$F$193*$F$194*$B$195)*$C$211)</f>
        <v>0</v>
      </c>
      <c r="C205" s="426">
        <f>$C$204*$C$214</f>
        <v>10918.315122377622</v>
      </c>
      <c r="D205" s="427"/>
      <c r="E205" s="428"/>
      <c r="J205" s="25"/>
      <c r="K205" s="30"/>
      <c r="AC205" s="634"/>
      <c r="AD205" s="414"/>
      <c r="AE205" s="414"/>
      <c r="AF205" s="635"/>
      <c r="AG205" s="636"/>
      <c r="AH205" s="637"/>
      <c r="AK205" s="2"/>
      <c r="AL205" s="2"/>
    </row>
    <row r="206" spans="1:38" ht="12.75">
      <c r="A206" s="112" t="s">
        <v>382</v>
      </c>
      <c r="B206" s="426">
        <f>B205*F196</f>
        <v>0</v>
      </c>
      <c r="C206" s="426">
        <f>$C$204*$I$214</f>
        <v>3334.5124562937058</v>
      </c>
      <c r="D206" s="427"/>
      <c r="E206" s="1"/>
      <c r="J206" s="25"/>
      <c r="K206" s="30"/>
      <c r="AC206" s="634"/>
      <c r="AD206" s="414"/>
      <c r="AE206" s="414"/>
      <c r="AF206" s="635"/>
      <c r="AG206" s="636"/>
      <c r="AH206" s="637"/>
      <c r="AK206" s="2"/>
      <c r="AL206" s="2"/>
    </row>
    <row r="207" spans="1:38">
      <c r="A207" s="30"/>
      <c r="B207" s="429"/>
      <c r="C207" s="70"/>
      <c r="D207" s="70"/>
      <c r="E207" s="1"/>
      <c r="J207" s="25"/>
      <c r="K207" s="30"/>
      <c r="AC207" s="634"/>
      <c r="AD207" s="213"/>
      <c r="AE207" s="213"/>
      <c r="AF207" s="635"/>
      <c r="AG207" s="636"/>
      <c r="AH207" s="637"/>
      <c r="AK207" s="2"/>
      <c r="AL207" s="2"/>
    </row>
    <row r="208" spans="1:38" ht="16.5">
      <c r="A208" s="30"/>
      <c r="B208" s="849" t="s">
        <v>14</v>
      </c>
      <c r="C208" s="849"/>
      <c r="D208" s="849"/>
      <c r="E208" s="850" t="s">
        <v>294</v>
      </c>
      <c r="F208" s="849"/>
      <c r="G208" s="851"/>
      <c r="H208" s="849" t="str">
        <f>CONCATENATE("Indirect Payroll Cost (IPC) at ",F196*100,"%")</f>
        <v>Indirect Payroll Cost (IPC) at 30%</v>
      </c>
      <c r="I208" s="849"/>
      <c r="J208" s="851"/>
      <c r="K208" s="30"/>
      <c r="AC208"/>
      <c r="AD208" s="410"/>
      <c r="AE208" s="410"/>
      <c r="AF208" s="424"/>
      <c r="AG208" s="213"/>
      <c r="AH208" s="215"/>
      <c r="AK208" s="2"/>
      <c r="AL208" s="2"/>
    </row>
    <row r="209" spans="1:38">
      <c r="A209" s="431" t="s">
        <v>296</v>
      </c>
      <c r="B209" s="432" t="s">
        <v>289</v>
      </c>
      <c r="C209" s="432" t="s">
        <v>297</v>
      </c>
      <c r="D209" s="433" t="s">
        <v>48</v>
      </c>
      <c r="E209" s="434" t="s">
        <v>289</v>
      </c>
      <c r="F209" s="432" t="s">
        <v>297</v>
      </c>
      <c r="G209" s="435" t="s">
        <v>48</v>
      </c>
      <c r="H209" s="432" t="s">
        <v>289</v>
      </c>
      <c r="I209" s="432" t="s">
        <v>297</v>
      </c>
      <c r="J209" s="435" t="s">
        <v>48</v>
      </c>
      <c r="K209" s="30"/>
      <c r="AC209" s="647"/>
      <c r="AD209" s="410"/>
      <c r="AE209" s="410"/>
      <c r="AF209" s="111"/>
      <c r="AG209" s="9"/>
      <c r="AH209" s="648"/>
      <c r="AI209" s="650"/>
      <c r="AK209" s="2"/>
      <c r="AL209" s="2"/>
    </row>
    <row r="210" spans="1:38">
      <c r="A210" s="436" t="s">
        <v>49</v>
      </c>
      <c r="B210" s="65">
        <f>$F$193*$F$194*B$193</f>
        <v>14000</v>
      </c>
      <c r="C210" s="53">
        <f>B194</f>
        <v>28.5825</v>
      </c>
      <c r="D210" s="437">
        <f>B210*C210</f>
        <v>400155</v>
      </c>
      <c r="E210" s="454">
        <f>$F$193*$F$194*C$193</f>
        <v>4000</v>
      </c>
      <c r="F210" s="53">
        <f>C$194</f>
        <v>30.900000000000002</v>
      </c>
      <c r="G210" s="438">
        <f>E210*F210</f>
        <v>123600.00000000001</v>
      </c>
      <c r="J210" s="25"/>
      <c r="K210" s="30"/>
      <c r="AC210" s="647"/>
      <c r="AD210" s="410"/>
      <c r="AE210" s="410"/>
      <c r="AF210" s="111"/>
      <c r="AG210" s="9"/>
      <c r="AH210" s="648"/>
      <c r="AI210" s="650"/>
      <c r="AJ210" s="398" t="s">
        <v>435</v>
      </c>
      <c r="AK210" s="2"/>
      <c r="AL210" s="2"/>
    </row>
    <row r="211" spans="1:38">
      <c r="A211" s="436" t="s">
        <v>50</v>
      </c>
      <c r="B211" s="356">
        <f>$F$193*$F$194*B$195*B$193</f>
        <v>1400</v>
      </c>
      <c r="C211" s="439">
        <f>B$194*$F$195</f>
        <v>42.873750000000001</v>
      </c>
      <c r="D211" s="440">
        <f>B211*C211</f>
        <v>60023.25</v>
      </c>
      <c r="E211" s="409">
        <f>$F$193*$F$194*C$195*C$193</f>
        <v>400</v>
      </c>
      <c r="F211" s="441">
        <f>C$194*$F$195</f>
        <v>46.35</v>
      </c>
      <c r="G211" s="442">
        <f>E211*F211</f>
        <v>18540</v>
      </c>
      <c r="I211" s="29"/>
      <c r="J211" s="25"/>
      <c r="K211" s="30"/>
      <c r="AC211" s="638">
        <f t="shared" ref="AC211:AC216" si="58">$AC$18*$AI211</f>
        <v>25317.749022633747</v>
      </c>
      <c r="AD211" s="641"/>
      <c r="AE211" s="641"/>
      <c r="AF211" s="614"/>
      <c r="AG211" s="617" t="s">
        <v>288</v>
      </c>
      <c r="AH211" s="640" t="s">
        <v>171</v>
      </c>
      <c r="AI211" s="650">
        <f>+AJ211/AJ217</f>
        <v>0.14011316872427984</v>
      </c>
      <c r="AJ211" s="2">
        <v>27238</v>
      </c>
      <c r="AK211" s="2"/>
      <c r="AL211" s="2"/>
    </row>
    <row r="212" spans="1:38" ht="12.75">
      <c r="A212" s="443" t="s">
        <v>138</v>
      </c>
      <c r="B212" s="65">
        <f>SUM(B210:B211)</f>
        <v>15400</v>
      </c>
      <c r="C212" s="53">
        <f>D212/B212</f>
        <v>29.881704545454546</v>
      </c>
      <c r="D212" s="444">
        <f>SUM(D210:D211)</f>
        <v>460178.25</v>
      </c>
      <c r="E212" s="454">
        <f>SUM(E210:E211)</f>
        <v>4400</v>
      </c>
      <c r="F212" s="53">
        <f>IF(E212&lt;&gt;0,G212/E212,0)</f>
        <v>32.304545454545455</v>
      </c>
      <c r="G212" s="445">
        <f>SUM(G210:G211)</f>
        <v>142140</v>
      </c>
      <c r="H212" s="65">
        <f>B212+E212</f>
        <v>19800</v>
      </c>
      <c r="I212" s="53">
        <f>J212/H212</f>
        <v>9.1260340909090907</v>
      </c>
      <c r="J212" s="446">
        <f>+(D212+G212+C243)*F196</f>
        <v>180695.47500000001</v>
      </c>
      <c r="K212" s="30"/>
      <c r="AC212" s="638">
        <f t="shared" si="58"/>
        <v>22851.782793209877</v>
      </c>
      <c r="AD212" s="641"/>
      <c r="AE212" s="641"/>
      <c r="AF212" s="614"/>
      <c r="AG212" s="617" t="s">
        <v>290</v>
      </c>
      <c r="AH212" s="640" t="s">
        <v>172</v>
      </c>
      <c r="AI212" s="650">
        <f>+AJ212/AJ217</f>
        <v>0.12646604938271605</v>
      </c>
      <c r="AJ212" s="2">
        <v>24585</v>
      </c>
      <c r="AK212" s="2"/>
      <c r="AL212" s="2"/>
    </row>
    <row r="213" spans="1:38">
      <c r="A213" s="443" t="s">
        <v>298</v>
      </c>
      <c r="B213" s="356">
        <f>-B204</f>
        <v>0</v>
      </c>
      <c r="C213" s="447">
        <f>IF(B213&lt;&gt;0,D213/B213,0)</f>
        <v>0</v>
      </c>
      <c r="D213" s="440">
        <f>-B205</f>
        <v>0</v>
      </c>
      <c r="E213" s="483">
        <v>0</v>
      </c>
      <c r="F213" s="447">
        <f>IF(E213&lt;&gt;0,(G213/E213),0)</f>
        <v>0</v>
      </c>
      <c r="G213" s="448">
        <v>0</v>
      </c>
      <c r="H213" s="356">
        <f>-B204</f>
        <v>0</v>
      </c>
      <c r="I213" s="447">
        <f>IF(H213&lt;&gt;0,J213/H213,0)</f>
        <v>0</v>
      </c>
      <c r="J213" s="449">
        <f>-B206</f>
        <v>0</v>
      </c>
      <c r="K213" s="30"/>
      <c r="R213" s="430"/>
      <c r="S213" s="430"/>
      <c r="T213" s="430"/>
      <c r="U213" s="430"/>
      <c r="V213" s="430"/>
      <c r="W213" s="430"/>
      <c r="X213" s="430"/>
      <c r="Y213" s="430"/>
      <c r="AC213" s="638">
        <f t="shared" si="58"/>
        <v>8808.8812500000004</v>
      </c>
      <c r="AD213" s="641"/>
      <c r="AE213" s="641"/>
      <c r="AF213" s="614"/>
      <c r="AG213" s="617" t="s">
        <v>291</v>
      </c>
      <c r="AH213" s="640" t="s">
        <v>173</v>
      </c>
      <c r="AI213" s="650">
        <f>+AJ213/AJ217</f>
        <v>4.8750000000000002E-2</v>
      </c>
      <c r="AJ213" s="2">
        <v>9477</v>
      </c>
      <c r="AK213" s="2"/>
      <c r="AL213" s="2"/>
    </row>
    <row r="214" spans="1:38" ht="12.75">
      <c r="A214" s="443" t="s">
        <v>386</v>
      </c>
      <c r="B214" s="342">
        <f>SUM(B212:B213)</f>
        <v>15400</v>
      </c>
      <c r="C214" s="179">
        <f>D214/B214</f>
        <v>29.881704545454546</v>
      </c>
      <c r="D214" s="534">
        <f>SUM(D212:D213)</f>
        <v>460178.25</v>
      </c>
      <c r="E214" s="535">
        <f>SUM(E212:E213)</f>
        <v>4400</v>
      </c>
      <c r="F214" s="179">
        <f>IF(E214&lt;&gt;0,G214/E214,0)</f>
        <v>32.304545454545455</v>
      </c>
      <c r="G214" s="536">
        <f>SUM(G212:G213)</f>
        <v>142140</v>
      </c>
      <c r="H214" s="342">
        <f>SUM(H212:H213)</f>
        <v>19800</v>
      </c>
      <c r="I214" s="179">
        <f>J214/H214</f>
        <v>9.1260340909090907</v>
      </c>
      <c r="J214" s="536">
        <f>SUM(J212:J213)</f>
        <v>180695.47500000001</v>
      </c>
      <c r="K214" s="30"/>
      <c r="AC214" s="638">
        <f t="shared" si="58"/>
        <v>85166.461265432095</v>
      </c>
      <c r="AD214" s="641"/>
      <c r="AE214" s="641"/>
      <c r="AF214" s="614"/>
      <c r="AG214" s="617" t="s">
        <v>292</v>
      </c>
      <c r="AH214" s="640" t="s">
        <v>174</v>
      </c>
      <c r="AI214" s="650">
        <f>+AJ214/AJ217</f>
        <v>0.47132716049382717</v>
      </c>
      <c r="AJ214" s="2">
        <v>91626</v>
      </c>
      <c r="AK214" s="2"/>
      <c r="AL214" s="2"/>
    </row>
    <row r="215" spans="1:38">
      <c r="A215" s="443" t="s">
        <v>380</v>
      </c>
      <c r="B215" s="342">
        <f>C204</f>
        <v>365.38461538461536</v>
      </c>
      <c r="C215" s="450"/>
      <c r="D215" s="180">
        <f>B215*C214</f>
        <v>10918.315122377622</v>
      </c>
      <c r="E215" s="535">
        <v>0</v>
      </c>
      <c r="F215" s="450"/>
      <c r="G215" s="181">
        <f>E215*F214</f>
        <v>0</v>
      </c>
      <c r="H215" s="342">
        <f>B215+E215</f>
        <v>365.38461538461536</v>
      </c>
      <c r="I215" s="450"/>
      <c r="J215" s="536">
        <f>H215*I214</f>
        <v>3334.5124562937058</v>
      </c>
      <c r="K215" s="30"/>
      <c r="Q215" s="430"/>
      <c r="R215" s="29"/>
      <c r="S215" s="29"/>
      <c r="T215" s="29"/>
      <c r="U215" s="29"/>
      <c r="V215" s="29"/>
      <c r="W215" s="29"/>
      <c r="X215" s="29"/>
      <c r="Y215" s="29"/>
      <c r="AC215" s="638">
        <f t="shared" si="58"/>
        <v>34405.480581275719</v>
      </c>
      <c r="AD215" s="641"/>
      <c r="AE215" s="641"/>
      <c r="AF215" s="614"/>
      <c r="AG215" s="617" t="s">
        <v>293</v>
      </c>
      <c r="AH215" s="640" t="s">
        <v>175</v>
      </c>
      <c r="AI215" s="650">
        <f>+AJ215/AJ217</f>
        <v>0.19040637860082305</v>
      </c>
      <c r="AJ215" s="2">
        <v>37015</v>
      </c>
      <c r="AK215" s="2"/>
      <c r="AL215" s="2"/>
    </row>
    <row r="216" spans="1:38">
      <c r="A216" s="443" t="s">
        <v>379</v>
      </c>
      <c r="B216" s="342">
        <f>B214-B215</f>
        <v>15034.615384615385</v>
      </c>
      <c r="C216" s="450"/>
      <c r="D216" s="180">
        <f>B216*C214</f>
        <v>449259.93487762241</v>
      </c>
      <c r="E216" s="535">
        <f>E214-E215</f>
        <v>4400</v>
      </c>
      <c r="F216" s="450"/>
      <c r="G216" s="536">
        <f>E216*F214</f>
        <v>142140</v>
      </c>
      <c r="H216" s="342">
        <f>H214-H215</f>
        <v>19434.615384615383</v>
      </c>
      <c r="I216" s="450"/>
      <c r="J216" s="536">
        <f>H216*I214</f>
        <v>177360.96254370626</v>
      </c>
      <c r="K216" s="30"/>
      <c r="R216" s="29"/>
      <c r="S216" s="29"/>
      <c r="T216" s="29"/>
      <c r="U216" s="29"/>
      <c r="V216" s="29"/>
      <c r="W216" s="29"/>
      <c r="X216" s="29"/>
      <c r="Y216" s="29"/>
      <c r="AC216" s="643">
        <f t="shared" si="58"/>
        <v>4144.6450874485599</v>
      </c>
      <c r="AD216" s="644"/>
      <c r="AE216" s="644"/>
      <c r="AF216" s="614"/>
      <c r="AG216" s="617" t="s">
        <v>295</v>
      </c>
      <c r="AH216" s="640" t="s">
        <v>176</v>
      </c>
      <c r="AI216" s="650">
        <f>+AJ216/AJ217</f>
        <v>2.2937242798353911E-2</v>
      </c>
      <c r="AJ216" s="83">
        <v>4459</v>
      </c>
      <c r="AK216" s="2"/>
      <c r="AL216" s="2"/>
    </row>
    <row r="217" spans="1:38" ht="12.75">
      <c r="A217" s="451"/>
      <c r="B217" s="342"/>
      <c r="C217" s="179"/>
      <c r="D217" s="176"/>
      <c r="E217" s="30"/>
      <c r="F217" s="342"/>
      <c r="G217" s="452"/>
      <c r="H217" s="176"/>
      <c r="J217" s="25"/>
      <c r="K217" s="30"/>
      <c r="Q217" s="29"/>
      <c r="R217" s="29"/>
      <c r="S217" s="29"/>
      <c r="T217" s="29"/>
      <c r="U217" s="29"/>
      <c r="V217" s="29"/>
      <c r="W217" s="29"/>
      <c r="X217" s="29"/>
      <c r="Y217" s="29"/>
      <c r="AC217" s="618">
        <f>SUM(AC211:AC216)</f>
        <v>180695</v>
      </c>
      <c r="AD217" s="612"/>
      <c r="AE217" s="649"/>
      <c r="AF217" s="642" t="s">
        <v>95</v>
      </c>
      <c r="AG217" s="645" t="s">
        <v>97</v>
      </c>
      <c r="AH217" s="646" t="s">
        <v>229</v>
      </c>
      <c r="AJ217" s="2">
        <f>SUM(AJ211:AJ216)</f>
        <v>194400</v>
      </c>
      <c r="AK217" s="2"/>
      <c r="AL217" s="2"/>
    </row>
    <row r="218" spans="1:38" ht="12.75">
      <c r="A218" s="23" t="s">
        <v>299</v>
      </c>
      <c r="E218" s="33"/>
      <c r="F218" s="1"/>
      <c r="G218" s="38"/>
      <c r="H218" s="453"/>
      <c r="J218" s="25"/>
      <c r="Q218" s="29"/>
      <c r="AE218" s="6"/>
      <c r="AK218" s="2"/>
      <c r="AL218" s="2"/>
    </row>
    <row r="219" spans="1:38" ht="12.75">
      <c r="A219" s="112" t="s">
        <v>327</v>
      </c>
      <c r="B219" s="65">
        <f>ROUND($B$216*$E81,0)+1</f>
        <v>3609</v>
      </c>
      <c r="C219" s="53"/>
      <c r="D219" s="52">
        <f>ROUND($D$216*$E81,0)+1</f>
        <v>107823</v>
      </c>
      <c r="E219" s="454">
        <f>ROUND($E$216*$E81,0)-1</f>
        <v>1055</v>
      </c>
      <c r="F219" s="1"/>
      <c r="G219" s="54">
        <f t="shared" ref="G219:G230" si="59">ROUND($G$216*$E81,0)</f>
        <v>34114</v>
      </c>
      <c r="H219" s="65">
        <f>ROUND($H$216*$E81,0)+1</f>
        <v>4665</v>
      </c>
      <c r="J219" s="54">
        <f t="shared" ref="J219:J230" si="60">ROUND($J$216*$E81,0)</f>
        <v>42567</v>
      </c>
      <c r="Q219" s="29"/>
      <c r="AA219" s="657" t="s">
        <v>95</v>
      </c>
      <c r="AB219" s="657" t="s">
        <v>94</v>
      </c>
      <c r="AE219" s="6"/>
      <c r="AF219" s="621">
        <f>$B$214/$B$29</f>
        <v>5.1333333333333337</v>
      </c>
      <c r="AK219" s="2"/>
      <c r="AL219" s="2"/>
    </row>
    <row r="220" spans="1:38" ht="12.75">
      <c r="A220" s="112" t="s">
        <v>328</v>
      </c>
      <c r="B220" s="65">
        <f t="shared" ref="B220:B230" si="61">ROUND($B$216*$E82,0)</f>
        <v>0</v>
      </c>
      <c r="C220" s="53"/>
      <c r="D220" s="52">
        <f t="shared" ref="D220:D230" si="62">ROUND($D$216*$E82,0)</f>
        <v>0</v>
      </c>
      <c r="E220" s="454">
        <f t="shared" ref="E220:E230" si="63">ROUND($E$216*$E82,0)</f>
        <v>0</v>
      </c>
      <c r="F220" s="1"/>
      <c r="G220" s="54">
        <f t="shared" si="59"/>
        <v>0</v>
      </c>
      <c r="H220" s="65">
        <f t="shared" ref="H220:H230" si="64">ROUND($H$216*$E82,0)</f>
        <v>0</v>
      </c>
      <c r="J220" s="54">
        <f t="shared" si="60"/>
        <v>0</v>
      </c>
      <c r="AA220" s="657" t="s">
        <v>95</v>
      </c>
      <c r="AB220" s="657" t="s">
        <v>96</v>
      </c>
      <c r="AE220" s="6"/>
      <c r="AF220" s="621">
        <f>$E$214/$B$29</f>
        <v>1.4666666666666666</v>
      </c>
      <c r="AK220" s="2"/>
      <c r="AL220" s="2"/>
    </row>
    <row r="221" spans="1:38" ht="12.75">
      <c r="A221" s="112" t="s">
        <v>329</v>
      </c>
      <c r="B221" s="65">
        <f t="shared" si="61"/>
        <v>0</v>
      </c>
      <c r="C221" s="53"/>
      <c r="D221" s="52">
        <f t="shared" si="62"/>
        <v>0</v>
      </c>
      <c r="E221" s="454">
        <f t="shared" si="63"/>
        <v>0</v>
      </c>
      <c r="F221" s="1"/>
      <c r="G221" s="54">
        <f t="shared" si="59"/>
        <v>0</v>
      </c>
      <c r="H221" s="65">
        <f t="shared" si="64"/>
        <v>0</v>
      </c>
      <c r="J221" s="54">
        <f t="shared" si="60"/>
        <v>0</v>
      </c>
      <c r="AA221" s="657" t="s">
        <v>95</v>
      </c>
      <c r="AB221" s="657" t="s">
        <v>97</v>
      </c>
      <c r="AF221" s="621">
        <f>$H$214/$B$29</f>
        <v>6.6</v>
      </c>
      <c r="AK221" s="2"/>
      <c r="AL221" s="2"/>
    </row>
    <row r="222" spans="1:38" ht="12.75">
      <c r="A222" s="112" t="s">
        <v>330</v>
      </c>
      <c r="B222" s="65">
        <f t="shared" si="61"/>
        <v>1443</v>
      </c>
      <c r="C222" s="53"/>
      <c r="D222" s="52">
        <f t="shared" si="62"/>
        <v>43129</v>
      </c>
      <c r="E222" s="454">
        <f t="shared" si="63"/>
        <v>422</v>
      </c>
      <c r="F222" s="1"/>
      <c r="G222" s="54">
        <f t="shared" si="59"/>
        <v>13645</v>
      </c>
      <c r="H222" s="65">
        <f t="shared" si="64"/>
        <v>1866</v>
      </c>
      <c r="J222" s="54">
        <f t="shared" si="60"/>
        <v>17027</v>
      </c>
      <c r="AK222" s="2"/>
      <c r="AL222" s="2"/>
    </row>
    <row r="223" spans="1:38" ht="12.75">
      <c r="A223" s="112" t="s">
        <v>331</v>
      </c>
      <c r="B223" s="65">
        <f t="shared" si="61"/>
        <v>0</v>
      </c>
      <c r="C223" s="53"/>
      <c r="D223" s="52">
        <f t="shared" si="62"/>
        <v>0</v>
      </c>
      <c r="E223" s="454">
        <f t="shared" si="63"/>
        <v>0</v>
      </c>
      <c r="F223" s="1"/>
      <c r="G223" s="54">
        <f t="shared" si="59"/>
        <v>0</v>
      </c>
      <c r="H223" s="65">
        <f t="shared" si="64"/>
        <v>0</v>
      </c>
      <c r="J223" s="54">
        <f t="shared" si="60"/>
        <v>0</v>
      </c>
      <c r="AK223" s="2"/>
      <c r="AL223" s="2"/>
    </row>
    <row r="224" spans="1:38" ht="12.75">
      <c r="A224" s="112" t="s">
        <v>332</v>
      </c>
      <c r="B224" s="65">
        <f t="shared" si="61"/>
        <v>0</v>
      </c>
      <c r="C224" s="53"/>
      <c r="D224" s="52">
        <f t="shared" si="62"/>
        <v>0</v>
      </c>
      <c r="E224" s="454">
        <f t="shared" si="63"/>
        <v>0</v>
      </c>
      <c r="F224" s="1"/>
      <c r="G224" s="54">
        <f t="shared" si="59"/>
        <v>0</v>
      </c>
      <c r="H224" s="65">
        <f t="shared" si="64"/>
        <v>0</v>
      </c>
      <c r="J224" s="54">
        <f t="shared" si="60"/>
        <v>0</v>
      </c>
      <c r="AK224" s="2"/>
      <c r="AL224" s="2"/>
    </row>
    <row r="225" spans="1:38" ht="12.75">
      <c r="A225" s="112" t="s">
        <v>322</v>
      </c>
      <c r="B225" s="65">
        <f t="shared" si="61"/>
        <v>1323</v>
      </c>
      <c r="C225" s="53"/>
      <c r="D225" s="52">
        <f t="shared" si="62"/>
        <v>39535</v>
      </c>
      <c r="E225" s="454">
        <f t="shared" si="63"/>
        <v>387</v>
      </c>
      <c r="F225" s="1"/>
      <c r="G225" s="54">
        <f t="shared" si="59"/>
        <v>12508</v>
      </c>
      <c r="H225" s="65">
        <f t="shared" si="64"/>
        <v>1710</v>
      </c>
      <c r="J225" s="54">
        <f t="shared" si="60"/>
        <v>15608</v>
      </c>
      <c r="AE225" s="6"/>
      <c r="AK225" s="2"/>
      <c r="AL225" s="2"/>
    </row>
    <row r="226" spans="1:38" ht="12.75">
      <c r="A226" s="112" t="s">
        <v>333</v>
      </c>
      <c r="B226" s="65">
        <f t="shared" si="61"/>
        <v>2045</v>
      </c>
      <c r="C226" s="53"/>
      <c r="D226" s="52">
        <f t="shared" si="62"/>
        <v>61099</v>
      </c>
      <c r="E226" s="454">
        <f t="shared" si="63"/>
        <v>598</v>
      </c>
      <c r="F226" s="1"/>
      <c r="G226" s="54">
        <f t="shared" si="59"/>
        <v>19331</v>
      </c>
      <c r="H226" s="65">
        <f t="shared" si="64"/>
        <v>2643</v>
      </c>
      <c r="J226" s="54">
        <f t="shared" si="60"/>
        <v>24121</v>
      </c>
      <c r="AE226" s="6"/>
      <c r="AK226" s="2"/>
      <c r="AL226" s="2"/>
    </row>
    <row r="227" spans="1:38" ht="12.75">
      <c r="A227" s="112" t="s">
        <v>334</v>
      </c>
      <c r="B227" s="65">
        <f t="shared" si="61"/>
        <v>0</v>
      </c>
      <c r="C227" s="53"/>
      <c r="D227" s="52">
        <f t="shared" si="62"/>
        <v>0</v>
      </c>
      <c r="E227" s="454">
        <f t="shared" si="63"/>
        <v>0</v>
      </c>
      <c r="F227" s="1"/>
      <c r="G227" s="54">
        <f t="shared" si="59"/>
        <v>0</v>
      </c>
      <c r="H227" s="65">
        <f t="shared" si="64"/>
        <v>0</v>
      </c>
      <c r="J227" s="54">
        <f t="shared" si="60"/>
        <v>0</v>
      </c>
      <c r="AE227" s="6"/>
      <c r="AK227" s="2"/>
      <c r="AL227" s="2"/>
    </row>
    <row r="228" spans="1:38" ht="12.75">
      <c r="A228" s="112" t="s">
        <v>335</v>
      </c>
      <c r="B228" s="65">
        <f t="shared" si="61"/>
        <v>0</v>
      </c>
      <c r="C228" s="53"/>
      <c r="D228" s="52">
        <f t="shared" si="62"/>
        <v>0</v>
      </c>
      <c r="E228" s="454">
        <f t="shared" si="63"/>
        <v>0</v>
      </c>
      <c r="F228" s="1"/>
      <c r="G228" s="54">
        <f t="shared" si="59"/>
        <v>0</v>
      </c>
      <c r="H228" s="65">
        <f t="shared" si="64"/>
        <v>0</v>
      </c>
      <c r="J228" s="54">
        <f t="shared" si="60"/>
        <v>0</v>
      </c>
      <c r="AE228" s="6"/>
      <c r="AK228" s="2"/>
      <c r="AL228" s="2"/>
    </row>
    <row r="229" spans="1:38" ht="12.75">
      <c r="A229" s="112" t="s">
        <v>326</v>
      </c>
      <c r="B229" s="65">
        <f t="shared" si="61"/>
        <v>0</v>
      </c>
      <c r="C229" s="53"/>
      <c r="D229" s="52">
        <f t="shared" si="62"/>
        <v>0</v>
      </c>
      <c r="E229" s="454">
        <f t="shared" si="63"/>
        <v>0</v>
      </c>
      <c r="F229" s="1"/>
      <c r="G229" s="54">
        <f t="shared" si="59"/>
        <v>0</v>
      </c>
      <c r="H229" s="65">
        <f t="shared" si="64"/>
        <v>0</v>
      </c>
      <c r="J229" s="54">
        <f t="shared" si="60"/>
        <v>0</v>
      </c>
      <c r="AE229" s="6"/>
      <c r="AK229" s="2"/>
      <c r="AL229" s="2"/>
    </row>
    <row r="230" spans="1:38" ht="12.75">
      <c r="A230" s="112" t="s">
        <v>400</v>
      </c>
      <c r="B230" s="65">
        <f t="shared" si="61"/>
        <v>6615</v>
      </c>
      <c r="C230" s="53"/>
      <c r="D230" s="52">
        <f t="shared" si="62"/>
        <v>197674</v>
      </c>
      <c r="E230" s="454">
        <f t="shared" si="63"/>
        <v>1936</v>
      </c>
      <c r="F230" s="1"/>
      <c r="G230" s="54">
        <f t="shared" si="59"/>
        <v>62542</v>
      </c>
      <c r="H230" s="65">
        <f t="shared" si="64"/>
        <v>8551</v>
      </c>
      <c r="J230" s="54">
        <f t="shared" si="60"/>
        <v>78039</v>
      </c>
      <c r="AE230" s="6"/>
      <c r="AK230" s="2"/>
      <c r="AL230" s="2"/>
    </row>
    <row r="231" spans="1:38">
      <c r="A231" s="112" t="s">
        <v>376</v>
      </c>
      <c r="B231" s="356">
        <f>B215</f>
        <v>365.38461538461536</v>
      </c>
      <c r="C231" s="53"/>
      <c r="D231" s="455">
        <f>D215</f>
        <v>10918.315122377622</v>
      </c>
      <c r="E231" s="409">
        <f>E215</f>
        <v>0</v>
      </c>
      <c r="F231" s="1"/>
      <c r="G231" s="456">
        <f>G215</f>
        <v>0</v>
      </c>
      <c r="H231" s="356">
        <f>H215</f>
        <v>365.38461538461536</v>
      </c>
      <c r="J231" s="456">
        <f>J215</f>
        <v>3334.5124562937058</v>
      </c>
      <c r="AE231" s="6"/>
      <c r="AK231" s="2"/>
      <c r="AL231" s="2"/>
    </row>
    <row r="232" spans="1:38">
      <c r="A232" s="353" t="s">
        <v>229</v>
      </c>
      <c r="B232" s="457">
        <f>SUM(B219:B231)</f>
        <v>15400.384615384615</v>
      </c>
      <c r="C232" s="53"/>
      <c r="D232" s="458">
        <f>SUM(D219:D231)</f>
        <v>460178.31512237759</v>
      </c>
      <c r="E232" s="459">
        <f>SUM(E219:E231)</f>
        <v>4398</v>
      </c>
      <c r="F232" s="1"/>
      <c r="G232" s="460">
        <f>SUM(G219:G231)</f>
        <v>142140</v>
      </c>
      <c r="H232" s="457">
        <f>SUM(H219:H231)</f>
        <v>19800.384615384617</v>
      </c>
      <c r="J232" s="460">
        <f>SUM(J219:J231)</f>
        <v>180696.51245629371</v>
      </c>
      <c r="AE232" s="6"/>
      <c r="AK232" s="2"/>
      <c r="AL232" s="2"/>
    </row>
    <row r="233" spans="1:38" ht="12.75">
      <c r="A233" s="84"/>
      <c r="B233" s="85"/>
      <c r="C233" s="85"/>
      <c r="D233" s="85"/>
      <c r="E233" s="85"/>
      <c r="F233" s="85"/>
      <c r="G233" s="85"/>
      <c r="H233" s="85"/>
      <c r="I233" s="85"/>
      <c r="J233" s="87"/>
      <c r="AE233" s="6"/>
      <c r="AK233" s="2"/>
      <c r="AL233" s="2"/>
    </row>
    <row r="234" spans="1:38" ht="12.75">
      <c r="A234" s="1"/>
      <c r="B234" s="1"/>
      <c r="C234" s="1"/>
      <c r="D234" s="1"/>
      <c r="E234" s="1"/>
      <c r="F234" s="1"/>
      <c r="G234" s="1"/>
      <c r="H234" s="1"/>
      <c r="AE234" s="6"/>
      <c r="AK234" s="2"/>
      <c r="AL234" s="2"/>
    </row>
    <row r="235" spans="1:38" ht="12.75">
      <c r="A235" s="1"/>
      <c r="B235" s="1"/>
      <c r="C235" s="1"/>
      <c r="D235" s="1"/>
      <c r="E235" s="1"/>
      <c r="F235" s="1"/>
      <c r="G235" s="1"/>
      <c r="H235" s="1"/>
      <c r="AE235" s="6"/>
      <c r="AK235" s="2"/>
      <c r="AL235" s="2"/>
    </row>
    <row r="236" spans="1:38" ht="12.75">
      <c r="A236" s="1"/>
      <c r="B236" s="1"/>
      <c r="C236" s="1"/>
      <c r="D236" s="1"/>
      <c r="E236" s="1"/>
      <c r="F236" s="1"/>
      <c r="G236" s="1"/>
      <c r="H236" s="1"/>
      <c r="AE236" s="6"/>
      <c r="AK236" s="2"/>
      <c r="AL236" s="2"/>
    </row>
    <row r="237" spans="1:38" ht="12.75">
      <c r="A237" s="385" t="s">
        <v>301</v>
      </c>
      <c r="B237" s="406"/>
      <c r="C237" s="406"/>
      <c r="D237" s="406"/>
      <c r="E237" s="406"/>
      <c r="F237" s="406"/>
      <c r="G237" s="406"/>
      <c r="H237" s="407"/>
      <c r="AE237" s="6"/>
      <c r="AK237" s="2"/>
      <c r="AL237" s="2"/>
    </row>
    <row r="238" spans="1:38">
      <c r="A238" s="33"/>
      <c r="C238" s="345" t="s">
        <v>302</v>
      </c>
      <c r="H238" s="25"/>
      <c r="AE238" s="6"/>
      <c r="AK238" s="2"/>
      <c r="AL238" s="2"/>
    </row>
    <row r="239" spans="1:38" ht="12.75">
      <c r="A239" s="33"/>
      <c r="B239" s="2" t="s">
        <v>303</v>
      </c>
      <c r="C239" s="268">
        <f>B93</f>
        <v>12500</v>
      </c>
      <c r="E239" s="844" t="s">
        <v>304</v>
      </c>
      <c r="F239" s="844"/>
      <c r="G239" s="462">
        <f>C239/C240</f>
        <v>3.125E-2</v>
      </c>
      <c r="H239" s="25"/>
      <c r="AK239" s="2"/>
      <c r="AL239" s="2"/>
    </row>
    <row r="240" spans="1:38">
      <c r="A240" s="33"/>
      <c r="B240" s="2" t="s">
        <v>305</v>
      </c>
      <c r="C240" s="268">
        <v>400000</v>
      </c>
      <c r="H240" s="45"/>
      <c r="AJ240" s="398" t="s">
        <v>435</v>
      </c>
      <c r="AK240" s="2"/>
      <c r="AL240" s="2"/>
    </row>
    <row r="241" spans="1:38" ht="12.75">
      <c r="A241" s="33"/>
      <c r="B241" s="1"/>
      <c r="C241" s="1"/>
      <c r="D241" s="463"/>
      <c r="E241" s="1"/>
      <c r="F241" s="65"/>
      <c r="G241" s="65"/>
      <c r="H241" s="464"/>
      <c r="AC241" s="631">
        <f>+AC21*AI241</f>
        <v>405101.17062059004</v>
      </c>
      <c r="AD241" s="624"/>
      <c r="AE241" s="624"/>
      <c r="AF241" s="612"/>
      <c r="AG241" s="617" t="s">
        <v>421</v>
      </c>
      <c r="AH241" s="640" t="s">
        <v>164</v>
      </c>
      <c r="AI241" s="653">
        <f>+AJ241/AJ243</f>
        <v>0.8612284015778654</v>
      </c>
      <c r="AJ241" s="2">
        <v>372030</v>
      </c>
      <c r="AK241" s="2"/>
      <c r="AL241" s="2"/>
    </row>
    <row r="242" spans="1:38" ht="36.6" customHeight="1">
      <c r="A242" s="30"/>
      <c r="B242" s="465" t="s">
        <v>135</v>
      </c>
      <c r="C242" s="465" t="s">
        <v>136</v>
      </c>
      <c r="D242" s="465" t="s">
        <v>307</v>
      </c>
      <c r="E242" s="465" t="s">
        <v>308</v>
      </c>
      <c r="F242" s="285"/>
      <c r="G242" s="285"/>
      <c r="H242" s="38"/>
      <c r="AC242" s="643">
        <f>$AC$21*$AI242</f>
        <v>65274.829379409974</v>
      </c>
      <c r="AD242" s="624"/>
      <c r="AE242" s="624"/>
      <c r="AF242" s="639"/>
      <c r="AG242" s="617" t="s">
        <v>300</v>
      </c>
      <c r="AH242" s="640">
        <v>630040</v>
      </c>
      <c r="AI242" s="652">
        <f>+AJ242/AJ243</f>
        <v>0.13877159842213457</v>
      </c>
      <c r="AJ242" s="83">
        <v>59946</v>
      </c>
      <c r="AK242" s="2"/>
      <c r="AL242" s="2"/>
    </row>
    <row r="243" spans="1:38">
      <c r="A243" s="30" t="s">
        <v>17</v>
      </c>
      <c r="B243" s="681">
        <v>0</v>
      </c>
      <c r="C243" s="2">
        <f>B243*12</f>
        <v>0</v>
      </c>
      <c r="D243" s="65">
        <f>$B$64</f>
        <v>12500</v>
      </c>
      <c r="E243" s="282">
        <f>C243/D243/1000</f>
        <v>0</v>
      </c>
      <c r="F243" s="282"/>
      <c r="G243" s="282"/>
      <c r="H243" s="38"/>
      <c r="AC243" s="651">
        <f>+AC242+AC241</f>
        <v>470376</v>
      </c>
      <c r="AD243" s="612"/>
      <c r="AE243" s="612"/>
      <c r="AF243" s="642" t="s">
        <v>91</v>
      </c>
      <c r="AG243" s="645" t="s">
        <v>99</v>
      </c>
      <c r="AH243" s="646" t="s">
        <v>229</v>
      </c>
      <c r="AI243" s="654">
        <f>+AI241+AI242</f>
        <v>1</v>
      </c>
      <c r="AJ243" s="2">
        <f>+AJ241+AJ242</f>
        <v>431976</v>
      </c>
      <c r="AK243" s="2"/>
      <c r="AL243" s="2"/>
    </row>
    <row r="244" spans="1:38">
      <c r="A244" s="30" t="s">
        <v>19</v>
      </c>
      <c r="B244" s="466">
        <f>C244/12</f>
        <v>10823.416666666666</v>
      </c>
      <c r="C244" s="467">
        <v>129881</v>
      </c>
      <c r="D244" s="65">
        <f>$B$64</f>
        <v>12500</v>
      </c>
      <c r="E244" s="282">
        <f>C244/D244/1000</f>
        <v>1.0390480000000001E-2</v>
      </c>
      <c r="F244" s="282"/>
      <c r="G244" s="282"/>
      <c r="H244" s="38"/>
      <c r="AK244" s="2"/>
      <c r="AL244" s="2"/>
    </row>
    <row r="245" spans="1:38" ht="16.5">
      <c r="A245" s="30" t="s">
        <v>18</v>
      </c>
      <c r="B245" s="401">
        <v>39198</v>
      </c>
      <c r="C245" s="268">
        <f>B245*12</f>
        <v>470376</v>
      </c>
      <c r="D245" s="65">
        <f>$B$64</f>
        <v>12500</v>
      </c>
      <c r="E245" s="468">
        <f t="shared" ref="E245" si="65">C245/D245/1000</f>
        <v>3.7630079999999996E-2</v>
      </c>
      <c r="F245" s="282"/>
      <c r="G245" s="282"/>
      <c r="H245" s="38"/>
      <c r="AK245" s="2"/>
      <c r="AL245" s="2"/>
    </row>
    <row r="246" spans="1:38">
      <c r="A246" s="30" t="s">
        <v>72</v>
      </c>
      <c r="B246" s="63"/>
      <c r="C246" s="1"/>
      <c r="D246" s="63"/>
      <c r="E246" s="469">
        <f>SUM(E243:E245)</f>
        <v>4.8020559999999997E-2</v>
      </c>
      <c r="F246" s="282"/>
      <c r="G246" s="282"/>
      <c r="H246" s="38"/>
      <c r="AK246" s="2"/>
      <c r="AL246" s="2"/>
    </row>
    <row r="247" spans="1:38" ht="12.75">
      <c r="A247" s="59"/>
      <c r="B247" s="41"/>
      <c r="C247" s="41"/>
      <c r="D247" s="41"/>
      <c r="E247" s="41"/>
      <c r="F247" s="41"/>
      <c r="G247" s="41"/>
      <c r="H247" s="42"/>
      <c r="AK247" s="2"/>
      <c r="AL247" s="2"/>
    </row>
    <row r="248" spans="1:38">
      <c r="AJ248" s="398" t="s">
        <v>436</v>
      </c>
      <c r="AK248" s="2"/>
      <c r="AL248" s="2"/>
    </row>
    <row r="249" spans="1:38">
      <c r="B249" s="2" t="s">
        <v>7</v>
      </c>
      <c r="AC249" s="638">
        <f t="shared" ref="AC249:AC255" si="66">ROUND($AC$20*$AI249,0)</f>
        <v>216</v>
      </c>
      <c r="AD249" s="624"/>
      <c r="AE249" s="624"/>
      <c r="AF249" s="639"/>
      <c r="AG249" s="617" t="s">
        <v>306</v>
      </c>
      <c r="AH249" s="640" t="s">
        <v>166</v>
      </c>
      <c r="AI249" s="652">
        <f>+AJ249/AJ256</f>
        <v>1.6668188875696411E-3</v>
      </c>
      <c r="AJ249" s="2">
        <v>146</v>
      </c>
      <c r="AK249" s="2"/>
      <c r="AL249" s="2"/>
    </row>
    <row r="250" spans="1:38">
      <c r="B250" s="2" t="s">
        <v>7</v>
      </c>
      <c r="AC250" s="638">
        <f t="shared" si="66"/>
        <v>16370</v>
      </c>
      <c r="AD250" s="624"/>
      <c r="AE250" s="624"/>
      <c r="AF250" s="639"/>
      <c r="AG250" s="617" t="s">
        <v>309</v>
      </c>
      <c r="AH250" s="640">
        <v>640010</v>
      </c>
      <c r="AI250" s="652">
        <f>+AJ250/AJ256</f>
        <v>0.12603890766280026</v>
      </c>
      <c r="AJ250" s="2">
        <v>11040</v>
      </c>
      <c r="AK250" s="2"/>
      <c r="AL250" s="2"/>
    </row>
    <row r="251" spans="1:38">
      <c r="B251" s="2" t="s">
        <v>7</v>
      </c>
      <c r="AC251" s="638">
        <f t="shared" si="66"/>
        <v>112663</v>
      </c>
      <c r="AD251" s="624"/>
      <c r="AE251" s="624"/>
      <c r="AF251" s="639"/>
      <c r="AG251" s="617" t="s">
        <v>311</v>
      </c>
      <c r="AH251" s="640">
        <v>640020</v>
      </c>
      <c r="AI251" s="652">
        <f>+AJ251/AJ256</f>
        <v>0.86743081559959812</v>
      </c>
      <c r="AJ251" s="2">
        <v>75980</v>
      </c>
      <c r="AK251" s="2"/>
      <c r="AL251" s="2"/>
    </row>
    <row r="252" spans="1:38">
      <c r="B252" s="2" t="s">
        <v>7</v>
      </c>
      <c r="H252" s="262"/>
      <c r="AC252" s="638">
        <f t="shared" si="66"/>
        <v>242</v>
      </c>
      <c r="AD252" s="624"/>
      <c r="AE252" s="624"/>
      <c r="AF252" s="639"/>
      <c r="AG252" s="617" t="s">
        <v>419</v>
      </c>
      <c r="AH252" s="640" t="s">
        <v>420</v>
      </c>
      <c r="AI252" s="652">
        <f>+AJ252/AJ256</f>
        <v>1.8609005388619964E-3</v>
      </c>
      <c r="AJ252" s="2">
        <v>163</v>
      </c>
      <c r="AK252" s="2"/>
      <c r="AL252" s="2"/>
    </row>
    <row r="253" spans="1:38">
      <c r="B253" s="2" t="s">
        <v>7</v>
      </c>
      <c r="H253" s="271"/>
      <c r="AC253" s="638">
        <f t="shared" si="66"/>
        <v>0</v>
      </c>
      <c r="AD253" s="624"/>
      <c r="AE253" s="624"/>
      <c r="AF253" s="639"/>
      <c r="AG253" s="617" t="s">
        <v>312</v>
      </c>
      <c r="AH253" s="640" t="s">
        <v>313</v>
      </c>
      <c r="AI253" s="652">
        <f>+AJ253/AJ256</f>
        <v>0</v>
      </c>
      <c r="AJ253" s="2">
        <v>0</v>
      </c>
      <c r="AK253" s="2"/>
      <c r="AL253" s="2"/>
    </row>
    <row r="254" spans="1:38">
      <c r="A254" s="1"/>
      <c r="B254" s="1"/>
      <c r="C254" s="1"/>
      <c r="D254" s="470"/>
      <c r="E254" s="1"/>
      <c r="F254" s="1"/>
      <c r="G254" s="1"/>
      <c r="H254" s="39"/>
      <c r="AC254" s="638">
        <f t="shared" si="66"/>
        <v>188</v>
      </c>
      <c r="AD254" s="624"/>
      <c r="AE254" s="624"/>
      <c r="AF254" s="639"/>
      <c r="AG254" s="617" t="s">
        <v>314</v>
      </c>
      <c r="AH254" s="640">
        <v>640070</v>
      </c>
      <c r="AI254" s="652">
        <f>+AJ254/AJ256</f>
        <v>1.4499041008311261E-3</v>
      </c>
      <c r="AJ254" s="2">
        <v>127</v>
      </c>
      <c r="AK254" s="2"/>
      <c r="AL254" s="2"/>
    </row>
    <row r="255" spans="1:38" ht="16.5">
      <c r="A255" s="1"/>
      <c r="B255" s="1"/>
      <c r="C255" s="1"/>
      <c r="D255" s="1"/>
      <c r="E255" s="1"/>
      <c r="F255" s="1"/>
      <c r="G255" s="1"/>
      <c r="H255" s="1"/>
      <c r="AC255" s="643">
        <f t="shared" si="66"/>
        <v>202</v>
      </c>
      <c r="AD255" s="624"/>
      <c r="AE255" s="624"/>
      <c r="AF255" s="639"/>
      <c r="AG255" s="617" t="s">
        <v>315</v>
      </c>
      <c r="AH255" s="640">
        <v>640080</v>
      </c>
      <c r="AI255" s="652">
        <f>+AJ255/AJ256</f>
        <v>1.5526532103388438E-3</v>
      </c>
      <c r="AJ255" s="83">
        <v>136</v>
      </c>
      <c r="AK255" s="2"/>
      <c r="AL255" s="2"/>
    </row>
    <row r="256" spans="1:38">
      <c r="A256" s="1"/>
      <c r="B256" s="845"/>
      <c r="C256" s="845"/>
      <c r="D256" s="845"/>
      <c r="E256" s="1"/>
      <c r="F256" s="845"/>
      <c r="G256" s="845"/>
      <c r="H256" s="845"/>
      <c r="AC256" s="651">
        <f>SUM(AC249:AC255)</f>
        <v>129881</v>
      </c>
      <c r="AD256" s="612"/>
      <c r="AE256" s="612"/>
      <c r="AF256" s="642" t="s">
        <v>91</v>
      </c>
      <c r="AG256" s="645" t="s">
        <v>100</v>
      </c>
      <c r="AH256" s="646" t="s">
        <v>229</v>
      </c>
      <c r="AI256" s="652">
        <f>SUM(AI249:AI255)</f>
        <v>1</v>
      </c>
      <c r="AJ256" s="2">
        <f>SUM(AJ249:AJ255)</f>
        <v>87592</v>
      </c>
      <c r="AK256" s="2"/>
      <c r="AL256" s="2"/>
    </row>
    <row r="257" spans="1:38" ht="12.75">
      <c r="A257" s="1"/>
      <c r="B257" s="471"/>
      <c r="C257" s="471"/>
      <c r="D257" s="472"/>
      <c r="E257" s="5"/>
      <c r="F257" s="471"/>
      <c r="G257" s="471"/>
      <c r="H257" s="472"/>
      <c r="AK257" s="2"/>
      <c r="AL257" s="2"/>
    </row>
    <row r="258" spans="1:38" ht="12.75">
      <c r="A258" s="1"/>
      <c r="B258" s="1"/>
      <c r="C258" s="473"/>
      <c r="D258" s="474"/>
      <c r="E258" s="1"/>
      <c r="F258" s="1"/>
      <c r="G258" s="473"/>
      <c r="H258" s="474"/>
      <c r="AC258" s="2" t="s">
        <v>7</v>
      </c>
      <c r="AK258" s="2"/>
      <c r="AL258" s="2"/>
    </row>
    <row r="259" spans="1:38" ht="12.75">
      <c r="A259" s="1"/>
      <c r="B259" s="1"/>
      <c r="C259" s="473"/>
      <c r="D259" s="463"/>
      <c r="E259" s="1"/>
      <c r="F259" s="1"/>
      <c r="G259" s="473"/>
      <c r="H259" s="463"/>
      <c r="AC259" s="2" t="s">
        <v>7</v>
      </c>
      <c r="AK259" s="2"/>
      <c r="AL259" s="2"/>
    </row>
    <row r="260" spans="1:38" ht="12.75">
      <c r="A260" s="1"/>
      <c r="B260" s="1"/>
      <c r="C260" s="475"/>
      <c r="D260" s="463"/>
      <c r="E260" s="1"/>
      <c r="F260" s="1"/>
      <c r="G260" s="475"/>
      <c r="H260" s="463"/>
      <c r="AK260" s="2"/>
      <c r="AL260" s="2"/>
    </row>
    <row r="261" spans="1:38" ht="12.75">
      <c r="A261" s="1"/>
      <c r="B261" s="1"/>
      <c r="C261" s="476"/>
      <c r="D261" s="463"/>
      <c r="E261" s="1"/>
      <c r="F261" s="1"/>
      <c r="G261" s="476"/>
      <c r="H261" s="463"/>
      <c r="AK261" s="2"/>
      <c r="AL261" s="2"/>
    </row>
    <row r="262" spans="1:38" ht="12.75">
      <c r="A262" s="1"/>
      <c r="B262" s="1"/>
      <c r="C262" s="477"/>
      <c r="D262" s="463"/>
      <c r="E262" s="1"/>
      <c r="F262" s="1"/>
      <c r="G262" s="477"/>
      <c r="H262" s="463"/>
      <c r="AK262" s="2"/>
      <c r="AL262" s="2"/>
    </row>
    <row r="263" spans="1:38" ht="12.75">
      <c r="A263" s="1"/>
      <c r="B263" s="1"/>
      <c r="C263" s="475"/>
      <c r="D263" s="463"/>
      <c r="E263" s="1"/>
      <c r="F263" s="1"/>
      <c r="G263" s="475"/>
      <c r="H263" s="463"/>
      <c r="AK263" s="2"/>
      <c r="AL263" s="2"/>
    </row>
    <row r="264" spans="1:38">
      <c r="A264" s="1"/>
      <c r="B264" s="1"/>
      <c r="C264" s="478"/>
      <c r="D264" s="479"/>
      <c r="E264" s="1"/>
      <c r="F264" s="1"/>
      <c r="G264" s="478"/>
      <c r="H264" s="479"/>
      <c r="AK264" s="2"/>
      <c r="AL264" s="2"/>
    </row>
    <row r="265" spans="1:38">
      <c r="A265" s="1"/>
      <c r="B265" s="1"/>
      <c r="C265" s="1"/>
      <c r="D265" s="480"/>
      <c r="E265" s="1"/>
      <c r="F265" s="1"/>
      <c r="G265" s="1"/>
      <c r="H265" s="480"/>
      <c r="AK265" s="2"/>
      <c r="AL265" s="2"/>
    </row>
    <row r="266" spans="1:38" ht="12.75">
      <c r="A266" s="1"/>
      <c r="B266" s="1"/>
      <c r="C266" s="1"/>
      <c r="D266" s="1"/>
      <c r="E266" s="1"/>
      <c r="F266" s="1"/>
      <c r="G266" s="1"/>
      <c r="H266" s="1"/>
      <c r="AK266" s="2"/>
      <c r="AL266" s="2"/>
    </row>
    <row r="267" spans="1:38" ht="12.75">
      <c r="A267" s="1"/>
      <c r="B267" s="1"/>
      <c r="C267" s="1"/>
      <c r="D267" s="1"/>
      <c r="E267" s="1"/>
      <c r="F267" s="1"/>
      <c r="G267" s="1"/>
      <c r="H267" s="1"/>
      <c r="AK267" s="2"/>
      <c r="AL267" s="2"/>
    </row>
    <row r="268" spans="1:38" ht="12.75">
      <c r="A268" s="1"/>
      <c r="B268" s="1"/>
      <c r="C268" s="1"/>
      <c r="D268" s="1"/>
      <c r="E268" s="1"/>
      <c r="F268" s="1"/>
      <c r="G268" s="1"/>
      <c r="H268" s="1"/>
      <c r="AK268" s="2"/>
      <c r="AL268" s="2"/>
    </row>
    <row r="269" spans="1:38" ht="12.75">
      <c r="A269" s="1"/>
      <c r="B269" s="1"/>
      <c r="C269" s="1"/>
      <c r="D269" s="1"/>
      <c r="E269" s="1"/>
      <c r="F269" s="1"/>
      <c r="G269" s="1"/>
      <c r="H269" s="1"/>
      <c r="AK269" s="2"/>
      <c r="AL269" s="2"/>
    </row>
    <row r="270" spans="1:38">
      <c r="A270" s="1"/>
      <c r="B270" s="481"/>
      <c r="C270" s="481"/>
      <c r="D270" s="1"/>
      <c r="E270" s="1"/>
      <c r="F270" s="1"/>
      <c r="G270" s="1"/>
      <c r="H270" s="1"/>
      <c r="AK270" s="2"/>
      <c r="AL270" s="2"/>
    </row>
    <row r="271" spans="1:38" ht="12.75">
      <c r="A271" s="1"/>
      <c r="B271" s="70"/>
      <c r="C271" s="70"/>
      <c r="D271" s="1"/>
      <c r="E271" s="1"/>
      <c r="F271" s="1"/>
      <c r="G271" s="1"/>
      <c r="H271" s="1"/>
      <c r="AK271" s="2"/>
      <c r="AL271" s="2"/>
    </row>
    <row r="272" spans="1:38" ht="12.75">
      <c r="A272" s="1"/>
      <c r="B272" s="70"/>
      <c r="C272" s="482"/>
      <c r="D272" s="1"/>
      <c r="E272" s="1"/>
      <c r="F272" s="1"/>
      <c r="G272" s="1"/>
      <c r="H272" s="1"/>
      <c r="AK272" s="2"/>
      <c r="AL272" s="2"/>
    </row>
    <row r="273" spans="1:38" ht="12.75">
      <c r="A273" s="1"/>
      <c r="B273" s="70"/>
      <c r="C273" s="70"/>
      <c r="D273" s="1"/>
      <c r="E273" s="1"/>
      <c r="F273" s="1"/>
      <c r="G273" s="1"/>
      <c r="H273" s="1"/>
      <c r="AK273" s="2"/>
      <c r="AL273" s="2"/>
    </row>
    <row r="274" spans="1:38" ht="12.75">
      <c r="A274" s="1"/>
      <c r="B274" s="70"/>
      <c r="C274" s="70"/>
      <c r="D274" s="1"/>
      <c r="E274" s="1"/>
      <c r="F274" s="1"/>
      <c r="G274" s="1"/>
      <c r="H274" s="1"/>
      <c r="AK274" s="2"/>
      <c r="AL274" s="2"/>
    </row>
    <row r="275" spans="1:38" ht="12.75">
      <c r="AK275" s="2"/>
      <c r="AL275" s="2"/>
    </row>
    <row r="276" spans="1:38" ht="12.75">
      <c r="AK276" s="2"/>
      <c r="AL276" s="2"/>
    </row>
    <row r="277" spans="1:38" ht="12.75">
      <c r="AK277" s="2"/>
      <c r="AL277" s="2"/>
    </row>
    <row r="278" spans="1:38" ht="12.75">
      <c r="AK278" s="2"/>
      <c r="AL278" s="2"/>
    </row>
    <row r="279" spans="1:38" ht="12.75">
      <c r="AK279" s="2"/>
      <c r="AL279" s="2"/>
    </row>
    <row r="280" spans="1:38" ht="12.75">
      <c r="AK280" s="2"/>
      <c r="AL280" s="2"/>
    </row>
  </sheetData>
  <sheetProtection formatCells="0" formatColumns="0" formatRows="0"/>
  <mergeCells count="66">
    <mergeCell ref="E239:F239"/>
    <mergeCell ref="B256:D256"/>
    <mergeCell ref="F256:H256"/>
    <mergeCell ref="R183:S183"/>
    <mergeCell ref="R184:S184"/>
    <mergeCell ref="E192:F192"/>
    <mergeCell ref="B208:D208"/>
    <mergeCell ref="E208:G208"/>
    <mergeCell ref="H208:J208"/>
    <mergeCell ref="R182:S182"/>
    <mergeCell ref="R169:S169"/>
    <mergeCell ref="R170:S170"/>
    <mergeCell ref="R172:S172"/>
    <mergeCell ref="R173:S173"/>
    <mergeCell ref="R174:S174"/>
    <mergeCell ref="R175:S175"/>
    <mergeCell ref="R176:S176"/>
    <mergeCell ref="R177:S177"/>
    <mergeCell ref="R179:S179"/>
    <mergeCell ref="R180:S180"/>
    <mergeCell ref="R181:S181"/>
    <mergeCell ref="R166:S166"/>
    <mergeCell ref="R167:S167"/>
    <mergeCell ref="D168:E168"/>
    <mergeCell ref="F168:G168"/>
    <mergeCell ref="H168:I168"/>
    <mergeCell ref="J168:K168"/>
    <mergeCell ref="L168:M168"/>
    <mergeCell ref="N168:O168"/>
    <mergeCell ref="R168:S168"/>
    <mergeCell ref="N161:O161"/>
    <mergeCell ref="D127:E127"/>
    <mergeCell ref="F127:G127"/>
    <mergeCell ref="H127:I127"/>
    <mergeCell ref="J127:K127"/>
    <mergeCell ref="L127:M127"/>
    <mergeCell ref="N127:O127"/>
    <mergeCell ref="D161:E161"/>
    <mergeCell ref="F161:G161"/>
    <mergeCell ref="H161:I161"/>
    <mergeCell ref="J161:K161"/>
    <mergeCell ref="L161:M161"/>
    <mergeCell ref="Q34:S34"/>
    <mergeCell ref="B68:D68"/>
    <mergeCell ref="D98:E98"/>
    <mergeCell ref="F98:G98"/>
    <mergeCell ref="H98:I98"/>
    <mergeCell ref="J98:K98"/>
    <mergeCell ref="L98:M98"/>
    <mergeCell ref="N98:O98"/>
    <mergeCell ref="B34:D34"/>
    <mergeCell ref="E34:G34"/>
    <mergeCell ref="H34:J34"/>
    <mergeCell ref="K34:M34"/>
    <mergeCell ref="N34:P34"/>
    <mergeCell ref="AA23:AB23"/>
    <mergeCell ref="AA24:AB24"/>
    <mergeCell ref="AA27:AB27"/>
    <mergeCell ref="AA28:AB28"/>
    <mergeCell ref="AA29:AB29"/>
    <mergeCell ref="Q3:S3"/>
    <mergeCell ref="B3:D3"/>
    <mergeCell ref="E3:G3"/>
    <mergeCell ref="H3:J3"/>
    <mergeCell ref="K3:M3"/>
    <mergeCell ref="N3:P3"/>
  </mergeCells>
  <printOptions horizontalCentered="1"/>
  <pageMargins left="0.25" right="0.25" top="0.25" bottom="0.25" header="0" footer="0"/>
  <pageSetup scale="50" fitToHeight="4" orientation="landscape" r:id="rId1"/>
  <headerFooter alignWithMargins="0">
    <oddHeader>&amp;R&amp;D  &amp;T</oddHeader>
  </headerFooter>
  <rowBreaks count="3" manualBreakCount="3">
    <brk id="95" max="18" man="1"/>
    <brk id="176" max="18" man="1"/>
    <brk id="188" max="18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78"/>
  <sheetViews>
    <sheetView zoomScale="90" zoomScaleNormal="90" workbookViewId="0">
      <pane xSplit="1" ySplit="2" topLeftCell="B157" activePane="bottomRight" state="frozenSplit"/>
      <selection pane="topRight" activeCell="B1" sqref="B1"/>
      <selection pane="bottomLeft" activeCell="A3" sqref="A3"/>
      <selection pane="bottomRight" activeCell="D161" sqref="D161"/>
    </sheetView>
  </sheetViews>
  <sheetFormatPr defaultColWidth="10.7109375" defaultRowHeight="15" outlineLevelCol="1"/>
  <cols>
    <col min="1" max="1" width="35.7109375" style="2" bestFit="1" customWidth="1"/>
    <col min="2" max="2" width="15.28515625" style="2" customWidth="1"/>
    <col min="3" max="3" width="13.28515625" style="2" customWidth="1"/>
    <col min="4" max="5" width="12.28515625" style="2" customWidth="1"/>
    <col min="6" max="6" width="9.7109375" style="2" customWidth="1"/>
    <col min="7" max="8" width="12.28515625" style="2" customWidth="1"/>
    <col min="9" max="9" width="9.7109375" style="2" customWidth="1"/>
    <col min="10" max="10" width="12.28515625" style="2" customWidth="1"/>
    <col min="11" max="11" width="15" style="2" customWidth="1"/>
    <col min="12" max="12" width="9.7109375" style="2" customWidth="1"/>
    <col min="13" max="14" width="12.28515625" style="2" customWidth="1"/>
    <col min="15" max="15" width="9.7109375" style="2" customWidth="1"/>
    <col min="16" max="16" width="12.28515625" style="2" hidden="1" customWidth="1"/>
    <col min="17" max="17" width="13.28515625" style="2" hidden="1" customWidth="1"/>
    <col min="18" max="18" width="9.7109375" style="2" hidden="1" customWidth="1"/>
    <col min="19" max="19" width="12.28515625" style="2" hidden="1" customWidth="1"/>
    <col min="20" max="21" width="1.7109375" style="2" hidden="1" customWidth="1"/>
    <col min="22" max="22" width="10.7109375" style="2" hidden="1" customWidth="1"/>
    <col min="23" max="23" width="13" style="2" hidden="1" customWidth="1"/>
    <col min="24" max="24" width="12.7109375" style="2" customWidth="1"/>
    <col min="25" max="26" width="1.7109375" style="2" customWidth="1"/>
    <col min="27" max="27" width="4.7109375" style="2" customWidth="1" outlineLevel="1"/>
    <col min="28" max="28" width="7.7109375" style="2" customWidth="1" outlineLevel="1"/>
    <col min="29" max="29" width="12.28515625" style="2" customWidth="1" outlineLevel="1"/>
    <col min="30" max="30" width="11.42578125" style="2" customWidth="1" outlineLevel="1"/>
    <col min="31" max="31" width="12.28515625" style="2" customWidth="1" outlineLevel="1"/>
    <col min="32" max="32" width="11.7109375" style="2" customWidth="1" outlineLevel="1"/>
    <col min="33" max="33" width="12.42578125" style="2" customWidth="1" outlineLevel="1"/>
    <col min="34" max="34" width="10.7109375" style="2" customWidth="1" outlineLevel="1"/>
    <col min="35" max="35" width="11.42578125" style="2" customWidth="1" outlineLevel="1"/>
    <col min="36" max="36" width="10.7109375" style="2" customWidth="1" outlineLevel="1"/>
    <col min="37" max="37" width="11.28515625" customWidth="1" outlineLevel="1"/>
    <col min="38" max="38" width="11.28515625" customWidth="1"/>
    <col min="39" max="245" width="8.7109375" style="2" customWidth="1"/>
    <col min="246" max="16384" width="10.7109375" style="2"/>
  </cols>
  <sheetData>
    <row r="1" spans="1:36" s="2" customFormat="1" ht="19.5">
      <c r="A1" s="239" t="s">
        <v>364</v>
      </c>
      <c r="B1" s="297"/>
      <c r="C1" s="297"/>
      <c r="D1" s="297"/>
      <c r="E1" s="297"/>
      <c r="F1" s="297"/>
      <c r="G1" s="297"/>
      <c r="H1" s="297"/>
      <c r="AA1" s="603"/>
      <c r="AB1" s="604" t="s">
        <v>210</v>
      </c>
      <c r="AC1" s="605">
        <v>10001005</v>
      </c>
      <c r="AD1" s="605">
        <v>10001005</v>
      </c>
      <c r="AE1" s="606" t="s">
        <v>211</v>
      </c>
      <c r="AF1" s="606" t="s">
        <v>212</v>
      </c>
      <c r="AG1" s="605">
        <v>10001005</v>
      </c>
      <c r="AH1" s="606" t="s">
        <v>184</v>
      </c>
      <c r="AI1" s="605">
        <v>10001005</v>
      </c>
      <c r="AJ1" s="606" t="s">
        <v>186</v>
      </c>
    </row>
    <row r="2" spans="1:36" s="2" customFormat="1" ht="15.75">
      <c r="A2" s="240" t="s">
        <v>398</v>
      </c>
      <c r="B2" s="288"/>
      <c r="C2" s="288"/>
      <c r="D2" s="288"/>
      <c r="E2" s="288"/>
      <c r="F2" s="288"/>
      <c r="G2" s="288"/>
      <c r="H2" s="288"/>
      <c r="AA2" s="607" t="s">
        <v>79</v>
      </c>
      <c r="AB2" s="608" t="s">
        <v>214</v>
      </c>
      <c r="AC2" s="609" t="s">
        <v>64</v>
      </c>
      <c r="AD2" s="609" t="s">
        <v>81</v>
      </c>
      <c r="AE2" s="610" t="s">
        <v>57</v>
      </c>
      <c r="AF2" s="606" t="s">
        <v>215</v>
      </c>
      <c r="AG2" s="609" t="s">
        <v>181</v>
      </c>
      <c r="AH2" s="610" t="s">
        <v>57</v>
      </c>
      <c r="AI2" s="611" t="s">
        <v>185</v>
      </c>
      <c r="AJ2" s="610" t="s">
        <v>187</v>
      </c>
    </row>
    <row r="3" spans="1:36" s="2" customFormat="1" ht="19.899999999999999" customHeight="1" thickBot="1">
      <c r="A3" s="1" t="s">
        <v>7</v>
      </c>
      <c r="B3" s="860" t="s">
        <v>316</v>
      </c>
      <c r="C3" s="861"/>
      <c r="D3" s="862"/>
      <c r="E3" s="860" t="s">
        <v>408</v>
      </c>
      <c r="F3" s="861"/>
      <c r="G3" s="862"/>
      <c r="H3" s="871" t="s">
        <v>318</v>
      </c>
      <c r="I3" s="872"/>
      <c r="J3" s="873"/>
      <c r="K3" s="860" t="s">
        <v>319</v>
      </c>
      <c r="L3" s="861"/>
      <c r="M3" s="862"/>
      <c r="N3" s="874" t="s">
        <v>407</v>
      </c>
      <c r="O3" s="875"/>
      <c r="P3" s="876"/>
      <c r="Q3" s="868" t="s">
        <v>321</v>
      </c>
      <c r="R3" s="869"/>
      <c r="S3" s="870"/>
      <c r="AA3" s="612"/>
      <c r="AB3" s="612"/>
      <c r="AC3" s="612"/>
      <c r="AD3" s="612"/>
      <c r="AE3" s="612"/>
      <c r="AF3" s="612"/>
      <c r="AG3" s="612"/>
      <c r="AH3" s="612"/>
      <c r="AI3" s="612"/>
      <c r="AJ3" s="612"/>
    </row>
    <row r="4" spans="1:36" s="4" customFormat="1">
      <c r="A4" s="5"/>
      <c r="B4" s="304" t="s">
        <v>399</v>
      </c>
      <c r="C4" s="305" t="s">
        <v>402</v>
      </c>
      <c r="D4" s="305" t="s">
        <v>217</v>
      </c>
      <c r="E4" s="304" t="str">
        <f>+B4</f>
        <v>20 Standard</v>
      </c>
      <c r="F4" s="305" t="s">
        <v>402</v>
      </c>
      <c r="G4" s="306" t="str">
        <f>+D4</f>
        <v>19 Standard</v>
      </c>
      <c r="H4" s="569" t="str">
        <f>+B4</f>
        <v>20 Standard</v>
      </c>
      <c r="I4" s="570" t="str">
        <f>+C4</f>
        <v>19 Actual</v>
      </c>
      <c r="J4" s="571" t="str">
        <f>+D4</f>
        <v>19 Standard</v>
      </c>
      <c r="K4" s="304" t="str">
        <f>+B4</f>
        <v>20 Standard</v>
      </c>
      <c r="L4" s="305" t="s">
        <v>218</v>
      </c>
      <c r="M4" s="306" t="str">
        <f>+D4</f>
        <v>19 Standard</v>
      </c>
      <c r="N4" s="569" t="str">
        <f>+B4</f>
        <v>20 Standard</v>
      </c>
      <c r="O4" s="570" t="s">
        <v>402</v>
      </c>
      <c r="P4" s="571" t="str">
        <f>+D4</f>
        <v>19 Standard</v>
      </c>
      <c r="Q4" s="304" t="str">
        <f>+B4</f>
        <v>20 Standard</v>
      </c>
      <c r="R4" s="305" t="s">
        <v>218</v>
      </c>
      <c r="S4" s="306" t="str">
        <f>+D4</f>
        <v>19 Standard</v>
      </c>
      <c r="V4" s="530" t="s">
        <v>220</v>
      </c>
      <c r="W4" s="531" t="s">
        <v>183</v>
      </c>
      <c r="X4" s="532" t="s">
        <v>374</v>
      </c>
      <c r="AA4" s="613"/>
      <c r="AB4" s="613"/>
      <c r="AC4" s="613"/>
      <c r="AD4" s="613"/>
      <c r="AE4" s="613"/>
      <c r="AF4" s="613"/>
      <c r="AG4" s="613"/>
      <c r="AH4" s="613"/>
      <c r="AI4" s="613"/>
      <c r="AJ4" s="613"/>
    </row>
    <row r="5" spans="1:36" s="4" customFormat="1" ht="12.75">
      <c r="B5" s="307"/>
      <c r="C5" s="111" t="s">
        <v>401</v>
      </c>
      <c r="D5" s="308"/>
      <c r="E5" s="307"/>
      <c r="F5" s="111" t="s">
        <v>401</v>
      </c>
      <c r="G5" s="308"/>
      <c r="H5" s="572"/>
      <c r="I5" s="573" t="str">
        <f>+C5</f>
        <v>(Jan-Sept)</v>
      </c>
      <c r="J5" s="574"/>
      <c r="K5" s="307"/>
      <c r="L5" s="111" t="s">
        <v>221</v>
      </c>
      <c r="M5" s="308"/>
      <c r="N5" s="572"/>
      <c r="O5" s="573"/>
      <c r="P5" s="574"/>
      <c r="Q5" s="307"/>
      <c r="R5" s="111" t="s">
        <v>222</v>
      </c>
      <c r="S5" s="308"/>
      <c r="V5" s="309"/>
      <c r="W5" s="256"/>
      <c r="X5" s="310"/>
      <c r="AA5" s="614"/>
      <c r="AB5" s="612"/>
      <c r="AC5" s="615"/>
      <c r="AD5" s="613"/>
      <c r="AE5" s="613"/>
      <c r="AF5" s="613"/>
      <c r="AG5" s="615"/>
      <c r="AH5" s="613"/>
      <c r="AI5" s="615"/>
      <c r="AJ5" s="613"/>
    </row>
    <row r="6" spans="1:36">
      <c r="A6" s="6" t="s">
        <v>223</v>
      </c>
      <c r="B6" s="312">
        <f>E120</f>
        <v>0.14369989399492902</v>
      </c>
      <c r="C6" s="190">
        <v>0.16092997508923548</v>
      </c>
      <c r="D6" s="313">
        <v>0.17245408000000001</v>
      </c>
      <c r="E6" s="312">
        <f>G120</f>
        <v>0.13998073912350598</v>
      </c>
      <c r="F6" s="190">
        <v>0.15896740504648074</v>
      </c>
      <c r="G6" s="313">
        <v>0.17245408000000001</v>
      </c>
      <c r="H6" s="575">
        <f>I120</f>
        <v>0</v>
      </c>
      <c r="I6" s="576">
        <v>0.30191317244168803</v>
      </c>
      <c r="J6" s="577">
        <v>0.28067655000000002</v>
      </c>
      <c r="K6" s="312">
        <f>K120</f>
        <v>0.15362762099952701</v>
      </c>
      <c r="L6" s="190">
        <v>0.18307969415103262</v>
      </c>
      <c r="M6" s="313">
        <v>0.17734195175784329</v>
      </c>
      <c r="N6" s="575">
        <f>M120</f>
        <v>0</v>
      </c>
      <c r="O6" s="576">
        <v>0</v>
      </c>
      <c r="P6" s="577">
        <v>0</v>
      </c>
      <c r="Q6" s="312">
        <f>O120</f>
        <v>0.14400712302208574</v>
      </c>
      <c r="R6" s="190">
        <v>0.15968840601565604</v>
      </c>
      <c r="S6" s="313">
        <v>0.16623641046844798</v>
      </c>
      <c r="V6" s="315">
        <f>($B6*$B$29+$E6*$E$29+$H6*$H$29+$K6*$K$29+$N6*$N$29+$Q6*$Q$29+$B37*$B$60+$E37*$E$60+$H37*$H$60+$K37*$K$60+$N37*$N$60+$Q37*$Q$60)/$B$64</f>
        <v>0.21048601638998293</v>
      </c>
      <c r="W6" s="249">
        <f>V6</f>
        <v>0.21048601638998293</v>
      </c>
      <c r="X6" s="316"/>
      <c r="AA6" s="614"/>
      <c r="AB6" s="612"/>
      <c r="AC6" s="616"/>
      <c r="AD6" s="612"/>
      <c r="AE6" s="612"/>
      <c r="AF6" s="612"/>
      <c r="AG6" s="616"/>
      <c r="AH6" s="612"/>
      <c r="AI6" s="616"/>
      <c r="AJ6" s="612"/>
    </row>
    <row r="7" spans="1:36">
      <c r="A7" s="500" t="s">
        <v>362</v>
      </c>
      <c r="B7" s="317">
        <f>$C100*D100</f>
        <v>8.8727451325727999E-2</v>
      </c>
      <c r="C7" s="10"/>
      <c r="D7" s="318">
        <v>2.8073919999999999E-2</v>
      </c>
      <c r="E7" s="317">
        <f>$C100*F100</f>
        <v>8.6431060398406367E-2</v>
      </c>
      <c r="F7" s="10"/>
      <c r="G7" s="318">
        <v>2.8073919999999999E-2</v>
      </c>
      <c r="H7" s="578">
        <f>C102*H102</f>
        <v>0</v>
      </c>
      <c r="I7" s="579"/>
      <c r="J7" s="580">
        <v>0.22562455300000001</v>
      </c>
      <c r="K7" s="317">
        <f>$C100*J100</f>
        <v>9.4857323033265009E-2</v>
      </c>
      <c r="L7" s="10"/>
      <c r="M7" s="318">
        <v>2.8869620053602395E-2</v>
      </c>
      <c r="N7" s="578">
        <f>C104*L104</f>
        <v>0</v>
      </c>
      <c r="O7" s="579"/>
      <c r="P7" s="580">
        <v>0</v>
      </c>
      <c r="Q7" s="317">
        <f>$C101*N101</f>
        <v>8.8917149785448915E-2</v>
      </c>
      <c r="R7" s="10"/>
      <c r="S7" s="318">
        <v>2.7061741239049669E-2</v>
      </c>
      <c r="V7" s="315">
        <v>0</v>
      </c>
      <c r="W7" s="249">
        <v>0</v>
      </c>
      <c r="X7" s="320"/>
      <c r="AA7" s="614"/>
      <c r="AB7" s="617"/>
      <c r="AC7" s="618"/>
      <c r="AD7" s="619"/>
      <c r="AE7" s="620"/>
      <c r="AF7" s="621"/>
      <c r="AG7" s="616"/>
      <c r="AH7" s="620"/>
      <c r="AI7" s="618"/>
      <c r="AJ7" s="622"/>
    </row>
    <row r="8" spans="1:36">
      <c r="A8" s="6" t="s">
        <v>373</v>
      </c>
      <c r="B8" s="317">
        <f>E121+E122</f>
        <v>4.9388694560045736E-2</v>
      </c>
      <c r="C8" s="10">
        <v>5.190379416087533E-2</v>
      </c>
      <c r="D8" s="318">
        <v>5.5106580000000002E-2</v>
      </c>
      <c r="E8" s="317">
        <f>G121+G122</f>
        <v>5.3042779181131469E-2</v>
      </c>
      <c r="F8" s="10">
        <v>5.3990670916334665E-2</v>
      </c>
      <c r="G8" s="318">
        <v>5.5106580000000002E-2</v>
      </c>
      <c r="H8" s="578">
        <f>I121+I122</f>
        <v>0</v>
      </c>
      <c r="I8" s="579">
        <v>5.384575974113523E-2</v>
      </c>
      <c r="J8" s="580">
        <v>4.7107900000000008E-2</v>
      </c>
      <c r="K8" s="317">
        <f>K121+K122</f>
        <v>0.15903358032476744</v>
      </c>
      <c r="L8" s="10">
        <v>7.1924562509853379E-2</v>
      </c>
      <c r="M8" s="318">
        <v>9.7903200378369845E-2</v>
      </c>
      <c r="N8" s="578">
        <f>M121+M122</f>
        <v>0</v>
      </c>
      <c r="O8" s="579">
        <v>0</v>
      </c>
      <c r="P8" s="580">
        <v>0</v>
      </c>
      <c r="Q8" s="317">
        <f>O121+O122</f>
        <v>7.4666525309022111E-2</v>
      </c>
      <c r="R8" s="10">
        <v>7.2759576655744868E-2</v>
      </c>
      <c r="S8" s="318">
        <v>7.8307486256391973E-2</v>
      </c>
      <c r="V8" s="315">
        <f t="shared" ref="V8:V13" si="0">($B8*$B$29+$E8*$E$29+$H8*$H$29+$K8*$K$29+$N8*$N$29+$Q8*$Q$29+$B39*$B$60+$E39*$E$60+$H39*$H$60+$K39*$K$60+$N39*$N$60+$Q39*$Q$60)/$B$64</f>
        <v>6.6464855017047644E-2</v>
      </c>
      <c r="W8" s="249">
        <f>V8</f>
        <v>6.6464855017047644E-2</v>
      </c>
      <c r="X8" s="320">
        <f>V8-W8</f>
        <v>0</v>
      </c>
      <c r="AA8" s="614"/>
      <c r="AB8" s="617"/>
      <c r="AC8" s="618"/>
      <c r="AD8" s="619"/>
      <c r="AE8" s="620"/>
      <c r="AF8" s="621"/>
      <c r="AG8" s="616"/>
      <c r="AH8" s="620"/>
      <c r="AI8" s="618"/>
      <c r="AJ8" s="622"/>
    </row>
    <row r="9" spans="1:36">
      <c r="A9" s="6" t="s">
        <v>8</v>
      </c>
      <c r="B9" s="317">
        <f>E161</f>
        <v>1.0135435073031706E-2</v>
      </c>
      <c r="C9" s="10">
        <v>7.7075348490227361E-3</v>
      </c>
      <c r="D9" s="318">
        <v>1.0725999999999999E-2</v>
      </c>
      <c r="E9" s="317">
        <f>G161</f>
        <v>1.0135435073031706E-2</v>
      </c>
      <c r="F9" s="10">
        <v>6.4153676654595138E-3</v>
      </c>
      <c r="G9" s="318">
        <v>1.0725999999999999E-2</v>
      </c>
      <c r="H9" s="578">
        <f>I161</f>
        <v>1.0135435073031706E-2</v>
      </c>
      <c r="I9" s="579">
        <v>2.3850561798671555E-2</v>
      </c>
      <c r="J9" s="580">
        <v>1.0725999999999999E-2</v>
      </c>
      <c r="K9" s="317">
        <f>K161</f>
        <v>1.0135435073031706E-2</v>
      </c>
      <c r="L9" s="10">
        <v>1.9218863313889327E-2</v>
      </c>
      <c r="M9" s="318">
        <v>1.0725999999999999E-2</v>
      </c>
      <c r="N9" s="578">
        <f>M161</f>
        <v>1.0135435073031706E-2</v>
      </c>
      <c r="O9" s="579">
        <v>0</v>
      </c>
      <c r="P9" s="580">
        <v>0</v>
      </c>
      <c r="Q9" s="317">
        <f>O161</f>
        <v>1.0135435073031706E-2</v>
      </c>
      <c r="R9" s="10">
        <v>6.5255939569252705E-3</v>
      </c>
      <c r="S9" s="318">
        <v>1.0725999999999999E-2</v>
      </c>
      <c r="V9" s="315">
        <f t="shared" si="0"/>
        <v>1.0135435073031704E-2</v>
      </c>
      <c r="W9" s="249">
        <f t="shared" ref="W9:W13" si="1">V9</f>
        <v>1.0135435073031704E-2</v>
      </c>
      <c r="X9" s="320">
        <f t="shared" ref="X9:X13" si="2">V9-W9</f>
        <v>0</v>
      </c>
      <c r="AA9" s="614" t="s">
        <v>87</v>
      </c>
      <c r="AB9" s="617" t="s">
        <v>86</v>
      </c>
      <c r="AC9" s="618">
        <f>ROUND(((D161*B$29*1000)+(F161*E$29*1000)+(H161*H$29*1000)+(J161*K$29*1000)+(L161*N$29*1000)+(N161*Q$29*1000)+(D168*B$60*1000)+(F168*E$60*1000)+(H168*H$60*1000)+(J168*K$60*1000)+(L168*N$60*1000)+(N168*Q$60*1000))*$B161,0)</f>
        <v>350686</v>
      </c>
      <c r="AD9" s="619">
        <f>ROUND((D161*B$29*1000)+(F161*E$29*1000)+(H161*H$29*1000)+(J161*K$29*1000)+(L161*N$29*1000)+(N161*Q$29*1000)+(D168*B$60*1000)+(F168*E$60*1000)+(H168*H$60*1000)+(J168*K$60*1000)+(L168*N$60*1000)+(N168*Q$60*1000),0)</f>
        <v>2040058</v>
      </c>
      <c r="AE9" s="620">
        <f>AC9/AD9</f>
        <v>0.17190001460742782</v>
      </c>
      <c r="AF9" s="621">
        <f>ROUND(AD9/$B$64,3)</f>
        <v>58.960999999999999</v>
      </c>
      <c r="AG9" s="616">
        <f>ROUND(W9*$AC$29,0)</f>
        <v>350686</v>
      </c>
      <c r="AH9" s="620">
        <f>AG9/AD9</f>
        <v>0.17190001460742782</v>
      </c>
      <c r="AI9" s="618">
        <f>AC9-AG9</f>
        <v>0</v>
      </c>
      <c r="AJ9" s="622">
        <f>AH9*10000</f>
        <v>1719.0001460742783</v>
      </c>
    </row>
    <row r="10" spans="1:36">
      <c r="A10" s="2" t="s">
        <v>9</v>
      </c>
      <c r="B10" s="323">
        <f>E162</f>
        <v>1.124759091389829E-3</v>
      </c>
      <c r="C10" s="10">
        <v>9.6524486957919454E-4</v>
      </c>
      <c r="D10" s="318">
        <v>1.2600000000000001E-3</v>
      </c>
      <c r="E10" s="317">
        <f>G162</f>
        <v>1.124759091389829E-3</v>
      </c>
      <c r="F10" s="10">
        <v>8.8623983064966974E-4</v>
      </c>
      <c r="G10" s="318">
        <v>1.2600000000000001E-3</v>
      </c>
      <c r="H10" s="578">
        <f>I162</f>
        <v>1.124759091389829E-3</v>
      </c>
      <c r="I10" s="579">
        <v>1.1573682833829362E-3</v>
      </c>
      <c r="J10" s="580">
        <v>1.2600000000000001E-3</v>
      </c>
      <c r="K10" s="323">
        <f>K162</f>
        <v>1.124759091389829E-3</v>
      </c>
      <c r="L10" s="10">
        <v>1.1031846129591675E-3</v>
      </c>
      <c r="M10" s="318">
        <v>1.2600000000000001E-3</v>
      </c>
      <c r="N10" s="581">
        <f>M162</f>
        <v>1.124759091389829E-3</v>
      </c>
      <c r="O10" s="579">
        <v>0</v>
      </c>
      <c r="P10" s="580">
        <v>0</v>
      </c>
      <c r="Q10" s="323">
        <f>O162</f>
        <v>1.124759091389829E-3</v>
      </c>
      <c r="R10" s="10">
        <v>1.1625954512427511E-3</v>
      </c>
      <c r="S10" s="318">
        <v>1.2600000000000001E-3</v>
      </c>
      <c r="V10" s="315">
        <f t="shared" si="0"/>
        <v>1.1247590913898292E-3</v>
      </c>
      <c r="W10" s="249">
        <f t="shared" si="1"/>
        <v>1.1247590913898292E-3</v>
      </c>
      <c r="X10" s="320">
        <f t="shared" si="2"/>
        <v>0</v>
      </c>
      <c r="AA10" s="614" t="s">
        <v>89</v>
      </c>
      <c r="AB10" s="617" t="s">
        <v>88</v>
      </c>
      <c r="AC10" s="618">
        <f>ROUND(((D162*B$29*1000)+(F162*E$29*1000)+(H162*H$29*1000)+(J162*K$29*1000)+(L162*N$29*1000)+(N162*Q$29*1000)+(D169*B$60*1000)+(F169*E$60*1000)+(H169*H$60*1000)+(J169*K$60*1000)+(L169*N$60*1000)+(N169*Q$60*1000))*$B162,0)</f>
        <v>38917</v>
      </c>
      <c r="AD10" s="619">
        <f>ROUND(((D162*B$29*1000)+(F162*E$29*1000)+(H162*H$29*1000)+(J162*K$29*1000)+(L162*N$29*1000)+(N162*Q$29*1000)+(D169*B$60*1000)+(F169*E$60*1000)+(H169*H$60*1000)+(J169*K$60*1000)+(L169*N$60*1000)+(N169*Q$60*1000))*1000,0)</f>
        <v>11280193</v>
      </c>
      <c r="AE10" s="620">
        <f>AC10/AD10</f>
        <v>3.4500296227201075E-3</v>
      </c>
      <c r="AF10" s="621">
        <f>ROUND(AD10/$B$64,3)</f>
        <v>326.017</v>
      </c>
      <c r="AG10" s="618">
        <f>ROUND(W10*$AC$29,0)</f>
        <v>38917</v>
      </c>
      <c r="AH10" s="620">
        <f>AG10/AD10</f>
        <v>3.4500296227201075E-3</v>
      </c>
      <c r="AI10" s="618">
        <f t="shared" ref="AI10:AI13" si="3">AC10-AG10</f>
        <v>0</v>
      </c>
      <c r="AJ10" s="622">
        <f t="shared" ref="AJ10:AJ13" si="4">AH10*10000</f>
        <v>34.500296227201076</v>
      </c>
    </row>
    <row r="11" spans="1:36">
      <c r="A11" s="6" t="s">
        <v>10</v>
      </c>
      <c r="B11" s="323">
        <f>$H$177</f>
        <v>8.670520231213872E-3</v>
      </c>
      <c r="C11" s="10">
        <v>5.2601958836921477E-3</v>
      </c>
      <c r="D11" s="318">
        <v>9.9121126015991549E-3</v>
      </c>
      <c r="E11" s="323">
        <f>$H$177</f>
        <v>8.670520231213872E-3</v>
      </c>
      <c r="F11" s="10">
        <v>5.124287625544087E-3</v>
      </c>
      <c r="G11" s="318">
        <v>9.9121126015991549E-3</v>
      </c>
      <c r="H11" s="581">
        <f>$H$177</f>
        <v>8.670520231213872E-3</v>
      </c>
      <c r="I11" s="579">
        <v>2.3215912931792065E-2</v>
      </c>
      <c r="J11" s="580">
        <v>9.9121126015991549E-3</v>
      </c>
      <c r="K11" s="323">
        <f>$H$177</f>
        <v>8.670520231213872E-3</v>
      </c>
      <c r="L11" s="10">
        <v>2.6688593725366548E-2</v>
      </c>
      <c r="M11" s="318">
        <v>9.9121126015991549E-3</v>
      </c>
      <c r="N11" s="581">
        <f>$H$177</f>
        <v>8.670520231213872E-3</v>
      </c>
      <c r="O11" s="579">
        <v>0</v>
      </c>
      <c r="P11" s="580">
        <v>0</v>
      </c>
      <c r="Q11" s="323">
        <f>$H$177</f>
        <v>8.670520231213872E-3</v>
      </c>
      <c r="R11" s="10">
        <v>1.6241103327255528E-2</v>
      </c>
      <c r="S11" s="318">
        <v>9.9121126015991549E-3</v>
      </c>
      <c r="V11" s="315">
        <f t="shared" si="0"/>
        <v>8.670520231213872E-3</v>
      </c>
      <c r="W11" s="249">
        <f t="shared" si="1"/>
        <v>8.670520231213872E-3</v>
      </c>
      <c r="X11" s="320">
        <f t="shared" si="2"/>
        <v>0</v>
      </c>
      <c r="AA11" s="614" t="s">
        <v>91</v>
      </c>
      <c r="AB11" s="617" t="s">
        <v>90</v>
      </c>
      <c r="AC11" s="618">
        <f>ROUND(G177,0)</f>
        <v>300000</v>
      </c>
      <c r="AD11" s="612">
        <f>$B$64*1000</f>
        <v>34600000</v>
      </c>
      <c r="AE11" s="620">
        <f>AC11/AD11</f>
        <v>8.670520231213872E-3</v>
      </c>
      <c r="AF11" s="621">
        <f>ROUND(AD11/$B$64,3)</f>
        <v>1000</v>
      </c>
      <c r="AG11" s="618">
        <f>ROUND(W11*$AC$29,0)</f>
        <v>300000</v>
      </c>
      <c r="AH11" s="620">
        <f>AG11/AD11</f>
        <v>8.670520231213872E-3</v>
      </c>
      <c r="AI11" s="618">
        <f t="shared" si="3"/>
        <v>0</v>
      </c>
      <c r="AJ11" s="622">
        <f t="shared" si="4"/>
        <v>86.705202312138724</v>
      </c>
    </row>
    <row r="12" spans="1:36">
      <c r="A12" s="6" t="s">
        <v>11</v>
      </c>
      <c r="B12" s="323">
        <f>$H$180</f>
        <v>4.3352601156069364E-4</v>
      </c>
      <c r="C12" s="10">
        <v>2.8145605276015071E-4</v>
      </c>
      <c r="D12" s="318">
        <v>4.956056300799577E-4</v>
      </c>
      <c r="E12" s="323">
        <f>$H$180</f>
        <v>4.3352601156069364E-4</v>
      </c>
      <c r="F12" s="10">
        <v>1.6132370454116404E-4</v>
      </c>
      <c r="G12" s="318">
        <v>4.956056300799577E-4</v>
      </c>
      <c r="H12" s="581">
        <f>$H$180</f>
        <v>4.3352601156069364E-4</v>
      </c>
      <c r="I12" s="579">
        <v>7.6914756979652537E-4</v>
      </c>
      <c r="J12" s="580">
        <v>4.956056300799577E-4</v>
      </c>
      <c r="K12" s="323">
        <f>$H$180</f>
        <v>4.3352601156069364E-4</v>
      </c>
      <c r="L12" s="10">
        <v>1.3365915182090493E-3</v>
      </c>
      <c r="M12" s="318">
        <v>4.956056300799577E-4</v>
      </c>
      <c r="N12" s="581">
        <f>$H$180</f>
        <v>4.3352601156069364E-4</v>
      </c>
      <c r="O12" s="579">
        <v>0</v>
      </c>
      <c r="P12" s="580">
        <v>0</v>
      </c>
      <c r="Q12" s="323">
        <f>$H$180</f>
        <v>4.3352601156069364E-4</v>
      </c>
      <c r="R12" s="10">
        <v>5.3366327132144272E-4</v>
      </c>
      <c r="S12" s="318">
        <v>4.956056300799577E-4</v>
      </c>
      <c r="V12" s="315">
        <f t="shared" si="0"/>
        <v>4.3352601156069375E-4</v>
      </c>
      <c r="W12" s="249">
        <f t="shared" si="1"/>
        <v>4.3352601156069375E-4</v>
      </c>
      <c r="X12" s="320">
        <f t="shared" si="2"/>
        <v>0</v>
      </c>
      <c r="AA12" s="614" t="s">
        <v>91</v>
      </c>
      <c r="AB12" s="617" t="s">
        <v>92</v>
      </c>
      <c r="AC12" s="618">
        <f>ROUND(G180,0)</f>
        <v>15000</v>
      </c>
      <c r="AD12" s="612">
        <f>$B$64*1000</f>
        <v>34600000</v>
      </c>
      <c r="AE12" s="620">
        <f>AC12/AD12</f>
        <v>4.3352601156069364E-4</v>
      </c>
      <c r="AF12" s="621">
        <f>ROUND(AD12/$B$64,3)</f>
        <v>1000</v>
      </c>
      <c r="AG12" s="618">
        <f>ROUND(W12*$AC$29,0)</f>
        <v>15000</v>
      </c>
      <c r="AH12" s="620">
        <f>AG12/AD12</f>
        <v>4.3352601156069364E-4</v>
      </c>
      <c r="AI12" s="618">
        <f t="shared" si="3"/>
        <v>0</v>
      </c>
      <c r="AJ12" s="622">
        <f t="shared" si="4"/>
        <v>4.3352601156069364</v>
      </c>
    </row>
    <row r="13" spans="1:36" ht="16.5">
      <c r="A13" s="6" t="s">
        <v>12</v>
      </c>
      <c r="B13" s="324">
        <f>$H$183</f>
        <v>5.7803468208092491E-3</v>
      </c>
      <c r="C13" s="14">
        <v>5.5392710451476149E-3</v>
      </c>
      <c r="D13" s="325">
        <v>6.6080750677327688E-3</v>
      </c>
      <c r="E13" s="324">
        <f>$H$183</f>
        <v>5.7803468208092491E-3</v>
      </c>
      <c r="F13" s="14">
        <v>4.7523717432735738E-3</v>
      </c>
      <c r="G13" s="325">
        <v>6.6080750677327688E-3</v>
      </c>
      <c r="H13" s="582">
        <f>$H$183</f>
        <v>5.7803468208092491E-3</v>
      </c>
      <c r="I13" s="583">
        <v>1.7048252551882647E-2</v>
      </c>
      <c r="J13" s="584">
        <v>6.6080750677327688E-3</v>
      </c>
      <c r="K13" s="324">
        <f>$H$183</f>
        <v>5.7803468208092491E-3</v>
      </c>
      <c r="L13" s="14">
        <v>2.682161437805455E-2</v>
      </c>
      <c r="M13" s="325">
        <v>6.6080750677327688E-3</v>
      </c>
      <c r="N13" s="582">
        <f>$H$183</f>
        <v>5.7803468208092491E-3</v>
      </c>
      <c r="O13" s="583">
        <v>0</v>
      </c>
      <c r="P13" s="584">
        <v>0</v>
      </c>
      <c r="Q13" s="324">
        <f>$H$183</f>
        <v>5.7803468208092491E-3</v>
      </c>
      <c r="R13" s="14">
        <v>5.9964108961792087E-3</v>
      </c>
      <c r="S13" s="325">
        <v>6.6080750677327688E-3</v>
      </c>
      <c r="V13" s="326">
        <f t="shared" si="0"/>
        <v>5.7803468208092491E-3</v>
      </c>
      <c r="W13" s="250">
        <f t="shared" si="1"/>
        <v>5.7803468208092491E-3</v>
      </c>
      <c r="X13" s="327">
        <f t="shared" si="2"/>
        <v>0</v>
      </c>
      <c r="AA13" s="614" t="s">
        <v>91</v>
      </c>
      <c r="AB13" s="617" t="s">
        <v>93</v>
      </c>
      <c r="AC13" s="623">
        <f>ROUND(G183,0)</f>
        <v>200000</v>
      </c>
      <c r="AD13" s="612">
        <f>$B$64*1000</f>
        <v>34600000</v>
      </c>
      <c r="AE13" s="620">
        <f>AC13/AD13</f>
        <v>5.7803468208092483E-3</v>
      </c>
      <c r="AF13" s="621">
        <f>ROUND(AD13/$B$64,3)</f>
        <v>1000</v>
      </c>
      <c r="AG13" s="623">
        <f>ROUND(W13*$AC$29,0)</f>
        <v>200000</v>
      </c>
      <c r="AH13" s="620">
        <f>AG13/AD13</f>
        <v>5.7803468208092483E-3</v>
      </c>
      <c r="AI13" s="623">
        <f t="shared" si="3"/>
        <v>0</v>
      </c>
      <c r="AJ13" s="622">
        <f t="shared" si="4"/>
        <v>57.803468208092482</v>
      </c>
    </row>
    <row r="14" spans="1:36">
      <c r="A14" s="328" t="s">
        <v>224</v>
      </c>
      <c r="B14" s="10">
        <f t="shared" ref="B14:S14" si="5">SUM(B6:B13)</f>
        <v>0.30796062710870814</v>
      </c>
      <c r="C14" s="10">
        <f t="shared" si="5"/>
        <v>0.23258747195031265</v>
      </c>
      <c r="D14" s="318">
        <f t="shared" si="5"/>
        <v>0.28463637329941183</v>
      </c>
      <c r="E14" s="10">
        <f t="shared" si="5"/>
        <v>0.30559916593104919</v>
      </c>
      <c r="F14" s="10">
        <f t="shared" si="5"/>
        <v>0.23029766653228345</v>
      </c>
      <c r="G14" s="318">
        <f t="shared" si="5"/>
        <v>0.28463637329941183</v>
      </c>
      <c r="H14" s="579">
        <f t="shared" si="5"/>
        <v>2.6144587228005351E-2</v>
      </c>
      <c r="I14" s="579">
        <f t="shared" si="5"/>
        <v>0.42180017531834896</v>
      </c>
      <c r="J14" s="580">
        <f t="shared" si="5"/>
        <v>0.58241079629941195</v>
      </c>
      <c r="K14" s="10">
        <f t="shared" si="5"/>
        <v>0.43366311158556486</v>
      </c>
      <c r="L14" s="10">
        <f t="shared" si="5"/>
        <v>0.33017310420936458</v>
      </c>
      <c r="M14" s="318">
        <f t="shared" si="5"/>
        <v>0.33311656548922736</v>
      </c>
      <c r="N14" s="579">
        <f t="shared" si="5"/>
        <v>2.6144587228005351E-2</v>
      </c>
      <c r="O14" s="579">
        <f t="shared" si="5"/>
        <v>0</v>
      </c>
      <c r="P14" s="580">
        <f t="shared" si="5"/>
        <v>0</v>
      </c>
      <c r="Q14" s="10">
        <f t="shared" si="5"/>
        <v>0.33373538534456215</v>
      </c>
      <c r="R14" s="10">
        <f t="shared" si="5"/>
        <v>0.26290734957432504</v>
      </c>
      <c r="S14" s="318">
        <f t="shared" si="5"/>
        <v>0.30060743126330142</v>
      </c>
      <c r="V14" s="315">
        <f>SUM(V6:V13)</f>
        <v>0.30309545863503595</v>
      </c>
      <c r="W14" s="249">
        <f>SUM(W6:W13)</f>
        <v>0.30309545863503595</v>
      </c>
      <c r="X14" s="320">
        <f>SUM(X6:X13)</f>
        <v>0</v>
      </c>
      <c r="AA14" s="614"/>
      <c r="AB14" s="617"/>
      <c r="AC14" s="618">
        <f>SUM(AC9:AC13)</f>
        <v>904603</v>
      </c>
      <c r="AD14" s="612"/>
      <c r="AE14" s="612"/>
      <c r="AF14" s="612"/>
      <c r="AG14" s="618">
        <f>SUM(AG9:AG13)</f>
        <v>904603</v>
      </c>
      <c r="AH14" s="612"/>
      <c r="AI14" s="618">
        <f>SUM(AI9:AI13)</f>
        <v>0</v>
      </c>
      <c r="AJ14" s="622"/>
    </row>
    <row r="15" spans="1:36" ht="7.15" customHeight="1">
      <c r="A15" s="514"/>
      <c r="B15" s="323"/>
      <c r="C15" s="10"/>
      <c r="D15" s="318"/>
      <c r="E15" s="323"/>
      <c r="F15" s="10"/>
      <c r="G15" s="513"/>
      <c r="H15" s="581"/>
      <c r="I15" s="579"/>
      <c r="J15" s="580"/>
      <c r="K15" s="323"/>
      <c r="L15" s="10"/>
      <c r="M15" s="513"/>
      <c r="N15" s="581"/>
      <c r="O15" s="579"/>
      <c r="P15" s="580"/>
      <c r="Q15" s="323"/>
      <c r="R15" s="10"/>
      <c r="S15" s="513"/>
      <c r="V15" s="315"/>
      <c r="W15" s="249"/>
      <c r="X15" s="320"/>
      <c r="AA15" s="614"/>
      <c r="AB15" s="617"/>
      <c r="AC15" s="618"/>
      <c r="AD15" s="612"/>
      <c r="AE15" s="612"/>
      <c r="AF15" s="612"/>
      <c r="AG15" s="618"/>
      <c r="AH15" s="612"/>
      <c r="AI15" s="618"/>
      <c r="AJ15" s="622"/>
    </row>
    <row r="16" spans="1:36">
      <c r="A16" s="6" t="s">
        <v>14</v>
      </c>
      <c r="B16" s="323">
        <f>$D$214/$B$64/1000</f>
        <v>1.1741675249605885E-2</v>
      </c>
      <c r="C16" s="10">
        <v>1.8200142276386267E-2</v>
      </c>
      <c r="D16" s="318">
        <v>1.4552450935042623E-2</v>
      </c>
      <c r="E16" s="323">
        <f>$D$214/$B$64/1000</f>
        <v>1.1741675249605885E-2</v>
      </c>
      <c r="F16" s="10">
        <v>2.0063712828685257E-2</v>
      </c>
      <c r="G16" s="318">
        <v>1.4552450935042623E-2</v>
      </c>
      <c r="H16" s="581">
        <f>$D$214/$B$64/1000</f>
        <v>1.1741675249605885E-2</v>
      </c>
      <c r="I16" s="579">
        <v>1.2521634745348524E-2</v>
      </c>
      <c r="J16" s="580">
        <v>1.4552450935042623E-2</v>
      </c>
      <c r="K16" s="323">
        <f>$D$214/$B$64/1000</f>
        <v>1.1741675249605885E-2</v>
      </c>
      <c r="L16" s="10">
        <v>3.2785826895790633E-2</v>
      </c>
      <c r="M16" s="318">
        <v>1.4552450935042623E-2</v>
      </c>
      <c r="N16" s="581">
        <f>$D$214/$B$64/1000</f>
        <v>1.1741675249605885E-2</v>
      </c>
      <c r="O16" s="579">
        <v>0</v>
      </c>
      <c r="P16" s="580">
        <v>0</v>
      </c>
      <c r="Q16" s="323">
        <f>$D$214/$B$64/1000</f>
        <v>1.1741675249605885E-2</v>
      </c>
      <c r="R16" s="10">
        <v>1.3727222625885965E-2</v>
      </c>
      <c r="S16" s="318">
        <v>1.4552450935042623E-2</v>
      </c>
      <c r="V16" s="315">
        <f>($B16*$B$29+$E16*$E$29+$H16*$H$29+$K16*$K$29+$N16*$N$29+$Q16*$Q$29+$B47*$B$60+$E47*$E$60+$H47*$H$60+$K47*$K$60+$N47*$N$60+$Q47*$Q$60)/$B$64</f>
        <v>1.1741675249605885E-2</v>
      </c>
      <c r="W16" s="249">
        <f>V16</f>
        <v>1.1741675249605885E-2</v>
      </c>
      <c r="X16" s="320">
        <f t="shared" ref="X16:X21" si="6">V16-W16</f>
        <v>0</v>
      </c>
      <c r="AA16" s="614" t="s">
        <v>95</v>
      </c>
      <c r="AB16" s="617" t="s">
        <v>94</v>
      </c>
      <c r="AC16" s="618">
        <f>ROUND(D212,0)</f>
        <v>434475</v>
      </c>
      <c r="AD16" s="612">
        <f>ROUND(B212,0)</f>
        <v>15400</v>
      </c>
      <c r="AE16" s="620">
        <f t="shared" ref="AE16:AE21" si="7">AC16/AD16</f>
        <v>28.212662337662337</v>
      </c>
      <c r="AF16" s="621">
        <f>ROUND(AD16/$B$64,3)</f>
        <v>0.44500000000000001</v>
      </c>
      <c r="AG16" s="618">
        <f t="shared" ref="AG16:AG21" si="8">ROUND(W16*$AC$29,0)</f>
        <v>406262</v>
      </c>
      <c r="AH16" s="620">
        <f t="shared" ref="AH16:AH21" si="9">AG16/AD16</f>
        <v>26.38064935064935</v>
      </c>
      <c r="AI16" s="618">
        <f t="shared" ref="AI16:AI21" si="10">AC16-AG16</f>
        <v>28213</v>
      </c>
      <c r="AJ16" s="622">
        <f t="shared" ref="AJ16:AJ21" si="11">AH16*10000</f>
        <v>263806.49350649351</v>
      </c>
    </row>
    <row r="17" spans="1:36">
      <c r="A17" s="6" t="s">
        <v>15</v>
      </c>
      <c r="B17" s="323">
        <f>$G$214/$B$64/1000</f>
        <v>4.1080924855491328E-3</v>
      </c>
      <c r="C17" s="10">
        <v>4.8304191095260513E-3</v>
      </c>
      <c r="D17" s="318">
        <v>4.6963589506376791E-3</v>
      </c>
      <c r="E17" s="323">
        <f>$G$214/$B$64/1000</f>
        <v>4.1080924855491328E-3</v>
      </c>
      <c r="F17" s="10">
        <v>4.4471790908216062E-3</v>
      </c>
      <c r="G17" s="318">
        <v>4.6963589506376791E-3</v>
      </c>
      <c r="H17" s="581">
        <f>$G$214/$B$64/1000</f>
        <v>4.1080924855491328E-3</v>
      </c>
      <c r="I17" s="579">
        <v>4.4303097747335034E-3</v>
      </c>
      <c r="J17" s="580">
        <v>4.6963589506376791E-3</v>
      </c>
      <c r="K17" s="323">
        <f>$G$214/$B$64/1000</f>
        <v>4.1080924855491328E-3</v>
      </c>
      <c r="L17" s="10">
        <v>8.8578354091124068E-3</v>
      </c>
      <c r="M17" s="318">
        <v>4.6963589506376791E-3</v>
      </c>
      <c r="N17" s="581">
        <f>$G$214/$B$64/1000</f>
        <v>4.1080924855491328E-3</v>
      </c>
      <c r="O17" s="579">
        <v>0</v>
      </c>
      <c r="P17" s="580">
        <v>0</v>
      </c>
      <c r="Q17" s="323">
        <f>$G$214/$B$64/1000</f>
        <v>4.1080924855491328E-3</v>
      </c>
      <c r="R17" s="10">
        <v>1.6693747172449721E-3</v>
      </c>
      <c r="S17" s="318">
        <v>4.6963589506376791E-3</v>
      </c>
      <c r="V17" s="315">
        <f t="shared" ref="V17:V21" si="12">($B17*$B$29+$E17*$E$29+$H17*$H$29+$K17*$K$29+$N17*$N$29+$Q17*$Q$29+$B48*$B$60+$E48*$E$60+$H48*$H$60+$K48*$K$60+$N48*$N$60+$Q48*$Q$60)/$B$64</f>
        <v>4.1080924855491337E-3</v>
      </c>
      <c r="W17" s="249">
        <f>V17</f>
        <v>4.1080924855491337E-3</v>
      </c>
      <c r="X17" s="320">
        <f t="shared" si="6"/>
        <v>0</v>
      </c>
      <c r="AA17" s="614" t="s">
        <v>95</v>
      </c>
      <c r="AB17" s="617" t="s">
        <v>96</v>
      </c>
      <c r="AC17" s="618">
        <f>ROUND(G212,0)</f>
        <v>142140</v>
      </c>
      <c r="AD17" s="612">
        <f>ROUND(E212,0)</f>
        <v>4400</v>
      </c>
      <c r="AE17" s="620">
        <f t="shared" si="7"/>
        <v>32.304545454545455</v>
      </c>
      <c r="AF17" s="621">
        <f>ROUND(AD17/$B$64,3)</f>
        <v>0.127</v>
      </c>
      <c r="AG17" s="618">
        <f t="shared" si="8"/>
        <v>142140</v>
      </c>
      <c r="AH17" s="620">
        <f t="shared" si="9"/>
        <v>32.304545454545455</v>
      </c>
      <c r="AI17" s="618">
        <f t="shared" si="10"/>
        <v>0</v>
      </c>
      <c r="AJ17" s="622">
        <f t="shared" si="11"/>
        <v>323045.45454545453</v>
      </c>
    </row>
    <row r="18" spans="1:36">
      <c r="A18" s="6" t="s">
        <v>16</v>
      </c>
      <c r="B18" s="323">
        <f>$J$214/$B$64/1000</f>
        <v>7.259843652712092E-3</v>
      </c>
      <c r="C18" s="10">
        <v>6.8508297256488276E-3</v>
      </c>
      <c r="D18" s="318">
        <v>8.7651909820467295E-3</v>
      </c>
      <c r="E18" s="323">
        <f>$J$214/$B$64/1000</f>
        <v>7.259843652712092E-3</v>
      </c>
      <c r="F18" s="10">
        <v>5.9757404668890251E-3</v>
      </c>
      <c r="G18" s="318">
        <v>8.7651909820467295E-3</v>
      </c>
      <c r="H18" s="581">
        <f>$J$214/$B$64/1000</f>
        <v>7.259843652712092E-3</v>
      </c>
      <c r="I18" s="579">
        <v>1.4238166270196374E-2</v>
      </c>
      <c r="J18" s="580">
        <v>8.7651909820467295E-3</v>
      </c>
      <c r="K18" s="323">
        <f>$J$214/$B$64/1000</f>
        <v>7.259843652712092E-3</v>
      </c>
      <c r="L18" s="10">
        <v>3.8686583635503702E-2</v>
      </c>
      <c r="M18" s="318">
        <v>8.7651909820467295E-3</v>
      </c>
      <c r="N18" s="581">
        <f>$J$214/$B$64/1000</f>
        <v>7.259843652712092E-3</v>
      </c>
      <c r="O18" s="579">
        <v>0</v>
      </c>
      <c r="P18" s="580">
        <v>0</v>
      </c>
      <c r="Q18" s="323">
        <f>$J$214/$B$64/1000</f>
        <v>7.259843652712092E-3</v>
      </c>
      <c r="R18" s="10">
        <v>5.663317933180703E-3</v>
      </c>
      <c r="S18" s="318">
        <v>8.7651909820467295E-3</v>
      </c>
      <c r="V18" s="315">
        <f t="shared" si="12"/>
        <v>7.2598436527120938E-3</v>
      </c>
      <c r="W18" s="249">
        <f>+V18</f>
        <v>7.2598436527120938E-3</v>
      </c>
      <c r="X18" s="320">
        <f t="shared" si="6"/>
        <v>0</v>
      </c>
      <c r="AA18" s="614" t="s">
        <v>95</v>
      </c>
      <c r="AB18" s="617" t="s">
        <v>97</v>
      </c>
      <c r="AC18" s="618">
        <f>ROUND(J212,0)</f>
        <v>264552</v>
      </c>
      <c r="AD18" s="612">
        <f>ROUND(H212,0)</f>
        <v>19800</v>
      </c>
      <c r="AE18" s="620">
        <f t="shared" si="7"/>
        <v>13.361212121212121</v>
      </c>
      <c r="AF18" s="621">
        <f>ROUND(AD18/$B$64,3)</f>
        <v>0.57199999999999995</v>
      </c>
      <c r="AG18" s="618">
        <f t="shared" si="8"/>
        <v>251191</v>
      </c>
      <c r="AH18" s="620">
        <f t="shared" si="9"/>
        <v>12.686414141414142</v>
      </c>
      <c r="AI18" s="618">
        <f t="shared" si="10"/>
        <v>13361</v>
      </c>
      <c r="AJ18" s="622">
        <f t="shared" si="11"/>
        <v>126864.14141414141</v>
      </c>
    </row>
    <row r="19" spans="1:36">
      <c r="A19" s="2" t="s">
        <v>17</v>
      </c>
      <c r="B19" s="323">
        <f>$E$241</f>
        <v>2.4498520231213874E-3</v>
      </c>
      <c r="C19" s="10">
        <v>2.2776301313225766E-3</v>
      </c>
      <c r="D19" s="318">
        <v>2.8006634507368004E-3</v>
      </c>
      <c r="E19" s="323">
        <f>$E$241</f>
        <v>2.4498520231213874E-3</v>
      </c>
      <c r="F19" s="10">
        <v>1.9225049068814621E-3</v>
      </c>
      <c r="G19" s="318">
        <v>2.8006634507368004E-3</v>
      </c>
      <c r="H19" s="581">
        <f>$E$241</f>
        <v>2.4498520231213874E-3</v>
      </c>
      <c r="I19" s="579">
        <v>9.2721692692489689E-3</v>
      </c>
      <c r="J19" s="580">
        <v>2.8006634507368004E-3</v>
      </c>
      <c r="K19" s="323">
        <f>$E$241</f>
        <v>2.4498520231213874E-3</v>
      </c>
      <c r="L19" s="10">
        <v>1.2541660097745547E-2</v>
      </c>
      <c r="M19" s="318">
        <v>2.8006634507368004E-3</v>
      </c>
      <c r="N19" s="581">
        <f>$E$241</f>
        <v>2.4498520231213874E-3</v>
      </c>
      <c r="O19" s="579">
        <v>0</v>
      </c>
      <c r="P19" s="580">
        <v>0</v>
      </c>
      <c r="Q19" s="323">
        <f>$E$241</f>
        <v>2.4498520231213874E-3</v>
      </c>
      <c r="R19" s="10">
        <v>2.3710733038125658E-3</v>
      </c>
      <c r="S19" s="318">
        <v>2.8006634507368004E-3</v>
      </c>
      <c r="V19" s="315">
        <f t="shared" si="12"/>
        <v>2.4498520231213874E-3</v>
      </c>
      <c r="W19" s="249">
        <f>W24-W14-W16-W17-W18</f>
        <v>5.4580138412750959E-4</v>
      </c>
      <c r="X19" s="320">
        <f t="shared" si="6"/>
        <v>1.9040506389938778E-3</v>
      </c>
      <c r="AA19" s="614" t="s">
        <v>91</v>
      </c>
      <c r="AB19" s="617" t="s">
        <v>98</v>
      </c>
      <c r="AC19" s="618">
        <f>ROUND(C241,0)</f>
        <v>84765</v>
      </c>
      <c r="AD19" s="612">
        <f>$B$64*1000</f>
        <v>34600000</v>
      </c>
      <c r="AE19" s="620">
        <f t="shared" si="7"/>
        <v>2.4498554913294796E-3</v>
      </c>
      <c r="AF19" s="621">
        <f>ROUND(AD19/$B$64,3)</f>
        <v>1000</v>
      </c>
      <c r="AG19" s="618">
        <f t="shared" si="8"/>
        <v>18885</v>
      </c>
      <c r="AH19" s="620">
        <f t="shared" si="9"/>
        <v>5.4580924855491327E-4</v>
      </c>
      <c r="AI19" s="618">
        <f t="shared" si="10"/>
        <v>65880</v>
      </c>
      <c r="AJ19" s="622">
        <f t="shared" si="11"/>
        <v>5.4580924855491331</v>
      </c>
    </row>
    <row r="20" spans="1:36">
      <c r="A20" s="2" t="s">
        <v>19</v>
      </c>
      <c r="B20" s="323">
        <f>$E$242</f>
        <v>6.3670520231213876E-2</v>
      </c>
      <c r="C20" s="10">
        <v>6.1012872106399337E-2</v>
      </c>
      <c r="D20" s="318">
        <v>7.2787946871076453E-2</v>
      </c>
      <c r="E20" s="323">
        <f>$E$242</f>
        <v>6.3670520231213876E-2</v>
      </c>
      <c r="F20" s="10">
        <v>5.149888380217553E-2</v>
      </c>
      <c r="G20" s="318">
        <v>7.2787946871076453E-2</v>
      </c>
      <c r="H20" s="581">
        <f>$E$242</f>
        <v>6.3670520231213876E-2</v>
      </c>
      <c r="I20" s="579">
        <v>0.24870656391536544</v>
      </c>
      <c r="J20" s="580">
        <v>7.2787946871076453E-2</v>
      </c>
      <c r="K20" s="323">
        <f>$E$242</f>
        <v>6.3670520231213876E-2</v>
      </c>
      <c r="L20" s="10">
        <v>0.34045175784329179</v>
      </c>
      <c r="M20" s="318">
        <v>7.2787946871076453E-2</v>
      </c>
      <c r="N20" s="581">
        <f>$E$242</f>
        <v>6.3670520231213876E-2</v>
      </c>
      <c r="O20" s="579">
        <v>0</v>
      </c>
      <c r="P20" s="580">
        <v>0</v>
      </c>
      <c r="Q20" s="323">
        <f>$E$242</f>
        <v>6.3670520231213876E-2</v>
      </c>
      <c r="R20" s="10">
        <v>6.4182394472396251E-2</v>
      </c>
      <c r="S20" s="318">
        <v>7.2787946871076453E-2</v>
      </c>
      <c r="V20" s="315">
        <f t="shared" si="12"/>
        <v>6.3670520231213876E-2</v>
      </c>
      <c r="W20" s="249">
        <f>W24-W14-W16-W17-W18-W19-W21</f>
        <v>0</v>
      </c>
      <c r="X20" s="320">
        <f t="shared" si="6"/>
        <v>6.3670520231213876E-2</v>
      </c>
      <c r="AA20" s="614" t="s">
        <v>91</v>
      </c>
      <c r="AB20" s="617" t="s">
        <v>100</v>
      </c>
      <c r="AC20" s="618">
        <f>ROUND(C242,0)</f>
        <v>2203000</v>
      </c>
      <c r="AD20" s="612">
        <f>($B$29+$E$29+$H$29+$K$29+$N$29)*1000</f>
        <v>21000000</v>
      </c>
      <c r="AE20" s="620">
        <f>AC20/AD20</f>
        <v>0.1049047619047619</v>
      </c>
      <c r="AF20" s="621">
        <f>ROUND(AD20/($B$29+$E$29+$H$29+$K$29+$N$29),3)</f>
        <v>1000</v>
      </c>
      <c r="AG20" s="618">
        <f t="shared" si="8"/>
        <v>0</v>
      </c>
      <c r="AH20" s="620">
        <f>AG20/AD20</f>
        <v>0</v>
      </c>
      <c r="AI20" s="618">
        <f>AC20-AG20</f>
        <v>2203000</v>
      </c>
      <c r="AJ20" s="622">
        <f>AH20*10000</f>
        <v>0</v>
      </c>
    </row>
    <row r="21" spans="1:36" ht="16.5">
      <c r="A21" s="2" t="s">
        <v>18</v>
      </c>
      <c r="B21" s="324">
        <f>$E$243</f>
        <v>1.4046242774566474E-2</v>
      </c>
      <c r="C21" s="14">
        <v>1.5477890159406295E-2</v>
      </c>
      <c r="D21" s="325">
        <v>1.8172206436265118E-2</v>
      </c>
      <c r="E21" s="324">
        <f>$E$243</f>
        <v>1.4046242774566474E-2</v>
      </c>
      <c r="F21" s="14">
        <v>1.2959418954210666E-2</v>
      </c>
      <c r="G21" s="325">
        <v>1.8172206436265118E-2</v>
      </c>
      <c r="H21" s="582">
        <f>$E$243</f>
        <v>1.4046242774566474E-2</v>
      </c>
      <c r="I21" s="583">
        <v>6.4467031704184413E-2</v>
      </c>
      <c r="J21" s="584">
        <v>1.8172206436265118E-2</v>
      </c>
      <c r="K21" s="324">
        <f>$E$243</f>
        <v>1.4046242774566474E-2</v>
      </c>
      <c r="L21" s="14">
        <v>8.3528141258079766E-2</v>
      </c>
      <c r="M21" s="325">
        <v>1.8172206436265118E-2</v>
      </c>
      <c r="N21" s="582">
        <f>$E$243</f>
        <v>1.4046242774566474E-2</v>
      </c>
      <c r="O21" s="583">
        <v>0</v>
      </c>
      <c r="P21" s="584">
        <v>0</v>
      </c>
      <c r="Q21" s="324">
        <f>$E$243</f>
        <v>1.4046242774566474E-2</v>
      </c>
      <c r="R21" s="14">
        <v>1.5675971649095871E-2</v>
      </c>
      <c r="S21" s="325">
        <v>1.8172206436265118E-2</v>
      </c>
      <c r="V21" s="326">
        <f t="shared" si="12"/>
        <v>1.4046242774566476E-2</v>
      </c>
      <c r="W21" s="250">
        <f>W24-W14-W16-W17-W18-W19</f>
        <v>0</v>
      </c>
      <c r="X21" s="327">
        <f t="shared" si="6"/>
        <v>1.4046242774566476E-2</v>
      </c>
      <c r="AA21" s="614" t="s">
        <v>91</v>
      </c>
      <c r="AB21" s="617" t="s">
        <v>99</v>
      </c>
      <c r="AC21" s="623">
        <f>ROUND(C243,0)</f>
        <v>486000</v>
      </c>
      <c r="AD21" s="612">
        <f>$B$64*1000</f>
        <v>34600000</v>
      </c>
      <c r="AE21" s="620">
        <f t="shared" si="7"/>
        <v>1.4046242774566474E-2</v>
      </c>
      <c r="AF21" s="621">
        <f>ROUND(AD21/$B$64,3)</f>
        <v>1000</v>
      </c>
      <c r="AG21" s="623">
        <f t="shared" si="8"/>
        <v>0</v>
      </c>
      <c r="AH21" s="620">
        <f t="shared" si="9"/>
        <v>0</v>
      </c>
      <c r="AI21" s="623">
        <f t="shared" si="10"/>
        <v>486000</v>
      </c>
      <c r="AJ21" s="622">
        <f t="shared" si="11"/>
        <v>0</v>
      </c>
    </row>
    <row r="22" spans="1:36" ht="16.5">
      <c r="A22" s="328" t="s">
        <v>225</v>
      </c>
      <c r="B22" s="323">
        <f t="shared" ref="B22:K22" si="13">SUM(B16:B21)</f>
        <v>0.10327622641676884</v>
      </c>
      <c r="C22" s="10">
        <f t="shared" si="13"/>
        <v>0.10864978350868934</v>
      </c>
      <c r="D22" s="318">
        <f t="shared" si="13"/>
        <v>0.1217748176258054</v>
      </c>
      <c r="E22" s="323">
        <f t="shared" si="13"/>
        <v>0.10327622641676884</v>
      </c>
      <c r="F22" s="10">
        <f t="shared" si="13"/>
        <v>9.686744004966355E-2</v>
      </c>
      <c r="G22" s="318">
        <f t="shared" si="13"/>
        <v>0.1217748176258054</v>
      </c>
      <c r="H22" s="581">
        <f t="shared" si="13"/>
        <v>0.10327622641676884</v>
      </c>
      <c r="I22" s="579">
        <f t="shared" ref="I22:J22" si="14">SUM(I16:I21)</f>
        <v>0.35363587567907728</v>
      </c>
      <c r="J22" s="580">
        <f t="shared" si="14"/>
        <v>0.1217748176258054</v>
      </c>
      <c r="K22" s="323">
        <f t="shared" si="13"/>
        <v>0.10327622641676884</v>
      </c>
      <c r="L22" s="10">
        <f t="shared" ref="L22:P22" si="15">SUM(L16:L21)</f>
        <v>0.51685180513952378</v>
      </c>
      <c r="M22" s="318">
        <f t="shared" si="15"/>
        <v>0.1217748176258054</v>
      </c>
      <c r="N22" s="581">
        <f t="shared" si="15"/>
        <v>0.10327622641676884</v>
      </c>
      <c r="O22" s="579">
        <f t="shared" si="15"/>
        <v>0</v>
      </c>
      <c r="P22" s="580">
        <f t="shared" si="15"/>
        <v>0</v>
      </c>
      <c r="Q22" s="323">
        <f>SUM(Q16:Q21)</f>
        <v>0.10327622641676884</v>
      </c>
      <c r="R22" s="10">
        <f t="shared" ref="R22:S22" si="16">SUM(R16:R21)</f>
        <v>0.10328935470161633</v>
      </c>
      <c r="S22" s="318">
        <f t="shared" si="16"/>
        <v>0.1217748176258054</v>
      </c>
      <c r="V22" s="315">
        <f>SUM(V16:V21)</f>
        <v>0.10327622641676885</v>
      </c>
      <c r="W22" s="249">
        <f>SUM(W16:W21)</f>
        <v>2.3655412771994622E-2</v>
      </c>
      <c r="X22" s="320">
        <f>SUM(X16:X21)</f>
        <v>7.9620813644774233E-2</v>
      </c>
      <c r="AA22" s="624"/>
      <c r="AB22" s="625"/>
      <c r="AC22" s="623">
        <f>SUM(AC16:AC21)</f>
        <v>3614932</v>
      </c>
      <c r="AD22" s="626"/>
      <c r="AE22" s="612"/>
      <c r="AF22" s="612"/>
      <c r="AG22" s="623">
        <f>SUM(AG16:AG21)</f>
        <v>818478</v>
      </c>
      <c r="AH22" s="612"/>
      <c r="AI22" s="623">
        <f>SUM(AI16:AI21)</f>
        <v>2796454</v>
      </c>
      <c r="AJ22" s="612"/>
    </row>
    <row r="23" spans="1:36">
      <c r="A23" s="509"/>
      <c r="B23" s="323"/>
      <c r="C23" s="10"/>
      <c r="D23" s="318"/>
      <c r="E23" s="323"/>
      <c r="F23" s="10"/>
      <c r="G23" s="513"/>
      <c r="H23" s="581"/>
      <c r="I23" s="579"/>
      <c r="J23" s="580"/>
      <c r="K23" s="323"/>
      <c r="L23" s="10"/>
      <c r="M23" s="513"/>
      <c r="N23" s="581"/>
      <c r="O23" s="579"/>
      <c r="P23" s="580"/>
      <c r="Q23" s="323"/>
      <c r="R23" s="10"/>
      <c r="S23" s="513"/>
      <c r="V23" s="315"/>
      <c r="W23" s="249"/>
      <c r="X23" s="320"/>
      <c r="AA23" s="866" t="s">
        <v>226</v>
      </c>
      <c r="AB23" s="866"/>
      <c r="AC23" s="627">
        <f>AC14+AC22</f>
        <v>4519535</v>
      </c>
      <c r="AD23" s="626"/>
      <c r="AE23" s="612"/>
      <c r="AF23" s="612"/>
      <c r="AG23" s="627">
        <f>AG14+AG22</f>
        <v>1723081</v>
      </c>
      <c r="AH23" s="612"/>
      <c r="AI23" s="628">
        <f>AI14+AI22</f>
        <v>2796454</v>
      </c>
      <c r="AJ23" s="612"/>
    </row>
    <row r="24" spans="1:36" ht="15.75" thickBot="1">
      <c r="A24" s="526" t="s">
        <v>365</v>
      </c>
      <c r="B24" s="502">
        <f t="shared" ref="B24:P24" si="17">B14+B22</f>
        <v>0.41123685352547701</v>
      </c>
      <c r="C24" s="503">
        <f t="shared" si="17"/>
        <v>0.34123725545900196</v>
      </c>
      <c r="D24" s="504">
        <f t="shared" si="17"/>
        <v>0.40641119092521721</v>
      </c>
      <c r="E24" s="502">
        <f t="shared" si="17"/>
        <v>0.408875392347818</v>
      </c>
      <c r="F24" s="503">
        <f t="shared" si="17"/>
        <v>0.32716510658194697</v>
      </c>
      <c r="G24" s="504">
        <f t="shared" si="17"/>
        <v>0.40641119092521721</v>
      </c>
      <c r="H24" s="585">
        <f t="shared" si="17"/>
        <v>0.1294208136447742</v>
      </c>
      <c r="I24" s="586">
        <f t="shared" si="17"/>
        <v>0.7754360509974263</v>
      </c>
      <c r="J24" s="587">
        <f t="shared" si="17"/>
        <v>0.70418561392521739</v>
      </c>
      <c r="K24" s="502">
        <f t="shared" si="17"/>
        <v>0.53693933800233373</v>
      </c>
      <c r="L24" s="503">
        <f t="shared" si="17"/>
        <v>0.84702490934888841</v>
      </c>
      <c r="M24" s="504">
        <f t="shared" si="17"/>
        <v>0.45489138311503274</v>
      </c>
      <c r="N24" s="585">
        <f t="shared" si="17"/>
        <v>0.1294208136447742</v>
      </c>
      <c r="O24" s="586">
        <f t="shared" si="17"/>
        <v>0</v>
      </c>
      <c r="P24" s="587">
        <f t="shared" si="17"/>
        <v>0</v>
      </c>
      <c r="Q24" s="502">
        <f>Q14+Q22</f>
        <v>0.43701161176133096</v>
      </c>
      <c r="R24" s="503">
        <f t="shared" ref="R24:S24" si="18">R14+R22</f>
        <v>0.36619670427594136</v>
      </c>
      <c r="S24" s="504">
        <f t="shared" si="18"/>
        <v>0.4223822488891068</v>
      </c>
      <c r="V24" s="333">
        <f>V14+V22</f>
        <v>0.40637168505180482</v>
      </c>
      <c r="W24" s="334">
        <f>0.0498+V6+V7+V8</f>
        <v>0.32675087140703057</v>
      </c>
      <c r="X24" s="335">
        <f>X14+X22</f>
        <v>7.9620813644774233E-2</v>
      </c>
      <c r="AA24" s="866" t="s">
        <v>227</v>
      </c>
      <c r="AB24" s="866"/>
      <c r="AC24" s="629">
        <f>ROUND(AC23/AC29,5)</f>
        <v>0.13062000000000001</v>
      </c>
      <c r="AD24" s="630"/>
      <c r="AE24" s="612"/>
      <c r="AF24" s="612"/>
      <c r="AG24" s="629">
        <f>ROUND(AG23/AC29,5)</f>
        <v>4.9799999999999997E-2</v>
      </c>
      <c r="AH24" s="612"/>
      <c r="AI24" s="629">
        <f>ROUND(AI23/AC29,5)</f>
        <v>8.0820000000000003E-2</v>
      </c>
      <c r="AJ24" s="612"/>
    </row>
    <row r="25" spans="1:36">
      <c r="A25" s="501" t="s">
        <v>368</v>
      </c>
      <c r="B25" s="494">
        <f>-B7</f>
        <v>-8.8727451325727999E-2</v>
      </c>
      <c r="C25" s="497"/>
      <c r="D25" s="498">
        <v>-2.8073919999999999E-2</v>
      </c>
      <c r="E25" s="494">
        <f>-E7</f>
        <v>-8.6431060398406367E-2</v>
      </c>
      <c r="F25" s="497"/>
      <c r="G25" s="498">
        <v>-2.8073919999999999E-2</v>
      </c>
      <c r="H25" s="588">
        <f>-H7</f>
        <v>0</v>
      </c>
      <c r="I25" s="589"/>
      <c r="J25" s="590">
        <v>-0.22562455300000001</v>
      </c>
      <c r="K25" s="494">
        <f>-K7</f>
        <v>-9.4857323033265009E-2</v>
      </c>
      <c r="L25" s="497"/>
      <c r="M25" s="498">
        <v>-2.8869620053602395E-2</v>
      </c>
      <c r="N25" s="588">
        <f>-N7</f>
        <v>0</v>
      </c>
      <c r="O25" s="589"/>
      <c r="P25" s="590"/>
      <c r="Q25" s="494">
        <f>-Q7</f>
        <v>-8.8917149785448915E-2</v>
      </c>
      <c r="R25" s="497"/>
      <c r="S25" s="498">
        <v>-2.7061741239049669E-2</v>
      </c>
      <c r="V25" s="499">
        <v>0</v>
      </c>
      <c r="W25" s="493"/>
      <c r="X25" s="493"/>
      <c r="AA25" s="631"/>
      <c r="AB25" s="631"/>
      <c r="AC25" s="629"/>
      <c r="AD25" s="630"/>
      <c r="AE25" s="612"/>
      <c r="AF25" s="612"/>
      <c r="AG25" s="629"/>
      <c r="AH25" s="612"/>
      <c r="AI25" s="629"/>
      <c r="AJ25" s="612"/>
    </row>
    <row r="26" spans="1:36">
      <c r="A26" s="328" t="s">
        <v>367</v>
      </c>
      <c r="B26" s="323">
        <f t="shared" ref="B26:S26" si="19">IF(B9+B10+B11+B12+B13+B22&gt;0.0498,0.0498-B9-B10-B11-B12-B13-B22,0)</f>
        <v>-7.9620813644774191E-2</v>
      </c>
      <c r="C26" s="544">
        <v>-7.9184631924661131E-2</v>
      </c>
      <c r="D26" s="318">
        <f t="shared" si="19"/>
        <v>-0.10097661092521729</v>
      </c>
      <c r="E26" s="323">
        <f>IF(E9+E10+E11+E12+E13+E22&gt;0.0498,0.0498-E9-E10-E11-E12-E13-E22,0)</f>
        <v>-7.9620813644774191E-2</v>
      </c>
      <c r="F26" s="544">
        <f t="shared" si="19"/>
        <v>-6.4407030619131556E-2</v>
      </c>
      <c r="G26" s="318">
        <f t="shared" si="19"/>
        <v>-0.10097661092521729</v>
      </c>
      <c r="H26" s="581">
        <f>IF(H9+H10+H11+H12+H13+H22&gt;0.0498,0.0498-H9-H10-H11-H12-H13-H22,0)</f>
        <v>-7.9620813644774191E-2</v>
      </c>
      <c r="I26" s="591">
        <v>-0.36723742753134692</v>
      </c>
      <c r="J26" s="580">
        <f t="shared" si="19"/>
        <v>-0.10097661092521729</v>
      </c>
      <c r="K26" s="323">
        <f t="shared" si="19"/>
        <v>-7.9620813644774191E-2</v>
      </c>
      <c r="L26" s="544">
        <f t="shared" si="19"/>
        <v>-0.54222065268800246</v>
      </c>
      <c r="M26" s="318">
        <f t="shared" si="19"/>
        <v>-0.10097661092521729</v>
      </c>
      <c r="N26" s="581">
        <f t="shared" si="19"/>
        <v>-7.9620813644774191E-2</v>
      </c>
      <c r="O26" s="591">
        <f t="shared" si="19"/>
        <v>0</v>
      </c>
      <c r="P26" s="580">
        <f t="shared" si="19"/>
        <v>0</v>
      </c>
      <c r="Q26" s="323">
        <f t="shared" si="19"/>
        <v>-7.9620813644774191E-2</v>
      </c>
      <c r="R26" s="544">
        <f t="shared" si="19"/>
        <v>-8.3948721604540533E-2</v>
      </c>
      <c r="S26" s="318">
        <f t="shared" si="19"/>
        <v>-0.10097661092521729</v>
      </c>
      <c r="V26" s="499">
        <f>($B26*$B$29+$E26*$E$29+$H26*$H$29+$K26*$K$29+$N26*$N$29+$Q26*$Q$29+$B57*$B$60+$E57*$E$60+$H57*$H$60+$K57*$K$60+$N57*$N$60+$Q57*$Q$60)/$B$64</f>
        <v>-7.9620813644774191E-2</v>
      </c>
      <c r="W26" s="495"/>
      <c r="X26" s="495"/>
      <c r="AA26" s="612"/>
      <c r="AB26" s="612"/>
      <c r="AC26" s="632"/>
      <c r="AD26" s="625"/>
      <c r="AE26" s="612"/>
      <c r="AF26" s="612"/>
      <c r="AG26" s="632"/>
      <c r="AH26" s="612"/>
      <c r="AI26" s="632"/>
      <c r="AJ26" s="612"/>
    </row>
    <row r="27" spans="1:36" ht="15.75" thickBot="1">
      <c r="A27" s="526" t="s">
        <v>366</v>
      </c>
      <c r="B27" s="502">
        <f t="shared" ref="B27:S27" si="20">SUM(B24:B26)</f>
        <v>0.2428885885549748</v>
      </c>
      <c r="C27" s="503">
        <f t="shared" si="20"/>
        <v>0.26205262353434083</v>
      </c>
      <c r="D27" s="504">
        <f t="shared" si="20"/>
        <v>0.27736065999999993</v>
      </c>
      <c r="E27" s="502">
        <f t="shared" si="20"/>
        <v>0.24282351830463744</v>
      </c>
      <c r="F27" s="503">
        <f t="shared" si="20"/>
        <v>0.26275807596281542</v>
      </c>
      <c r="G27" s="504">
        <f t="shared" si="20"/>
        <v>0.27736065999999993</v>
      </c>
      <c r="H27" s="585">
        <f t="shared" si="20"/>
        <v>4.9800000000000011E-2</v>
      </c>
      <c r="I27" s="586">
        <f t="shared" si="20"/>
        <v>0.40819862346607938</v>
      </c>
      <c r="J27" s="587">
        <f t="shared" si="20"/>
        <v>0.37758445000000007</v>
      </c>
      <c r="K27" s="502">
        <f t="shared" si="20"/>
        <v>0.36246120132429455</v>
      </c>
      <c r="L27" s="503">
        <f t="shared" si="20"/>
        <v>0.30480425666088595</v>
      </c>
      <c r="M27" s="504">
        <f t="shared" si="20"/>
        <v>0.3250451521362131</v>
      </c>
      <c r="N27" s="585">
        <f t="shared" si="20"/>
        <v>4.9800000000000011E-2</v>
      </c>
      <c r="O27" s="586">
        <f t="shared" si="20"/>
        <v>0</v>
      </c>
      <c r="P27" s="587">
        <f t="shared" si="20"/>
        <v>0</v>
      </c>
      <c r="Q27" s="502">
        <f t="shared" si="20"/>
        <v>0.26847364833110787</v>
      </c>
      <c r="R27" s="503">
        <f t="shared" si="20"/>
        <v>0.28224798267140083</v>
      </c>
      <c r="S27" s="504">
        <f t="shared" si="20"/>
        <v>0.29434389672483985</v>
      </c>
      <c r="V27" s="333">
        <f>SUM(V24:V26)</f>
        <v>0.32675087140703063</v>
      </c>
      <c r="W27" s="334"/>
      <c r="X27" s="335"/>
      <c r="AA27" s="866"/>
      <c r="AB27" s="866"/>
      <c r="AC27" s="629"/>
      <c r="AD27" s="630"/>
      <c r="AE27" s="612"/>
      <c r="AF27" s="612"/>
      <c r="AG27" s="629"/>
      <c r="AH27" s="612"/>
      <c r="AI27" s="629"/>
      <c r="AJ27" s="612"/>
    </row>
    <row r="28" spans="1:36" ht="15.75" thickBot="1">
      <c r="A28" s="509"/>
      <c r="B28" s="558"/>
      <c r="D28" s="511"/>
      <c r="E28" s="558"/>
      <c r="G28" s="511"/>
      <c r="H28" s="592"/>
      <c r="I28" s="593"/>
      <c r="J28" s="594"/>
      <c r="K28" s="558"/>
      <c r="M28" s="511"/>
      <c r="N28" s="592"/>
      <c r="O28" s="593"/>
      <c r="P28" s="594"/>
      <c r="Q28" s="558"/>
      <c r="S28" s="511"/>
      <c r="AA28" s="866" t="s">
        <v>228</v>
      </c>
      <c r="AB28" s="866"/>
      <c r="AC28" s="629">
        <f>ROUND((AC24+(B8*B29+E8*E29+H8*H29+K8*K29+N8*N29+Q8*Q29)/B64),5)</f>
        <v>0.16763</v>
      </c>
      <c r="AD28" s="624"/>
      <c r="AE28" s="612"/>
      <c r="AF28" s="612"/>
      <c r="AG28" s="629">
        <f>ROUND(AG24+W8,5)</f>
        <v>0.11626</v>
      </c>
      <c r="AH28" s="612"/>
      <c r="AI28" s="629">
        <f>ROUND(AI24+X8,5)</f>
        <v>8.0820000000000003E-2</v>
      </c>
      <c r="AJ28" s="612"/>
    </row>
    <row r="29" spans="1:36" ht="15.75" thickBot="1">
      <c r="A29" s="526" t="s">
        <v>392</v>
      </c>
      <c r="B29" s="517">
        <v>10000</v>
      </c>
      <c r="C29" s="518">
        <v>15431</v>
      </c>
      <c r="D29" s="519">
        <v>8700</v>
      </c>
      <c r="E29" s="517">
        <v>10000</v>
      </c>
      <c r="F29" s="518">
        <v>9412</v>
      </c>
      <c r="G29" s="519"/>
      <c r="H29" s="595">
        <v>0</v>
      </c>
      <c r="I29" s="596">
        <v>74</v>
      </c>
      <c r="J29" s="597">
        <v>600</v>
      </c>
      <c r="K29" s="517">
        <v>1000</v>
      </c>
      <c r="L29" s="518">
        <v>254</v>
      </c>
      <c r="M29" s="519">
        <v>2664</v>
      </c>
      <c r="N29" s="595">
        <f>$B$85</f>
        <v>0</v>
      </c>
      <c r="O29" s="596">
        <v>0</v>
      </c>
      <c r="P29" s="597">
        <v>0</v>
      </c>
      <c r="Q29" s="517">
        <v>1300</v>
      </c>
      <c r="R29" s="518">
        <v>3647.15</v>
      </c>
      <c r="S29" s="519">
        <v>11002</v>
      </c>
      <c r="V29" s="339">
        <f>B29+E29+H29+K29+N29+Q29+B60+E60+H60+K60+N60+Q60</f>
        <v>34600</v>
      </c>
      <c r="AA29" s="867" t="s">
        <v>215</v>
      </c>
      <c r="AB29" s="867"/>
      <c r="AC29" s="633">
        <f>ROUND($B$64*1000,0)</f>
        <v>34600000</v>
      </c>
      <c r="AD29" s="624"/>
      <c r="AE29" s="612"/>
      <c r="AF29" s="612"/>
      <c r="AG29" s="631"/>
      <c r="AH29" s="612"/>
      <c r="AI29" s="631"/>
      <c r="AJ29" s="612"/>
    </row>
    <row r="30" spans="1:36">
      <c r="A30" s="505"/>
      <c r="B30" s="557"/>
      <c r="C30" s="4"/>
      <c r="D30" s="508"/>
      <c r="E30" s="557"/>
      <c r="F30" s="4"/>
      <c r="G30" s="508"/>
      <c r="H30" s="598"/>
      <c r="I30" s="599"/>
      <c r="J30" s="600"/>
      <c r="K30" s="557"/>
      <c r="L30" s="4"/>
      <c r="M30" s="508"/>
      <c r="N30" s="598"/>
      <c r="O30" s="599"/>
      <c r="P30" s="600"/>
      <c r="Q30" s="557"/>
      <c r="R30" s="4"/>
      <c r="S30" s="508"/>
      <c r="AA30" s="341"/>
      <c r="AB30" s="341"/>
      <c r="AC30" s="342"/>
      <c r="AD30" s="1"/>
      <c r="AG30" s="176"/>
      <c r="AI30" s="176"/>
    </row>
    <row r="31" spans="1:36">
      <c r="A31" s="564"/>
      <c r="B31" s="502"/>
      <c r="C31" s="543"/>
      <c r="D31" s="556"/>
      <c r="E31" s="502"/>
      <c r="F31" s="543"/>
      <c r="G31" s="504"/>
      <c r="H31" s="502"/>
      <c r="I31" s="543"/>
      <c r="J31" s="556"/>
      <c r="K31" s="502"/>
      <c r="L31" s="543"/>
      <c r="M31" s="556"/>
      <c r="N31" s="502"/>
      <c r="O31" s="543"/>
      <c r="P31" s="504"/>
      <c r="Q31" s="502"/>
      <c r="R31" s="543"/>
      <c r="S31" s="556"/>
      <c r="AA31" s="341"/>
      <c r="AB31" s="341"/>
      <c r="AC31" s="342"/>
      <c r="AD31" s="1"/>
      <c r="AG31" s="176"/>
      <c r="AI31" s="176"/>
    </row>
    <row r="32" spans="1:36">
      <c r="A32" s="505"/>
      <c r="B32" s="515"/>
      <c r="C32" s="507"/>
      <c r="D32" s="507"/>
      <c r="E32" s="509"/>
      <c r="F32" s="509"/>
      <c r="G32" s="509"/>
      <c r="H32" s="516"/>
      <c r="I32" s="509"/>
      <c r="J32" s="509"/>
      <c r="K32" s="509"/>
      <c r="L32" s="509"/>
      <c r="M32" s="509"/>
      <c r="N32" s="509"/>
      <c r="O32" s="509"/>
      <c r="P32" s="509"/>
      <c r="Q32" s="509"/>
      <c r="R32" s="509"/>
      <c r="S32" s="509"/>
      <c r="AA32" s="341"/>
      <c r="AB32" s="341"/>
      <c r="AC32" s="342"/>
      <c r="AD32" s="1"/>
      <c r="AG32" s="176"/>
      <c r="AI32" s="176"/>
    </row>
    <row r="33" spans="1:35">
      <c r="A33" s="505"/>
      <c r="B33" s="515"/>
      <c r="C33" s="507"/>
      <c r="D33" s="507"/>
      <c r="E33" s="509"/>
      <c r="F33" s="509"/>
      <c r="G33" s="509"/>
      <c r="H33" s="516"/>
      <c r="I33" s="509"/>
      <c r="J33" s="509"/>
      <c r="K33" s="509"/>
      <c r="L33" s="509"/>
      <c r="M33" s="509"/>
      <c r="N33" s="509"/>
      <c r="O33" s="509"/>
      <c r="P33" s="509"/>
      <c r="Q33" s="509"/>
      <c r="R33" s="509"/>
      <c r="S33" s="509"/>
      <c r="AA33" s="341"/>
      <c r="AB33" s="341"/>
      <c r="AC33" s="342"/>
      <c r="AD33" s="1"/>
      <c r="AG33" s="176"/>
      <c r="AI33" s="176"/>
    </row>
    <row r="34" spans="1:35" ht="16.899999999999999" customHeight="1">
      <c r="A34" s="340"/>
      <c r="B34" s="860" t="s">
        <v>322</v>
      </c>
      <c r="C34" s="861"/>
      <c r="D34" s="862"/>
      <c r="E34" s="860" t="s">
        <v>323</v>
      </c>
      <c r="F34" s="861"/>
      <c r="G34" s="862"/>
      <c r="H34" s="860" t="s">
        <v>400</v>
      </c>
      <c r="I34" s="861"/>
      <c r="J34" s="862"/>
      <c r="K34" s="868" t="s">
        <v>325</v>
      </c>
      <c r="L34" s="869"/>
      <c r="M34" s="870"/>
      <c r="N34" s="874" t="s">
        <v>407</v>
      </c>
      <c r="O34" s="875"/>
      <c r="P34" s="876"/>
      <c r="Q34" s="874" t="s">
        <v>407</v>
      </c>
      <c r="R34" s="875"/>
      <c r="S34" s="876"/>
      <c r="AA34" s="341"/>
      <c r="AB34" s="341"/>
      <c r="AC34" s="342"/>
      <c r="AD34" s="1"/>
      <c r="AG34" s="176"/>
      <c r="AI34" s="176"/>
    </row>
    <row r="35" spans="1:35" ht="15" customHeight="1">
      <c r="A35" s="340"/>
      <c r="B35" s="304" t="str">
        <f>+B4</f>
        <v>20 Standard</v>
      </c>
      <c r="C35" s="305" t="s">
        <v>402</v>
      </c>
      <c r="D35" s="306" t="str">
        <f>+D4</f>
        <v>19 Standard</v>
      </c>
      <c r="E35" s="304" t="str">
        <f>+B4</f>
        <v>20 Standard</v>
      </c>
      <c r="F35" s="305" t="s">
        <v>402</v>
      </c>
      <c r="G35" s="306" t="str">
        <f>+D4</f>
        <v>19 Standard</v>
      </c>
      <c r="H35" s="304" t="str">
        <f>+B4</f>
        <v>20 Standard</v>
      </c>
      <c r="I35" s="305" t="s">
        <v>402</v>
      </c>
      <c r="J35" s="306" t="str">
        <f>+D4</f>
        <v>19 Standard</v>
      </c>
      <c r="K35" s="304" t="str">
        <f>+B4</f>
        <v>20 Standard</v>
      </c>
      <c r="L35" s="305" t="s">
        <v>402</v>
      </c>
      <c r="M35" s="306" t="str">
        <f>+D4</f>
        <v>19 Standard</v>
      </c>
      <c r="N35" s="569" t="str">
        <f>+B4</f>
        <v>20 Standard</v>
      </c>
      <c r="O35" s="570" t="s">
        <v>402</v>
      </c>
      <c r="P35" s="571" t="str">
        <f>+D4</f>
        <v>19 Standard</v>
      </c>
      <c r="Q35" s="569" t="str">
        <f>+B4</f>
        <v>20 Standard</v>
      </c>
      <c r="R35" s="570" t="s">
        <v>402</v>
      </c>
      <c r="S35" s="571" t="str">
        <f>+D4</f>
        <v>19 Standard</v>
      </c>
      <c r="AA35" s="341"/>
      <c r="AB35" s="341"/>
      <c r="AC35" s="342"/>
      <c r="AD35" s="1"/>
      <c r="AG35" s="176"/>
      <c r="AI35" s="176"/>
    </row>
    <row r="36" spans="1:35">
      <c r="A36" s="340"/>
      <c r="B36" s="307"/>
      <c r="C36" s="111" t="s">
        <v>401</v>
      </c>
      <c r="D36" s="308"/>
      <c r="E36" s="307"/>
      <c r="F36" s="111" t="s">
        <v>401</v>
      </c>
      <c r="G36" s="308"/>
      <c r="H36" s="307"/>
      <c r="I36" s="111" t="s">
        <v>401</v>
      </c>
      <c r="J36" s="308"/>
      <c r="K36" s="307"/>
      <c r="L36" s="111" t="s">
        <v>401</v>
      </c>
      <c r="M36" s="308"/>
      <c r="N36" s="572"/>
      <c r="O36" s="573"/>
      <c r="P36" s="574"/>
      <c r="Q36" s="572"/>
      <c r="R36" s="573"/>
      <c r="S36" s="574"/>
      <c r="AA36" s="341"/>
      <c r="AB36" s="341"/>
      <c r="AC36" s="342"/>
      <c r="AD36" s="1"/>
      <c r="AG36" s="176"/>
      <c r="AI36" s="176"/>
    </row>
    <row r="37" spans="1:35">
      <c r="A37" s="6" t="s">
        <v>223</v>
      </c>
      <c r="B37" s="312">
        <f>E148</f>
        <v>0.19598455598455597</v>
      </c>
      <c r="C37" s="190">
        <v>0.34054143154143152</v>
      </c>
      <c r="D37" s="313">
        <v>0.24705272333848535</v>
      </c>
      <c r="E37" s="312">
        <f>G148</f>
        <v>0.41539541165776384</v>
      </c>
      <c r="F37" s="190">
        <v>0.41049999999999998</v>
      </c>
      <c r="G37" s="313">
        <v>0.41971568295623746</v>
      </c>
      <c r="H37" s="312">
        <f>I148</f>
        <v>0.29172285629901884</v>
      </c>
      <c r="I37" s="190">
        <v>0.26541432306194557</v>
      </c>
      <c r="J37" s="313">
        <v>0</v>
      </c>
      <c r="K37" s="312">
        <f>K148</f>
        <v>1.8829093264248706</v>
      </c>
      <c r="L37" s="190">
        <v>0</v>
      </c>
      <c r="M37" s="313">
        <v>1.8876071243523318</v>
      </c>
      <c r="N37" s="575">
        <f>M148</f>
        <v>0</v>
      </c>
      <c r="O37" s="576">
        <v>0</v>
      </c>
      <c r="P37" s="577">
        <v>0</v>
      </c>
      <c r="Q37" s="575">
        <f>O148</f>
        <v>0</v>
      </c>
      <c r="R37" s="576">
        <v>0</v>
      </c>
      <c r="S37" s="577">
        <v>0</v>
      </c>
      <c r="AA37" s="341"/>
      <c r="AB37" s="341"/>
      <c r="AC37" s="342"/>
      <c r="AD37" s="1"/>
      <c r="AG37" s="176"/>
      <c r="AI37" s="176"/>
    </row>
    <row r="38" spans="1:35">
      <c r="A38" s="500" t="s">
        <v>362</v>
      </c>
      <c r="B38" s="317">
        <f>$C135*D135</f>
        <v>0.10656370656370655</v>
      </c>
      <c r="C38" s="40"/>
      <c r="D38" s="318">
        <v>0.14908529211746521</v>
      </c>
      <c r="E38" s="317">
        <f>$C133*F133</f>
        <v>0.1175958255114443</v>
      </c>
      <c r="F38" s="10"/>
      <c r="G38" s="318">
        <v>3.4805886386358467E-2</v>
      </c>
      <c r="H38" s="317">
        <f>$C130*H130</f>
        <v>0.18665445913869111</v>
      </c>
      <c r="I38" s="10"/>
      <c r="J38" s="318">
        <v>0</v>
      </c>
      <c r="K38" s="317">
        <f>$C134*J134</f>
        <v>0.16177979274611401</v>
      </c>
      <c r="L38" s="10"/>
      <c r="M38" s="318">
        <v>7.4705958549222806E-3</v>
      </c>
      <c r="N38" s="578">
        <v>0</v>
      </c>
      <c r="O38" s="579"/>
      <c r="P38" s="580">
        <v>0</v>
      </c>
      <c r="Q38" s="578">
        <v>0</v>
      </c>
      <c r="R38" s="579"/>
      <c r="S38" s="580">
        <v>0</v>
      </c>
      <c r="AA38" s="341"/>
      <c r="AB38" s="341"/>
      <c r="AC38" s="342"/>
      <c r="AD38" s="1"/>
      <c r="AG38" s="176"/>
      <c r="AI38" s="176"/>
    </row>
    <row r="39" spans="1:35">
      <c r="A39" s="6" t="s">
        <v>373</v>
      </c>
      <c r="B39" s="317">
        <f>E149+E150</f>
        <v>8.681591575091574E-2</v>
      </c>
      <c r="C39" s="10">
        <v>9.3737946737946748E-2</v>
      </c>
      <c r="D39" s="318">
        <v>5.4021222256568774E-2</v>
      </c>
      <c r="E39" s="317">
        <f>G149+G150</f>
        <v>4.4288615549632829E-2</v>
      </c>
      <c r="F39" s="10">
        <v>4.389437130396593E-2</v>
      </c>
      <c r="G39" s="318">
        <v>3.7426675477251953E-2</v>
      </c>
      <c r="H39" s="317">
        <f>I149+I150</f>
        <v>0.10420357547847456</v>
      </c>
      <c r="I39" s="10">
        <v>4.8438019813532553E-2</v>
      </c>
      <c r="J39" s="318">
        <v>0</v>
      </c>
      <c r="K39" s="317">
        <f>K149+K150</f>
        <v>4.2578634824999996E-2</v>
      </c>
      <c r="L39" s="10">
        <v>0</v>
      </c>
      <c r="M39" s="318">
        <v>4.4929537499999991E-2</v>
      </c>
      <c r="N39" s="578">
        <f>M149+M150</f>
        <v>0</v>
      </c>
      <c r="O39" s="579">
        <v>0</v>
      </c>
      <c r="P39" s="580">
        <v>0</v>
      </c>
      <c r="Q39" s="578">
        <f>O149</f>
        <v>0</v>
      </c>
      <c r="R39" s="579">
        <v>0</v>
      </c>
      <c r="S39" s="580">
        <v>0</v>
      </c>
      <c r="AA39" s="341"/>
      <c r="AB39" s="341"/>
      <c r="AC39" s="342"/>
      <c r="AD39" s="1"/>
      <c r="AG39" s="176"/>
      <c r="AI39" s="176"/>
    </row>
    <row r="40" spans="1:35">
      <c r="A40" s="6" t="s">
        <v>8</v>
      </c>
      <c r="B40" s="317">
        <f>E168</f>
        <v>1.0135435073031706E-2</v>
      </c>
      <c r="C40" s="10">
        <v>2.6041382041382042E-2</v>
      </c>
      <c r="D40" s="318">
        <v>1.0725999999999999E-2</v>
      </c>
      <c r="E40" s="317">
        <f>G168</f>
        <v>1.0135435073031706E-2</v>
      </c>
      <c r="F40" s="10">
        <v>1.4645894009708308E-2</v>
      </c>
      <c r="G40" s="318">
        <v>1.0725999999999999E-2</v>
      </c>
      <c r="H40" s="317">
        <f>I168</f>
        <v>1.0135435073031706E-2</v>
      </c>
      <c r="I40" s="10">
        <v>1.0462455295705731E-2</v>
      </c>
      <c r="J40" s="318">
        <v>0</v>
      </c>
      <c r="K40" s="317">
        <f>K168</f>
        <v>1.0135435073031706E-2</v>
      </c>
      <c r="L40" s="10">
        <v>0</v>
      </c>
      <c r="M40" s="318">
        <v>1.0725999999999999E-2</v>
      </c>
      <c r="N40" s="578">
        <f>M168</f>
        <v>0</v>
      </c>
      <c r="O40" s="579">
        <v>0</v>
      </c>
      <c r="P40" s="580">
        <v>0</v>
      </c>
      <c r="Q40" s="578">
        <f>O168</f>
        <v>0</v>
      </c>
      <c r="R40" s="579">
        <v>0</v>
      </c>
      <c r="S40" s="580">
        <v>0</v>
      </c>
      <c r="AA40" s="341"/>
      <c r="AB40" s="341"/>
      <c r="AC40" s="342"/>
      <c r="AD40" s="1"/>
      <c r="AG40" s="176"/>
      <c r="AI40" s="176"/>
    </row>
    <row r="41" spans="1:35">
      <c r="A41" s="2" t="s">
        <v>9</v>
      </c>
      <c r="B41" s="317">
        <f>E169</f>
        <v>1.124759091389829E-3</v>
      </c>
      <c r="C41" s="10">
        <v>1.6828036828036826E-3</v>
      </c>
      <c r="D41" s="318">
        <v>1.2600000000000001E-3</v>
      </c>
      <c r="E41" s="317">
        <f>G169</f>
        <v>1.124759091389829E-3</v>
      </c>
      <c r="F41" s="10">
        <v>5.5474856174528601E-3</v>
      </c>
      <c r="G41" s="318">
        <v>1.2600000000000001E-3</v>
      </c>
      <c r="H41" s="317">
        <f>I169</f>
        <v>1.124759091389829E-3</v>
      </c>
      <c r="I41" s="10">
        <v>8.430598374822016E-4</v>
      </c>
      <c r="J41" s="318">
        <v>0</v>
      </c>
      <c r="K41" s="317">
        <f>K169</f>
        <v>1.124759091389829E-3</v>
      </c>
      <c r="L41" s="10">
        <v>0</v>
      </c>
      <c r="M41" s="318">
        <v>1.2600000000000001E-3</v>
      </c>
      <c r="N41" s="578">
        <f>M169</f>
        <v>0</v>
      </c>
      <c r="O41" s="579">
        <v>0</v>
      </c>
      <c r="P41" s="580">
        <v>0</v>
      </c>
      <c r="Q41" s="578">
        <f>O169</f>
        <v>0</v>
      </c>
      <c r="R41" s="579">
        <v>0</v>
      </c>
      <c r="S41" s="580">
        <v>0</v>
      </c>
      <c r="AA41" s="341"/>
      <c r="AB41" s="341"/>
      <c r="AC41" s="342"/>
      <c r="AD41" s="1"/>
      <c r="AG41" s="176"/>
      <c r="AI41" s="176"/>
    </row>
    <row r="42" spans="1:35">
      <c r="A42" s="6" t="s">
        <v>10</v>
      </c>
      <c r="B42" s="323">
        <f>$H$177</f>
        <v>8.670520231213872E-3</v>
      </c>
      <c r="C42" s="10">
        <v>1.9710325710325712E-2</v>
      </c>
      <c r="D42" s="318">
        <v>9.9121126015991549E-3</v>
      </c>
      <c r="E42" s="323">
        <f>$H$177</f>
        <v>8.670520231213872E-3</v>
      </c>
      <c r="F42" s="10">
        <v>1.2018642132290923E-2</v>
      </c>
      <c r="G42" s="318">
        <v>9.9121126015991549E-3</v>
      </c>
      <c r="H42" s="323">
        <f>$H$177</f>
        <v>8.670520231213872E-3</v>
      </c>
      <c r="I42" s="10">
        <v>7.3389729203708108E-3</v>
      </c>
      <c r="J42" s="318">
        <v>0</v>
      </c>
      <c r="K42" s="323">
        <f>$H$177</f>
        <v>8.670520231213872E-3</v>
      </c>
      <c r="L42" s="10">
        <v>0</v>
      </c>
      <c r="M42" s="318">
        <v>9.9121126015991549E-3</v>
      </c>
      <c r="N42" s="581">
        <f>$H$177</f>
        <v>8.670520231213872E-3</v>
      </c>
      <c r="O42" s="579">
        <v>0</v>
      </c>
      <c r="P42" s="580">
        <v>0</v>
      </c>
      <c r="Q42" s="581">
        <f>$H$177</f>
        <v>8.670520231213872E-3</v>
      </c>
      <c r="R42" s="579">
        <v>0</v>
      </c>
      <c r="S42" s="580">
        <v>0</v>
      </c>
      <c r="AA42" s="341"/>
      <c r="AB42" s="341"/>
      <c r="AC42" s="342"/>
      <c r="AD42" s="1"/>
      <c r="AG42" s="176"/>
      <c r="AI42" s="176"/>
    </row>
    <row r="43" spans="1:35">
      <c r="A43" s="6" t="s">
        <v>11</v>
      </c>
      <c r="B43" s="323">
        <f>$H$180</f>
        <v>4.3352601156069364E-4</v>
      </c>
      <c r="C43" s="10">
        <v>2.4000594000594001E-3</v>
      </c>
      <c r="D43" s="318">
        <v>4.956056300799577E-4</v>
      </c>
      <c r="E43" s="323">
        <f>$H$180</f>
        <v>4.3352601156069364E-4</v>
      </c>
      <c r="F43" s="10">
        <v>7.8089620468290593E-4</v>
      </c>
      <c r="G43" s="318">
        <v>4.956056300799577E-4</v>
      </c>
      <c r="H43" s="323">
        <f>$H$180</f>
        <v>4.3352601156069364E-4</v>
      </c>
      <c r="I43" s="10">
        <v>6.3205420772589004E-4</v>
      </c>
      <c r="J43" s="318">
        <v>0</v>
      </c>
      <c r="K43" s="323">
        <f>$H$180</f>
        <v>4.3352601156069364E-4</v>
      </c>
      <c r="L43" s="10">
        <v>0</v>
      </c>
      <c r="M43" s="318">
        <v>4.956056300799577E-4</v>
      </c>
      <c r="N43" s="581">
        <f>$H$180</f>
        <v>4.3352601156069364E-4</v>
      </c>
      <c r="O43" s="579">
        <v>0</v>
      </c>
      <c r="P43" s="580">
        <v>0</v>
      </c>
      <c r="Q43" s="581">
        <f>$H$180</f>
        <v>4.3352601156069364E-4</v>
      </c>
      <c r="R43" s="579">
        <v>0</v>
      </c>
      <c r="S43" s="580">
        <v>0</v>
      </c>
      <c r="AA43" s="341"/>
      <c r="AB43" s="341"/>
      <c r="AC43" s="342"/>
      <c r="AD43" s="1"/>
      <c r="AG43" s="176"/>
      <c r="AI43" s="176"/>
    </row>
    <row r="44" spans="1:35" ht="16.5">
      <c r="A44" s="6" t="s">
        <v>12</v>
      </c>
      <c r="B44" s="324">
        <f>$H$183</f>
        <v>5.7803468208092491E-3</v>
      </c>
      <c r="C44" s="14">
        <v>2.6652311652311654E-2</v>
      </c>
      <c r="D44" s="325">
        <v>6.6080750677327688E-3</v>
      </c>
      <c r="E44" s="324">
        <f>$H$183</f>
        <v>5.7803468208092491E-3</v>
      </c>
      <c r="F44" s="14">
        <v>2.6473850543307895E-2</v>
      </c>
      <c r="G44" s="325">
        <v>6.6080750677327688E-3</v>
      </c>
      <c r="H44" s="324">
        <f>$H$183</f>
        <v>5.7803468208092491E-3</v>
      </c>
      <c r="I44" s="14">
        <v>9.4086246314516973E-3</v>
      </c>
      <c r="J44" s="325">
        <v>0</v>
      </c>
      <c r="K44" s="324">
        <f>$H$183</f>
        <v>5.7803468208092491E-3</v>
      </c>
      <c r="L44" s="14">
        <v>0</v>
      </c>
      <c r="M44" s="325">
        <v>6.6080750677327688E-3</v>
      </c>
      <c r="N44" s="582">
        <f>$H$183</f>
        <v>5.7803468208092491E-3</v>
      </c>
      <c r="O44" s="583">
        <v>0</v>
      </c>
      <c r="P44" s="584">
        <v>0</v>
      </c>
      <c r="Q44" s="582">
        <f>$H$183</f>
        <v>5.7803468208092491E-3</v>
      </c>
      <c r="R44" s="583">
        <v>0</v>
      </c>
      <c r="S44" s="584">
        <v>0</v>
      </c>
      <c r="AA44" s="341"/>
      <c r="AB44" s="341"/>
      <c r="AC44" s="342"/>
      <c r="AD44" s="1"/>
      <c r="AG44" s="176"/>
      <c r="AI44" s="176"/>
    </row>
    <row r="45" spans="1:35">
      <c r="A45" s="328" t="s">
        <v>224</v>
      </c>
      <c r="B45" s="10">
        <f t="shared" ref="B45:S45" si="21">SUM(B37:B44)</f>
        <v>0.41550876552718363</v>
      </c>
      <c r="C45" s="10">
        <f t="shared" si="21"/>
        <v>0.51076626076626075</v>
      </c>
      <c r="D45" s="318">
        <f t="shared" si="21"/>
        <v>0.47916103101193114</v>
      </c>
      <c r="E45" s="10">
        <f t="shared" si="21"/>
        <v>0.60342443994684636</v>
      </c>
      <c r="F45" s="10">
        <f t="shared" si="21"/>
        <v>0.5138611398114088</v>
      </c>
      <c r="G45" s="318">
        <f t="shared" si="21"/>
        <v>0.52095003811925988</v>
      </c>
      <c r="H45" s="10">
        <f t="shared" si="21"/>
        <v>0.60872547814418987</v>
      </c>
      <c r="I45" s="10">
        <f t="shared" ref="I45" si="22">SUM(I37:I44)</f>
        <v>0.34253750976821445</v>
      </c>
      <c r="J45" s="318">
        <f t="shared" ref="J45" si="23">SUM(J37:J44)</f>
        <v>0</v>
      </c>
      <c r="K45" s="10">
        <f t="shared" si="21"/>
        <v>2.1134123412239898</v>
      </c>
      <c r="L45" s="10">
        <f t="shared" si="21"/>
        <v>0</v>
      </c>
      <c r="M45" s="318">
        <f t="shared" si="21"/>
        <v>1.9690090510066662</v>
      </c>
      <c r="N45" s="579">
        <f t="shared" si="21"/>
        <v>1.4884393063583815E-2</v>
      </c>
      <c r="O45" s="579">
        <f t="shared" ref="O45" si="24">SUM(O37:O44)</f>
        <v>0</v>
      </c>
      <c r="P45" s="580">
        <f t="shared" si="21"/>
        <v>0</v>
      </c>
      <c r="Q45" s="579">
        <f t="shared" si="21"/>
        <v>1.4884393063583815E-2</v>
      </c>
      <c r="R45" s="579">
        <f t="shared" si="21"/>
        <v>0</v>
      </c>
      <c r="S45" s="580">
        <f t="shared" si="21"/>
        <v>0</v>
      </c>
      <c r="AA45" s="341"/>
      <c r="AB45" s="341"/>
      <c r="AC45" s="342"/>
      <c r="AD45" s="1"/>
      <c r="AG45" s="176"/>
      <c r="AI45" s="176"/>
    </row>
    <row r="46" spans="1:35">
      <c r="A46" s="514"/>
      <c r="B46" s="323"/>
      <c r="C46" s="10"/>
      <c r="D46" s="513"/>
      <c r="E46" s="323"/>
      <c r="F46" s="10"/>
      <c r="G46" s="513"/>
      <c r="H46" s="323"/>
      <c r="I46" s="10"/>
      <c r="J46" s="513"/>
      <c r="K46" s="323"/>
      <c r="L46" s="10"/>
      <c r="M46" s="513"/>
      <c r="N46" s="581"/>
      <c r="O46" s="579"/>
      <c r="P46" s="580"/>
      <c r="Q46" s="581"/>
      <c r="R46" s="579"/>
      <c r="S46" s="580"/>
      <c r="AA46" s="341"/>
      <c r="AB46" s="341"/>
      <c r="AC46" s="342"/>
      <c r="AD46" s="1"/>
      <c r="AG46" s="176"/>
      <c r="AI46" s="176"/>
    </row>
    <row r="47" spans="1:35">
      <c r="A47" s="6" t="s">
        <v>14</v>
      </c>
      <c r="B47" s="323">
        <f>$D$214/$B$64/1000</f>
        <v>1.1741675249605885E-2</v>
      </c>
      <c r="C47" s="10">
        <v>2.099801999802E-2</v>
      </c>
      <c r="D47" s="318">
        <v>1.4552450935042623E-2</v>
      </c>
      <c r="E47" s="323">
        <f>$D$214/$B$64/1000</f>
        <v>1.1741675249605885E-2</v>
      </c>
      <c r="F47" s="10">
        <v>2.0095412332871935E-2</v>
      </c>
      <c r="G47" s="318">
        <v>1.4552450935042623E-2</v>
      </c>
      <c r="H47" s="323">
        <f>$D$214/$B$64/1000</f>
        <v>1.1741675249605885E-2</v>
      </c>
      <c r="I47" s="10">
        <v>1.7675634101440085E-2</v>
      </c>
      <c r="J47" s="318">
        <v>0</v>
      </c>
      <c r="K47" s="323">
        <f>$D$214/$B$64/1000</f>
        <v>1.1741675249605885E-2</v>
      </c>
      <c r="L47" s="10">
        <v>0</v>
      </c>
      <c r="M47" s="318">
        <v>1.4552450935042623E-2</v>
      </c>
      <c r="N47" s="581">
        <f>$D$214/$B$64/1000</f>
        <v>1.1741675249605885E-2</v>
      </c>
      <c r="O47" s="579">
        <v>0</v>
      </c>
      <c r="P47" s="580">
        <v>0</v>
      </c>
      <c r="Q47" s="581">
        <f>$D$214/$B$64/1000</f>
        <v>1.1741675249605885E-2</v>
      </c>
      <c r="R47" s="579">
        <v>0</v>
      </c>
      <c r="S47" s="580">
        <v>0</v>
      </c>
      <c r="AA47" s="341"/>
      <c r="AB47" s="341"/>
      <c r="AC47" s="342"/>
      <c r="AD47" s="1"/>
      <c r="AG47" s="176"/>
      <c r="AI47" s="176"/>
    </row>
    <row r="48" spans="1:35">
      <c r="A48" s="6" t="s">
        <v>15</v>
      </c>
      <c r="B48" s="323">
        <f>$G$214/$B$64/1000</f>
        <v>4.1080924855491328E-3</v>
      </c>
      <c r="C48" s="10">
        <v>1.0055044055044055E-2</v>
      </c>
      <c r="D48" s="318">
        <v>4.6963589506376791E-3</v>
      </c>
      <c r="E48" s="323">
        <f>$G$214/$B$64/1000</f>
        <v>4.1080924855491328E-3</v>
      </c>
      <c r="F48" s="10">
        <v>3.1155541912019176E-3</v>
      </c>
      <c r="G48" s="318">
        <v>4.6963589506376791E-3</v>
      </c>
      <c r="H48" s="323">
        <f>$G$214/$B$64/1000</f>
        <v>4.1080924855491328E-3</v>
      </c>
      <c r="I48" s="10">
        <v>4.7406695199083797E-3</v>
      </c>
      <c r="J48" s="318">
        <v>0</v>
      </c>
      <c r="K48" s="323">
        <f>$G$214/$B$64/1000</f>
        <v>4.1080924855491328E-3</v>
      </c>
      <c r="L48" s="10">
        <v>0</v>
      </c>
      <c r="M48" s="318">
        <v>4.6963589506376791E-3</v>
      </c>
      <c r="N48" s="581">
        <f>$G$214/$B$64/1000</f>
        <v>4.1080924855491328E-3</v>
      </c>
      <c r="O48" s="579">
        <v>0</v>
      </c>
      <c r="P48" s="580">
        <v>0</v>
      </c>
      <c r="Q48" s="581">
        <f>$G$214/$B$64/1000</f>
        <v>4.1080924855491328E-3</v>
      </c>
      <c r="R48" s="579">
        <v>0</v>
      </c>
      <c r="S48" s="580">
        <v>0</v>
      </c>
      <c r="AA48" s="341"/>
      <c r="AB48" s="341"/>
      <c r="AC48" s="342"/>
      <c r="AD48" s="1"/>
      <c r="AG48" s="176"/>
      <c r="AI48" s="176"/>
    </row>
    <row r="49" spans="1:35">
      <c r="A49" s="6" t="s">
        <v>16</v>
      </c>
      <c r="B49" s="323">
        <f>$J$214/$B$64/1000</f>
        <v>7.259843652712092E-3</v>
      </c>
      <c r="C49" s="10">
        <v>2.0373428373428374E-2</v>
      </c>
      <c r="D49" s="318">
        <v>8.7651909820467295E-3</v>
      </c>
      <c r="E49" s="323">
        <f>$J$214/$B$64/1000</f>
        <v>7.259843652712092E-3</v>
      </c>
      <c r="F49" s="10">
        <v>1.9136350366755813E-2</v>
      </c>
      <c r="G49" s="318">
        <v>8.7651909820467295E-3</v>
      </c>
      <c r="H49" s="323">
        <f>$J$214/$B$64/1000</f>
        <v>7.259843652712092E-3</v>
      </c>
      <c r="I49" s="10">
        <v>7.6540782228782531E-3</v>
      </c>
      <c r="J49" s="318">
        <v>0</v>
      </c>
      <c r="K49" s="323">
        <f>$J$214/$B$64/1000</f>
        <v>7.259843652712092E-3</v>
      </c>
      <c r="L49" s="10">
        <v>0</v>
      </c>
      <c r="M49" s="318">
        <v>8.7651909820467295E-3</v>
      </c>
      <c r="N49" s="581">
        <f>$J$214/$B$64/1000</f>
        <v>7.259843652712092E-3</v>
      </c>
      <c r="O49" s="579">
        <v>0</v>
      </c>
      <c r="P49" s="580">
        <v>0</v>
      </c>
      <c r="Q49" s="581">
        <f>$J$214/$B$64/1000</f>
        <v>7.259843652712092E-3</v>
      </c>
      <c r="R49" s="579">
        <v>0</v>
      </c>
      <c r="S49" s="580">
        <v>0</v>
      </c>
      <c r="AA49" s="341"/>
      <c r="AB49" s="341"/>
      <c r="AC49" s="342"/>
      <c r="AD49" s="1"/>
      <c r="AG49" s="176"/>
      <c r="AI49" s="176"/>
    </row>
    <row r="50" spans="1:35">
      <c r="A50" s="2" t="s">
        <v>17</v>
      </c>
      <c r="B50" s="323">
        <f>$E$241</f>
        <v>2.4498520231213874E-3</v>
      </c>
      <c r="C50" s="10">
        <v>6.8127908127908121E-3</v>
      </c>
      <c r="D50" s="318">
        <v>2.8006634507368004E-3</v>
      </c>
      <c r="E50" s="323">
        <f>$E$241</f>
        <v>2.4498520231213874E-3</v>
      </c>
      <c r="F50" s="10">
        <v>8.2982661615873012E-3</v>
      </c>
      <c r="G50" s="318">
        <v>2.8006634507368004E-3</v>
      </c>
      <c r="H50" s="323">
        <f>$E$241</f>
        <v>2.4498520231213874E-3</v>
      </c>
      <c r="I50" s="10">
        <v>2.8565150594799908E-3</v>
      </c>
      <c r="J50" s="318">
        <v>0</v>
      </c>
      <c r="K50" s="323">
        <f>$E$241</f>
        <v>2.4498520231213874E-3</v>
      </c>
      <c r="L50" s="10">
        <v>0</v>
      </c>
      <c r="M50" s="318">
        <v>2.8006634507368004E-3</v>
      </c>
      <c r="N50" s="581">
        <f>$E$241</f>
        <v>2.4498520231213874E-3</v>
      </c>
      <c r="O50" s="579">
        <v>0</v>
      </c>
      <c r="P50" s="580">
        <v>0</v>
      </c>
      <c r="Q50" s="581">
        <f>$E$241</f>
        <v>2.4498520231213874E-3</v>
      </c>
      <c r="R50" s="579">
        <v>0</v>
      </c>
      <c r="S50" s="580">
        <v>0</v>
      </c>
      <c r="AA50" s="341"/>
      <c r="AB50" s="341"/>
      <c r="AC50" s="342"/>
      <c r="AD50" s="1"/>
      <c r="AG50" s="176"/>
      <c r="AI50" s="176"/>
    </row>
    <row r="51" spans="1:35">
      <c r="A51" s="2" t="s">
        <v>19</v>
      </c>
      <c r="B51" s="323">
        <f>$E$242</f>
        <v>6.3670520231213876E-2</v>
      </c>
      <c r="C51" s="10">
        <v>0.18195762795762796</v>
      </c>
      <c r="D51" s="318">
        <v>7.2787946871076453E-2</v>
      </c>
      <c r="E51" s="323">
        <f>$E$242</f>
        <v>6.3670520231213876E-2</v>
      </c>
      <c r="F51" s="10">
        <v>0.22264847113850061</v>
      </c>
      <c r="G51" s="318">
        <v>7.2787946871076453E-2</v>
      </c>
      <c r="H51" s="323">
        <f>$E$242</f>
        <v>6.3670520231213876E-2</v>
      </c>
      <c r="I51" s="10">
        <v>7.6403529716540047E-2</v>
      </c>
      <c r="J51" s="318">
        <v>0</v>
      </c>
      <c r="K51" s="323">
        <f>$E$242</f>
        <v>6.3670520231213876E-2</v>
      </c>
      <c r="L51" s="10">
        <v>0</v>
      </c>
      <c r="M51" s="318">
        <v>7.2787946871076453E-2</v>
      </c>
      <c r="N51" s="581">
        <f>$E$242</f>
        <v>6.3670520231213876E-2</v>
      </c>
      <c r="O51" s="579">
        <v>0</v>
      </c>
      <c r="P51" s="580">
        <v>0</v>
      </c>
      <c r="Q51" s="581">
        <f>$E$242</f>
        <v>6.3670520231213876E-2</v>
      </c>
      <c r="R51" s="579">
        <v>0</v>
      </c>
      <c r="S51" s="580">
        <v>0</v>
      </c>
      <c r="AA51" s="341"/>
      <c r="AB51" s="341"/>
      <c r="AC51" s="342"/>
      <c r="AD51" s="1"/>
      <c r="AG51" s="176"/>
      <c r="AI51" s="176"/>
    </row>
    <row r="52" spans="1:35" ht="16.5">
      <c r="A52" s="2" t="s">
        <v>18</v>
      </c>
      <c r="B52" s="324">
        <f>$E$243</f>
        <v>1.4046242774566474E-2</v>
      </c>
      <c r="C52" s="14">
        <v>4.5121869121869121E-2</v>
      </c>
      <c r="D52" s="325">
        <v>1.8172206436265118E-2</v>
      </c>
      <c r="E52" s="324">
        <f>$E$243</f>
        <v>1.4046242774566474E-2</v>
      </c>
      <c r="F52" s="14">
        <v>6.4601783897952583E-2</v>
      </c>
      <c r="G52" s="325">
        <v>1.8172206436265118E-2</v>
      </c>
      <c r="H52" s="324">
        <f>$E$243</f>
        <v>1.4046242774566474E-2</v>
      </c>
      <c r="I52" s="14">
        <v>1.9244873615765976E-2</v>
      </c>
      <c r="J52" s="325">
        <v>0</v>
      </c>
      <c r="K52" s="324">
        <f>$E$243</f>
        <v>1.4046242774566474E-2</v>
      </c>
      <c r="L52" s="14">
        <v>0</v>
      </c>
      <c r="M52" s="325">
        <v>1.8172206436265118E-2</v>
      </c>
      <c r="N52" s="582">
        <f>$E$243</f>
        <v>1.4046242774566474E-2</v>
      </c>
      <c r="O52" s="583">
        <v>0</v>
      </c>
      <c r="P52" s="584">
        <v>0</v>
      </c>
      <c r="Q52" s="582">
        <f>$E$243</f>
        <v>1.4046242774566474E-2</v>
      </c>
      <c r="R52" s="583">
        <v>0</v>
      </c>
      <c r="S52" s="584">
        <v>0</v>
      </c>
      <c r="AA52" s="341"/>
      <c r="AB52" s="341"/>
      <c r="AC52" s="342"/>
      <c r="AD52" s="1"/>
      <c r="AG52" s="176"/>
      <c r="AI52" s="176"/>
    </row>
    <row r="53" spans="1:35">
      <c r="A53" s="328" t="s">
        <v>225</v>
      </c>
      <c r="B53" s="323">
        <f t="shared" ref="B53:M53" si="25">SUM(B47:B52)</f>
        <v>0.10327622641676884</v>
      </c>
      <c r="C53" s="10">
        <f t="shared" si="25"/>
        <v>0.28531878031878033</v>
      </c>
      <c r="D53" s="318">
        <f t="shared" si="25"/>
        <v>0.1217748176258054</v>
      </c>
      <c r="E53" s="323">
        <f t="shared" si="25"/>
        <v>0.10327622641676884</v>
      </c>
      <c r="F53" s="10">
        <f t="shared" si="25"/>
        <v>0.33789583808887014</v>
      </c>
      <c r="G53" s="318">
        <f t="shared" si="25"/>
        <v>0.1217748176258054</v>
      </c>
      <c r="H53" s="323">
        <f t="shared" si="25"/>
        <v>0.10327622641676884</v>
      </c>
      <c r="I53" s="10">
        <f t="shared" ref="I53:J53" si="26">SUM(I47:I52)</f>
        <v>0.12857530023601271</v>
      </c>
      <c r="J53" s="318">
        <f t="shared" si="26"/>
        <v>0</v>
      </c>
      <c r="K53" s="323">
        <f t="shared" si="25"/>
        <v>0.10327622641676884</v>
      </c>
      <c r="L53" s="10">
        <f t="shared" si="25"/>
        <v>0</v>
      </c>
      <c r="M53" s="318">
        <f t="shared" si="25"/>
        <v>0.1217748176258054</v>
      </c>
      <c r="N53" s="581">
        <f t="shared" ref="N53:P53" si="27">SUM(N47:N52)</f>
        <v>0.10327622641676884</v>
      </c>
      <c r="O53" s="579">
        <f t="shared" si="27"/>
        <v>0</v>
      </c>
      <c r="P53" s="580">
        <f t="shared" si="27"/>
        <v>0</v>
      </c>
      <c r="Q53" s="581">
        <f>SUM(Q47:Q52)</f>
        <v>0.10327622641676884</v>
      </c>
      <c r="R53" s="579">
        <f t="shared" ref="R53:S53" si="28">SUM(R47:R52)</f>
        <v>0</v>
      </c>
      <c r="S53" s="580">
        <f t="shared" si="28"/>
        <v>0</v>
      </c>
      <c r="AA53" s="341"/>
      <c r="AB53" s="341"/>
      <c r="AC53" s="342"/>
      <c r="AD53" s="1"/>
      <c r="AG53" s="176"/>
      <c r="AI53" s="176"/>
    </row>
    <row r="54" spans="1:35">
      <c r="A54" s="509"/>
      <c r="B54" s="323"/>
      <c r="C54" s="10"/>
      <c r="D54" s="513"/>
      <c r="E54" s="323"/>
      <c r="F54" s="10"/>
      <c r="G54" s="513"/>
      <c r="H54" s="323"/>
      <c r="I54" s="10"/>
      <c r="J54" s="513"/>
      <c r="K54" s="323"/>
      <c r="L54" s="10"/>
      <c r="M54" s="513"/>
      <c r="N54" s="581"/>
      <c r="O54" s="579"/>
      <c r="P54" s="580"/>
      <c r="Q54" s="581"/>
      <c r="R54" s="579"/>
      <c r="S54" s="580"/>
      <c r="AA54" s="341"/>
      <c r="AB54" s="341"/>
      <c r="AC54" s="342"/>
      <c r="AD54" s="1"/>
      <c r="AG54" s="176"/>
      <c r="AI54" s="176"/>
    </row>
    <row r="55" spans="1:35">
      <c r="A55" s="526" t="s">
        <v>365</v>
      </c>
      <c r="B55" s="502">
        <f t="shared" ref="B55:P55" si="29">B45+B53</f>
        <v>0.51878499194395244</v>
      </c>
      <c r="C55" s="503">
        <f t="shared" si="29"/>
        <v>0.79608504108504108</v>
      </c>
      <c r="D55" s="504">
        <f t="shared" si="29"/>
        <v>0.60093584863773652</v>
      </c>
      <c r="E55" s="502">
        <f t="shared" si="29"/>
        <v>0.70670066636361517</v>
      </c>
      <c r="F55" s="503">
        <f t="shared" si="29"/>
        <v>0.85175697790027893</v>
      </c>
      <c r="G55" s="504">
        <f t="shared" si="29"/>
        <v>0.64272485574506533</v>
      </c>
      <c r="H55" s="502">
        <f t="shared" si="29"/>
        <v>0.71200170456095868</v>
      </c>
      <c r="I55" s="503">
        <f t="shared" ref="I55:J55" si="30">I45+I53</f>
        <v>0.47111281000422717</v>
      </c>
      <c r="J55" s="504">
        <f t="shared" si="30"/>
        <v>0</v>
      </c>
      <c r="K55" s="502">
        <f t="shared" si="29"/>
        <v>2.2166885676407588</v>
      </c>
      <c r="L55" s="503">
        <f t="shared" si="29"/>
        <v>0</v>
      </c>
      <c r="M55" s="504">
        <f t="shared" si="29"/>
        <v>2.0907838686324718</v>
      </c>
      <c r="N55" s="585">
        <f t="shared" si="29"/>
        <v>0.11816061948035265</v>
      </c>
      <c r="O55" s="586">
        <f t="shared" si="29"/>
        <v>0</v>
      </c>
      <c r="P55" s="587">
        <f t="shared" si="29"/>
        <v>0</v>
      </c>
      <c r="Q55" s="585">
        <f>Q45+Q53</f>
        <v>0.11816061948035265</v>
      </c>
      <c r="R55" s="586">
        <f t="shared" ref="R55:S55" si="31">R45+R53</f>
        <v>0</v>
      </c>
      <c r="S55" s="587">
        <f t="shared" si="31"/>
        <v>0</v>
      </c>
      <c r="AA55" s="341"/>
      <c r="AB55" s="341"/>
      <c r="AC55" s="342"/>
      <c r="AD55" s="1"/>
      <c r="AG55" s="176"/>
      <c r="AI55" s="176"/>
    </row>
    <row r="56" spans="1:35">
      <c r="A56" s="501" t="s">
        <v>368</v>
      </c>
      <c r="B56" s="494">
        <f>-B38</f>
        <v>-0.10656370656370655</v>
      </c>
      <c r="C56" s="497">
        <f>-C38</f>
        <v>0</v>
      </c>
      <c r="D56" s="498">
        <v>-0.14908529211746521</v>
      </c>
      <c r="E56" s="494">
        <f>-E38</f>
        <v>-0.1175958255114443</v>
      </c>
      <c r="F56" s="497"/>
      <c r="G56" s="498">
        <v>-3.4805886386358467E-2</v>
      </c>
      <c r="H56" s="497">
        <f>-H38</f>
        <v>-0.18665445913869111</v>
      </c>
      <c r="I56" s="497"/>
      <c r="J56" s="498"/>
      <c r="K56" s="494">
        <f>-K38</f>
        <v>-0.16177979274611401</v>
      </c>
      <c r="L56" s="497"/>
      <c r="M56" s="498">
        <v>-7.4705958549222806E-3</v>
      </c>
      <c r="N56" s="588">
        <f>-N38</f>
        <v>0</v>
      </c>
      <c r="O56" s="589"/>
      <c r="P56" s="590">
        <v>0</v>
      </c>
      <c r="Q56" s="588">
        <f>-Q38</f>
        <v>0</v>
      </c>
      <c r="R56" s="589"/>
      <c r="S56" s="590"/>
      <c r="AA56" s="341"/>
      <c r="AB56" s="341"/>
      <c r="AC56" s="342"/>
      <c r="AD56" s="1"/>
      <c r="AG56" s="176"/>
      <c r="AI56" s="176"/>
    </row>
    <row r="57" spans="1:35">
      <c r="A57" s="328" t="s">
        <v>367</v>
      </c>
      <c r="B57" s="323">
        <f t="shared" ref="B57:G57" si="32">IF(B40+B41+B42+B43+B44+B53&gt;0.0498,0.0498-B40-B41-B42-B43-B44-B53,0)</f>
        <v>-7.9620813644774191E-2</v>
      </c>
      <c r="C57" s="544">
        <v>-0.31205821205821205</v>
      </c>
      <c r="D57" s="318">
        <f t="shared" si="32"/>
        <v>-0.10097661092521729</v>
      </c>
      <c r="E57" s="323">
        <f t="shared" si="32"/>
        <v>-7.9620813644774191E-2</v>
      </c>
      <c r="F57" s="544">
        <f>IF(F40+F41+F42+F43+F44+F53&gt;0.0498,0.0498-F40-F41-F42-F43-F44-F53,0)</f>
        <v>-0.34756260659631305</v>
      </c>
      <c r="G57" s="318">
        <f t="shared" si="32"/>
        <v>-0.10097661092521729</v>
      </c>
      <c r="H57" s="323">
        <f>IF(H40+H41+H42+H43+H44+H53&gt;0.0498,0.0498-H40-H41-H42-H43-H44-H53,0)</f>
        <v>-7.9620813644774191E-2</v>
      </c>
      <c r="I57" s="544">
        <f>IF(I40+I41+I42+I43+I44+I53&gt;0.0498,0.0498-I40-I41-I42-I43-I44-I53,0)</f>
        <v>-0.10746046712874904</v>
      </c>
      <c r="J57" s="318">
        <f t="shared" ref="J57" si="33">IF(J40+J41+J42+J43+J44+J53&gt;0.0498,0.0498-J40-J41-J42-J43-J44-J53,0)</f>
        <v>0</v>
      </c>
      <c r="K57" s="323">
        <f t="shared" ref="K57:S57" si="34">IF(K40+K41+K42+K43+K44+K53&gt;0.0498,0.0498-K40-K41-K42-K43-K44-K53,0)</f>
        <v>-7.9620813644774191E-2</v>
      </c>
      <c r="L57" s="544">
        <f t="shared" si="34"/>
        <v>0</v>
      </c>
      <c r="M57" s="318">
        <f t="shared" si="34"/>
        <v>-0.10097661092521729</v>
      </c>
      <c r="N57" s="581">
        <f t="shared" si="34"/>
        <v>-6.8360619480352658E-2</v>
      </c>
      <c r="O57" s="591">
        <v>0</v>
      </c>
      <c r="P57" s="580">
        <f t="shared" si="34"/>
        <v>0</v>
      </c>
      <c r="Q57" s="581">
        <f t="shared" si="34"/>
        <v>-6.8360619480352658E-2</v>
      </c>
      <c r="R57" s="591">
        <v>0</v>
      </c>
      <c r="S57" s="580">
        <f t="shared" si="34"/>
        <v>0</v>
      </c>
      <c r="AA57" s="341"/>
      <c r="AB57" s="341"/>
      <c r="AC57" s="342"/>
      <c r="AD57" s="1"/>
      <c r="AG57" s="176"/>
      <c r="AI57" s="176"/>
    </row>
    <row r="58" spans="1:35">
      <c r="A58" s="526" t="s">
        <v>366</v>
      </c>
      <c r="B58" s="502">
        <f t="shared" ref="B58:S58" si="35">SUM(B55:B57)</f>
        <v>0.33260047173547169</v>
      </c>
      <c r="C58" s="503">
        <f t="shared" si="35"/>
        <v>0.48402682902682903</v>
      </c>
      <c r="D58" s="504">
        <f t="shared" si="35"/>
        <v>0.35087394559505403</v>
      </c>
      <c r="E58" s="502">
        <f t="shared" si="35"/>
        <v>0.50948402720739661</v>
      </c>
      <c r="F58" s="503">
        <f t="shared" si="35"/>
        <v>0.50419437130396583</v>
      </c>
      <c r="G58" s="504">
        <f t="shared" si="35"/>
        <v>0.50694235843348956</v>
      </c>
      <c r="H58" s="502">
        <f t="shared" si="35"/>
        <v>0.44572643177749344</v>
      </c>
      <c r="I58" s="503">
        <f t="shared" ref="I58" si="36">SUM(I55:I57)</f>
        <v>0.3636523428754781</v>
      </c>
      <c r="J58" s="504">
        <f t="shared" ref="J58" si="37">SUM(J55:J57)</f>
        <v>0</v>
      </c>
      <c r="K58" s="502">
        <f t="shared" si="35"/>
        <v>1.9752879612498704</v>
      </c>
      <c r="L58" s="503">
        <f t="shared" si="35"/>
        <v>0</v>
      </c>
      <c r="M58" s="504">
        <f t="shared" si="35"/>
        <v>1.9823366618523321</v>
      </c>
      <c r="N58" s="585">
        <f t="shared" si="35"/>
        <v>4.9799999999999997E-2</v>
      </c>
      <c r="O58" s="586">
        <f t="shared" ref="O58" si="38">SUM(O55:O57)</f>
        <v>0</v>
      </c>
      <c r="P58" s="587">
        <f t="shared" si="35"/>
        <v>0</v>
      </c>
      <c r="Q58" s="585">
        <f t="shared" si="35"/>
        <v>4.9799999999999997E-2</v>
      </c>
      <c r="R58" s="586">
        <f t="shared" si="35"/>
        <v>0</v>
      </c>
      <c r="S58" s="587">
        <f t="shared" si="35"/>
        <v>0</v>
      </c>
      <c r="AA58" s="341"/>
      <c r="AB58" s="341"/>
      <c r="AC58" s="342"/>
      <c r="AD58" s="1"/>
      <c r="AG58" s="176"/>
      <c r="AI58" s="176"/>
    </row>
    <row r="59" spans="1:35">
      <c r="A59" s="509"/>
      <c r="B59" s="558"/>
      <c r="D59" s="511"/>
      <c r="E59" s="558"/>
      <c r="G59" s="511"/>
      <c r="H59" s="558"/>
      <c r="J59" s="511"/>
      <c r="K59" s="558"/>
      <c r="M59" s="511"/>
      <c r="N59" s="592"/>
      <c r="O59" s="593"/>
      <c r="P59" s="594"/>
      <c r="Q59" s="592"/>
      <c r="R59" s="593"/>
      <c r="S59" s="594"/>
      <c r="AA59" s="341"/>
      <c r="AB59" s="341"/>
      <c r="AC59" s="342"/>
      <c r="AD59" s="1"/>
      <c r="AG59" s="176"/>
      <c r="AI59" s="176"/>
    </row>
    <row r="60" spans="1:35">
      <c r="A60" s="526" t="s">
        <v>392</v>
      </c>
      <c r="B60" s="517">
        <v>1300</v>
      </c>
      <c r="C60" s="518">
        <v>101</v>
      </c>
      <c r="D60" s="519">
        <v>400</v>
      </c>
      <c r="E60" s="517">
        <v>3900</v>
      </c>
      <c r="F60" s="518">
        <v>979</v>
      </c>
      <c r="G60" s="519">
        <v>5800</v>
      </c>
      <c r="H60" s="517">
        <v>7000</v>
      </c>
      <c r="I60" s="518">
        <v>2743</v>
      </c>
      <c r="J60" s="519">
        <v>0</v>
      </c>
      <c r="K60" s="517">
        <v>100</v>
      </c>
      <c r="L60" s="518">
        <v>0</v>
      </c>
      <c r="M60" s="519">
        <v>0</v>
      </c>
      <c r="N60" s="595">
        <v>0</v>
      </c>
      <c r="O60" s="596">
        <v>0</v>
      </c>
      <c r="P60" s="597">
        <v>0</v>
      </c>
      <c r="Q60" s="595">
        <v>0</v>
      </c>
      <c r="R60" s="596">
        <v>0</v>
      </c>
      <c r="S60" s="597">
        <v>0</v>
      </c>
      <c r="AA60" s="341"/>
      <c r="AB60" s="341"/>
      <c r="AC60" s="342"/>
      <c r="AD60" s="1"/>
      <c r="AG60" s="176"/>
      <c r="AI60" s="176"/>
    </row>
    <row r="61" spans="1:35">
      <c r="A61" s="505"/>
      <c r="B61" s="506"/>
      <c r="C61" s="507"/>
      <c r="D61" s="508"/>
      <c r="E61" s="557"/>
      <c r="F61" s="4"/>
      <c r="G61" s="508"/>
      <c r="H61" s="557"/>
      <c r="I61" s="4"/>
      <c r="J61" s="561"/>
      <c r="K61" s="557"/>
      <c r="L61" s="4"/>
      <c r="M61" s="508"/>
      <c r="N61" s="598"/>
      <c r="O61" s="599"/>
      <c r="P61" s="600"/>
      <c r="Q61" s="598"/>
      <c r="R61" s="599"/>
      <c r="S61" s="600"/>
      <c r="AA61" s="341"/>
      <c r="AB61" s="341"/>
      <c r="AC61" s="342"/>
      <c r="AD61" s="1"/>
      <c r="AG61" s="176"/>
      <c r="AI61" s="176"/>
    </row>
    <row r="62" spans="1:35">
      <c r="A62" s="564"/>
      <c r="B62" s="502"/>
      <c r="C62" s="543"/>
      <c r="D62" s="504"/>
      <c r="E62" s="502"/>
      <c r="F62" s="543"/>
      <c r="G62" s="556"/>
      <c r="H62" s="502"/>
      <c r="I62" s="543"/>
      <c r="J62" s="504"/>
      <c r="K62" s="502"/>
      <c r="L62" s="543"/>
      <c r="M62" s="556"/>
      <c r="N62" s="502"/>
      <c r="O62" s="543"/>
      <c r="P62" s="504"/>
      <c r="Q62" s="502"/>
      <c r="R62" s="543"/>
      <c r="S62" s="504"/>
      <c r="AA62" s="341"/>
      <c r="AB62" s="341"/>
      <c r="AC62" s="342"/>
      <c r="AD62" s="1"/>
      <c r="AG62" s="176"/>
      <c r="AI62" s="176"/>
    </row>
    <row r="63" spans="1:35" ht="15.75" thickBot="1">
      <c r="A63" s="523"/>
      <c r="B63" s="524"/>
      <c r="C63" s="509"/>
      <c r="D63" s="509"/>
      <c r="E63" s="525"/>
      <c r="H63" s="525"/>
      <c r="K63" s="338"/>
      <c r="N63" s="338"/>
      <c r="Q63" s="338"/>
      <c r="AA63" s="341"/>
      <c r="AB63" s="341"/>
      <c r="AC63" s="342"/>
      <c r="AD63" s="1"/>
      <c r="AG63" s="176"/>
      <c r="AI63" s="176"/>
    </row>
    <row r="64" spans="1:35" ht="15.75" thickBot="1">
      <c r="A64" s="527" t="s">
        <v>391</v>
      </c>
      <c r="B64" s="520">
        <f>B29+E29+H29+K29+N29+Q29+B60+E60+H60+K60+N60+Q60</f>
        <v>34600</v>
      </c>
      <c r="C64" s="521">
        <f>C29+F29+I29+L29+O29+R29+C60+F60+I60+L60+O60+R60</f>
        <v>32641.15</v>
      </c>
      <c r="D64" s="522">
        <f>D29+G29+J29+M29+P29+S29+D60+G60+J60+M60+P60+S60</f>
        <v>29166</v>
      </c>
      <c r="H64" s="52"/>
      <c r="AA64" s="341"/>
      <c r="AB64" s="341"/>
      <c r="AC64" s="342"/>
      <c r="AD64" s="1"/>
      <c r="AG64" s="176"/>
      <c r="AI64" s="176"/>
    </row>
    <row r="65" spans="1:35">
      <c r="A65" s="340"/>
      <c r="B65" s="196"/>
      <c r="C65" s="4"/>
      <c r="D65" s="4"/>
      <c r="H65" s="52"/>
      <c r="K65" s="562"/>
      <c r="O65" s="2" t="s">
        <v>7</v>
      </c>
      <c r="V65" s="2">
        <v>2078820</v>
      </c>
      <c r="W65" s="562">
        <v>2289955</v>
      </c>
      <c r="AA65" s="341"/>
      <c r="AB65" s="341"/>
      <c r="AC65" s="565">
        <v>1.1020000000000001</v>
      </c>
      <c r="AD65" s="567">
        <v>9.9000000000000005E-2</v>
      </c>
      <c r="AE65" s="566">
        <f>+AC65-AD65</f>
        <v>1.0030000000000001</v>
      </c>
      <c r="AG65" s="176"/>
      <c r="AI65" s="176"/>
    </row>
    <row r="66" spans="1:35">
      <c r="A66" s="340"/>
      <c r="B66" s="196"/>
      <c r="C66" s="4"/>
      <c r="D66" s="4"/>
      <c r="H66" s="52"/>
      <c r="I66" s="560"/>
      <c r="K66" s="562"/>
      <c r="V66" s="2">
        <v>22566</v>
      </c>
      <c r="W66" s="562">
        <v>22313</v>
      </c>
      <c r="AA66" s="341"/>
      <c r="AB66" s="341"/>
      <c r="AC66" s="565">
        <v>0.98899999999999999</v>
      </c>
      <c r="AD66" s="567">
        <v>0</v>
      </c>
      <c r="AE66" s="566">
        <f t="shared" ref="AE66:AE71" si="39">+AC66-AD66</f>
        <v>0.98899999999999999</v>
      </c>
      <c r="AG66" s="176"/>
      <c r="AI66" s="176"/>
    </row>
    <row r="67" spans="1:35" ht="16.5">
      <c r="A67" s="6"/>
      <c r="B67" s="26" t="s">
        <v>229</v>
      </c>
      <c r="C67" s="26" t="s">
        <v>230</v>
      </c>
      <c r="D67" s="26" t="s">
        <v>231</v>
      </c>
      <c r="H67" s="52"/>
      <c r="I67" s="560"/>
      <c r="K67" s="562"/>
      <c r="V67" s="2">
        <v>469400</v>
      </c>
      <c r="W67" s="562">
        <v>521591</v>
      </c>
      <c r="AA67" s="341"/>
      <c r="AB67" s="341"/>
      <c r="AC67" s="565">
        <v>1.111</v>
      </c>
      <c r="AD67" s="567">
        <v>7.0000000000000007E-2</v>
      </c>
      <c r="AE67" s="566">
        <f t="shared" si="39"/>
        <v>1.0409999999999999</v>
      </c>
      <c r="AG67" s="176"/>
      <c r="AI67" s="176"/>
    </row>
    <row r="68" spans="1:35">
      <c r="A68" s="343" t="s">
        <v>232</v>
      </c>
      <c r="B68" s="859" t="s">
        <v>233</v>
      </c>
      <c r="C68" s="859"/>
      <c r="D68" s="859"/>
      <c r="H68" s="52"/>
      <c r="I68" s="560"/>
      <c r="J68" s="83"/>
      <c r="K68" s="602"/>
      <c r="V68" s="2">
        <v>514675</v>
      </c>
      <c r="W68" s="562">
        <v>642354</v>
      </c>
      <c r="AA68" s="341"/>
      <c r="AB68" s="341"/>
      <c r="AC68" s="565">
        <v>1.248</v>
      </c>
      <c r="AD68" s="567">
        <v>1.4999999999999999E-2</v>
      </c>
      <c r="AE68" s="566">
        <f t="shared" si="39"/>
        <v>1.2330000000000001</v>
      </c>
      <c r="AG68" s="176"/>
      <c r="AI68" s="176"/>
    </row>
    <row r="69" spans="1:35">
      <c r="A69" s="328" t="s">
        <v>234</v>
      </c>
      <c r="B69" s="344">
        <f>SUM(C69:D69)</f>
        <v>11305.580150683258</v>
      </c>
      <c r="C69" s="344">
        <f>W14*$V$29</f>
        <v>10487.102868772245</v>
      </c>
      <c r="D69" s="344">
        <f>W22*$V$29</f>
        <v>818.47728191101396</v>
      </c>
      <c r="H69" s="52"/>
      <c r="I69" s="560"/>
      <c r="K69" s="562"/>
      <c r="V69" s="2">
        <v>62400</v>
      </c>
      <c r="W69" s="562">
        <v>68640</v>
      </c>
      <c r="AA69" s="341"/>
      <c r="AB69" s="341"/>
      <c r="AC69" s="565">
        <v>1.1000000000000001</v>
      </c>
      <c r="AD69" s="567">
        <v>0.158</v>
      </c>
      <c r="AE69" s="566">
        <f t="shared" si="39"/>
        <v>0.94200000000000006</v>
      </c>
      <c r="AG69" s="176"/>
      <c r="AI69" s="176"/>
    </row>
    <row r="70" spans="1:35">
      <c r="A70" s="328" t="s">
        <v>235</v>
      </c>
      <c r="B70" s="196">
        <f>SUM(C70:D70)</f>
        <v>2754.8801521091887</v>
      </c>
      <c r="C70" s="196">
        <f>X14*$V$29</f>
        <v>0</v>
      </c>
      <c r="D70" s="196">
        <f>X22*$V$29</f>
        <v>2754.8801521091887</v>
      </c>
      <c r="J70" s="176"/>
      <c r="K70" s="176"/>
      <c r="V70" s="2">
        <v>22275</v>
      </c>
      <c r="W70" s="562">
        <v>27844</v>
      </c>
      <c r="AA70" s="341"/>
      <c r="AB70" s="341"/>
      <c r="AC70" s="565">
        <v>1.25</v>
      </c>
      <c r="AD70" s="567">
        <v>0</v>
      </c>
      <c r="AE70" s="566">
        <f t="shared" si="39"/>
        <v>1.25</v>
      </c>
      <c r="AG70" s="176"/>
      <c r="AI70" s="176"/>
    </row>
    <row r="71" spans="1:35" ht="16.5">
      <c r="A71" s="328" t="s">
        <v>236</v>
      </c>
      <c r="B71" s="345">
        <f>SUM(C71:D71)</f>
        <v>0</v>
      </c>
      <c r="C71" s="345">
        <v>0</v>
      </c>
      <c r="D71" s="345">
        <v>0</v>
      </c>
      <c r="V71" s="2">
        <v>10980</v>
      </c>
      <c r="W71" s="562">
        <v>13725</v>
      </c>
      <c r="AA71" s="341"/>
      <c r="AB71" s="341"/>
      <c r="AC71" s="565">
        <v>1.25</v>
      </c>
      <c r="AD71" s="567">
        <v>0</v>
      </c>
      <c r="AE71" s="566">
        <f t="shared" si="39"/>
        <v>1.25</v>
      </c>
      <c r="AG71" s="176"/>
      <c r="AI71" s="176"/>
    </row>
    <row r="72" spans="1:35">
      <c r="A72" s="340" t="s">
        <v>64</v>
      </c>
      <c r="B72" s="344">
        <f>SUM(B69:B71)</f>
        <v>14060.460302792446</v>
      </c>
      <c r="C72" s="344">
        <f>SUM(C69:C71)</f>
        <v>10487.102868772245</v>
      </c>
      <c r="D72" s="344">
        <f>SUM(D69:D71)</f>
        <v>3573.3574340202026</v>
      </c>
      <c r="W72" s="562"/>
      <c r="AA72" s="341"/>
      <c r="AB72" s="341"/>
      <c r="AC72" s="342"/>
      <c r="AD72" s="1"/>
      <c r="AE72" s="566">
        <f>AVERAGE(AE65:AE71)</f>
        <v>1.1011428571428572</v>
      </c>
      <c r="AG72" s="176"/>
      <c r="AI72" s="176"/>
    </row>
    <row r="73" spans="1:35" ht="16.5">
      <c r="A73" s="340" t="s">
        <v>237</v>
      </c>
      <c r="B73" s="346">
        <f>SUM(C73:D73)</f>
        <v>-2203</v>
      </c>
      <c r="C73" s="346">
        <v>0</v>
      </c>
      <c r="D73" s="346">
        <f>-V20*V29</f>
        <v>-2203</v>
      </c>
      <c r="V73" s="2">
        <f>SUM(V65:V72)</f>
        <v>3181116</v>
      </c>
      <c r="W73" s="562">
        <f>SUM(W65:W72)</f>
        <v>3586422</v>
      </c>
      <c r="AA73" s="341"/>
      <c r="AB73" s="341"/>
      <c r="AC73" s="342"/>
      <c r="AD73" s="1"/>
      <c r="AG73" s="176"/>
      <c r="AI73" s="176"/>
    </row>
    <row r="74" spans="1:35" ht="16.5">
      <c r="A74" s="340" t="s">
        <v>238</v>
      </c>
      <c r="B74" s="347">
        <f>SUM(B72:B73)</f>
        <v>11857.460302792446</v>
      </c>
      <c r="C74" s="347">
        <f>SUM(C72:C73)</f>
        <v>10487.102868772245</v>
      </c>
      <c r="D74" s="347">
        <f>SUM(D72:D73)</f>
        <v>1370.3574340202026</v>
      </c>
      <c r="J74" s="83"/>
      <c r="K74" s="83"/>
      <c r="V74" s="2">
        <v>3233726</v>
      </c>
      <c r="W74" s="562">
        <v>1569174</v>
      </c>
      <c r="X74" s="563">
        <f>+W74/V74</f>
        <v>0.485252615713267</v>
      </c>
      <c r="AA74" s="341"/>
      <c r="AB74" s="341"/>
      <c r="AC74" s="342"/>
      <c r="AD74" s="1"/>
      <c r="AG74" s="176"/>
      <c r="AI74" s="176"/>
    </row>
    <row r="75" spans="1:35">
      <c r="V75" s="2">
        <f>+V73-V74</f>
        <v>-52610</v>
      </c>
      <c r="W75" s="562">
        <f>+W73-W74</f>
        <v>2017248</v>
      </c>
      <c r="AD75" s="1"/>
      <c r="AG75" s="342"/>
      <c r="AI75" s="342"/>
    </row>
    <row r="76" spans="1:35">
      <c r="W76" s="562"/>
      <c r="AD76" s="1"/>
      <c r="AG76" s="342"/>
      <c r="AI76" s="342"/>
    </row>
    <row r="77" spans="1:35">
      <c r="W77" s="562"/>
      <c r="AD77" s="1"/>
      <c r="AG77" s="342"/>
      <c r="AI77" s="342"/>
    </row>
    <row r="78" spans="1:35">
      <c r="W78" s="562"/>
      <c r="AD78" s="1"/>
      <c r="AG78" s="342"/>
      <c r="AI78" s="342"/>
    </row>
    <row r="79" spans="1:35">
      <c r="A79" s="1"/>
      <c r="B79" s="111" t="s">
        <v>356</v>
      </c>
      <c r="C79" s="111" t="s">
        <v>297</v>
      </c>
      <c r="D79" s="1"/>
      <c r="E79" s="1"/>
      <c r="F79" s="1"/>
      <c r="G79" s="1"/>
      <c r="H79" s="1"/>
    </row>
    <row r="80" spans="1:35" ht="16.5">
      <c r="A80" s="348" t="s">
        <v>239</v>
      </c>
      <c r="B80" s="305" t="s">
        <v>357</v>
      </c>
      <c r="C80" s="3" t="s">
        <v>394</v>
      </c>
      <c r="D80" s="3" t="s">
        <v>240</v>
      </c>
      <c r="E80" s="3" t="s">
        <v>241</v>
      </c>
      <c r="J80" s="176"/>
      <c r="AA80" s="6"/>
      <c r="AB80" s="6"/>
    </row>
    <row r="81" spans="1:28">
      <c r="A81" s="112" t="s">
        <v>327</v>
      </c>
      <c r="B81" s="349">
        <v>20000</v>
      </c>
      <c r="C81" s="350">
        <f>350</f>
        <v>350</v>
      </c>
      <c r="D81" s="65">
        <f>IF(C81&lt;&gt;0,B81/C81,0)</f>
        <v>57.142857142857146</v>
      </c>
      <c r="E81" s="351">
        <f>IF($D$93&lt;&gt;0,D81/$D$93,0)</f>
        <v>0.5780346820809249</v>
      </c>
      <c r="AA81" s="6"/>
      <c r="AB81" s="6"/>
    </row>
    <row r="82" spans="1:28">
      <c r="A82" s="112" t="s">
        <v>328</v>
      </c>
      <c r="B82" s="349">
        <v>0</v>
      </c>
      <c r="C82" s="350">
        <f>350</f>
        <v>350</v>
      </c>
      <c r="D82" s="65">
        <f>IF(C82&lt;&gt;0,B82/C82,0)</f>
        <v>0</v>
      </c>
      <c r="E82" s="352">
        <f>IF($D$93&lt;&gt;0,D82/$D$93,0)</f>
        <v>0</v>
      </c>
      <c r="J82" s="9"/>
      <c r="AA82" s="6"/>
      <c r="AB82" s="6"/>
    </row>
    <row r="83" spans="1:28">
      <c r="A83" s="112" t="s">
        <v>329</v>
      </c>
      <c r="B83" s="349">
        <v>0</v>
      </c>
      <c r="C83" s="350">
        <f>350</f>
        <v>350</v>
      </c>
      <c r="D83" s="65">
        <f t="shared" ref="D83:D91" si="40">IF(C83&lt;&gt;0,B83/C83,0)</f>
        <v>0</v>
      </c>
      <c r="E83" s="352">
        <f>IF($D$93&lt;&gt;0,D83/$D$93,0)</f>
        <v>0</v>
      </c>
      <c r="AA83" s="6"/>
      <c r="AB83" s="6"/>
    </row>
    <row r="84" spans="1:28">
      <c r="A84" s="112" t="s">
        <v>330</v>
      </c>
      <c r="B84" s="349">
        <v>1000</v>
      </c>
      <c r="C84" s="350">
        <f>350</f>
        <v>350</v>
      </c>
      <c r="D84" s="65">
        <f t="shared" si="40"/>
        <v>2.8571428571428572</v>
      </c>
      <c r="E84" s="352">
        <f>IF($D$93&lt;&gt;0,D84/$D$93,0)</f>
        <v>2.8901734104046242E-2</v>
      </c>
      <c r="AA84" s="6"/>
      <c r="AB84" s="6"/>
    </row>
    <row r="85" spans="1:28">
      <c r="A85" s="112" t="s">
        <v>331</v>
      </c>
      <c r="B85" s="349">
        <v>0</v>
      </c>
      <c r="C85" s="350">
        <f>350</f>
        <v>350</v>
      </c>
      <c r="D85" s="65">
        <f t="shared" si="40"/>
        <v>0</v>
      </c>
      <c r="E85" s="352">
        <f>IF($D$93&lt;&gt;0,D85/$D$93,0)</f>
        <v>0</v>
      </c>
      <c r="AA85" s="6"/>
      <c r="AB85" s="6"/>
    </row>
    <row r="86" spans="1:28">
      <c r="A86" s="112" t="s">
        <v>332</v>
      </c>
      <c r="B86" s="349">
        <v>1300</v>
      </c>
      <c r="C86" s="350">
        <f>350</f>
        <v>350</v>
      </c>
      <c r="D86" s="65">
        <f t="shared" si="40"/>
        <v>3.7142857142857144</v>
      </c>
      <c r="E86" s="352">
        <f t="shared" ref="E86:E91" si="41">IF($D$93&lt;&gt;0,D86/$D$93,0)</f>
        <v>3.7572254335260118E-2</v>
      </c>
      <c r="AA86" s="6"/>
      <c r="AB86" s="6"/>
    </row>
    <row r="87" spans="1:28">
      <c r="A87" s="112" t="s">
        <v>370</v>
      </c>
      <c r="B87" s="349">
        <v>1300</v>
      </c>
      <c r="C87" s="350">
        <f>350</f>
        <v>350</v>
      </c>
      <c r="D87" s="65">
        <f t="shared" si="40"/>
        <v>3.7142857142857144</v>
      </c>
      <c r="E87" s="352">
        <f t="shared" si="41"/>
        <v>3.7572254335260118E-2</v>
      </c>
      <c r="AA87" s="6"/>
      <c r="AB87" s="6"/>
    </row>
    <row r="88" spans="1:28">
      <c r="A88" s="112" t="s">
        <v>333</v>
      </c>
      <c r="B88" s="349">
        <v>3900</v>
      </c>
      <c r="C88" s="350">
        <f>350</f>
        <v>350</v>
      </c>
      <c r="D88" s="65">
        <f t="shared" si="40"/>
        <v>11.142857142857142</v>
      </c>
      <c r="E88" s="352">
        <f t="shared" si="41"/>
        <v>0.11271676300578033</v>
      </c>
      <c r="AA88" s="6"/>
      <c r="AB88" s="6"/>
    </row>
    <row r="89" spans="1:28">
      <c r="A89" s="112" t="s">
        <v>334</v>
      </c>
      <c r="B89" s="349">
        <v>0</v>
      </c>
      <c r="C89" s="350">
        <f>350</f>
        <v>350</v>
      </c>
      <c r="D89" s="65">
        <f t="shared" si="40"/>
        <v>0</v>
      </c>
      <c r="E89" s="352">
        <f t="shared" si="41"/>
        <v>0</v>
      </c>
      <c r="AA89" s="6"/>
      <c r="AB89" s="6"/>
    </row>
    <row r="90" spans="1:28">
      <c r="A90" s="112" t="s">
        <v>335</v>
      </c>
      <c r="B90" s="349">
        <v>100</v>
      </c>
      <c r="C90" s="350">
        <f>350</f>
        <v>350</v>
      </c>
      <c r="D90" s="65">
        <f t="shared" si="40"/>
        <v>0.2857142857142857</v>
      </c>
      <c r="E90" s="352">
        <f t="shared" si="41"/>
        <v>2.8901734104046241E-3</v>
      </c>
      <c r="AA90" s="6"/>
      <c r="AB90" s="6"/>
    </row>
    <row r="91" spans="1:28">
      <c r="A91" s="112" t="s">
        <v>326</v>
      </c>
      <c r="B91" s="349">
        <v>0</v>
      </c>
      <c r="C91" s="350">
        <f>350</f>
        <v>350</v>
      </c>
      <c r="D91" s="65">
        <f t="shared" si="40"/>
        <v>0</v>
      </c>
      <c r="E91" s="352">
        <f t="shared" si="41"/>
        <v>0</v>
      </c>
      <c r="AA91" s="6"/>
      <c r="AB91" s="6"/>
    </row>
    <row r="92" spans="1:28">
      <c r="A92" s="112" t="s">
        <v>400</v>
      </c>
      <c r="B92" s="349">
        <v>7000</v>
      </c>
      <c r="C92" s="350">
        <f>350</f>
        <v>350</v>
      </c>
      <c r="D92" s="65">
        <f>IF(C92&lt;&gt;0,B92/C92,0)</f>
        <v>20</v>
      </c>
      <c r="E92" s="352">
        <f>IF($D$93&lt;&gt;0,D92/$D$93,0)</f>
        <v>0.20231213872832368</v>
      </c>
      <c r="AA92" s="6"/>
      <c r="AB92" s="6"/>
    </row>
    <row r="93" spans="1:28" ht="15.75" thickBot="1">
      <c r="A93" s="353" t="s">
        <v>229</v>
      </c>
      <c r="B93" s="354">
        <f>SUM(B81:B92)</f>
        <v>34600</v>
      </c>
      <c r="C93" s="354">
        <f>B93/D93</f>
        <v>350</v>
      </c>
      <c r="D93" s="354">
        <f>SUM(D81:D92)</f>
        <v>98.857142857142861</v>
      </c>
      <c r="E93" s="355">
        <f>IF($D$93&lt;&gt;0,D93/$D$93,0)</f>
        <v>1</v>
      </c>
      <c r="AA93" s="6"/>
      <c r="AB93" s="6"/>
    </row>
    <row r="94" spans="1:28" ht="16.5">
      <c r="C94" s="356"/>
      <c r="D94" s="356"/>
      <c r="AA94" s="6"/>
      <c r="AB94" s="6"/>
    </row>
    <row r="95" spans="1:28">
      <c r="A95" s="23"/>
      <c r="B95" s="351"/>
      <c r="C95" s="351"/>
      <c r="D95" s="351"/>
      <c r="E95" s="1"/>
      <c r="F95" s="357"/>
      <c r="G95" s="1"/>
      <c r="H95" s="1"/>
      <c r="L95" s="85"/>
      <c r="AA95" s="6"/>
      <c r="AB95" s="6"/>
    </row>
    <row r="96" spans="1:28">
      <c r="A96" s="358" t="s">
        <v>242</v>
      </c>
      <c r="B96" s="406"/>
      <c r="C96" s="406"/>
      <c r="D96" s="406"/>
      <c r="E96" s="406"/>
      <c r="F96" s="406"/>
      <c r="G96" s="406"/>
      <c r="H96" s="406"/>
      <c r="I96" s="406"/>
      <c r="J96" s="406"/>
      <c r="K96" s="406"/>
      <c r="L96" s="406"/>
      <c r="M96" s="406"/>
      <c r="N96" s="406"/>
      <c r="O96" s="407"/>
      <c r="AA96" s="6"/>
      <c r="AB96" s="6"/>
    </row>
    <row r="97" spans="1:38">
      <c r="A97" s="30"/>
      <c r="B97" s="359"/>
      <c r="C97" s="359"/>
      <c r="D97" s="360"/>
      <c r="E97" s="360"/>
      <c r="F97" s="1"/>
      <c r="G97" s="8"/>
      <c r="H97" s="1"/>
      <c r="I97" s="8"/>
      <c r="J97" s="1"/>
      <c r="K97" s="70"/>
      <c r="O97" s="25"/>
      <c r="AA97" s="6"/>
      <c r="AB97" s="6"/>
    </row>
    <row r="98" spans="1:38" ht="15.75" thickBot="1">
      <c r="A98" s="30"/>
      <c r="B98" s="1"/>
      <c r="C98" s="1"/>
      <c r="D98" s="847" t="s">
        <v>327</v>
      </c>
      <c r="E98" s="848"/>
      <c r="F98" s="847" t="s">
        <v>410</v>
      </c>
      <c r="G98" s="848"/>
      <c r="H98" s="847" t="s">
        <v>329</v>
      </c>
      <c r="I98" s="848"/>
      <c r="J98" s="847" t="s">
        <v>330</v>
      </c>
      <c r="K98" s="848"/>
      <c r="L98" s="847" t="s">
        <v>407</v>
      </c>
      <c r="M98" s="848"/>
      <c r="N98" s="847" t="s">
        <v>332</v>
      </c>
      <c r="O98" s="848"/>
      <c r="AA98" s="6"/>
      <c r="AB98" s="664"/>
      <c r="AC98" s="663"/>
      <c r="AD98" s="663"/>
      <c r="AE98" s="663"/>
      <c r="AF98" s="663" t="s">
        <v>423</v>
      </c>
      <c r="AG98" s="663"/>
      <c r="AH98" s="663" t="s">
        <v>424</v>
      </c>
      <c r="AI98" s="663"/>
      <c r="AJ98" s="663" t="s">
        <v>425</v>
      </c>
      <c r="AK98" s="663"/>
      <c r="AL98" s="663" t="s">
        <v>426</v>
      </c>
    </row>
    <row r="99" spans="1:38" ht="30">
      <c r="A99" s="30" t="s">
        <v>243</v>
      </c>
      <c r="B99" s="550" t="s">
        <v>27</v>
      </c>
      <c r="C99" s="551" t="s">
        <v>396</v>
      </c>
      <c r="D99" s="48" t="s">
        <v>244</v>
      </c>
      <c r="E99" s="362" t="s">
        <v>245</v>
      </c>
      <c r="F99" s="361" t="s">
        <v>244</v>
      </c>
      <c r="G99" s="362" t="s">
        <v>245</v>
      </c>
      <c r="H99" s="361" t="s">
        <v>244</v>
      </c>
      <c r="I99" s="362" t="s">
        <v>245</v>
      </c>
      <c r="J99" s="361" t="s">
        <v>244</v>
      </c>
      <c r="K99" s="362" t="s">
        <v>245</v>
      </c>
      <c r="L99" s="361" t="s">
        <v>244</v>
      </c>
      <c r="M99" s="362" t="s">
        <v>245</v>
      </c>
      <c r="N99" s="361" t="s">
        <v>244</v>
      </c>
      <c r="O99" s="362" t="s">
        <v>245</v>
      </c>
      <c r="P99" s="72"/>
      <c r="Q99" s="72"/>
      <c r="AA99" s="111"/>
      <c r="AB99" s="655" t="s">
        <v>246</v>
      </c>
      <c r="AC99" s="612"/>
      <c r="AD99" s="612"/>
      <c r="AE99" s="656" t="s">
        <v>247</v>
      </c>
      <c r="AF99" s="656" t="s">
        <v>248</v>
      </c>
      <c r="AG99" s="656" t="s">
        <v>247</v>
      </c>
      <c r="AH99" s="656" t="s">
        <v>248</v>
      </c>
      <c r="AI99" s="656" t="s">
        <v>247</v>
      </c>
      <c r="AJ99" s="656" t="s">
        <v>248</v>
      </c>
      <c r="AK99" s="656" t="s">
        <v>247</v>
      </c>
      <c r="AL99" s="656" t="s">
        <v>248</v>
      </c>
    </row>
    <row r="100" spans="1:38">
      <c r="A100" s="112" t="s">
        <v>336</v>
      </c>
      <c r="B100" s="546">
        <f>0.209+0.032-C100</f>
        <v>0.14899999999999999</v>
      </c>
      <c r="C100" s="547">
        <v>9.1999999999999998E-2</v>
      </c>
      <c r="D100" s="528">
        <v>0.96442881875791298</v>
      </c>
      <c r="E100" s="275">
        <f t="shared" ref="E100:E117" si="42">$B100*D100</f>
        <v>0.14369989399492902</v>
      </c>
      <c r="F100" s="528">
        <v>0.93946804780876492</v>
      </c>
      <c r="G100" s="275">
        <f t="shared" ref="G100:G117" si="43">$B100*F100</f>
        <v>0.13998073912350598</v>
      </c>
      <c r="H100" s="528">
        <v>0</v>
      </c>
      <c r="I100" s="275">
        <f t="shared" ref="I100:I117" si="44">$B100*H100</f>
        <v>0</v>
      </c>
      <c r="J100" s="528">
        <v>1.0310578590572284</v>
      </c>
      <c r="K100" s="275">
        <f t="shared" ref="K100:K117" si="45">$B100*J100</f>
        <v>0.15362762099952701</v>
      </c>
      <c r="L100" s="528">
        <v>0</v>
      </c>
      <c r="M100" s="275">
        <f t="shared" ref="M100:M117" si="46">$B100*L100</f>
        <v>0</v>
      </c>
      <c r="N100" s="528">
        <v>0</v>
      </c>
      <c r="O100" s="275">
        <f t="shared" ref="O100:O117" si="47">$B100*N100</f>
        <v>0</v>
      </c>
      <c r="P100" s="63"/>
      <c r="Q100" s="63"/>
      <c r="AB100" s="657" t="s">
        <v>422</v>
      </c>
      <c r="AC100" s="612"/>
      <c r="AD100" s="614"/>
      <c r="AE100" s="658">
        <f>B100*1000</f>
        <v>149</v>
      </c>
      <c r="AF100" s="621">
        <f>E100/B100*1000</f>
        <v>964.42881875791295</v>
      </c>
      <c r="AG100" s="661"/>
      <c r="AH100" s="621">
        <f>G100/B100*1000</f>
        <v>939.46804780876505</v>
      </c>
      <c r="AI100" s="661"/>
      <c r="AJ100" s="621">
        <f>K100/B100*1000</f>
        <v>1031.0578590572284</v>
      </c>
      <c r="AK100" s="658"/>
      <c r="AL100" s="621"/>
    </row>
    <row r="101" spans="1:38">
      <c r="A101" s="112" t="s">
        <v>337</v>
      </c>
      <c r="B101" s="546">
        <f>0.209+0.032-C101</f>
        <v>0.14899999999999999</v>
      </c>
      <c r="C101" s="547">
        <v>9.1999999999999998E-2</v>
      </c>
      <c r="D101" s="545">
        <v>0</v>
      </c>
      <c r="E101" s="367">
        <f t="shared" si="42"/>
        <v>0</v>
      </c>
      <c r="F101" s="528">
        <v>0</v>
      </c>
      <c r="G101" s="555">
        <f t="shared" si="43"/>
        <v>0</v>
      </c>
      <c r="H101" s="528">
        <v>0</v>
      </c>
      <c r="I101" s="367">
        <f t="shared" si="44"/>
        <v>0</v>
      </c>
      <c r="J101" s="528">
        <v>0</v>
      </c>
      <c r="K101" s="367">
        <f t="shared" si="45"/>
        <v>0</v>
      </c>
      <c r="L101" s="528">
        <v>0</v>
      </c>
      <c r="M101" s="367">
        <f t="shared" si="46"/>
        <v>0</v>
      </c>
      <c r="N101" s="528">
        <v>0.96649075853748823</v>
      </c>
      <c r="O101" s="367">
        <f t="shared" si="47"/>
        <v>0.14400712302208574</v>
      </c>
      <c r="P101" s="368"/>
      <c r="Q101" s="368"/>
      <c r="AB101" s="657"/>
      <c r="AC101" s="612"/>
      <c r="AD101" s="614"/>
      <c r="AE101" s="658"/>
      <c r="AF101" s="621"/>
      <c r="AG101" s="661"/>
      <c r="AH101" s="621"/>
      <c r="AI101" s="661"/>
      <c r="AJ101" s="621"/>
      <c r="AK101" s="658"/>
      <c r="AL101" s="621">
        <f>O101/B101*1000</f>
        <v>966.4907585374882</v>
      </c>
    </row>
    <row r="102" spans="1:38">
      <c r="A102" s="112" t="s">
        <v>338</v>
      </c>
      <c r="B102" s="546">
        <f>0.4447+0.032-C102</f>
        <v>0.29070000000000001</v>
      </c>
      <c r="C102" s="547">
        <v>0.186</v>
      </c>
      <c r="D102" s="545">
        <v>0</v>
      </c>
      <c r="E102" s="367">
        <f t="shared" si="42"/>
        <v>0</v>
      </c>
      <c r="F102" s="528">
        <v>0</v>
      </c>
      <c r="G102" s="367">
        <f t="shared" si="43"/>
        <v>0</v>
      </c>
      <c r="H102" s="528">
        <v>0</v>
      </c>
      <c r="I102" s="367">
        <f t="shared" si="44"/>
        <v>0</v>
      </c>
      <c r="J102" s="528">
        <v>0</v>
      </c>
      <c r="K102" s="367">
        <f t="shared" si="45"/>
        <v>0</v>
      </c>
      <c r="L102" s="528">
        <v>0</v>
      </c>
      <c r="M102" s="367">
        <f t="shared" si="46"/>
        <v>0</v>
      </c>
      <c r="N102" s="528">
        <v>0</v>
      </c>
      <c r="O102" s="367">
        <f t="shared" si="47"/>
        <v>0</v>
      </c>
      <c r="P102" s="368"/>
      <c r="Q102" s="368"/>
      <c r="AB102" s="657"/>
      <c r="AC102" s="612"/>
      <c r="AD102" s="614"/>
      <c r="AE102" s="658"/>
      <c r="AF102" s="621"/>
      <c r="AG102" s="661"/>
      <c r="AH102" s="621"/>
      <c r="AI102" s="661"/>
      <c r="AJ102" s="621"/>
      <c r="AK102" s="658"/>
      <c r="AL102" s="621"/>
    </row>
    <row r="103" spans="1:38">
      <c r="A103" s="112" t="s">
        <v>339</v>
      </c>
      <c r="B103" s="546">
        <f>0.225+0.032-C103</f>
        <v>0.25700000000000001</v>
      </c>
      <c r="C103" s="547">
        <v>0</v>
      </c>
      <c r="D103" s="545">
        <v>0</v>
      </c>
      <c r="E103" s="367">
        <f t="shared" si="42"/>
        <v>0</v>
      </c>
      <c r="F103" s="528">
        <v>0</v>
      </c>
      <c r="G103" s="367">
        <f t="shared" si="43"/>
        <v>0</v>
      </c>
      <c r="H103" s="528">
        <v>0</v>
      </c>
      <c r="I103" s="367">
        <f t="shared" si="44"/>
        <v>0</v>
      </c>
      <c r="J103" s="528">
        <v>0</v>
      </c>
      <c r="K103" s="367">
        <f t="shared" si="45"/>
        <v>0</v>
      </c>
      <c r="L103" s="528">
        <v>0</v>
      </c>
      <c r="M103" s="367">
        <f t="shared" si="46"/>
        <v>0</v>
      </c>
      <c r="N103" s="528">
        <v>0</v>
      </c>
      <c r="O103" s="367">
        <f t="shared" si="47"/>
        <v>0</v>
      </c>
      <c r="P103" s="368"/>
      <c r="Q103" s="368"/>
      <c r="AB103" s="657"/>
      <c r="AC103" s="612"/>
      <c r="AD103" s="614"/>
      <c r="AE103" s="658"/>
      <c r="AF103" s="621"/>
      <c r="AG103" s="661"/>
      <c r="AH103" s="621"/>
      <c r="AI103" s="661"/>
      <c r="AJ103" s="621"/>
      <c r="AK103" s="658"/>
      <c r="AL103" s="621"/>
    </row>
    <row r="104" spans="1:38">
      <c r="A104" s="112" t="s">
        <v>340</v>
      </c>
      <c r="B104" s="546">
        <f>0.22+0.032-C104</f>
        <v>0.252</v>
      </c>
      <c r="C104" s="547">
        <v>0</v>
      </c>
      <c r="D104" s="545">
        <v>0</v>
      </c>
      <c r="E104" s="367">
        <f t="shared" si="42"/>
        <v>0</v>
      </c>
      <c r="F104" s="528">
        <v>0</v>
      </c>
      <c r="G104" s="367">
        <f t="shared" si="43"/>
        <v>0</v>
      </c>
      <c r="H104" s="528">
        <v>0</v>
      </c>
      <c r="I104" s="367">
        <f t="shared" si="44"/>
        <v>0</v>
      </c>
      <c r="J104" s="528">
        <v>0</v>
      </c>
      <c r="K104" s="367">
        <f t="shared" si="45"/>
        <v>0</v>
      </c>
      <c r="L104" s="528">
        <v>0</v>
      </c>
      <c r="M104" s="367">
        <f t="shared" si="46"/>
        <v>0</v>
      </c>
      <c r="N104" s="528">
        <v>0</v>
      </c>
      <c r="O104" s="367">
        <f t="shared" si="47"/>
        <v>0</v>
      </c>
      <c r="P104" s="368"/>
      <c r="Q104" s="368"/>
      <c r="AB104" s="657"/>
      <c r="AC104" s="612"/>
      <c r="AD104" s="614"/>
      <c r="AE104" s="658"/>
      <c r="AF104" s="621"/>
      <c r="AG104" s="661"/>
      <c r="AH104" s="621"/>
      <c r="AI104" s="661"/>
      <c r="AJ104" s="621"/>
      <c r="AK104" s="658"/>
      <c r="AL104" s="621"/>
    </row>
    <row r="105" spans="1:38">
      <c r="A105" s="112" t="s">
        <v>343</v>
      </c>
      <c r="B105" s="546">
        <f>0.5176-C105</f>
        <v>0.40339999999999998</v>
      </c>
      <c r="C105" s="547">
        <f>0.049+0.0652</f>
        <v>0.1142</v>
      </c>
      <c r="D105" s="545">
        <v>0</v>
      </c>
      <c r="E105" s="367">
        <f t="shared" si="42"/>
        <v>0</v>
      </c>
      <c r="F105" s="528">
        <v>0</v>
      </c>
      <c r="G105" s="367">
        <f t="shared" si="43"/>
        <v>0</v>
      </c>
      <c r="H105" s="528">
        <v>0</v>
      </c>
      <c r="I105" s="367">
        <f t="shared" si="44"/>
        <v>0</v>
      </c>
      <c r="J105" s="528">
        <v>0</v>
      </c>
      <c r="K105" s="367">
        <f t="shared" si="45"/>
        <v>0</v>
      </c>
      <c r="L105" s="528">
        <v>0</v>
      </c>
      <c r="M105" s="367">
        <f t="shared" si="46"/>
        <v>0</v>
      </c>
      <c r="N105" s="528">
        <v>0</v>
      </c>
      <c r="O105" s="367">
        <f t="shared" si="47"/>
        <v>0</v>
      </c>
      <c r="P105" s="368"/>
      <c r="Q105" s="368"/>
      <c r="AB105" s="657"/>
      <c r="AC105" s="612"/>
      <c r="AD105" s="614"/>
      <c r="AE105" s="658"/>
      <c r="AF105" s="621"/>
      <c r="AG105" s="661"/>
      <c r="AH105" s="621"/>
      <c r="AI105" s="661"/>
      <c r="AJ105" s="621"/>
      <c r="AK105" s="658"/>
      <c r="AL105" s="621"/>
    </row>
    <row r="106" spans="1:38">
      <c r="A106" s="112" t="s">
        <v>397</v>
      </c>
      <c r="B106" s="546">
        <f>2.05-C106</f>
        <v>1.8877999999999999</v>
      </c>
      <c r="C106" s="547">
        <f>0.049+0.1132</f>
        <v>0.16220000000000001</v>
      </c>
      <c r="D106" s="545">
        <v>0</v>
      </c>
      <c r="E106" s="367">
        <f t="shared" si="42"/>
        <v>0</v>
      </c>
      <c r="F106" s="528">
        <v>0</v>
      </c>
      <c r="G106" s="367">
        <f t="shared" si="43"/>
        <v>0</v>
      </c>
      <c r="H106" s="528">
        <v>0</v>
      </c>
      <c r="I106" s="367">
        <f t="shared" si="44"/>
        <v>0</v>
      </c>
      <c r="J106" s="528">
        <v>0</v>
      </c>
      <c r="K106" s="367">
        <f t="shared" si="45"/>
        <v>0</v>
      </c>
      <c r="L106" s="528">
        <v>0</v>
      </c>
      <c r="M106" s="367">
        <f t="shared" si="46"/>
        <v>0</v>
      </c>
      <c r="N106" s="528">
        <v>0</v>
      </c>
      <c r="O106" s="367">
        <f t="shared" si="47"/>
        <v>0</v>
      </c>
      <c r="P106" s="368"/>
      <c r="Q106" s="368"/>
      <c r="AB106" s="657"/>
      <c r="AC106" s="612"/>
      <c r="AD106" s="614"/>
      <c r="AE106" s="658"/>
      <c r="AF106" s="621"/>
      <c r="AG106" s="661"/>
      <c r="AH106" s="621"/>
      <c r="AI106" s="661"/>
      <c r="AJ106" s="621"/>
      <c r="AK106" s="658"/>
      <c r="AL106" s="621"/>
    </row>
    <row r="107" spans="1:38">
      <c r="A107" s="112" t="s">
        <v>345</v>
      </c>
      <c r="B107" s="546">
        <f>0.2292+0.032-C107</f>
        <v>0.16919999999999999</v>
      </c>
      <c r="C107" s="547">
        <v>9.1999999999999998E-2</v>
      </c>
      <c r="D107" s="545">
        <v>0</v>
      </c>
      <c r="E107" s="367">
        <f t="shared" si="42"/>
        <v>0</v>
      </c>
      <c r="F107" s="528">
        <v>0</v>
      </c>
      <c r="G107" s="367">
        <f t="shared" si="43"/>
        <v>0</v>
      </c>
      <c r="H107" s="528">
        <v>0</v>
      </c>
      <c r="I107" s="367">
        <f t="shared" si="44"/>
        <v>0</v>
      </c>
      <c r="J107" s="528">
        <v>0</v>
      </c>
      <c r="K107" s="367">
        <f t="shared" si="45"/>
        <v>0</v>
      </c>
      <c r="L107" s="528">
        <v>0</v>
      </c>
      <c r="M107" s="367">
        <f t="shared" si="46"/>
        <v>0</v>
      </c>
      <c r="N107" s="528">
        <v>0</v>
      </c>
      <c r="O107" s="367">
        <f t="shared" si="47"/>
        <v>0</v>
      </c>
      <c r="P107" s="368"/>
      <c r="Q107" s="368"/>
      <c r="AB107" s="657"/>
      <c r="AC107" s="612"/>
      <c r="AD107" s="614"/>
      <c r="AE107" s="658"/>
      <c r="AF107" s="621"/>
      <c r="AG107" s="661"/>
      <c r="AH107" s="621"/>
      <c r="AI107" s="661"/>
      <c r="AJ107" s="621"/>
      <c r="AK107" s="658"/>
      <c r="AL107" s="621"/>
    </row>
    <row r="108" spans="1:38">
      <c r="A108" s="112" t="s">
        <v>403</v>
      </c>
      <c r="B108" s="546">
        <f>1118.2/1000</f>
        <v>1.1182000000000001</v>
      </c>
      <c r="C108" s="547">
        <v>0</v>
      </c>
      <c r="D108" s="528">
        <v>2.9759012923314138E-2</v>
      </c>
      <c r="E108" s="367">
        <f t="shared" si="42"/>
        <v>3.3276528250849875E-2</v>
      </c>
      <c r="F108" s="528">
        <v>0</v>
      </c>
      <c r="G108" s="367">
        <f t="shared" si="43"/>
        <v>0</v>
      </c>
      <c r="H108" s="528">
        <v>0</v>
      </c>
      <c r="I108" s="367">
        <f t="shared" si="44"/>
        <v>0</v>
      </c>
      <c r="J108" s="528">
        <v>0</v>
      </c>
      <c r="K108" s="367">
        <f t="shared" si="45"/>
        <v>0</v>
      </c>
      <c r="L108" s="528">
        <v>0</v>
      </c>
      <c r="M108" s="367">
        <f t="shared" si="46"/>
        <v>0</v>
      </c>
      <c r="N108" s="528">
        <v>4.0703571281685696E-2</v>
      </c>
      <c r="O108" s="367">
        <f t="shared" si="47"/>
        <v>4.551473340718095E-2</v>
      </c>
      <c r="P108" s="368"/>
      <c r="Q108" s="368"/>
      <c r="AB108" s="657">
        <v>30090</v>
      </c>
      <c r="AC108" s="612"/>
      <c r="AD108" s="614"/>
      <c r="AE108" s="658">
        <f t="shared" ref="AE108:AE115" si="48">B108*1000</f>
        <v>1118.2</v>
      </c>
      <c r="AF108" s="621">
        <f>E108/B108*1000</f>
        <v>29.759012923314142</v>
      </c>
      <c r="AG108" s="661"/>
      <c r="AH108" s="621"/>
      <c r="AI108" s="661"/>
      <c r="AJ108" s="621"/>
      <c r="AK108" s="658"/>
      <c r="AL108" s="621">
        <f t="shared" ref="AL108:AL117" si="49">O108/B108*1000</f>
        <v>40.703571281685697</v>
      </c>
    </row>
    <row r="109" spans="1:38">
      <c r="A109" s="112" t="s">
        <v>404</v>
      </c>
      <c r="B109" s="546">
        <f>1217.55/1000</f>
        <v>1.2175499999999999</v>
      </c>
      <c r="C109" s="547">
        <v>0</v>
      </c>
      <c r="D109" s="528">
        <v>6.3885501231187424E-3</v>
      </c>
      <c r="E109" s="367">
        <f t="shared" si="42"/>
        <v>7.7783792024032246E-3</v>
      </c>
      <c r="F109" s="528">
        <v>3.5855511288180611E-2</v>
      </c>
      <c r="G109" s="367">
        <f t="shared" si="43"/>
        <v>4.3655877768924302E-2</v>
      </c>
      <c r="H109" s="528">
        <v>0</v>
      </c>
      <c r="I109" s="367">
        <f t="shared" si="44"/>
        <v>0</v>
      </c>
      <c r="J109" s="528">
        <v>0</v>
      </c>
      <c r="K109" s="367">
        <f t="shared" si="45"/>
        <v>0</v>
      </c>
      <c r="L109" s="528">
        <v>0</v>
      </c>
      <c r="M109" s="367">
        <f t="shared" si="46"/>
        <v>0</v>
      </c>
      <c r="N109" s="528">
        <v>0</v>
      </c>
      <c r="O109" s="367">
        <f t="shared" si="47"/>
        <v>0</v>
      </c>
      <c r="P109" s="368"/>
      <c r="Q109" s="368"/>
      <c r="AB109" s="657">
        <v>30120</v>
      </c>
      <c r="AC109" s="612"/>
      <c r="AD109" s="614"/>
      <c r="AE109" s="658">
        <f t="shared" si="48"/>
        <v>1217.55</v>
      </c>
      <c r="AF109" s="621">
        <f>E109/B109*1000</f>
        <v>6.3885501231187423</v>
      </c>
      <c r="AG109" s="661"/>
      <c r="AH109" s="621">
        <f>G109/B109*1000</f>
        <v>35.855511288180608</v>
      </c>
      <c r="AI109" s="661"/>
      <c r="AJ109" s="621" t="s">
        <v>7</v>
      </c>
      <c r="AK109" s="658"/>
      <c r="AL109" s="621"/>
    </row>
    <row r="110" spans="1:38">
      <c r="A110" s="112" t="s">
        <v>346</v>
      </c>
      <c r="B110" s="546">
        <f>945.41/1000</f>
        <v>0.94540999999999997</v>
      </c>
      <c r="C110" s="547">
        <v>0</v>
      </c>
      <c r="D110" s="528">
        <v>4.8857039368090148E-3</v>
      </c>
      <c r="E110" s="367">
        <f t="shared" si="42"/>
        <v>4.6189933588986105E-3</v>
      </c>
      <c r="F110" s="528">
        <v>4.7245683930942899E-3</v>
      </c>
      <c r="G110" s="367">
        <f t="shared" si="43"/>
        <v>4.4666542045152724E-3</v>
      </c>
      <c r="H110" s="528">
        <v>0</v>
      </c>
      <c r="I110" s="367">
        <f t="shared" si="44"/>
        <v>0</v>
      </c>
      <c r="J110" s="528">
        <v>0</v>
      </c>
      <c r="K110" s="367">
        <f t="shared" si="45"/>
        <v>0</v>
      </c>
      <c r="L110" s="528">
        <v>0</v>
      </c>
      <c r="M110" s="367">
        <f t="shared" si="46"/>
        <v>0</v>
      </c>
      <c r="N110" s="528">
        <v>0</v>
      </c>
      <c r="O110" s="367">
        <f t="shared" si="47"/>
        <v>0</v>
      </c>
      <c r="P110" s="368"/>
      <c r="Q110" s="368"/>
      <c r="AB110" s="657">
        <v>30362</v>
      </c>
      <c r="AC110" s="612"/>
      <c r="AD110" s="614"/>
      <c r="AE110" s="658">
        <f t="shared" si="48"/>
        <v>945.41</v>
      </c>
      <c r="AF110" s="621">
        <f>E110/B110*1000</f>
        <v>4.8857039368090147</v>
      </c>
      <c r="AG110" s="661"/>
      <c r="AH110" s="621">
        <f>G110/B110*1000</f>
        <v>4.7245683930942901</v>
      </c>
      <c r="AI110" s="661"/>
      <c r="AJ110" s="621" t="s">
        <v>7</v>
      </c>
      <c r="AK110" s="658"/>
      <c r="AL110" s="621"/>
    </row>
    <row r="111" spans="1:38">
      <c r="A111" s="112" t="s">
        <v>347</v>
      </c>
      <c r="B111" s="546">
        <f>4458.01/1000</f>
        <v>4.4580099999999998</v>
      </c>
      <c r="C111" s="547">
        <v>0</v>
      </c>
      <c r="D111" s="528">
        <v>0</v>
      </c>
      <c r="E111" s="367">
        <f t="shared" si="42"/>
        <v>0</v>
      </c>
      <c r="F111" s="528">
        <v>9.5981301460823368E-4</v>
      </c>
      <c r="G111" s="367">
        <f t="shared" si="43"/>
        <v>4.2788560172536518E-3</v>
      </c>
      <c r="H111" s="528">
        <v>0</v>
      </c>
      <c r="I111" s="367">
        <f t="shared" si="44"/>
        <v>0</v>
      </c>
      <c r="J111" s="528">
        <v>0</v>
      </c>
      <c r="K111" s="367">
        <f t="shared" si="45"/>
        <v>0</v>
      </c>
      <c r="L111" s="528">
        <v>0</v>
      </c>
      <c r="M111" s="367">
        <f t="shared" si="46"/>
        <v>0</v>
      </c>
      <c r="N111" s="528">
        <v>8.225600811592614E-6</v>
      </c>
      <c r="O111" s="367">
        <f t="shared" si="47"/>
        <v>3.6669810674087989E-5</v>
      </c>
      <c r="P111" s="368"/>
      <c r="Q111" s="368"/>
      <c r="R111" s="111"/>
      <c r="S111" s="111"/>
      <c r="T111" s="111"/>
      <c r="U111" s="111"/>
      <c r="V111" s="111"/>
      <c r="W111" s="111"/>
      <c r="X111" s="111"/>
      <c r="Y111" s="111"/>
      <c r="AB111" s="657">
        <v>30360</v>
      </c>
      <c r="AC111" s="612"/>
      <c r="AD111" s="614"/>
      <c r="AE111" s="658"/>
      <c r="AF111" s="621"/>
      <c r="AG111" s="661"/>
      <c r="AH111" s="621">
        <f>G111/B111*1000</f>
        <v>0.95981301460823365</v>
      </c>
      <c r="AI111" s="661"/>
      <c r="AJ111" s="621" t="s">
        <v>7</v>
      </c>
      <c r="AK111" s="658"/>
      <c r="AL111" s="621">
        <f t="shared" si="49"/>
        <v>8.2256008115926139E-3</v>
      </c>
    </row>
    <row r="112" spans="1:38">
      <c r="A112" s="112" t="s">
        <v>348</v>
      </c>
      <c r="B112" s="546">
        <f>900.79/1000</f>
        <v>0.90078999999999998</v>
      </c>
      <c r="C112" s="547">
        <v>0</v>
      </c>
      <c r="D112" s="528">
        <v>0</v>
      </c>
      <c r="E112" s="367">
        <f t="shared" si="42"/>
        <v>0</v>
      </c>
      <c r="F112" s="528">
        <v>7.1203187250996013E-4</v>
      </c>
      <c r="G112" s="367">
        <f t="shared" si="43"/>
        <v>6.4139119043824693E-4</v>
      </c>
      <c r="H112" s="528">
        <v>0</v>
      </c>
      <c r="I112" s="367">
        <f t="shared" si="44"/>
        <v>0</v>
      </c>
      <c r="J112" s="528">
        <v>0</v>
      </c>
      <c r="K112" s="367">
        <f t="shared" si="45"/>
        <v>0</v>
      </c>
      <c r="L112" s="528">
        <v>0</v>
      </c>
      <c r="M112" s="367">
        <f t="shared" si="46"/>
        <v>0</v>
      </c>
      <c r="N112" s="528">
        <v>3.1805656471491436E-5</v>
      </c>
      <c r="O112" s="367">
        <f t="shared" si="47"/>
        <v>2.865021729295477E-5</v>
      </c>
      <c r="P112" s="368"/>
      <c r="Q112" s="368"/>
      <c r="R112" s="111"/>
      <c r="S112" s="111"/>
      <c r="T112" s="111"/>
      <c r="U112" s="111"/>
      <c r="V112" s="111"/>
      <c r="W112" s="111"/>
      <c r="X112" s="111"/>
      <c r="Y112" s="111"/>
      <c r="AB112" s="657">
        <v>30361</v>
      </c>
      <c r="AC112" s="612"/>
      <c r="AD112" s="614"/>
      <c r="AE112" s="658"/>
      <c r="AF112" s="621"/>
      <c r="AG112" s="661"/>
      <c r="AH112" s="621">
        <f>G112/B112*1000</f>
        <v>0.71203187250996014</v>
      </c>
      <c r="AI112" s="661"/>
      <c r="AJ112" s="621" t="s">
        <v>427</v>
      </c>
      <c r="AK112" s="658"/>
      <c r="AL112" s="621">
        <f t="shared" si="49"/>
        <v>3.1805656471491438E-2</v>
      </c>
    </row>
    <row r="113" spans="1:38">
      <c r="A113" s="112" t="s">
        <v>405</v>
      </c>
      <c r="B113" s="546">
        <f>1249.29/1000</f>
        <v>1.24929</v>
      </c>
      <c r="C113" s="547">
        <v>0</v>
      </c>
      <c r="D113" s="528">
        <v>5.7571719575049264E-4</v>
      </c>
      <c r="E113" s="367">
        <f t="shared" si="42"/>
        <v>7.1923773547913296E-4</v>
      </c>
      <c r="F113" s="528">
        <v>0</v>
      </c>
      <c r="G113" s="367">
        <f t="shared" si="43"/>
        <v>0</v>
      </c>
      <c r="H113" s="528">
        <v>0</v>
      </c>
      <c r="I113" s="367">
        <f t="shared" si="44"/>
        <v>0</v>
      </c>
      <c r="J113" s="528">
        <v>0</v>
      </c>
      <c r="K113" s="367">
        <f t="shared" si="45"/>
        <v>0</v>
      </c>
      <c r="L113" s="528">
        <v>0</v>
      </c>
      <c r="M113" s="367">
        <f t="shared" si="46"/>
        <v>0</v>
      </c>
      <c r="N113" s="528">
        <v>1.5403808453175768E-3</v>
      </c>
      <c r="O113" s="367">
        <f t="shared" si="47"/>
        <v>1.9243823862467955E-3</v>
      </c>
      <c r="P113" s="368"/>
      <c r="Q113" s="368"/>
      <c r="R113" s="111"/>
      <c r="S113" s="111"/>
      <c r="T113" s="111"/>
      <c r="U113" s="111"/>
      <c r="V113" s="111"/>
      <c r="W113" s="111"/>
      <c r="X113" s="111"/>
      <c r="Y113" s="111"/>
      <c r="AB113" s="657">
        <v>30054</v>
      </c>
      <c r="AC113" s="612"/>
      <c r="AD113" s="614"/>
      <c r="AE113" s="658">
        <f>B113*1000</f>
        <v>1249.29</v>
      </c>
      <c r="AF113" s="621">
        <f t="shared" ref="AF113:AF115" si="50">E113/B113*1000</f>
        <v>0.57571719575049263</v>
      </c>
      <c r="AG113" s="661"/>
      <c r="AH113" s="621"/>
      <c r="AI113" s="658"/>
      <c r="AJ113" s="621"/>
      <c r="AK113" s="658"/>
      <c r="AL113" s="621">
        <f t="shared" si="49"/>
        <v>1.5403808453175769</v>
      </c>
    </row>
    <row r="114" spans="1:38">
      <c r="A114" s="112" t="s">
        <v>409</v>
      </c>
      <c r="B114" s="546">
        <f>1096.46/1000</f>
        <v>1.09646</v>
      </c>
      <c r="C114" s="547">
        <v>0</v>
      </c>
      <c r="D114" s="528">
        <v>2.6669413715527579E-4</v>
      </c>
      <c r="E114" s="367">
        <f t="shared" si="42"/>
        <v>2.9241945362527366E-4</v>
      </c>
      <c r="F114" s="568">
        <v>0</v>
      </c>
      <c r="G114" s="367">
        <f t="shared" si="43"/>
        <v>0</v>
      </c>
      <c r="H114" s="528">
        <v>0</v>
      </c>
      <c r="I114" s="367">
        <f t="shared" si="44"/>
        <v>0</v>
      </c>
      <c r="J114" s="528">
        <v>0</v>
      </c>
      <c r="K114" s="367">
        <f t="shared" si="45"/>
        <v>0</v>
      </c>
      <c r="L114" s="528">
        <v>0</v>
      </c>
      <c r="M114" s="367">
        <f t="shared" si="46"/>
        <v>0</v>
      </c>
      <c r="N114" s="528">
        <v>5.3356401573831621E-3</v>
      </c>
      <c r="O114" s="367">
        <f t="shared" si="47"/>
        <v>5.8503160069643418E-3</v>
      </c>
      <c r="P114" s="368"/>
      <c r="Q114" s="368"/>
      <c r="AB114" s="657">
        <v>30055</v>
      </c>
      <c r="AC114" s="612"/>
      <c r="AD114" s="614"/>
      <c r="AE114" s="658">
        <f t="shared" si="48"/>
        <v>1096.46</v>
      </c>
      <c r="AF114" s="621">
        <f t="shared" si="50"/>
        <v>0.26669413715527579</v>
      </c>
      <c r="AG114" s="661"/>
      <c r="AH114" s="621"/>
      <c r="AI114" s="658"/>
      <c r="AJ114" s="621"/>
      <c r="AK114" s="658"/>
      <c r="AL114" s="621">
        <f t="shared" si="49"/>
        <v>5.3356401573831622</v>
      </c>
    </row>
    <row r="115" spans="1:38">
      <c r="A115" s="112" t="s">
        <v>406</v>
      </c>
      <c r="B115" s="546">
        <f>3740.87/1000</f>
        <v>3.7408699999999997</v>
      </c>
      <c r="C115" s="547">
        <v>0</v>
      </c>
      <c r="D115" s="528">
        <v>7.2259569533012771E-4</v>
      </c>
      <c r="E115" s="367">
        <f t="shared" si="42"/>
        <v>2.7031365587896145E-3</v>
      </c>
      <c r="F115" s="528">
        <v>0</v>
      </c>
      <c r="G115" s="367">
        <f t="shared" si="43"/>
        <v>0</v>
      </c>
      <c r="H115" s="528">
        <v>0</v>
      </c>
      <c r="I115" s="367">
        <f t="shared" si="44"/>
        <v>0</v>
      </c>
      <c r="J115" s="528">
        <v>0</v>
      </c>
      <c r="K115" s="367">
        <f t="shared" si="45"/>
        <v>0</v>
      </c>
      <c r="L115" s="528">
        <v>0</v>
      </c>
      <c r="M115" s="367">
        <f t="shared" si="46"/>
        <v>0</v>
      </c>
      <c r="N115" s="528">
        <v>1.0131198332944903E-3</v>
      </c>
      <c r="O115" s="367">
        <f t="shared" si="47"/>
        <v>3.7899495907763596E-3</v>
      </c>
      <c r="P115" s="368"/>
      <c r="Q115" s="368"/>
      <c r="R115" s="111"/>
      <c r="S115" s="111"/>
      <c r="T115" s="111"/>
      <c r="U115" s="111"/>
      <c r="V115" s="111"/>
      <c r="W115" s="111"/>
      <c r="X115" s="111"/>
      <c r="Y115" s="111"/>
      <c r="AB115" s="657">
        <v>30058</v>
      </c>
      <c r="AC115" s="612"/>
      <c r="AD115" s="614"/>
      <c r="AE115" s="658">
        <f t="shared" si="48"/>
        <v>3740.87</v>
      </c>
      <c r="AF115" s="621">
        <f t="shared" si="50"/>
        <v>0.72259569533012769</v>
      </c>
      <c r="AG115" s="661"/>
      <c r="AH115" s="621"/>
      <c r="AI115" s="658"/>
      <c r="AJ115" s="621"/>
      <c r="AK115" s="658"/>
      <c r="AL115" s="621">
        <f t="shared" si="49"/>
        <v>1.0131198332944904</v>
      </c>
    </row>
    <row r="116" spans="1:38" ht="16.5">
      <c r="A116" s="112" t="s">
        <v>411</v>
      </c>
      <c r="B116" s="546">
        <v>13.45</v>
      </c>
      <c r="C116" s="547">
        <v>0</v>
      </c>
      <c r="D116" s="545">
        <v>0</v>
      </c>
      <c r="E116" s="367">
        <f t="shared" si="42"/>
        <v>0</v>
      </c>
      <c r="F116" s="528">
        <v>0</v>
      </c>
      <c r="G116" s="367">
        <f t="shared" si="43"/>
        <v>0</v>
      </c>
      <c r="H116" s="528">
        <v>0</v>
      </c>
      <c r="I116" s="367">
        <f t="shared" si="44"/>
        <v>0</v>
      </c>
      <c r="J116" s="528">
        <v>1.1824058016711336E-2</v>
      </c>
      <c r="K116" s="367">
        <f t="shared" si="45"/>
        <v>0.15903358032476744</v>
      </c>
      <c r="L116" s="528">
        <v>0</v>
      </c>
      <c r="M116" s="367">
        <f t="shared" si="46"/>
        <v>0</v>
      </c>
      <c r="N116" s="528">
        <v>0</v>
      </c>
      <c r="O116" s="367">
        <f t="shared" si="47"/>
        <v>0</v>
      </c>
      <c r="P116" s="368"/>
      <c r="Q116" s="368"/>
      <c r="R116" s="111"/>
      <c r="S116" s="111"/>
      <c r="T116" s="111"/>
      <c r="U116" s="111"/>
      <c r="V116" s="111"/>
      <c r="W116" s="111"/>
      <c r="X116" s="111"/>
      <c r="Y116" s="111"/>
      <c r="AB116" s="657">
        <v>30454</v>
      </c>
      <c r="AC116" s="612"/>
      <c r="AD116" s="614"/>
      <c r="AE116" s="658"/>
      <c r="AF116" s="659"/>
      <c r="AG116" s="612"/>
      <c r="AH116" s="612"/>
      <c r="AI116" s="612"/>
      <c r="AJ116" s="621">
        <f>K116/B116*1000</f>
        <v>11.824058016711334</v>
      </c>
      <c r="AK116" s="612"/>
      <c r="AL116" s="621"/>
    </row>
    <row r="117" spans="1:38" ht="17.25" thickBot="1">
      <c r="A117" s="112" t="s">
        <v>355</v>
      </c>
      <c r="B117" s="548">
        <v>10.1</v>
      </c>
      <c r="C117" s="549">
        <v>0</v>
      </c>
      <c r="D117" s="545">
        <v>0</v>
      </c>
      <c r="E117" s="367">
        <f t="shared" si="42"/>
        <v>0</v>
      </c>
      <c r="F117" s="528">
        <v>0</v>
      </c>
      <c r="G117" s="367">
        <f t="shared" si="43"/>
        <v>0</v>
      </c>
      <c r="H117" s="528">
        <v>0</v>
      </c>
      <c r="I117" s="367">
        <f t="shared" si="44"/>
        <v>0</v>
      </c>
      <c r="J117" s="528">
        <v>0</v>
      </c>
      <c r="K117" s="367">
        <f t="shared" si="45"/>
        <v>0</v>
      </c>
      <c r="L117" s="528">
        <v>0</v>
      </c>
      <c r="M117" s="367">
        <f t="shared" si="46"/>
        <v>0</v>
      </c>
      <c r="N117" s="528">
        <v>1.734834048503626E-3</v>
      </c>
      <c r="O117" s="367">
        <f t="shared" si="47"/>
        <v>1.7521823889886622E-2</v>
      </c>
      <c r="P117" s="368"/>
      <c r="Q117" s="368"/>
      <c r="R117" s="111"/>
      <c r="S117" s="111"/>
      <c r="T117" s="111"/>
      <c r="U117" s="111"/>
      <c r="V117" s="111"/>
      <c r="W117" s="111"/>
      <c r="X117" s="111"/>
      <c r="Y117" s="111"/>
      <c r="AB117" s="657">
        <v>30242</v>
      </c>
      <c r="AC117" s="612"/>
      <c r="AD117" s="614"/>
      <c r="AE117" s="658"/>
      <c r="AF117" s="659"/>
      <c r="AG117" s="612"/>
      <c r="AH117" s="612"/>
      <c r="AI117" s="612"/>
      <c r="AJ117" s="612"/>
      <c r="AK117" s="612"/>
      <c r="AL117" s="621">
        <f t="shared" si="49"/>
        <v>1.734834048503626</v>
      </c>
    </row>
    <row r="118" spans="1:38">
      <c r="A118" s="23"/>
      <c r="D118" s="371"/>
      <c r="E118" s="372"/>
      <c r="F118" s="30"/>
      <c r="G118" s="25"/>
      <c r="H118" s="30"/>
      <c r="I118" s="25"/>
      <c r="J118" s="30"/>
      <c r="K118" s="25"/>
      <c r="L118" s="30"/>
      <c r="M118" s="25"/>
      <c r="N118" s="30"/>
      <c r="O118" s="25"/>
      <c r="P118" s="368"/>
      <c r="Q118" s="368"/>
      <c r="R118" s="111"/>
      <c r="S118" s="111"/>
      <c r="T118" s="111"/>
      <c r="U118" s="111"/>
      <c r="V118" s="111"/>
      <c r="W118" s="111"/>
      <c r="X118" s="111"/>
      <c r="Y118" s="111"/>
      <c r="AB118" s="657"/>
      <c r="AC118" s="612"/>
      <c r="AD118" s="614"/>
      <c r="AE118" s="658"/>
      <c r="AF118" s="659"/>
      <c r="AG118" s="612"/>
      <c r="AH118" s="612"/>
      <c r="AI118" s="612"/>
      <c r="AJ118" s="612"/>
      <c r="AK118" s="612"/>
      <c r="AL118" s="621"/>
    </row>
    <row r="119" spans="1:38">
      <c r="A119" s="23" t="s">
        <v>249</v>
      </c>
      <c r="D119" s="374"/>
      <c r="E119" s="541" t="s">
        <v>250</v>
      </c>
      <c r="F119" s="33"/>
      <c r="G119" s="541" t="s">
        <v>250</v>
      </c>
      <c r="H119" s="33"/>
      <c r="I119" s="541" t="s">
        <v>250</v>
      </c>
      <c r="J119" s="33"/>
      <c r="K119" s="541" t="s">
        <v>250</v>
      </c>
      <c r="L119" s="30"/>
      <c r="M119" s="541" t="s">
        <v>250</v>
      </c>
      <c r="N119" s="33"/>
      <c r="O119" s="541" t="s">
        <v>250</v>
      </c>
      <c r="P119" s="368"/>
      <c r="Q119" s="368"/>
      <c r="R119" s="111"/>
      <c r="S119" s="111"/>
      <c r="T119" s="111"/>
      <c r="U119" s="111"/>
      <c r="V119" s="111"/>
      <c r="W119" s="111"/>
      <c r="X119" s="111"/>
      <c r="Y119" s="111"/>
      <c r="AB119" s="657"/>
      <c r="AC119" s="612"/>
      <c r="AD119" s="614"/>
      <c r="AE119" s="658"/>
      <c r="AF119" s="659"/>
      <c r="AG119" s="612"/>
      <c r="AH119" s="612"/>
      <c r="AI119" s="612"/>
      <c r="AJ119" s="612"/>
      <c r="AK119" s="612"/>
      <c r="AL119" s="612"/>
    </row>
    <row r="120" spans="1:38">
      <c r="A120" s="112" t="s">
        <v>363</v>
      </c>
      <c r="D120" s="374"/>
      <c r="E120" s="275">
        <f>SUM(E100:E107)</f>
        <v>0.14369989399492902</v>
      </c>
      <c r="F120" s="33"/>
      <c r="G120" s="275">
        <f>SUM(G100:G107)</f>
        <v>0.13998073912350598</v>
      </c>
      <c r="H120" s="33"/>
      <c r="I120" s="275">
        <f>SUM(I100:I107)</f>
        <v>0</v>
      </c>
      <c r="J120" s="33"/>
      <c r="K120" s="275">
        <f>SUM(K100:K107)</f>
        <v>0.15362762099952701</v>
      </c>
      <c r="L120" s="30"/>
      <c r="M120" s="275">
        <f>SUM(M100:M107)</f>
        <v>0</v>
      </c>
      <c r="N120" s="33"/>
      <c r="O120" s="275">
        <f>SUM(O100:O107)</f>
        <v>0.14400712302208574</v>
      </c>
      <c r="P120" s="368"/>
      <c r="Q120" s="368"/>
      <c r="R120" s="111"/>
      <c r="S120" s="111"/>
      <c r="T120" s="111"/>
      <c r="U120" s="111"/>
      <c r="V120" s="111"/>
      <c r="W120" s="111"/>
      <c r="X120" s="111"/>
      <c r="Y120" s="111"/>
      <c r="AB120" s="657"/>
      <c r="AC120" s="612"/>
      <c r="AD120" s="614"/>
      <c r="AE120" s="658"/>
      <c r="AF120" s="659"/>
      <c r="AG120" s="612"/>
      <c r="AH120" s="612"/>
      <c r="AI120" s="612"/>
      <c r="AJ120" s="612"/>
      <c r="AK120" s="612"/>
      <c r="AL120" s="612"/>
    </row>
    <row r="121" spans="1:38" ht="12.75">
      <c r="A121" s="112" t="s">
        <v>36</v>
      </c>
      <c r="D121" s="374"/>
      <c r="E121" s="375">
        <f>SUM(E108:E109)</f>
        <v>4.1054907453253103E-2</v>
      </c>
      <c r="F121" s="33"/>
      <c r="G121" s="375">
        <f>SUM(G108:G109)</f>
        <v>4.3655877768924302E-2</v>
      </c>
      <c r="H121" s="33"/>
      <c r="I121" s="375">
        <f>SUM(I108:I109)</f>
        <v>0</v>
      </c>
      <c r="J121" s="33"/>
      <c r="K121" s="375">
        <f>SUM(K108:K109)</f>
        <v>0</v>
      </c>
      <c r="L121" s="30"/>
      <c r="M121" s="375">
        <f>SUM(M108:M109)</f>
        <v>0</v>
      </c>
      <c r="N121" s="33"/>
      <c r="O121" s="375">
        <f>SUM(O108:O109)</f>
        <v>4.551473340718095E-2</v>
      </c>
      <c r="AB121" s="612"/>
      <c r="AC121" s="612"/>
      <c r="AD121" s="612"/>
      <c r="AE121" s="658"/>
      <c r="AF121" s="660">
        <f>SUM(AF100:AF116)</f>
        <v>1007.0270927693907</v>
      </c>
      <c r="AG121" s="612"/>
      <c r="AH121" s="660">
        <f>SUM(AH100:AH116)</f>
        <v>981.71997237715823</v>
      </c>
      <c r="AI121" s="612"/>
      <c r="AJ121" s="660">
        <f>SUM(AJ100:AJ116)</f>
        <v>1042.8819170739398</v>
      </c>
      <c r="AK121" s="612"/>
      <c r="AL121" s="660">
        <f>SUM(AL100:AL118)</f>
        <v>1016.8583359609559</v>
      </c>
    </row>
    <row r="122" spans="1:38" ht="16.5">
      <c r="A122" s="112" t="s">
        <v>147</v>
      </c>
      <c r="D122" s="374"/>
      <c r="E122" s="377">
        <f>SUM(E110:E117)</f>
        <v>8.3337871067926325E-3</v>
      </c>
      <c r="F122" s="33"/>
      <c r="G122" s="377">
        <f>SUM(G110:G117)</f>
        <v>9.3869014122071708E-3</v>
      </c>
      <c r="H122" s="33"/>
      <c r="I122" s="377">
        <f>SUM(I110:I117)</f>
        <v>0</v>
      </c>
      <c r="J122" s="33"/>
      <c r="K122" s="377">
        <f>SUM(K110:K117)</f>
        <v>0.15903358032476744</v>
      </c>
      <c r="L122" s="30"/>
      <c r="M122" s="377">
        <f>SUM(M110:M117)</f>
        <v>0</v>
      </c>
      <c r="N122" s="33"/>
      <c r="O122" s="377">
        <f>SUM(O110:O117)</f>
        <v>2.9151791901841161E-2</v>
      </c>
      <c r="P122" s="26"/>
      <c r="Q122" s="26"/>
    </row>
    <row r="123" spans="1:38" ht="16.5">
      <c r="A123" s="353" t="s">
        <v>251</v>
      </c>
      <c r="D123" s="371"/>
      <c r="E123" s="379">
        <f>SUM(E120:E122)</f>
        <v>0.19308858855497477</v>
      </c>
      <c r="F123" s="33"/>
      <c r="G123" s="379">
        <f>SUM(G120:G122)</f>
        <v>0.19302351830463743</v>
      </c>
      <c r="H123" s="33"/>
      <c r="I123" s="379">
        <f>SUM(I120:I122)</f>
        <v>0</v>
      </c>
      <c r="J123" s="33"/>
      <c r="K123" s="379">
        <f>SUM(K120:K122)</f>
        <v>0.31266120132429442</v>
      </c>
      <c r="L123" s="30"/>
      <c r="M123" s="379">
        <f>SUM(M120:M122)</f>
        <v>0</v>
      </c>
      <c r="N123" s="33"/>
      <c r="O123" s="379">
        <f>SUM(O120:O122)</f>
        <v>0.21867364833110786</v>
      </c>
      <c r="P123" s="63"/>
      <c r="Q123" s="63"/>
    </row>
    <row r="124" spans="1:38">
      <c r="A124" s="491" t="s">
        <v>389</v>
      </c>
      <c r="B124" s="1"/>
      <c r="C124" s="1"/>
      <c r="D124" s="33"/>
      <c r="E124" s="1"/>
      <c r="F124" s="371"/>
      <c r="G124" s="484"/>
      <c r="H124" s="371"/>
      <c r="I124" s="484"/>
      <c r="J124" s="371"/>
      <c r="K124" s="484"/>
      <c r="L124" s="371"/>
      <c r="M124" s="484"/>
      <c r="N124" s="371"/>
      <c r="O124" s="484"/>
      <c r="P124" s="376"/>
      <c r="Q124" s="376"/>
      <c r="V124" s="249">
        <f>($E121*$B$29+$G121*$E$29+$I121*$H$29+$K121*$K$29+$M121*$N$29+$O121*$Q$29+$E149*$B$60+$G149*$E$60+$I149*$H$60+$K149*$K$60+$M149*$N$60+$O149*$Q$60)/$B$64</f>
        <v>3.2998157273645072E-2</v>
      </c>
    </row>
    <row r="125" spans="1:38" ht="16.5">
      <c r="A125" s="492" t="s">
        <v>390</v>
      </c>
      <c r="B125" s="359"/>
      <c r="C125" s="359"/>
      <c r="D125" s="485"/>
      <c r="E125" s="486"/>
      <c r="F125" s="59"/>
      <c r="G125" s="487"/>
      <c r="H125" s="59"/>
      <c r="I125" s="487"/>
      <c r="J125" s="59"/>
      <c r="K125" s="487"/>
      <c r="L125" s="59"/>
      <c r="M125" s="487"/>
      <c r="N125" s="59"/>
      <c r="O125" s="487"/>
      <c r="P125" s="378"/>
      <c r="Q125" s="378"/>
      <c r="V125" s="249">
        <f>($E122*$B$29+$G122*$E$29+$I122*$H$29+$K122*$K$29+$M122*$N$29+$O122*$Q$29+$E150*$B$60+$G150*$E$60+$I150*$H$60+$K150*$K$60+$M150*$N$60+$O150*$Q$60)/$B$64</f>
        <v>3.3466697743402586E-2</v>
      </c>
    </row>
    <row r="126" spans="1:38" ht="17.25" thickBot="1">
      <c r="A126" s="30"/>
      <c r="B126" s="1"/>
      <c r="C126" s="1"/>
      <c r="D126" s="847" t="s">
        <v>322</v>
      </c>
      <c r="E126" s="848"/>
      <c r="F126" s="847" t="s">
        <v>333</v>
      </c>
      <c r="G126" s="848"/>
      <c r="H126" s="847" t="s">
        <v>400</v>
      </c>
      <c r="I126" s="848"/>
      <c r="J126" s="847" t="s">
        <v>335</v>
      </c>
      <c r="K126" s="848"/>
      <c r="L126" s="847" t="s">
        <v>407</v>
      </c>
      <c r="M126" s="848"/>
      <c r="N126" s="847" t="s">
        <v>407</v>
      </c>
      <c r="O126" s="848"/>
      <c r="P126" s="380"/>
      <c r="Q126" s="380"/>
      <c r="AB126" s="663"/>
      <c r="AC126" s="663"/>
      <c r="AD126" s="663"/>
      <c r="AE126" s="663"/>
      <c r="AF126" s="663" t="s">
        <v>322</v>
      </c>
      <c r="AG126" s="663"/>
      <c r="AH126" s="663" t="s">
        <v>430</v>
      </c>
      <c r="AI126" s="663"/>
      <c r="AJ126" s="663" t="s">
        <v>400</v>
      </c>
    </row>
    <row r="127" spans="1:38" ht="30">
      <c r="A127" s="30" t="s">
        <v>243</v>
      </c>
      <c r="B127" s="550" t="s">
        <v>27</v>
      </c>
      <c r="C127" s="551" t="s">
        <v>396</v>
      </c>
      <c r="D127" s="48" t="s">
        <v>244</v>
      </c>
      <c r="E127" s="362" t="s">
        <v>245</v>
      </c>
      <c r="F127" s="361" t="s">
        <v>244</v>
      </c>
      <c r="G127" s="362" t="s">
        <v>245</v>
      </c>
      <c r="H127" s="361" t="s">
        <v>244</v>
      </c>
      <c r="I127" s="362" t="s">
        <v>245</v>
      </c>
      <c r="J127" s="361" t="s">
        <v>244</v>
      </c>
      <c r="K127" s="362" t="s">
        <v>245</v>
      </c>
      <c r="L127" s="361" t="s">
        <v>244</v>
      </c>
      <c r="M127" s="362" t="s">
        <v>245</v>
      </c>
      <c r="N127" s="361" t="s">
        <v>244</v>
      </c>
      <c r="O127" s="362" t="s">
        <v>245</v>
      </c>
      <c r="AB127" s="655" t="s">
        <v>246</v>
      </c>
      <c r="AC127" s="612"/>
      <c r="AD127" s="612"/>
      <c r="AE127" s="656" t="s">
        <v>247</v>
      </c>
      <c r="AF127" s="656" t="s">
        <v>248</v>
      </c>
      <c r="AG127" s="656" t="s">
        <v>247</v>
      </c>
      <c r="AH127" s="656" t="s">
        <v>248</v>
      </c>
      <c r="AI127" s="656" t="s">
        <v>247</v>
      </c>
      <c r="AJ127" s="656" t="s">
        <v>248</v>
      </c>
      <c r="AK127" s="2"/>
      <c r="AL127" s="2"/>
    </row>
    <row r="128" spans="1:38">
      <c r="A128" s="112" t="s">
        <v>336</v>
      </c>
      <c r="B128" s="546">
        <f>0.209+0.032-C128</f>
        <v>0.14899999999999999</v>
      </c>
      <c r="C128" s="547">
        <v>9.1999999999999998E-2</v>
      </c>
      <c r="D128" s="545">
        <v>0</v>
      </c>
      <c r="E128" s="275">
        <f t="shared" ref="E128:E145" si="51">$B128*D128</f>
        <v>0</v>
      </c>
      <c r="F128" s="528">
        <v>0</v>
      </c>
      <c r="G128" s="275">
        <f t="shared" ref="G128:G145" si="52">$B128*F128</f>
        <v>0</v>
      </c>
      <c r="H128" s="528">
        <v>0</v>
      </c>
      <c r="I128" s="275">
        <f t="shared" ref="I128:I145" si="53">$B128*H128</f>
        <v>0</v>
      </c>
      <c r="J128" s="528">
        <v>0</v>
      </c>
      <c r="K128" s="275">
        <f t="shared" ref="K128:K145" si="54">$B128*J128</f>
        <v>0</v>
      </c>
      <c r="L128" s="528">
        <v>0</v>
      </c>
      <c r="M128" s="275">
        <f t="shared" ref="M128:M145" si="55">$B128*L128</f>
        <v>0</v>
      </c>
      <c r="N128" s="528">
        <v>0</v>
      </c>
      <c r="O128" s="275">
        <f t="shared" ref="O128:O145" si="56">$B128*N128</f>
        <v>0</v>
      </c>
      <c r="AA128" s="6"/>
      <c r="AB128" s="655"/>
      <c r="AC128" s="612"/>
      <c r="AD128" s="612"/>
      <c r="AE128" s="656"/>
      <c r="AF128" s="656"/>
      <c r="AG128" s="612"/>
      <c r="AH128" s="612"/>
      <c r="AI128" s="612"/>
      <c r="AJ128" s="612"/>
      <c r="AK128" s="2"/>
      <c r="AL128" s="2"/>
    </row>
    <row r="129" spans="1:38">
      <c r="A129" s="112" t="s">
        <v>337</v>
      </c>
      <c r="B129" s="546">
        <f>0.209+0.032-C129</f>
        <v>0.14899999999999999</v>
      </c>
      <c r="C129" s="547">
        <v>9.1999999999999998E-2</v>
      </c>
      <c r="D129" s="545">
        <v>0</v>
      </c>
      <c r="E129" s="367">
        <f t="shared" si="51"/>
        <v>0</v>
      </c>
      <c r="F129" s="528">
        <v>0</v>
      </c>
      <c r="G129" s="367">
        <f t="shared" si="52"/>
        <v>0</v>
      </c>
      <c r="H129" s="528">
        <v>0</v>
      </c>
      <c r="I129" s="367">
        <f t="shared" si="53"/>
        <v>0</v>
      </c>
      <c r="J129" s="528">
        <v>0</v>
      </c>
      <c r="K129" s="367">
        <f t="shared" si="54"/>
        <v>0</v>
      </c>
      <c r="L129" s="528">
        <v>0</v>
      </c>
      <c r="M129" s="367">
        <f t="shared" si="55"/>
        <v>0</v>
      </c>
      <c r="N129" s="528">
        <v>0</v>
      </c>
      <c r="O129" s="367">
        <f t="shared" si="56"/>
        <v>0</v>
      </c>
      <c r="AA129" s="6"/>
      <c r="AB129" s="649"/>
      <c r="AC129" s="612"/>
      <c r="AD129" s="612"/>
      <c r="AE129" s="612"/>
      <c r="AF129" s="612"/>
      <c r="AG129" s="612"/>
      <c r="AH129" s="612"/>
      <c r="AI129" s="612"/>
      <c r="AJ129" s="612"/>
      <c r="AK129" s="2"/>
      <c r="AL129" s="2"/>
    </row>
    <row r="130" spans="1:38" ht="16.5">
      <c r="A130" s="112" t="s">
        <v>338</v>
      </c>
      <c r="B130" s="546">
        <f>0.4447+0.032-C130</f>
        <v>0.29070000000000001</v>
      </c>
      <c r="C130" s="547">
        <v>0.186</v>
      </c>
      <c r="D130" s="545">
        <v>0</v>
      </c>
      <c r="E130" s="367">
        <f t="shared" si="51"/>
        <v>0</v>
      </c>
      <c r="F130" s="528">
        <v>0</v>
      </c>
      <c r="G130" s="367">
        <f t="shared" si="52"/>
        <v>0</v>
      </c>
      <c r="H130" s="528">
        <v>1.0035185975198446</v>
      </c>
      <c r="I130" s="367">
        <f>$B130*H130</f>
        <v>0.29172285629901884</v>
      </c>
      <c r="J130" s="528">
        <v>0</v>
      </c>
      <c r="K130" s="367">
        <f t="shared" si="54"/>
        <v>0</v>
      </c>
      <c r="L130" s="528">
        <v>0</v>
      </c>
      <c r="M130" s="367">
        <f t="shared" si="55"/>
        <v>0</v>
      </c>
      <c r="N130" s="528">
        <v>0</v>
      </c>
      <c r="O130" s="367">
        <f t="shared" si="56"/>
        <v>0</v>
      </c>
      <c r="P130" s="72"/>
      <c r="Q130" s="601"/>
      <c r="AA130" s="111"/>
      <c r="AB130" s="649" t="s">
        <v>428</v>
      </c>
      <c r="AC130" s="612"/>
      <c r="AD130" s="612"/>
      <c r="AE130" s="662"/>
      <c r="AF130" s="656" t="s">
        <v>7</v>
      </c>
      <c r="AG130" s="612"/>
      <c r="AH130" s="621"/>
      <c r="AI130" s="612"/>
      <c r="AJ130" s="621">
        <f>I130/B130*1000</f>
        <v>1003.5185975198447</v>
      </c>
      <c r="AK130" s="2"/>
      <c r="AL130" s="2"/>
    </row>
    <row r="131" spans="1:38">
      <c r="A131" s="112" t="s">
        <v>339</v>
      </c>
      <c r="B131" s="546">
        <f>0.225+0.032-C131</f>
        <v>0.25700000000000001</v>
      </c>
      <c r="C131" s="547">
        <v>0</v>
      </c>
      <c r="D131" s="545">
        <v>0</v>
      </c>
      <c r="E131" s="367">
        <f t="shared" si="51"/>
        <v>0</v>
      </c>
      <c r="F131" s="528">
        <v>0</v>
      </c>
      <c r="G131" s="367">
        <f t="shared" si="52"/>
        <v>0</v>
      </c>
      <c r="H131" s="528">
        <v>0</v>
      </c>
      <c r="I131" s="367">
        <f t="shared" si="53"/>
        <v>0</v>
      </c>
      <c r="J131" s="528">
        <v>0</v>
      </c>
      <c r="K131" s="367">
        <f t="shared" si="54"/>
        <v>0</v>
      </c>
      <c r="L131" s="528">
        <v>0</v>
      </c>
      <c r="M131" s="367">
        <f t="shared" si="55"/>
        <v>0</v>
      </c>
      <c r="N131" s="528">
        <v>0</v>
      </c>
      <c r="O131" s="367">
        <f t="shared" si="56"/>
        <v>0</v>
      </c>
      <c r="P131" s="63"/>
      <c r="Q131" s="601"/>
      <c r="AB131" s="657" t="s">
        <v>7</v>
      </c>
      <c r="AC131" s="612"/>
      <c r="AD131" s="614"/>
      <c r="AE131" s="662"/>
      <c r="AF131" s="621">
        <f>E128/B128*1000</f>
        <v>0</v>
      </c>
      <c r="AG131" s="612"/>
      <c r="AH131" s="621"/>
      <c r="AI131" s="612"/>
      <c r="AJ131" s="621">
        <f t="shared" ref="AJ131:AJ144" si="57">I131/B131*1000</f>
        <v>0</v>
      </c>
      <c r="AK131" s="2"/>
      <c r="AL131" s="2"/>
    </row>
    <row r="132" spans="1:38">
      <c r="A132" s="112" t="s">
        <v>340</v>
      </c>
      <c r="B132" s="546">
        <f>0.22+0.032-C132</f>
        <v>0.252</v>
      </c>
      <c r="C132" s="547">
        <v>0</v>
      </c>
      <c r="D132" s="545">
        <v>0</v>
      </c>
      <c r="E132" s="367">
        <f t="shared" si="51"/>
        <v>0</v>
      </c>
      <c r="F132" s="528">
        <v>0</v>
      </c>
      <c r="G132" s="367">
        <f t="shared" si="52"/>
        <v>0</v>
      </c>
      <c r="H132" s="528">
        <v>0</v>
      </c>
      <c r="I132" s="367">
        <f t="shared" si="53"/>
        <v>0</v>
      </c>
      <c r="J132" s="528">
        <v>0</v>
      </c>
      <c r="K132" s="367">
        <f t="shared" si="54"/>
        <v>0</v>
      </c>
      <c r="L132" s="528">
        <v>0</v>
      </c>
      <c r="M132" s="367">
        <f t="shared" si="55"/>
        <v>0</v>
      </c>
      <c r="N132" s="528">
        <v>0</v>
      </c>
      <c r="O132" s="367">
        <f t="shared" si="56"/>
        <v>0</v>
      </c>
      <c r="P132" s="368"/>
      <c r="AB132" s="657" t="s">
        <v>7</v>
      </c>
      <c r="AC132" s="612"/>
      <c r="AD132" s="614"/>
      <c r="AE132" s="662"/>
      <c r="AF132" s="621"/>
      <c r="AG132" s="612"/>
      <c r="AH132" s="621"/>
      <c r="AI132" s="612"/>
      <c r="AJ132" s="621">
        <f t="shared" si="57"/>
        <v>0</v>
      </c>
      <c r="AK132" s="2"/>
      <c r="AL132" s="2"/>
    </row>
    <row r="133" spans="1:38">
      <c r="A133" s="112" t="s">
        <v>343</v>
      </c>
      <c r="B133" s="546">
        <f>0.5176-C133</f>
        <v>0.40339999999999998</v>
      </c>
      <c r="C133" s="547">
        <f>0.049+0.0652</f>
        <v>0.1142</v>
      </c>
      <c r="D133" s="545">
        <v>0</v>
      </c>
      <c r="E133" s="367">
        <f t="shared" si="51"/>
        <v>0</v>
      </c>
      <c r="F133" s="528">
        <v>1.02973577505643</v>
      </c>
      <c r="G133" s="367">
        <f t="shared" si="52"/>
        <v>0.41539541165776384</v>
      </c>
      <c r="H133" s="528">
        <v>0</v>
      </c>
      <c r="I133" s="367">
        <f t="shared" si="53"/>
        <v>0</v>
      </c>
      <c r="J133" s="528">
        <v>0</v>
      </c>
      <c r="K133" s="367">
        <f t="shared" si="54"/>
        <v>0</v>
      </c>
      <c r="L133" s="528">
        <v>0</v>
      </c>
      <c r="M133" s="367">
        <f t="shared" si="55"/>
        <v>0</v>
      </c>
      <c r="N133" s="528">
        <v>0</v>
      </c>
      <c r="O133" s="367">
        <f t="shared" si="56"/>
        <v>0</v>
      </c>
      <c r="P133" s="368"/>
      <c r="AB133" s="657"/>
      <c r="AC133" s="612"/>
      <c r="AD133" s="614"/>
      <c r="AE133" s="662"/>
      <c r="AF133" s="621"/>
      <c r="AG133" s="612"/>
      <c r="AH133" s="621">
        <f t="shared" ref="AH133:AH144" si="58">G133/B133*1000</f>
        <v>1029.7357750564299</v>
      </c>
      <c r="AI133" s="612"/>
      <c r="AJ133" s="621">
        <f t="shared" si="57"/>
        <v>0</v>
      </c>
      <c r="AK133" s="2"/>
      <c r="AL133" s="2"/>
    </row>
    <row r="134" spans="1:38">
      <c r="A134" s="112" t="s">
        <v>344</v>
      </c>
      <c r="B134" s="546">
        <f>2.05-C134</f>
        <v>1.8877999999999999</v>
      </c>
      <c r="C134" s="547">
        <f>0.049+0.1132</f>
        <v>0.16220000000000001</v>
      </c>
      <c r="D134" s="545">
        <v>0</v>
      </c>
      <c r="E134" s="367">
        <f t="shared" si="51"/>
        <v>0</v>
      </c>
      <c r="F134" s="528">
        <v>0</v>
      </c>
      <c r="G134" s="367">
        <f t="shared" si="52"/>
        <v>0</v>
      </c>
      <c r="H134" s="528">
        <v>0</v>
      </c>
      <c r="I134" s="367">
        <f t="shared" si="53"/>
        <v>0</v>
      </c>
      <c r="J134" s="528">
        <v>0.99740932642487057</v>
      </c>
      <c r="K134" s="367">
        <f t="shared" si="54"/>
        <v>1.8829093264248706</v>
      </c>
      <c r="L134" s="528">
        <v>0</v>
      </c>
      <c r="M134" s="367">
        <f t="shared" si="55"/>
        <v>0</v>
      </c>
      <c r="N134" s="528">
        <v>0</v>
      </c>
      <c r="O134" s="367">
        <f t="shared" si="56"/>
        <v>0</v>
      </c>
      <c r="P134" s="368"/>
      <c r="Q134" s="368"/>
      <c r="AB134" s="657"/>
      <c r="AC134" s="612"/>
      <c r="AD134" s="614"/>
      <c r="AE134" s="662"/>
      <c r="AF134" s="621"/>
      <c r="AG134" s="612"/>
      <c r="AH134" s="621">
        <f t="shared" si="58"/>
        <v>0</v>
      </c>
      <c r="AI134" s="612"/>
      <c r="AJ134" s="621">
        <f t="shared" si="57"/>
        <v>0</v>
      </c>
      <c r="AK134" s="2"/>
      <c r="AL134" s="2"/>
    </row>
    <row r="135" spans="1:38">
      <c r="A135" s="112" t="s">
        <v>345</v>
      </c>
      <c r="B135" s="546">
        <f>0.2292+0.032-C135</f>
        <v>0.16919999999999999</v>
      </c>
      <c r="C135" s="547">
        <v>9.1999999999999998E-2</v>
      </c>
      <c r="D135" s="545">
        <v>1.1583011583011582</v>
      </c>
      <c r="E135" s="367">
        <f t="shared" si="51"/>
        <v>0.19598455598455597</v>
      </c>
      <c r="F135" s="528">
        <v>0</v>
      </c>
      <c r="G135" s="367">
        <f t="shared" si="52"/>
        <v>0</v>
      </c>
      <c r="H135" s="528">
        <v>0</v>
      </c>
      <c r="I135" s="367">
        <f t="shared" si="53"/>
        <v>0</v>
      </c>
      <c r="J135" s="528">
        <v>0</v>
      </c>
      <c r="K135" s="367">
        <f t="shared" si="54"/>
        <v>0</v>
      </c>
      <c r="L135" s="528">
        <v>0</v>
      </c>
      <c r="M135" s="367">
        <f t="shared" si="55"/>
        <v>0</v>
      </c>
      <c r="N135" s="528">
        <v>0</v>
      </c>
      <c r="O135" s="367">
        <f t="shared" si="56"/>
        <v>0</v>
      </c>
      <c r="P135" s="368"/>
      <c r="Q135" s="368"/>
      <c r="AB135" s="657" t="s">
        <v>429</v>
      </c>
      <c r="AC135" s="612"/>
      <c r="AD135" s="614"/>
      <c r="AE135" s="662">
        <f t="shared" ref="AE135:AE143" si="59">+B135*1000</f>
        <v>169.2</v>
      </c>
      <c r="AF135" s="621">
        <f>+E135/B135*1000</f>
        <v>1158.3011583011582</v>
      </c>
      <c r="AG135" s="612"/>
      <c r="AH135" s="621">
        <f t="shared" si="58"/>
        <v>0</v>
      </c>
      <c r="AI135" s="612"/>
      <c r="AJ135" s="621">
        <f t="shared" si="57"/>
        <v>0</v>
      </c>
      <c r="AK135" s="2"/>
      <c r="AL135" s="2"/>
    </row>
    <row r="136" spans="1:38" s="1" customFormat="1">
      <c r="A136" s="112" t="s">
        <v>403</v>
      </c>
      <c r="B136" s="546">
        <f>1118.2/1000</f>
        <v>1.1182000000000001</v>
      </c>
      <c r="C136" s="547">
        <v>0</v>
      </c>
      <c r="D136" s="545">
        <v>0</v>
      </c>
      <c r="E136" s="367">
        <f t="shared" si="51"/>
        <v>0</v>
      </c>
      <c r="F136" s="568">
        <v>1.8971698209561939E-2</v>
      </c>
      <c r="G136" s="367">
        <f t="shared" si="52"/>
        <v>2.1214152937932163E-2</v>
      </c>
      <c r="H136" s="528">
        <v>0</v>
      </c>
      <c r="I136" s="367">
        <f t="shared" si="53"/>
        <v>0</v>
      </c>
      <c r="J136" s="528">
        <v>3.2819999999999995E-2</v>
      </c>
      <c r="K136" s="367">
        <f t="shared" si="54"/>
        <v>3.6699323999999998E-2</v>
      </c>
      <c r="L136" s="528">
        <v>0</v>
      </c>
      <c r="M136" s="367">
        <f t="shared" si="55"/>
        <v>0</v>
      </c>
      <c r="N136" s="528">
        <v>0</v>
      </c>
      <c r="O136" s="367">
        <f t="shared" si="56"/>
        <v>0</v>
      </c>
      <c r="P136" s="559"/>
      <c r="Q136" s="559"/>
      <c r="AB136" s="657">
        <v>30090</v>
      </c>
      <c r="AC136" s="624"/>
      <c r="AD136" s="639"/>
      <c r="AE136" s="662" t="s">
        <v>7</v>
      </c>
      <c r="AF136" s="621" t="s">
        <v>7</v>
      </c>
      <c r="AG136" s="624"/>
      <c r="AH136" s="621">
        <f t="shared" si="58"/>
        <v>18.971698209561939</v>
      </c>
      <c r="AI136" s="624"/>
      <c r="AJ136" s="621">
        <f t="shared" si="57"/>
        <v>0</v>
      </c>
    </row>
    <row r="137" spans="1:38" s="1" customFormat="1">
      <c r="A137" s="112" t="s">
        <v>404</v>
      </c>
      <c r="B137" s="546">
        <f>1217.55/1000</f>
        <v>1.2175499999999999</v>
      </c>
      <c r="C137" s="547">
        <v>0</v>
      </c>
      <c r="D137" s="545">
        <v>6.0588060588060585E-2</v>
      </c>
      <c r="E137" s="367">
        <f t="shared" si="51"/>
        <v>7.3768993168993158E-2</v>
      </c>
      <c r="F137" s="568">
        <v>1.1194067961065887E-2</v>
      </c>
      <c r="G137" s="367">
        <f t="shared" si="52"/>
        <v>1.362933744599577E-2</v>
      </c>
      <c r="H137" s="528">
        <v>0</v>
      </c>
      <c r="I137" s="367">
        <f t="shared" si="53"/>
        <v>0</v>
      </c>
      <c r="J137" s="528">
        <v>0</v>
      </c>
      <c r="K137" s="367">
        <f t="shared" si="54"/>
        <v>0</v>
      </c>
      <c r="L137" s="528">
        <v>0</v>
      </c>
      <c r="M137" s="367">
        <f t="shared" si="55"/>
        <v>0</v>
      </c>
      <c r="N137" s="528">
        <v>0</v>
      </c>
      <c r="O137" s="367">
        <f t="shared" si="56"/>
        <v>0</v>
      </c>
      <c r="P137" s="559"/>
      <c r="Q137" s="559"/>
      <c r="AB137" s="657">
        <v>30120</v>
      </c>
      <c r="AC137" s="624"/>
      <c r="AD137" s="639"/>
      <c r="AE137" s="662">
        <f t="shared" si="59"/>
        <v>1217.55</v>
      </c>
      <c r="AF137" s="621">
        <f t="shared" ref="AF137:AF143" si="60">+E137/B137*1000</f>
        <v>60.588060588060586</v>
      </c>
      <c r="AG137" s="624"/>
      <c r="AH137" s="621">
        <f t="shared" si="58"/>
        <v>11.194067961065887</v>
      </c>
      <c r="AI137" s="624"/>
      <c r="AJ137" s="621">
        <f t="shared" si="57"/>
        <v>0</v>
      </c>
    </row>
    <row r="138" spans="1:38">
      <c r="A138" s="112" t="s">
        <v>346</v>
      </c>
      <c r="B138" s="546">
        <f>945.41/1000</f>
        <v>0.94540999999999997</v>
      </c>
      <c r="C138" s="547">
        <v>0</v>
      </c>
      <c r="D138" s="545">
        <v>9.3060093060093052E-3</v>
      </c>
      <c r="E138" s="367">
        <f t="shared" si="51"/>
        <v>8.7979942579942561E-3</v>
      </c>
      <c r="F138" s="568">
        <v>3.6309225913858786E-3</v>
      </c>
      <c r="G138" s="367">
        <f t="shared" si="52"/>
        <v>3.4327105271221236E-3</v>
      </c>
      <c r="H138" s="528">
        <v>0</v>
      </c>
      <c r="I138" s="367">
        <f t="shared" si="53"/>
        <v>0</v>
      </c>
      <c r="J138" s="528">
        <v>0</v>
      </c>
      <c r="K138" s="367">
        <f t="shared" si="54"/>
        <v>0</v>
      </c>
      <c r="L138" s="528">
        <v>0</v>
      </c>
      <c r="M138" s="367">
        <f t="shared" si="55"/>
        <v>0</v>
      </c>
      <c r="N138" s="528">
        <v>0</v>
      </c>
      <c r="O138" s="367">
        <f t="shared" si="56"/>
        <v>0</v>
      </c>
      <c r="P138" s="368"/>
      <c r="Q138" s="368"/>
      <c r="AB138" s="657">
        <v>30362</v>
      </c>
      <c r="AC138" s="612"/>
      <c r="AD138" s="614"/>
      <c r="AE138" s="662">
        <f t="shared" si="59"/>
        <v>945.41</v>
      </c>
      <c r="AF138" s="621">
        <f t="shared" si="60"/>
        <v>9.3060093060093028</v>
      </c>
      <c r="AG138" s="612"/>
      <c r="AH138" s="621">
        <f t="shared" si="58"/>
        <v>3.6309225913858785</v>
      </c>
      <c r="AI138" s="612"/>
      <c r="AJ138" s="621">
        <f t="shared" si="57"/>
        <v>0</v>
      </c>
      <c r="AK138" s="2"/>
      <c r="AL138" s="2"/>
    </row>
    <row r="139" spans="1:38">
      <c r="A139" s="112" t="s">
        <v>347</v>
      </c>
      <c r="B139" s="546">
        <f>4458.01/1000</f>
        <v>4.4580099999999998</v>
      </c>
      <c r="C139" s="547">
        <v>0</v>
      </c>
      <c r="D139" s="545">
        <v>0</v>
      </c>
      <c r="E139" s="367">
        <f t="shared" si="51"/>
        <v>0</v>
      </c>
      <c r="F139" s="568">
        <v>3.5645344146094843E-4</v>
      </c>
      <c r="G139" s="367">
        <f t="shared" si="52"/>
        <v>1.5890730065673227E-3</v>
      </c>
      <c r="H139" s="528">
        <v>0</v>
      </c>
      <c r="I139" s="367">
        <f t="shared" si="53"/>
        <v>0</v>
      </c>
      <c r="J139" s="528">
        <v>0</v>
      </c>
      <c r="K139" s="367">
        <f t="shared" si="54"/>
        <v>0</v>
      </c>
      <c r="L139" s="528">
        <v>0</v>
      </c>
      <c r="M139" s="367">
        <f t="shared" si="55"/>
        <v>0</v>
      </c>
      <c r="N139" s="528">
        <v>0</v>
      </c>
      <c r="O139" s="367">
        <f t="shared" si="56"/>
        <v>0</v>
      </c>
      <c r="P139" s="368"/>
      <c r="Q139" s="368"/>
      <c r="AB139" s="657">
        <v>30360</v>
      </c>
      <c r="AC139" s="612"/>
      <c r="AD139" s="614"/>
      <c r="AE139" s="662" t="s">
        <v>7</v>
      </c>
      <c r="AF139" s="621" t="s">
        <v>7</v>
      </c>
      <c r="AG139" s="612"/>
      <c r="AH139" s="621">
        <f t="shared" si="58"/>
        <v>0.35645344146094843</v>
      </c>
      <c r="AI139" s="612"/>
      <c r="AJ139" s="621">
        <f t="shared" si="57"/>
        <v>0</v>
      </c>
      <c r="AK139" s="2"/>
      <c r="AL139" s="2"/>
    </row>
    <row r="140" spans="1:38">
      <c r="A140" s="112" t="s">
        <v>348</v>
      </c>
      <c r="B140" s="546">
        <f>900.79/1000</f>
        <v>0.90078999999999998</v>
      </c>
      <c r="C140" s="547">
        <v>0</v>
      </c>
      <c r="D140" s="545">
        <v>1.0989010989010989E-3</v>
      </c>
      <c r="E140" s="367">
        <f t="shared" si="51"/>
        <v>9.8987912087912088E-4</v>
      </c>
      <c r="F140" s="568">
        <v>2.246984444739503E-4</v>
      </c>
      <c r="G140" s="367">
        <f t="shared" si="52"/>
        <v>2.0240611179768968E-4</v>
      </c>
      <c r="H140" s="528">
        <v>0</v>
      </c>
      <c r="I140" s="367">
        <f t="shared" si="53"/>
        <v>0</v>
      </c>
      <c r="J140" s="528">
        <v>0</v>
      </c>
      <c r="K140" s="367">
        <f t="shared" si="54"/>
        <v>0</v>
      </c>
      <c r="L140" s="528">
        <v>0</v>
      </c>
      <c r="M140" s="367">
        <f t="shared" si="55"/>
        <v>0</v>
      </c>
      <c r="N140" s="528">
        <v>0</v>
      </c>
      <c r="O140" s="367">
        <f t="shared" si="56"/>
        <v>0</v>
      </c>
      <c r="P140" s="368"/>
      <c r="Q140" s="368"/>
      <c r="AB140" s="657">
        <v>30361</v>
      </c>
      <c r="AC140" s="612"/>
      <c r="AD140" s="614"/>
      <c r="AE140" s="662">
        <f t="shared" si="59"/>
        <v>900.79</v>
      </c>
      <c r="AF140" s="621">
        <f t="shared" si="60"/>
        <v>1.098901098901099</v>
      </c>
      <c r="AG140" s="612"/>
      <c r="AH140" s="621">
        <f t="shared" si="58"/>
        <v>0.22469844447395027</v>
      </c>
      <c r="AI140" s="612"/>
      <c r="AJ140" s="621">
        <f t="shared" si="57"/>
        <v>0</v>
      </c>
      <c r="AK140" s="2"/>
      <c r="AL140" s="2"/>
    </row>
    <row r="141" spans="1:38">
      <c r="A141" s="112" t="s">
        <v>405</v>
      </c>
      <c r="B141" s="546">
        <f>1249.29/1000</f>
        <v>1.24929</v>
      </c>
      <c r="C141" s="547">
        <v>0</v>
      </c>
      <c r="D141" s="545">
        <v>0</v>
      </c>
      <c r="E141" s="367">
        <f t="shared" si="51"/>
        <v>0</v>
      </c>
      <c r="F141" s="568">
        <v>4.8257157156134778E-4</v>
      </c>
      <c r="G141" s="367">
        <f t="shared" si="52"/>
        <v>6.0287183863587618E-4</v>
      </c>
      <c r="H141" s="528">
        <v>0</v>
      </c>
      <c r="I141" s="367">
        <f t="shared" si="53"/>
        <v>0</v>
      </c>
      <c r="J141" s="528">
        <v>1.8374999999999999E-4</v>
      </c>
      <c r="K141" s="367">
        <f t="shared" si="54"/>
        <v>2.2955703749999998E-4</v>
      </c>
      <c r="L141" s="528">
        <v>0</v>
      </c>
      <c r="M141" s="367">
        <f t="shared" si="55"/>
        <v>0</v>
      </c>
      <c r="N141" s="528">
        <v>0</v>
      </c>
      <c r="O141" s="367">
        <f t="shared" si="56"/>
        <v>0</v>
      </c>
      <c r="P141" s="368"/>
      <c r="Q141" s="368"/>
      <c r="AB141" s="657">
        <v>30054</v>
      </c>
      <c r="AC141" s="612"/>
      <c r="AD141" s="614"/>
      <c r="AE141" s="662" t="s">
        <v>7</v>
      </c>
      <c r="AF141" s="621" t="s">
        <v>7</v>
      </c>
      <c r="AG141" s="612"/>
      <c r="AH141" s="621">
        <f t="shared" si="58"/>
        <v>0.48257157156134778</v>
      </c>
      <c r="AI141" s="612"/>
      <c r="AJ141" s="621">
        <f t="shared" si="57"/>
        <v>0</v>
      </c>
      <c r="AK141" s="2"/>
      <c r="AL141" s="2"/>
    </row>
    <row r="142" spans="1:38">
      <c r="A142" s="112" t="s">
        <v>409</v>
      </c>
      <c r="B142" s="546">
        <f>1096.46/1000</f>
        <v>1.09646</v>
      </c>
      <c r="C142" s="547">
        <v>0</v>
      </c>
      <c r="D142" s="528">
        <v>0</v>
      </c>
      <c r="E142" s="367">
        <f t="shared" si="51"/>
        <v>0</v>
      </c>
      <c r="F142" s="568">
        <v>2.2980522730290371E-4</v>
      </c>
      <c r="G142" s="367">
        <f t="shared" si="52"/>
        <v>2.519722395285418E-4</v>
      </c>
      <c r="H142" s="528">
        <v>0</v>
      </c>
      <c r="I142" s="367">
        <f t="shared" ref="I142" si="61">$B142*H142</f>
        <v>0</v>
      </c>
      <c r="J142" s="528">
        <v>4.2187500000000003E-3</v>
      </c>
      <c r="K142" s="367">
        <f t="shared" si="54"/>
        <v>4.6256906250000005E-3</v>
      </c>
      <c r="L142" s="528">
        <v>0</v>
      </c>
      <c r="M142" s="367">
        <f t="shared" si="55"/>
        <v>0</v>
      </c>
      <c r="N142" s="528">
        <v>0</v>
      </c>
      <c r="O142" s="367">
        <f t="shared" si="56"/>
        <v>0</v>
      </c>
      <c r="P142" s="368"/>
      <c r="Q142" s="368"/>
      <c r="AB142" s="657">
        <v>30055</v>
      </c>
      <c r="AC142" s="612"/>
      <c r="AD142" s="614"/>
      <c r="AE142" s="662" t="s">
        <v>7</v>
      </c>
      <c r="AF142" s="621" t="s">
        <v>7</v>
      </c>
      <c r="AG142" s="612"/>
      <c r="AH142" s="621">
        <f t="shared" si="58"/>
        <v>0.2298052273029037</v>
      </c>
      <c r="AI142" s="612"/>
      <c r="AJ142" s="621">
        <f t="shared" si="57"/>
        <v>0</v>
      </c>
      <c r="AK142" s="2"/>
      <c r="AL142" s="2"/>
    </row>
    <row r="143" spans="1:38">
      <c r="A143" s="112" t="s">
        <v>406</v>
      </c>
      <c r="B143" s="546">
        <f>3740.87/1000</f>
        <v>3.7408699999999997</v>
      </c>
      <c r="C143" s="547">
        <v>0</v>
      </c>
      <c r="D143" s="545">
        <v>8.7120087120087124E-4</v>
      </c>
      <c r="E143" s="367">
        <f t="shared" si="51"/>
        <v>3.2590492030492029E-3</v>
      </c>
      <c r="F143" s="568">
        <v>8.9981513446159192E-4</v>
      </c>
      <c r="G143" s="367">
        <f t="shared" si="52"/>
        <v>3.3660914420533352E-3</v>
      </c>
      <c r="H143" s="528">
        <v>0</v>
      </c>
      <c r="I143" s="367">
        <f t="shared" si="53"/>
        <v>0</v>
      </c>
      <c r="J143" s="528">
        <v>2.7375000000000001E-4</v>
      </c>
      <c r="K143" s="367">
        <f t="shared" si="54"/>
        <v>1.0240631625E-3</v>
      </c>
      <c r="L143" s="528">
        <v>0</v>
      </c>
      <c r="M143" s="367">
        <f t="shared" si="55"/>
        <v>0</v>
      </c>
      <c r="N143" s="528">
        <v>0</v>
      </c>
      <c r="O143" s="367">
        <f t="shared" si="56"/>
        <v>0</v>
      </c>
      <c r="P143" s="368"/>
      <c r="Q143" s="368"/>
      <c r="R143" s="111"/>
      <c r="S143" s="111"/>
      <c r="T143" s="111"/>
      <c r="U143" s="111"/>
      <c r="V143" s="111"/>
      <c r="W143" s="111"/>
      <c r="X143" s="111"/>
      <c r="Y143" s="111"/>
      <c r="AB143" s="657">
        <v>30058</v>
      </c>
      <c r="AC143" s="612"/>
      <c r="AD143" s="614"/>
      <c r="AE143" s="662">
        <f t="shared" si="59"/>
        <v>3740.87</v>
      </c>
      <c r="AF143" s="621">
        <f t="shared" si="60"/>
        <v>0.8712008712008712</v>
      </c>
      <c r="AG143" s="612"/>
      <c r="AH143" s="621">
        <f t="shared" si="58"/>
        <v>0.89981513446159189</v>
      </c>
      <c r="AI143" s="612"/>
      <c r="AJ143" s="621">
        <f t="shared" si="57"/>
        <v>0</v>
      </c>
      <c r="AK143" s="2"/>
      <c r="AL143" s="2"/>
    </row>
    <row r="144" spans="1:38">
      <c r="A144" s="112" t="s">
        <v>411</v>
      </c>
      <c r="B144" s="546">
        <v>13.45</v>
      </c>
      <c r="C144" s="547">
        <v>0</v>
      </c>
      <c r="D144" s="545">
        <v>0</v>
      </c>
      <c r="E144" s="367">
        <f t="shared" si="51"/>
        <v>0</v>
      </c>
      <c r="F144" s="528">
        <v>0</v>
      </c>
      <c r="G144" s="367">
        <f t="shared" si="52"/>
        <v>0</v>
      </c>
      <c r="H144" s="528">
        <v>7.7474777307416035E-3</v>
      </c>
      <c r="I144" s="367">
        <f t="shared" si="53"/>
        <v>0.10420357547847456</v>
      </c>
      <c r="J144" s="528">
        <v>0</v>
      </c>
      <c r="K144" s="367">
        <f t="shared" si="54"/>
        <v>0</v>
      </c>
      <c r="L144" s="528">
        <v>0</v>
      </c>
      <c r="M144" s="367">
        <f t="shared" si="55"/>
        <v>0</v>
      </c>
      <c r="N144" s="528">
        <v>0</v>
      </c>
      <c r="O144" s="367">
        <f t="shared" si="56"/>
        <v>0</v>
      </c>
      <c r="P144" s="368"/>
      <c r="Q144" s="368"/>
      <c r="R144" s="111"/>
      <c r="S144" s="111"/>
      <c r="T144" s="111"/>
      <c r="U144" s="111"/>
      <c r="V144" s="111"/>
      <c r="W144" s="111"/>
      <c r="X144" s="111"/>
      <c r="Y144" s="111"/>
      <c r="AB144" s="657">
        <v>30454</v>
      </c>
      <c r="AC144" s="612"/>
      <c r="AD144" s="614"/>
      <c r="AE144" s="662" t="s">
        <v>7</v>
      </c>
      <c r="AF144" s="621" t="s">
        <v>7</v>
      </c>
      <c r="AG144" s="612"/>
      <c r="AH144" s="621">
        <f t="shared" si="58"/>
        <v>0</v>
      </c>
      <c r="AI144" s="612"/>
      <c r="AJ144" s="621">
        <f t="shared" si="57"/>
        <v>7.7474777307416032</v>
      </c>
      <c r="AK144" s="2"/>
      <c r="AL144" s="2"/>
    </row>
    <row r="145" spans="1:38" ht="15.75" thickBot="1">
      <c r="A145" s="112" t="s">
        <v>355</v>
      </c>
      <c r="B145" s="548">
        <v>10.1</v>
      </c>
      <c r="C145" s="549">
        <v>0</v>
      </c>
      <c r="D145" s="545">
        <v>0</v>
      </c>
      <c r="E145" s="367">
        <f t="shared" si="51"/>
        <v>0</v>
      </c>
      <c r="F145" s="528">
        <v>0</v>
      </c>
      <c r="G145" s="367">
        <f t="shared" si="52"/>
        <v>0</v>
      </c>
      <c r="H145" s="528">
        <v>0</v>
      </c>
      <c r="I145" s="367">
        <f t="shared" si="53"/>
        <v>0</v>
      </c>
      <c r="J145" s="528">
        <v>0</v>
      </c>
      <c r="K145" s="367">
        <f t="shared" si="54"/>
        <v>0</v>
      </c>
      <c r="L145" s="528">
        <v>0</v>
      </c>
      <c r="M145" s="367">
        <f t="shared" si="55"/>
        <v>0</v>
      </c>
      <c r="N145" s="528">
        <v>0</v>
      </c>
      <c r="O145" s="367">
        <f t="shared" si="56"/>
        <v>0</v>
      </c>
      <c r="P145" s="368"/>
      <c r="Q145" s="368"/>
      <c r="R145" s="111"/>
      <c r="S145" s="111"/>
      <c r="T145" s="111"/>
      <c r="U145" s="111"/>
      <c r="V145" s="111"/>
      <c r="W145" s="111"/>
      <c r="X145" s="111"/>
      <c r="Y145" s="111"/>
      <c r="AB145" s="657">
        <v>30242</v>
      </c>
      <c r="AC145" s="612"/>
      <c r="AD145" s="614"/>
      <c r="AE145" s="662" t="s">
        <v>7</v>
      </c>
      <c r="AF145" s="621" t="s">
        <v>7</v>
      </c>
      <c r="AG145" s="612"/>
      <c r="AH145" s="612"/>
      <c r="AI145" s="612"/>
      <c r="AJ145" s="612"/>
      <c r="AK145" s="2"/>
      <c r="AL145" s="2"/>
    </row>
    <row r="146" spans="1:38">
      <c r="A146" s="23"/>
      <c r="B146" s="370"/>
      <c r="C146" s="370"/>
      <c r="D146" s="371"/>
      <c r="E146" s="372"/>
      <c r="F146" s="30"/>
      <c r="G146" s="25"/>
      <c r="H146" s="30"/>
      <c r="I146" s="25"/>
      <c r="J146" s="30"/>
      <c r="K146" s="25"/>
      <c r="L146" s="30"/>
      <c r="M146" s="25"/>
      <c r="N146" s="30"/>
      <c r="O146" s="25"/>
      <c r="P146" s="368"/>
      <c r="Q146" s="368"/>
      <c r="R146" s="111"/>
      <c r="S146" s="111"/>
      <c r="T146" s="111"/>
      <c r="U146" s="111"/>
      <c r="V146" s="111"/>
      <c r="W146" s="111"/>
      <c r="X146" s="111"/>
      <c r="Y146" s="111"/>
      <c r="AB146" s="657"/>
      <c r="AC146" s="612"/>
      <c r="AD146" s="614"/>
      <c r="AE146" s="658"/>
      <c r="AF146" s="659"/>
      <c r="AG146" s="612"/>
      <c r="AH146" s="612"/>
      <c r="AI146" s="612"/>
      <c r="AJ146" s="612"/>
      <c r="AK146" s="2"/>
      <c r="AL146" s="2"/>
    </row>
    <row r="147" spans="1:38">
      <c r="A147" s="23" t="s">
        <v>249</v>
      </c>
      <c r="D147" s="374"/>
      <c r="E147" s="541" t="s">
        <v>250</v>
      </c>
      <c r="F147" s="33"/>
      <c r="G147" s="541" t="s">
        <v>250</v>
      </c>
      <c r="H147" s="33"/>
      <c r="I147" s="541" t="s">
        <v>250</v>
      </c>
      <c r="J147" s="33"/>
      <c r="K147" s="541" t="s">
        <v>250</v>
      </c>
      <c r="L147" s="30"/>
      <c r="M147" s="541" t="s">
        <v>250</v>
      </c>
      <c r="N147" s="33"/>
      <c r="O147" s="541" t="s">
        <v>250</v>
      </c>
      <c r="P147" s="368"/>
      <c r="Q147" s="368"/>
      <c r="R147" s="111"/>
      <c r="S147" s="111"/>
      <c r="T147" s="111"/>
      <c r="U147" s="111"/>
      <c r="V147" s="111"/>
      <c r="W147" s="111"/>
      <c r="X147" s="111"/>
      <c r="Y147" s="111"/>
      <c r="AB147" s="657"/>
      <c r="AC147" s="612"/>
      <c r="AD147" s="614"/>
      <c r="AE147" s="658"/>
      <c r="AF147" s="659"/>
      <c r="AG147" s="612"/>
      <c r="AH147" s="612"/>
      <c r="AI147" s="612"/>
      <c r="AJ147" s="612"/>
      <c r="AK147" s="2"/>
      <c r="AL147" s="2"/>
    </row>
    <row r="148" spans="1:38">
      <c r="A148" s="112" t="s">
        <v>363</v>
      </c>
      <c r="D148" s="374"/>
      <c r="E148" s="275">
        <f>SUM(E128:E135)</f>
        <v>0.19598455598455597</v>
      </c>
      <c r="F148" s="33"/>
      <c r="G148" s="275">
        <f>SUM(G128:G135)</f>
        <v>0.41539541165776384</v>
      </c>
      <c r="H148" s="33"/>
      <c r="I148" s="275">
        <f>SUM(I128:I135)</f>
        <v>0.29172285629901884</v>
      </c>
      <c r="J148" s="33"/>
      <c r="K148" s="275">
        <f>SUM(K128:K135)</f>
        <v>1.8829093264248706</v>
      </c>
      <c r="L148" s="30"/>
      <c r="M148" s="275">
        <f>SUM(M128:M135)</f>
        <v>0</v>
      </c>
      <c r="N148" s="33"/>
      <c r="O148" s="275">
        <f>SUM(O128:O135)</f>
        <v>0</v>
      </c>
      <c r="P148" s="368"/>
      <c r="Q148" s="368"/>
      <c r="R148" s="111"/>
      <c r="S148" s="111"/>
      <c r="T148" s="111"/>
      <c r="U148" s="111"/>
      <c r="V148" s="111"/>
      <c r="W148" s="111"/>
      <c r="X148" s="111"/>
      <c r="Y148" s="111"/>
      <c r="AB148" s="657"/>
      <c r="AC148" s="612"/>
      <c r="AD148" s="614"/>
      <c r="AE148" s="658"/>
      <c r="AF148" s="659"/>
      <c r="AG148" s="612"/>
      <c r="AH148" s="612"/>
      <c r="AI148" s="612"/>
      <c r="AJ148" s="612"/>
      <c r="AK148" s="2"/>
      <c r="AL148" s="2"/>
    </row>
    <row r="149" spans="1:38">
      <c r="A149" s="112" t="s">
        <v>36</v>
      </c>
      <c r="D149" s="374"/>
      <c r="E149" s="375">
        <f>SUM(E136:E137)</f>
        <v>7.3768993168993158E-2</v>
      </c>
      <c r="F149" s="33"/>
      <c r="G149" s="375">
        <f>SUM(G136:G137)</f>
        <v>3.4843490383927936E-2</v>
      </c>
      <c r="H149" s="33"/>
      <c r="I149" s="375">
        <f>SUM(I136:I137)</f>
        <v>0</v>
      </c>
      <c r="J149" s="33"/>
      <c r="K149" s="375">
        <f>SUM(K136:K137)</f>
        <v>3.6699323999999998E-2</v>
      </c>
      <c r="L149" s="30"/>
      <c r="M149" s="375">
        <f>SUM(M136:M137)</f>
        <v>0</v>
      </c>
      <c r="N149" s="33"/>
      <c r="O149" s="375">
        <f>SUM(O136:O137)</f>
        <v>0</v>
      </c>
      <c r="P149" s="368"/>
      <c r="Q149" s="368"/>
      <c r="R149" s="111"/>
      <c r="S149" s="111"/>
      <c r="T149" s="111"/>
      <c r="U149" s="111"/>
      <c r="V149" s="111"/>
      <c r="W149" s="111"/>
      <c r="X149" s="111"/>
      <c r="Y149" s="111"/>
      <c r="AB149" s="657"/>
      <c r="AC149" s="612"/>
      <c r="AD149" s="614"/>
      <c r="AE149" s="658"/>
      <c r="AF149" s="659"/>
      <c r="AG149" s="612"/>
      <c r="AH149" s="612"/>
      <c r="AI149" s="612"/>
      <c r="AJ149" s="612"/>
      <c r="AK149" s="2"/>
      <c r="AL149" s="2"/>
    </row>
    <row r="150" spans="1:38">
      <c r="A150" s="112" t="s">
        <v>147</v>
      </c>
      <c r="D150" s="374"/>
      <c r="E150" s="377">
        <f>SUM(E138:E145)</f>
        <v>1.3046922581922579E-2</v>
      </c>
      <c r="F150" s="33"/>
      <c r="G150" s="377">
        <f>SUM(G138:G145)</f>
        <v>9.4451251657048894E-3</v>
      </c>
      <c r="H150" s="33"/>
      <c r="I150" s="377">
        <f>SUM(I138:I145)</f>
        <v>0.10420357547847456</v>
      </c>
      <c r="J150" s="33"/>
      <c r="K150" s="377">
        <f>SUM(K138:K145)</f>
        <v>5.8793108250000002E-3</v>
      </c>
      <c r="L150" s="30"/>
      <c r="M150" s="377">
        <f>SUM(M138:M145)</f>
        <v>0</v>
      </c>
      <c r="N150" s="33"/>
      <c r="O150" s="377">
        <f>SUM(O138:O145)</f>
        <v>0</v>
      </c>
      <c r="P150" s="368"/>
      <c r="Q150" s="368"/>
      <c r="R150" s="111"/>
      <c r="S150" s="111"/>
      <c r="T150" s="111"/>
      <c r="U150" s="111"/>
      <c r="V150" s="111"/>
      <c r="W150" s="111"/>
      <c r="X150" s="111"/>
      <c r="Y150" s="111"/>
      <c r="AB150" s="657"/>
      <c r="AC150" s="612"/>
      <c r="AD150" s="614"/>
      <c r="AE150" s="658"/>
      <c r="AF150" s="659"/>
      <c r="AG150" s="612"/>
      <c r="AH150" s="612"/>
      <c r="AI150" s="612"/>
      <c r="AJ150" s="612"/>
      <c r="AK150" s="2"/>
      <c r="AL150" s="2"/>
    </row>
    <row r="151" spans="1:38">
      <c r="A151" s="353" t="s">
        <v>251</v>
      </c>
      <c r="D151" s="371"/>
      <c r="E151" s="379">
        <f>SUM(E148:E150)</f>
        <v>0.28280047173547168</v>
      </c>
      <c r="F151" s="33"/>
      <c r="G151" s="379">
        <f>SUM(G148:G150)</f>
        <v>0.45968402720739665</v>
      </c>
      <c r="H151" s="33"/>
      <c r="I151" s="379">
        <f>SUM(I148:I150)</f>
        <v>0.39592643177749343</v>
      </c>
      <c r="J151" s="33"/>
      <c r="K151" s="379">
        <f>SUM(K148:K150)</f>
        <v>1.9254879612498705</v>
      </c>
      <c r="L151" s="30"/>
      <c r="M151" s="379">
        <f>SUM(M148:M150)</f>
        <v>0</v>
      </c>
      <c r="N151" s="33"/>
      <c r="O151" s="379">
        <f>SUM(O148:O150)</f>
        <v>0</v>
      </c>
      <c r="P151" s="368"/>
      <c r="Q151" s="368"/>
      <c r="R151" s="111"/>
      <c r="S151" s="111"/>
      <c r="T151" s="111"/>
      <c r="U151" s="111"/>
      <c r="V151" s="111"/>
      <c r="W151" s="111"/>
      <c r="X151" s="111"/>
      <c r="Y151" s="111"/>
      <c r="AB151" s="657">
        <v>30350</v>
      </c>
      <c r="AC151" s="612"/>
      <c r="AD151" s="614"/>
      <c r="AE151" s="658"/>
      <c r="AF151" s="659"/>
      <c r="AG151" s="612"/>
      <c r="AH151" s="663"/>
      <c r="AI151" s="612"/>
      <c r="AJ151" s="663"/>
      <c r="AK151" s="2"/>
      <c r="AL151" s="2"/>
    </row>
    <row r="152" spans="1:38">
      <c r="A152" s="491" t="s">
        <v>389</v>
      </c>
      <c r="D152" s="371"/>
      <c r="E152" s="379"/>
      <c r="F152" s="33"/>
      <c r="G152" s="379"/>
      <c r="H152" s="33"/>
      <c r="I152" s="379"/>
      <c r="J152" s="33"/>
      <c r="K152" s="379"/>
      <c r="L152" s="30"/>
      <c r="M152" s="379"/>
      <c r="N152" s="33"/>
      <c r="O152" s="379"/>
      <c r="AB152" s="612"/>
      <c r="AC152" s="612"/>
      <c r="AD152" s="612"/>
      <c r="AE152" s="658"/>
      <c r="AF152" s="660">
        <f>SUM(AF131:AF143)</f>
        <v>1230.1653301653303</v>
      </c>
      <c r="AG152" s="612"/>
      <c r="AH152" s="660">
        <f>SUM(AH131:AH143)</f>
        <v>1065.7258076377041</v>
      </c>
      <c r="AI152" s="612"/>
      <c r="AJ152" s="660">
        <f>SUM(AJ131:AJ143)</f>
        <v>0</v>
      </c>
      <c r="AK152" s="2"/>
      <c r="AL152" s="2"/>
    </row>
    <row r="153" spans="1:38">
      <c r="A153" s="492" t="s">
        <v>390</v>
      </c>
      <c r="D153" s="371"/>
      <c r="E153" s="379"/>
      <c r="F153" s="33"/>
      <c r="G153" s="379"/>
      <c r="H153" s="33"/>
      <c r="I153" s="379"/>
      <c r="J153" s="33"/>
      <c r="K153" s="379"/>
      <c r="L153" s="30"/>
      <c r="M153" s="379"/>
      <c r="N153" s="33"/>
      <c r="O153" s="379"/>
      <c r="P153" s="26"/>
      <c r="Q153" s="26"/>
      <c r="AK153" s="2"/>
      <c r="AL153" s="2"/>
    </row>
    <row r="154" spans="1:38" ht="12.75" hidden="1">
      <c r="A154" s="381"/>
      <c r="B154" s="41"/>
      <c r="C154" s="41"/>
      <c r="D154" s="59"/>
      <c r="E154" s="42"/>
      <c r="F154" s="382"/>
      <c r="G154" s="383"/>
      <c r="H154" s="382"/>
      <c r="I154" s="383"/>
      <c r="J154" s="59"/>
      <c r="K154" s="42"/>
      <c r="L154" s="84"/>
      <c r="M154" s="87"/>
      <c r="N154" s="84"/>
      <c r="O154" s="87"/>
      <c r="P154" s="63"/>
      <c r="Q154" s="63"/>
      <c r="AK154" s="2"/>
      <c r="AL154" s="2"/>
    </row>
    <row r="155" spans="1:38" ht="12.75">
      <c r="A155" s="8"/>
      <c r="B155" s="1"/>
      <c r="C155" s="1"/>
      <c r="D155" s="1"/>
      <c r="E155" s="39"/>
      <c r="F155" s="43"/>
      <c r="G155" s="1"/>
      <c r="H155" s="1"/>
      <c r="P155" s="376"/>
      <c r="Q155" s="376"/>
      <c r="AK155" s="2"/>
      <c r="AL155" s="2"/>
    </row>
    <row r="156" spans="1:38" hidden="1">
      <c r="A156" s="1"/>
      <c r="B156" s="1"/>
      <c r="C156" s="1"/>
      <c r="D156" s="1"/>
      <c r="E156" s="1"/>
      <c r="F156" s="1"/>
      <c r="G156" s="1"/>
      <c r="H156" s="1"/>
      <c r="P156" s="378"/>
      <c r="Q156" s="378"/>
      <c r="AK156" s="2"/>
      <c r="AL156" s="2"/>
    </row>
    <row r="157" spans="1:38">
      <c r="A157" s="385" t="s">
        <v>51</v>
      </c>
      <c r="B157" s="406"/>
      <c r="C157" s="406"/>
      <c r="D157" s="406"/>
      <c r="E157" s="406"/>
      <c r="F157" s="406"/>
      <c r="G157" s="406"/>
      <c r="H157" s="406"/>
      <c r="I157" s="406"/>
      <c r="J157" s="406"/>
      <c r="K157" s="406"/>
      <c r="L157" s="406"/>
      <c r="M157" s="406"/>
      <c r="N157" s="406"/>
      <c r="O157" s="407"/>
      <c r="P157" s="380"/>
      <c r="Q157" s="380"/>
      <c r="AK157" s="2"/>
      <c r="AL157" s="2"/>
    </row>
    <row r="158" spans="1:38" hidden="1">
      <c r="A158" s="30"/>
      <c r="F158" s="1"/>
      <c r="G158" s="1"/>
      <c r="H158" s="1"/>
      <c r="I158" s="1"/>
      <c r="O158" s="25"/>
      <c r="P158" s="380"/>
      <c r="Q158" s="380"/>
      <c r="AK158" s="2"/>
      <c r="AL158" s="2"/>
    </row>
    <row r="159" spans="1:38">
      <c r="A159" s="30"/>
      <c r="D159" s="847" t="s">
        <v>327</v>
      </c>
      <c r="E159" s="848"/>
      <c r="F159" s="847" t="s">
        <v>410</v>
      </c>
      <c r="G159" s="848"/>
      <c r="H159" s="847" t="s">
        <v>329</v>
      </c>
      <c r="I159" s="848"/>
      <c r="J159" s="847" t="s">
        <v>330</v>
      </c>
      <c r="K159" s="848"/>
      <c r="L159" s="847" t="s">
        <v>331</v>
      </c>
      <c r="M159" s="848"/>
      <c r="N159" s="847" t="s">
        <v>332</v>
      </c>
      <c r="O159" s="848"/>
      <c r="P159" s="380"/>
      <c r="Q159" s="380"/>
      <c r="AK159" s="2"/>
      <c r="AL159" s="2"/>
    </row>
    <row r="160" spans="1:38" ht="13.15" customHeight="1">
      <c r="A160" s="30"/>
      <c r="B160" s="26" t="s">
        <v>252</v>
      </c>
      <c r="D160" s="386" t="s">
        <v>253</v>
      </c>
      <c r="E160" s="72" t="s">
        <v>245</v>
      </c>
      <c r="F160" s="387" t="s">
        <v>253</v>
      </c>
      <c r="G160" s="72" t="s">
        <v>245</v>
      </c>
      <c r="H160" s="387" t="s">
        <v>253</v>
      </c>
      <c r="I160" s="72" t="s">
        <v>245</v>
      </c>
      <c r="J160" s="386" t="s">
        <v>253</v>
      </c>
      <c r="K160" s="72" t="s">
        <v>245</v>
      </c>
      <c r="L160" s="386" t="s">
        <v>253</v>
      </c>
      <c r="M160" s="72" t="s">
        <v>245</v>
      </c>
      <c r="N160" s="386" t="s">
        <v>253</v>
      </c>
      <c r="O160" s="362" t="s">
        <v>245</v>
      </c>
      <c r="AC160" s="262"/>
      <c r="AE160" s="384"/>
      <c r="AG160" s="262"/>
      <c r="AI160" s="262"/>
      <c r="AK160" s="2"/>
      <c r="AL160" s="2"/>
    </row>
    <row r="161" spans="1:38">
      <c r="A161" s="30" t="s">
        <v>254</v>
      </c>
      <c r="B161" s="388">
        <v>0.1719</v>
      </c>
      <c r="D161" s="529">
        <f>1271072/21557760</f>
        <v>5.8961227882674265E-2</v>
      </c>
      <c r="E161" s="389">
        <f>D161*$B161</f>
        <v>1.0135435073031706E-2</v>
      </c>
      <c r="F161" s="529">
        <f>$D$161</f>
        <v>5.8961227882674265E-2</v>
      </c>
      <c r="G161" s="389">
        <f>F161*$B161</f>
        <v>1.0135435073031706E-2</v>
      </c>
      <c r="H161" s="529">
        <f>$D$161</f>
        <v>5.8961227882674265E-2</v>
      </c>
      <c r="I161" s="389">
        <f>H161*$B161</f>
        <v>1.0135435073031706E-2</v>
      </c>
      <c r="J161" s="529">
        <f>$D$161</f>
        <v>5.8961227882674265E-2</v>
      </c>
      <c r="K161" s="389">
        <f>J161*$B161</f>
        <v>1.0135435073031706E-2</v>
      </c>
      <c r="L161" s="529">
        <f>$D$161</f>
        <v>5.8961227882674265E-2</v>
      </c>
      <c r="M161" s="389">
        <f>L161*$B161</f>
        <v>1.0135435073031706E-2</v>
      </c>
      <c r="N161" s="529">
        <f>$D$161</f>
        <v>5.8961227882674265E-2</v>
      </c>
      <c r="O161" s="390">
        <f>N161*$B161</f>
        <v>1.0135435073031706E-2</v>
      </c>
      <c r="AC161" s="262"/>
      <c r="AE161" s="384"/>
      <c r="AG161" s="262"/>
      <c r="AI161" s="262"/>
      <c r="AK161" s="2"/>
      <c r="AL161" s="2"/>
    </row>
    <row r="162" spans="1:38" ht="16.5">
      <c r="A162" s="30" t="s">
        <v>255</v>
      </c>
      <c r="B162" s="388">
        <v>3.45</v>
      </c>
      <c r="D162" s="529">
        <f>+(7028199/1000)/21557760</f>
        <v>3.2601712793908083E-4</v>
      </c>
      <c r="E162" s="392">
        <f>D162*$B162</f>
        <v>1.124759091389829E-3</v>
      </c>
      <c r="F162" s="529">
        <f>$D$162</f>
        <v>3.2601712793908083E-4</v>
      </c>
      <c r="G162" s="392">
        <f>F162*$B162</f>
        <v>1.124759091389829E-3</v>
      </c>
      <c r="H162" s="529">
        <f>$D$162</f>
        <v>3.2601712793908083E-4</v>
      </c>
      <c r="I162" s="392">
        <f>H162*$B162</f>
        <v>1.124759091389829E-3</v>
      </c>
      <c r="J162" s="529">
        <f>$D$162</f>
        <v>3.2601712793908083E-4</v>
      </c>
      <c r="K162" s="392">
        <f>J162*$B162</f>
        <v>1.124759091389829E-3</v>
      </c>
      <c r="L162" s="529">
        <f>$D$162</f>
        <v>3.2601712793908083E-4</v>
      </c>
      <c r="M162" s="392">
        <f>L162*$B162</f>
        <v>1.124759091389829E-3</v>
      </c>
      <c r="N162" s="529">
        <f>$D$162</f>
        <v>3.2601712793908083E-4</v>
      </c>
      <c r="O162" s="393">
        <f>N162*$B162</f>
        <v>1.124759091389829E-3</v>
      </c>
      <c r="AK162" s="2"/>
      <c r="AL162" s="2"/>
    </row>
    <row r="163" spans="1:38">
      <c r="A163" s="30" t="s">
        <v>256</v>
      </c>
      <c r="B163" s="394"/>
      <c r="D163" s="395"/>
      <c r="E163" s="396">
        <f>SUM(E161:E162)</f>
        <v>1.1260194164421535E-2</v>
      </c>
      <c r="F163" s="395"/>
      <c r="G163" s="396">
        <f>SUM(G161:G162)</f>
        <v>1.1260194164421535E-2</v>
      </c>
      <c r="H163" s="395"/>
      <c r="I163" s="396">
        <f>SUM(I161:I162)</f>
        <v>1.1260194164421535E-2</v>
      </c>
      <c r="J163" s="395"/>
      <c r="K163" s="396">
        <f>SUM(K161:K162)</f>
        <v>1.1260194164421535E-2</v>
      </c>
      <c r="L163" s="395"/>
      <c r="M163" s="396">
        <f>SUM(M161:M162)</f>
        <v>1.1260194164421535E-2</v>
      </c>
      <c r="N163" s="395"/>
      <c r="O163" s="397">
        <f>SUM(O161:O162)</f>
        <v>1.1260194164421535E-2</v>
      </c>
      <c r="P163" s="5"/>
      <c r="Q163" s="5"/>
      <c r="R163" s="5"/>
      <c r="S163" s="5"/>
      <c r="V163" s="5"/>
      <c r="W163" s="5"/>
      <c r="X163" s="5"/>
      <c r="AK163" s="2"/>
      <c r="AL163" s="2"/>
    </row>
    <row r="164" spans="1:38" ht="12.75">
      <c r="A164" s="30"/>
      <c r="B164" s="1"/>
      <c r="D164" s="59"/>
      <c r="E164" s="41"/>
      <c r="F164" s="41"/>
      <c r="G164" s="41"/>
      <c r="H164" s="41"/>
      <c r="I164" s="41"/>
      <c r="J164" s="85"/>
      <c r="K164" s="85"/>
      <c r="L164" s="85"/>
      <c r="M164" s="85"/>
      <c r="N164" s="85"/>
      <c r="O164" s="87"/>
      <c r="P164" s="539"/>
      <c r="R164" s="846"/>
      <c r="S164" s="846"/>
      <c r="V164" s="1"/>
      <c r="W164" s="1"/>
      <c r="X164" s="1"/>
      <c r="AK164" s="2"/>
      <c r="AL164" s="2"/>
    </row>
    <row r="165" spans="1:38" ht="15" customHeight="1">
      <c r="A165" s="30"/>
      <c r="F165" s="1"/>
      <c r="G165" s="1"/>
      <c r="H165" s="1"/>
      <c r="I165" s="1"/>
      <c r="O165" s="25"/>
      <c r="P165" s="539"/>
      <c r="R165" s="846"/>
      <c r="S165" s="846"/>
      <c r="V165" s="1"/>
      <c r="W165" s="1"/>
      <c r="X165" s="1"/>
      <c r="AK165" s="2"/>
      <c r="AL165" s="2"/>
    </row>
    <row r="166" spans="1:38">
      <c r="A166" s="30"/>
      <c r="D166" s="847" t="s">
        <v>322</v>
      </c>
      <c r="E166" s="848"/>
      <c r="F166" s="847" t="s">
        <v>333</v>
      </c>
      <c r="G166" s="848"/>
      <c r="H166" s="847" t="s">
        <v>400</v>
      </c>
      <c r="I166" s="848"/>
      <c r="J166" s="847" t="s">
        <v>335</v>
      </c>
      <c r="K166" s="848"/>
      <c r="L166" s="847" t="s">
        <v>407</v>
      </c>
      <c r="M166" s="848"/>
      <c r="N166" s="847" t="s">
        <v>407</v>
      </c>
      <c r="O166" s="848"/>
      <c r="P166" s="539"/>
      <c r="R166" s="846"/>
      <c r="S166" s="846"/>
      <c r="V166" s="29"/>
      <c r="W166" s="1"/>
      <c r="X166" s="1"/>
      <c r="AA166" s="285"/>
      <c r="AK166" s="2"/>
      <c r="AL166" s="2"/>
    </row>
    <row r="167" spans="1:38" ht="30">
      <c r="A167" s="30"/>
      <c r="B167" s="26" t="s">
        <v>252</v>
      </c>
      <c r="D167" s="386" t="s">
        <v>253</v>
      </c>
      <c r="E167" s="72" t="s">
        <v>245</v>
      </c>
      <c r="F167" s="387" t="s">
        <v>253</v>
      </c>
      <c r="G167" s="72" t="s">
        <v>245</v>
      </c>
      <c r="H167" s="387" t="s">
        <v>253</v>
      </c>
      <c r="I167" s="72" t="s">
        <v>245</v>
      </c>
      <c r="J167" s="386" t="s">
        <v>253</v>
      </c>
      <c r="K167" s="72" t="s">
        <v>245</v>
      </c>
      <c r="L167" s="386" t="s">
        <v>253</v>
      </c>
      <c r="M167" s="72" t="s">
        <v>245</v>
      </c>
      <c r="N167" s="386" t="s">
        <v>253</v>
      </c>
      <c r="O167" s="362" t="s">
        <v>245</v>
      </c>
      <c r="P167" s="539"/>
      <c r="R167" s="846"/>
      <c r="S167" s="846"/>
      <c r="V167" s="1"/>
      <c r="W167" s="1"/>
      <c r="X167" s="1"/>
      <c r="AA167" s="104" t="s">
        <v>87</v>
      </c>
      <c r="AB167" s="104" t="s">
        <v>86</v>
      </c>
      <c r="AF167" s="391">
        <f>D161*1000</f>
        <v>58.961227882674265</v>
      </c>
      <c r="AK167" s="2"/>
      <c r="AL167" s="2"/>
    </row>
    <row r="168" spans="1:38">
      <c r="A168" s="30" t="s">
        <v>254</v>
      </c>
      <c r="B168" s="388">
        <f>B161</f>
        <v>0.1719</v>
      </c>
      <c r="D168" s="529">
        <f>$D$161</f>
        <v>5.8961227882674265E-2</v>
      </c>
      <c r="E168" s="389">
        <f>D168*$B168</f>
        <v>1.0135435073031706E-2</v>
      </c>
      <c r="F168" s="529">
        <f>$D$161</f>
        <v>5.8961227882674265E-2</v>
      </c>
      <c r="G168" s="389">
        <f>F168*$B168</f>
        <v>1.0135435073031706E-2</v>
      </c>
      <c r="H168" s="529">
        <f>+$D$161</f>
        <v>5.8961227882674265E-2</v>
      </c>
      <c r="I168" s="389">
        <f>H168*$B168</f>
        <v>1.0135435073031706E-2</v>
      </c>
      <c r="J168" s="529">
        <f>$D$161</f>
        <v>5.8961227882674265E-2</v>
      </c>
      <c r="K168" s="389">
        <f>J168*$B168</f>
        <v>1.0135435073031706E-2</v>
      </c>
      <c r="L168" s="529">
        <v>0</v>
      </c>
      <c r="M168" s="389">
        <f>L168*$B168</f>
        <v>0</v>
      </c>
      <c r="N168" s="529">
        <v>0</v>
      </c>
      <c r="O168" s="390">
        <f>N168*$B168</f>
        <v>0</v>
      </c>
      <c r="P168" s="539"/>
      <c r="R168" s="846"/>
      <c r="S168" s="846"/>
      <c r="V168" s="29"/>
      <c r="W168" s="1"/>
      <c r="X168" s="1"/>
      <c r="AA168" s="104" t="s">
        <v>89</v>
      </c>
      <c r="AB168" s="104" t="s">
        <v>88</v>
      </c>
      <c r="AF168" s="391">
        <f>D162*1000*1000</f>
        <v>326.01712793908081</v>
      </c>
      <c r="AK168" s="2"/>
      <c r="AL168" s="2"/>
    </row>
    <row r="169" spans="1:38" ht="16.5">
      <c r="A169" s="30" t="s">
        <v>255</v>
      </c>
      <c r="B169" s="388">
        <v>3.45</v>
      </c>
      <c r="D169" s="529">
        <f>$D$162</f>
        <v>3.2601712793908083E-4</v>
      </c>
      <c r="E169" s="392">
        <f>D169*$B169</f>
        <v>1.124759091389829E-3</v>
      </c>
      <c r="F169" s="529">
        <f>$D$162</f>
        <v>3.2601712793908083E-4</v>
      </c>
      <c r="G169" s="392">
        <f>F169*$B169</f>
        <v>1.124759091389829E-3</v>
      </c>
      <c r="H169" s="529">
        <f>+$D$162</f>
        <v>3.2601712793908083E-4</v>
      </c>
      <c r="I169" s="392">
        <f>H169*$B169</f>
        <v>1.124759091389829E-3</v>
      </c>
      <c r="J169" s="529">
        <f>$D$162</f>
        <v>3.2601712793908083E-4</v>
      </c>
      <c r="K169" s="392">
        <f>J169*$B169</f>
        <v>1.124759091389829E-3</v>
      </c>
      <c r="L169" s="529">
        <v>0</v>
      </c>
      <c r="M169" s="392">
        <f>L169*$B169</f>
        <v>0</v>
      </c>
      <c r="N169" s="529">
        <v>0</v>
      </c>
      <c r="O169" s="393">
        <f>N169*$B169</f>
        <v>0</v>
      </c>
      <c r="P169" s="276"/>
      <c r="R169" s="276"/>
      <c r="V169" s="1"/>
      <c r="W169" s="1"/>
      <c r="X169" s="1"/>
      <c r="AK169" s="2"/>
      <c r="AL169" s="2"/>
    </row>
    <row r="170" spans="1:38">
      <c r="A170" s="30" t="s">
        <v>256</v>
      </c>
      <c r="B170" s="394"/>
      <c r="D170" s="395"/>
      <c r="E170" s="396">
        <f>SUM(E168:E169)</f>
        <v>1.1260194164421535E-2</v>
      </c>
      <c r="F170" s="395"/>
      <c r="G170" s="396">
        <f>SUM(G168:G169)</f>
        <v>1.1260194164421535E-2</v>
      </c>
      <c r="H170" s="395"/>
      <c r="I170" s="396">
        <f>SUM(I168:I169)</f>
        <v>1.1260194164421535E-2</v>
      </c>
      <c r="J170" s="395"/>
      <c r="K170" s="396">
        <f>SUM(K168:K169)</f>
        <v>1.1260194164421535E-2</v>
      </c>
      <c r="L170" s="395"/>
      <c r="M170" s="396">
        <f>SUM(M168:M169)</f>
        <v>0</v>
      </c>
      <c r="N170" s="395"/>
      <c r="O170" s="397">
        <f>SUM(O168:O169)</f>
        <v>0</v>
      </c>
      <c r="P170" s="539"/>
      <c r="R170" s="846"/>
      <c r="S170" s="846"/>
      <c r="V170" s="1"/>
      <c r="W170" s="1"/>
      <c r="X170" s="1"/>
      <c r="AK170" s="2"/>
      <c r="AL170" s="2"/>
    </row>
    <row r="171" spans="1:38" ht="12.75" hidden="1">
      <c r="A171" s="30"/>
      <c r="B171" s="1"/>
      <c r="D171" s="59"/>
      <c r="E171" s="41"/>
      <c r="F171" s="41"/>
      <c r="G171" s="41"/>
      <c r="H171" s="41"/>
      <c r="I171" s="41"/>
      <c r="J171" s="85"/>
      <c r="K171" s="85"/>
      <c r="L171" s="85"/>
      <c r="M171" s="85"/>
      <c r="N171" s="85"/>
      <c r="O171" s="87"/>
      <c r="P171" s="539"/>
      <c r="R171" s="846"/>
      <c r="S171" s="846"/>
      <c r="V171" s="1"/>
      <c r="W171" s="1"/>
      <c r="X171" s="1"/>
      <c r="AK171" s="2"/>
      <c r="AL171" s="2"/>
    </row>
    <row r="172" spans="1:38" ht="12.75">
      <c r="A172" s="59"/>
      <c r="B172" s="41"/>
      <c r="C172" s="41"/>
      <c r="D172" s="41"/>
      <c r="E172" s="41"/>
      <c r="F172" s="41"/>
      <c r="G172" s="41"/>
      <c r="H172" s="41"/>
      <c r="I172" s="41"/>
      <c r="J172" s="85"/>
      <c r="K172" s="85"/>
      <c r="L172" s="85"/>
      <c r="M172" s="85"/>
      <c r="N172" s="85"/>
      <c r="O172" s="87"/>
      <c r="P172" s="539"/>
      <c r="R172" s="846"/>
      <c r="S172" s="846"/>
      <c r="V172" s="1"/>
      <c r="W172" s="1"/>
      <c r="X172" s="1"/>
      <c r="AK172" s="2"/>
      <c r="AL172" s="2"/>
    </row>
    <row r="173" spans="1:38" ht="12.75">
      <c r="A173" s="1"/>
      <c r="B173" s="1"/>
      <c r="C173" s="1"/>
      <c r="D173" s="1"/>
      <c r="E173" s="1"/>
      <c r="F173" s="1"/>
      <c r="G173" s="1"/>
      <c r="H173" s="1"/>
      <c r="P173" s="539"/>
      <c r="R173" s="846"/>
      <c r="S173" s="846"/>
      <c r="V173" s="29"/>
      <c r="W173" s="1"/>
      <c r="X173" s="1"/>
      <c r="AA173" s="285"/>
      <c r="AK173" s="2"/>
      <c r="AL173" s="2"/>
    </row>
    <row r="174" spans="1:38" ht="12.75">
      <c r="A174" s="1"/>
      <c r="B174" s="1"/>
      <c r="C174" s="1"/>
      <c r="D174" s="1"/>
      <c r="E174" s="1"/>
      <c r="F174" s="1"/>
      <c r="G174" s="1"/>
      <c r="H174" s="1"/>
      <c r="P174" s="539"/>
      <c r="R174" s="846"/>
      <c r="S174" s="846"/>
      <c r="V174" s="1"/>
      <c r="W174" s="1"/>
      <c r="X174" s="1"/>
      <c r="AA174" s="104" t="s">
        <v>87</v>
      </c>
      <c r="AB174" s="104" t="s">
        <v>86</v>
      </c>
      <c r="AF174" s="391">
        <f>D168*1000</f>
        <v>58.961227882674265</v>
      </c>
      <c r="AK174" s="2"/>
      <c r="AL174" s="2"/>
    </row>
    <row r="175" spans="1:38" ht="12.75">
      <c r="A175" s="385" t="s">
        <v>259</v>
      </c>
      <c r="B175" s="406"/>
      <c r="C175" s="488" t="s">
        <v>359</v>
      </c>
      <c r="D175" s="488"/>
      <c r="E175" s="406"/>
      <c r="F175" s="406"/>
      <c r="G175" s="406"/>
      <c r="H175" s="407"/>
      <c r="P175" s="539"/>
      <c r="R175" s="846"/>
      <c r="S175" s="846"/>
      <c r="V175" s="29"/>
      <c r="W175" s="1"/>
      <c r="X175" s="1"/>
      <c r="AA175" s="104" t="s">
        <v>89</v>
      </c>
      <c r="AB175" s="104" t="s">
        <v>88</v>
      </c>
      <c r="AF175" s="391">
        <f>D169*1000*1000</f>
        <v>326.01712793908081</v>
      </c>
      <c r="AK175" s="2"/>
      <c r="AL175" s="2"/>
    </row>
    <row r="176" spans="1:38" ht="12.75">
      <c r="A176" s="30" t="s">
        <v>63</v>
      </c>
      <c r="B176" s="271"/>
      <c r="C176" s="489" t="s">
        <v>360</v>
      </c>
      <c r="D176" s="430" t="s">
        <v>361</v>
      </c>
      <c r="G176" s="490" t="s">
        <v>64</v>
      </c>
      <c r="H176" s="81" t="s">
        <v>261</v>
      </c>
      <c r="M176" s="560"/>
      <c r="P176" s="276"/>
      <c r="R176" s="276"/>
      <c r="V176" s="1"/>
      <c r="W176" s="1"/>
      <c r="X176" s="1"/>
      <c r="AK176" s="2"/>
      <c r="AL176" s="2"/>
    </row>
    <row r="177" spans="1:38" ht="16.5">
      <c r="A177" s="30" t="s">
        <v>395</v>
      </c>
      <c r="B177" s="271">
        <v>27000000</v>
      </c>
      <c r="C177" s="36">
        <f>G177/B177</f>
        <v>1.1111111111111112E-2</v>
      </c>
      <c r="D177" s="27">
        <f>G237</f>
        <v>8.6499999999999994E-2</v>
      </c>
      <c r="E177" s="1"/>
      <c r="F177" s="1"/>
      <c r="G177" s="401">
        <v>300000</v>
      </c>
      <c r="H177" s="402">
        <f>G177/$B$64/1000</f>
        <v>8.670520231213872E-3</v>
      </c>
      <c r="P177" s="539"/>
      <c r="R177" s="846"/>
      <c r="S177" s="846"/>
      <c r="V177" s="1"/>
      <c r="W177" s="1"/>
      <c r="X177" s="1"/>
      <c r="AK177" s="2"/>
      <c r="AL177" s="2"/>
    </row>
    <row r="178" spans="1:38" ht="12.75">
      <c r="A178" s="33"/>
      <c r="B178" s="1"/>
      <c r="C178" s="1"/>
      <c r="D178" s="1"/>
      <c r="E178" s="1"/>
      <c r="F178" s="1"/>
      <c r="G178" s="1"/>
      <c r="H178" s="403"/>
      <c r="P178" s="1"/>
      <c r="R178" s="846"/>
      <c r="S178" s="846"/>
      <c r="V178" s="1"/>
      <c r="W178" s="1"/>
      <c r="X178" s="1"/>
      <c r="AK178" s="2"/>
      <c r="AL178" s="2"/>
    </row>
    <row r="179" spans="1:38">
      <c r="A179" s="30" t="s">
        <v>264</v>
      </c>
      <c r="C179" s="430" t="s">
        <v>358</v>
      </c>
      <c r="H179" s="313"/>
      <c r="P179" s="1"/>
      <c r="R179" s="846"/>
      <c r="S179" s="846"/>
      <c r="V179" s="29"/>
      <c r="W179" s="1"/>
      <c r="X179" s="1"/>
      <c r="AJ179" s="398" t="s">
        <v>416</v>
      </c>
      <c r="AK179" s="2"/>
      <c r="AL179" s="2"/>
    </row>
    <row r="180" spans="1:38" ht="16.5">
      <c r="A180" s="30" t="s">
        <v>265</v>
      </c>
      <c r="C180" s="52">
        <f>G180/12</f>
        <v>1250</v>
      </c>
      <c r="G180" s="401">
        <v>15000</v>
      </c>
      <c r="H180" s="402">
        <f>G180/$B$64/1000</f>
        <v>4.3352601156069364E-4</v>
      </c>
      <c r="P180" s="1"/>
      <c r="R180" s="846"/>
      <c r="S180" s="846"/>
      <c r="V180" s="1"/>
      <c r="W180" s="1"/>
      <c r="X180" s="1"/>
      <c r="AC180" s="638">
        <f t="shared" ref="AC180:AC182" si="62">ROUND($AC$13*$AI180,0)</f>
        <v>18646</v>
      </c>
      <c r="AD180" s="624"/>
      <c r="AE180" s="624"/>
      <c r="AF180" s="639"/>
      <c r="AG180" s="617" t="s">
        <v>258</v>
      </c>
      <c r="AH180" s="640">
        <v>631040</v>
      </c>
      <c r="AI180" s="652">
        <f>+AJ180/$AJ$187</f>
        <v>9.3232085819321381E-2</v>
      </c>
      <c r="AJ180" s="2">
        <v>16104.27</v>
      </c>
      <c r="AK180" s="2"/>
      <c r="AL180" s="2"/>
    </row>
    <row r="181" spans="1:38">
      <c r="A181" s="33"/>
      <c r="B181" s="1"/>
      <c r="C181" s="1"/>
      <c r="D181" s="1"/>
      <c r="E181" s="1"/>
      <c r="F181" s="1"/>
      <c r="G181" s="1"/>
      <c r="H181" s="403"/>
      <c r="P181" s="1"/>
      <c r="R181" s="846"/>
      <c r="S181" s="846"/>
      <c r="V181" s="29"/>
      <c r="W181" s="1"/>
      <c r="X181" s="1"/>
      <c r="AC181" s="638">
        <f t="shared" si="62"/>
        <v>12935</v>
      </c>
      <c r="AD181" s="624"/>
      <c r="AE181" s="624"/>
      <c r="AF181" s="639"/>
      <c r="AG181" s="617" t="s">
        <v>260</v>
      </c>
      <c r="AH181" s="640">
        <v>631060</v>
      </c>
      <c r="AI181" s="652">
        <f t="shared" ref="AI181:AI186" si="63">+AJ181/$AJ$187</f>
        <v>6.4677227813795757E-2</v>
      </c>
      <c r="AJ181" s="2">
        <v>11171.9</v>
      </c>
      <c r="AK181" s="2"/>
      <c r="AL181" s="2"/>
    </row>
    <row r="182" spans="1:38">
      <c r="A182" s="30" t="s">
        <v>266</v>
      </c>
      <c r="C182" s="430" t="s">
        <v>358</v>
      </c>
      <c r="H182" s="313"/>
      <c r="P182" s="1"/>
      <c r="R182" s="846"/>
      <c r="S182" s="846"/>
      <c r="V182" s="29"/>
      <c r="W182" s="1"/>
      <c r="X182" s="1"/>
      <c r="AC182" s="638">
        <f t="shared" si="62"/>
        <v>6783</v>
      </c>
      <c r="AD182" s="624"/>
      <c r="AE182" s="624"/>
      <c r="AF182" s="639"/>
      <c r="AG182" s="617" t="s">
        <v>262</v>
      </c>
      <c r="AH182" s="640">
        <v>630020</v>
      </c>
      <c r="AI182" s="652">
        <f t="shared" si="63"/>
        <v>3.3916655131531505E-2</v>
      </c>
      <c r="AJ182" s="2">
        <v>5858.53</v>
      </c>
      <c r="AK182" s="2"/>
      <c r="AL182" s="2"/>
    </row>
    <row r="183" spans="1:38" ht="16.5">
      <c r="A183" s="30" t="s">
        <v>268</v>
      </c>
      <c r="C183" s="52">
        <f>G183/12</f>
        <v>16666.666666666668</v>
      </c>
      <c r="G183" s="401">
        <v>200000</v>
      </c>
      <c r="H183" s="402">
        <f>G183/$B$64/1000</f>
        <v>5.7803468208092491E-3</v>
      </c>
      <c r="P183" s="5"/>
      <c r="AC183" s="638">
        <f>ROUND($AC$13*$AI183,0)</f>
        <v>2907</v>
      </c>
      <c r="AD183" s="624"/>
      <c r="AE183" s="624"/>
      <c r="AF183" s="639"/>
      <c r="AG183" s="617" t="s">
        <v>417</v>
      </c>
      <c r="AH183" s="640" t="s">
        <v>418</v>
      </c>
      <c r="AI183" s="652">
        <f t="shared" si="63"/>
        <v>1.4533807150950135E-2</v>
      </c>
      <c r="AJ183" s="2">
        <v>2510.4699999999998</v>
      </c>
      <c r="AK183" s="2"/>
      <c r="AL183" s="2"/>
    </row>
    <row r="184" spans="1:38">
      <c r="A184" s="59"/>
      <c r="B184" s="41"/>
      <c r="C184" s="405"/>
      <c r="D184" s="41"/>
      <c r="E184" s="41"/>
      <c r="F184" s="41"/>
      <c r="G184" s="41"/>
      <c r="H184" s="42"/>
      <c r="Z184" s="404"/>
      <c r="AC184" s="638">
        <f t="shared" ref="AC184:AC186" si="64">ROUND($AC$13*$AI184,0)</f>
        <v>104678</v>
      </c>
      <c r="AD184" s="624"/>
      <c r="AE184" s="624"/>
      <c r="AF184" s="639"/>
      <c r="AG184" s="617" t="s">
        <v>263</v>
      </c>
      <c r="AH184" s="640">
        <v>630080</v>
      </c>
      <c r="AI184" s="652">
        <f t="shared" si="63"/>
        <v>0.52339015682747136</v>
      </c>
      <c r="AJ184" s="2">
        <v>90406.82</v>
      </c>
      <c r="AK184" s="2"/>
      <c r="AL184" s="2"/>
    </row>
    <row r="185" spans="1:38">
      <c r="A185" s="1"/>
      <c r="B185" s="1"/>
      <c r="C185" s="1"/>
      <c r="D185" s="1"/>
      <c r="E185" s="1"/>
      <c r="F185" s="8"/>
      <c r="G185" s="8"/>
      <c r="H185" s="1"/>
      <c r="AC185" s="638">
        <f t="shared" si="64"/>
        <v>46803</v>
      </c>
      <c r="AD185" s="624"/>
      <c r="AE185" s="624"/>
      <c r="AF185" s="639"/>
      <c r="AG185" s="617" t="s">
        <v>412</v>
      </c>
      <c r="AH185" s="640" t="s">
        <v>414</v>
      </c>
      <c r="AI185" s="652">
        <f t="shared" si="63"/>
        <v>0.2340165433232177</v>
      </c>
      <c r="AJ185" s="2">
        <v>40422.410000000003</v>
      </c>
      <c r="AK185" s="2"/>
      <c r="AL185" s="2"/>
    </row>
    <row r="186" spans="1:38" ht="16.5">
      <c r="A186" s="1"/>
      <c r="B186" s="1"/>
      <c r="C186" s="1"/>
      <c r="D186" s="1"/>
      <c r="E186" s="1"/>
      <c r="F186" s="8"/>
      <c r="G186" s="8"/>
      <c r="H186" s="1"/>
      <c r="AC186" s="643">
        <f t="shared" si="64"/>
        <v>7247</v>
      </c>
      <c r="AD186" s="624"/>
      <c r="AE186" s="624"/>
      <c r="AF186" s="639"/>
      <c r="AG186" s="617" t="s">
        <v>413</v>
      </c>
      <c r="AH186" s="640" t="s">
        <v>415</v>
      </c>
      <c r="AI186" s="652">
        <f t="shared" si="63"/>
        <v>3.623352393371207E-2</v>
      </c>
      <c r="AJ186" s="83">
        <v>6258.73</v>
      </c>
      <c r="AK186" s="2"/>
      <c r="AL186" s="2"/>
    </row>
    <row r="187" spans="1:38" ht="12.75">
      <c r="A187" s="385" t="s">
        <v>269</v>
      </c>
      <c r="B187" s="406"/>
      <c r="C187" s="406"/>
      <c r="D187" s="406"/>
      <c r="E187" s="406"/>
      <c r="F187" s="406"/>
      <c r="G187" s="406"/>
      <c r="H187" s="406"/>
      <c r="I187" s="406"/>
      <c r="J187" s="407"/>
      <c r="K187" s="30"/>
      <c r="Z187" s="404"/>
      <c r="AC187" s="612">
        <f>SUM(AC180:AC186)</f>
        <v>199999</v>
      </c>
      <c r="AD187" s="624"/>
      <c r="AE187" s="624"/>
      <c r="AF187" s="639"/>
      <c r="AG187" s="624"/>
      <c r="AH187" s="624"/>
      <c r="AI187" s="1"/>
      <c r="AJ187" s="2">
        <f>SUM(AJ180:AJ186)</f>
        <v>172733.13000000003</v>
      </c>
      <c r="AK187" s="2"/>
      <c r="AL187" s="2"/>
    </row>
    <row r="188" spans="1:38">
      <c r="A188" s="30" t="s">
        <v>271</v>
      </c>
      <c r="I188" s="356"/>
      <c r="J188" s="408"/>
      <c r="K188" s="409"/>
      <c r="L188" s="356"/>
      <c r="M188" s="356"/>
      <c r="N188" s="356"/>
      <c r="AC188" s="1"/>
      <c r="AD188" s="1"/>
      <c r="AE188" s="1"/>
      <c r="AF188" s="394"/>
      <c r="AG188" s="1"/>
      <c r="AH188" s="1"/>
      <c r="AI188" s="1"/>
      <c r="AK188" s="2"/>
      <c r="AL188" s="2"/>
    </row>
    <row r="189" spans="1:38" ht="16.5">
      <c r="A189" s="30"/>
      <c r="I189" s="356"/>
      <c r="J189" s="408"/>
      <c r="K189" s="409"/>
      <c r="L189" s="356"/>
      <c r="M189" s="356"/>
      <c r="N189" s="356"/>
      <c r="AC189" s="1"/>
      <c r="AD189" s="1"/>
      <c r="AE189" s="1"/>
      <c r="AF189" s="394"/>
      <c r="AG189" s="1"/>
      <c r="AH189" s="1"/>
      <c r="AI189" s="1"/>
      <c r="AJ189" s="398" t="s">
        <v>416</v>
      </c>
      <c r="AK189" s="2"/>
      <c r="AL189" s="2"/>
    </row>
    <row r="190" spans="1:38" ht="16.5">
      <c r="A190" s="30" t="s">
        <v>274</v>
      </c>
      <c r="B190" s="26" t="s">
        <v>275</v>
      </c>
      <c r="C190" s="26" t="s">
        <v>43</v>
      </c>
      <c r="D190" s="356"/>
      <c r="E190" s="847" t="s">
        <v>276</v>
      </c>
      <c r="F190" s="848"/>
      <c r="G190" s="356"/>
      <c r="I190" s="26"/>
      <c r="J190" s="541"/>
      <c r="K190" s="540"/>
      <c r="L190" s="26"/>
      <c r="M190" s="26"/>
      <c r="N190" s="26"/>
      <c r="AC190" s="210">
        <f>$AC$21*$AI190</f>
        <v>417493.8121100904</v>
      </c>
      <c r="AE190" s="6"/>
      <c r="AF190" s="399"/>
      <c r="AG190" s="104" t="s">
        <v>267</v>
      </c>
      <c r="AH190" s="206" t="s">
        <v>164</v>
      </c>
      <c r="AI190" s="400">
        <f>+AJ190/AJ241</f>
        <v>0.8590407656586222</v>
      </c>
      <c r="AJ190" s="2">
        <v>406174</v>
      </c>
      <c r="AK190" s="2"/>
      <c r="AL190" s="2"/>
    </row>
    <row r="191" spans="1:38">
      <c r="A191" s="112" t="s">
        <v>277</v>
      </c>
      <c r="B191" s="415">
        <v>7</v>
      </c>
      <c r="C191" s="416">
        <v>2</v>
      </c>
      <c r="E191" s="30" t="s">
        <v>278</v>
      </c>
      <c r="F191" s="417">
        <v>50</v>
      </c>
      <c r="J191" s="25"/>
      <c r="K191" s="30"/>
      <c r="AE191" s="6"/>
      <c r="AK191" s="2"/>
      <c r="AL191" s="2"/>
    </row>
    <row r="192" spans="1:38">
      <c r="A192" s="112" t="s">
        <v>279</v>
      </c>
      <c r="B192" s="418">
        <f>26.2*1.03</f>
        <v>26.986000000000001</v>
      </c>
      <c r="C192" s="418">
        <f>30*1.03</f>
        <v>30.900000000000002</v>
      </c>
      <c r="E192" s="30" t="s">
        <v>280</v>
      </c>
      <c r="F192" s="417">
        <v>40</v>
      </c>
      <c r="J192" s="25"/>
      <c r="K192" s="30"/>
      <c r="AE192" s="6"/>
      <c r="AK192" s="2"/>
      <c r="AL192" s="2"/>
    </row>
    <row r="193" spans="1:38">
      <c r="A193" s="112" t="s">
        <v>282</v>
      </c>
      <c r="B193" s="419">
        <v>0.1</v>
      </c>
      <c r="C193" s="420">
        <v>0.1</v>
      </c>
      <c r="E193" s="30" t="s">
        <v>283</v>
      </c>
      <c r="F193" s="421">
        <v>1.5</v>
      </c>
      <c r="J193" s="25"/>
      <c r="K193" s="30"/>
      <c r="AE193" s="6"/>
      <c r="AK193" s="2"/>
      <c r="AL193" s="2"/>
    </row>
    <row r="194" spans="1:38">
      <c r="A194" s="112" t="s">
        <v>285</v>
      </c>
      <c r="B194" s="419">
        <v>0</v>
      </c>
      <c r="E194" s="422" t="s">
        <v>286</v>
      </c>
      <c r="F194" s="423">
        <v>0.4</v>
      </c>
      <c r="H194" s="205"/>
      <c r="J194" s="25"/>
      <c r="K194" s="30"/>
      <c r="AE194" s="6"/>
      <c r="AK194" s="2"/>
      <c r="AL194" s="2"/>
    </row>
    <row r="195" spans="1:38">
      <c r="A195" s="112" t="s">
        <v>387</v>
      </c>
      <c r="B195" s="419">
        <v>0.3</v>
      </c>
      <c r="E195" s="1"/>
      <c r="F195" s="1"/>
      <c r="H195" s="205"/>
      <c r="J195" s="25"/>
      <c r="K195" s="30"/>
      <c r="AD195" s="410"/>
      <c r="AE195" s="410"/>
      <c r="AJ195" s="398" t="s">
        <v>416</v>
      </c>
      <c r="AK195" s="2"/>
      <c r="AL195" s="2"/>
    </row>
    <row r="196" spans="1:38" ht="12.75">
      <c r="A196" s="112"/>
      <c r="E196" s="1"/>
      <c r="F196" s="1"/>
      <c r="H196" s="205"/>
      <c r="J196" s="25"/>
      <c r="K196" s="30"/>
      <c r="AC196" s="638">
        <f>$AC$16*$AI196</f>
        <v>297733.35865043319</v>
      </c>
      <c r="AD196" s="641"/>
      <c r="AE196" s="641"/>
      <c r="AF196" s="642"/>
      <c r="AG196" s="617" t="s">
        <v>272</v>
      </c>
      <c r="AH196" s="640" t="s">
        <v>167</v>
      </c>
      <c r="AI196" s="650">
        <f>+AJ196/AJ198</f>
        <v>0.68527155452081978</v>
      </c>
      <c r="AJ196" s="2">
        <v>316902.21999999997</v>
      </c>
      <c r="AK196" s="2"/>
      <c r="AL196" s="2"/>
    </row>
    <row r="197" spans="1:38">
      <c r="A197" s="30"/>
      <c r="E197" s="1"/>
      <c r="F197" s="1"/>
      <c r="G197" s="1"/>
      <c r="H197" s="205"/>
      <c r="J197" s="25"/>
      <c r="K197" s="30"/>
      <c r="AC197" s="643">
        <f>$AC$16*$AI197</f>
        <v>136741.64134956684</v>
      </c>
      <c r="AD197" s="644"/>
      <c r="AE197" s="644"/>
      <c r="AF197" s="642"/>
      <c r="AG197" s="617" t="s">
        <v>273</v>
      </c>
      <c r="AH197" s="640" t="s">
        <v>168</v>
      </c>
      <c r="AI197" s="650">
        <f>+AJ197/AJ198</f>
        <v>0.31472844547918022</v>
      </c>
      <c r="AJ197" s="83">
        <v>145545.43</v>
      </c>
      <c r="AK197" s="2"/>
      <c r="AL197" s="2"/>
    </row>
    <row r="198" spans="1:38">
      <c r="A198" s="30" t="s">
        <v>388</v>
      </c>
      <c r="B198" s="533" t="s">
        <v>375</v>
      </c>
      <c r="C198" s="533" t="s">
        <v>376</v>
      </c>
      <c r="D198" s="266"/>
      <c r="E198" s="1"/>
      <c r="J198" s="25"/>
      <c r="K198" s="30"/>
      <c r="AC198" s="618">
        <f>SUM(AC196:AC197)</f>
        <v>434475</v>
      </c>
      <c r="AD198" s="624"/>
      <c r="AE198" s="624"/>
      <c r="AF198" s="642" t="s">
        <v>95</v>
      </c>
      <c r="AG198" s="645" t="s">
        <v>94</v>
      </c>
      <c r="AH198" s="646" t="s">
        <v>229</v>
      </c>
      <c r="AJ198" s="2">
        <f>SUM(AJ196:AJ197)</f>
        <v>462447.64999999997</v>
      </c>
      <c r="AK198" s="2"/>
      <c r="AL198" s="2"/>
    </row>
    <row r="199" spans="1:38" ht="12.75">
      <c r="A199" s="112" t="s">
        <v>377</v>
      </c>
      <c r="B199" s="196" t="s">
        <v>378</v>
      </c>
      <c r="C199" s="2">
        <f>ROUND(B195*B64,-2)</f>
        <v>10400</v>
      </c>
      <c r="J199" s="25"/>
      <c r="K199" s="30"/>
      <c r="AC199" s="624"/>
      <c r="AD199" s="641"/>
      <c r="AE199" s="641"/>
      <c r="AF199" s="639"/>
      <c r="AG199" s="624"/>
      <c r="AH199" s="624"/>
      <c r="AK199" s="2"/>
      <c r="AL199" s="2"/>
    </row>
    <row r="200" spans="1:38" ht="12.75">
      <c r="A200" s="112" t="s">
        <v>383</v>
      </c>
      <c r="B200" s="196" t="s">
        <v>378</v>
      </c>
      <c r="C200" s="2">
        <v>2600</v>
      </c>
      <c r="J200" s="25"/>
      <c r="K200" s="30"/>
      <c r="AC200" s="638">
        <f>$AC$17*$AI200</f>
        <v>101984.0130566817</v>
      </c>
      <c r="AD200" s="641"/>
      <c r="AE200" s="641"/>
      <c r="AF200" s="642"/>
      <c r="AG200" s="617" t="s">
        <v>281</v>
      </c>
      <c r="AH200" s="640" t="s">
        <v>169</v>
      </c>
      <c r="AI200" s="650">
        <f>+AJ200/AJ202</f>
        <v>0.71748989064782398</v>
      </c>
      <c r="AJ200" s="2">
        <v>81443.16</v>
      </c>
      <c r="AK200" s="2"/>
      <c r="AL200" s="2"/>
    </row>
    <row r="201" spans="1:38">
      <c r="A201" s="112" t="s">
        <v>287</v>
      </c>
      <c r="B201" s="538">
        <f>ROUND(B191*B194,0)</f>
        <v>0</v>
      </c>
      <c r="C201" s="31">
        <f>(C199/(C200*4)*1000)/($F$191*$F$192)</f>
        <v>0.5</v>
      </c>
      <c r="D201" s="537"/>
      <c r="E201" s="1"/>
      <c r="J201" s="25"/>
      <c r="K201" s="30"/>
      <c r="AC201" s="643">
        <f>$AC$17*$AI201</f>
        <v>40155.98694331829</v>
      </c>
      <c r="AD201" s="644"/>
      <c r="AE201" s="644"/>
      <c r="AF201" s="642"/>
      <c r="AG201" s="617" t="s">
        <v>284</v>
      </c>
      <c r="AH201" s="640" t="s">
        <v>170</v>
      </c>
      <c r="AI201" s="650">
        <f>+AJ201/AJ202</f>
        <v>0.28251010935217596</v>
      </c>
      <c r="AJ201" s="83">
        <v>32068.07</v>
      </c>
      <c r="AK201" s="2"/>
      <c r="AL201" s="2"/>
    </row>
    <row r="202" spans="1:38" ht="12.75">
      <c r="A202" s="112" t="s">
        <v>289</v>
      </c>
      <c r="B202" s="425">
        <f>(B201*$F$191*$F$192)</f>
        <v>0</v>
      </c>
      <c r="C202" s="425">
        <f>(C201*$F$191*$F$192)</f>
        <v>1000</v>
      </c>
      <c r="J202" s="25"/>
      <c r="K202" s="30"/>
      <c r="AC202" s="618">
        <f>SUM(AC200:AC201)</f>
        <v>142140</v>
      </c>
      <c r="AD202" s="644"/>
      <c r="AE202" s="644"/>
      <c r="AF202" s="642" t="s">
        <v>95</v>
      </c>
      <c r="AG202" s="645" t="s">
        <v>96</v>
      </c>
      <c r="AH202" s="646" t="s">
        <v>229</v>
      </c>
      <c r="AJ202" s="2">
        <f>SUM(AJ200:AJ201)</f>
        <v>113511.23000000001</v>
      </c>
      <c r="AK202" s="2"/>
      <c r="AL202" s="2"/>
    </row>
    <row r="203" spans="1:38" ht="12.75">
      <c r="A203" s="112" t="s">
        <v>381</v>
      </c>
      <c r="B203" s="426">
        <f>(B201*$F$191*$F$192*$C$208)+((B201*$F$191*$F$192*$B$193)*$C$209)</f>
        <v>0</v>
      </c>
      <c r="C203" s="426">
        <f>$C$202*$C$212</f>
        <v>28212.636363636364</v>
      </c>
      <c r="D203" s="427"/>
      <c r="E203" s="428"/>
      <c r="J203" s="25"/>
      <c r="K203" s="30"/>
      <c r="AC203" s="634"/>
      <c r="AD203" s="414"/>
      <c r="AE203" s="414"/>
      <c r="AF203" s="635"/>
      <c r="AG203" s="636"/>
      <c r="AH203" s="637"/>
      <c r="AK203" s="2"/>
      <c r="AL203" s="2"/>
    </row>
    <row r="204" spans="1:38" ht="12.75">
      <c r="A204" s="112" t="s">
        <v>382</v>
      </c>
      <c r="B204" s="426">
        <f>B203*F194</f>
        <v>0</v>
      </c>
      <c r="C204" s="426">
        <f>$C$202*$I$212</f>
        <v>13361.201616161617</v>
      </c>
      <c r="D204" s="427"/>
      <c r="E204" s="1"/>
      <c r="J204" s="25"/>
      <c r="K204" s="30"/>
      <c r="AC204" s="634"/>
      <c r="AD204" s="414"/>
      <c r="AE204" s="414"/>
      <c r="AF204" s="635"/>
      <c r="AG204" s="636"/>
      <c r="AH204" s="637"/>
      <c r="AK204" s="2"/>
      <c r="AL204" s="2"/>
    </row>
    <row r="205" spans="1:38">
      <c r="A205" s="30"/>
      <c r="B205" s="429"/>
      <c r="C205" s="70"/>
      <c r="D205" s="70"/>
      <c r="E205" s="1"/>
      <c r="J205" s="25"/>
      <c r="K205" s="30"/>
      <c r="AC205" s="634"/>
      <c r="AD205" s="213"/>
      <c r="AE205" s="213"/>
      <c r="AF205" s="635"/>
      <c r="AG205" s="636"/>
      <c r="AH205" s="637"/>
      <c r="AK205" s="2"/>
      <c r="AL205" s="2"/>
    </row>
    <row r="206" spans="1:38" ht="16.5">
      <c r="A206" s="30"/>
      <c r="B206" s="849" t="s">
        <v>14</v>
      </c>
      <c r="C206" s="849"/>
      <c r="D206" s="849"/>
      <c r="E206" s="850" t="s">
        <v>294</v>
      </c>
      <c r="F206" s="849"/>
      <c r="G206" s="851"/>
      <c r="H206" s="849" t="str">
        <f>CONCATENATE("Indirect Payroll Cost (IPC) at ",F194*100,"%")</f>
        <v>Indirect Payroll Cost (IPC) at 40%</v>
      </c>
      <c r="I206" s="849"/>
      <c r="J206" s="851"/>
      <c r="K206" s="30"/>
      <c r="AC206"/>
      <c r="AD206" s="410"/>
      <c r="AE206" s="410"/>
      <c r="AF206" s="424"/>
      <c r="AG206" s="213"/>
      <c r="AH206" s="215"/>
      <c r="AK206" s="2"/>
      <c r="AL206" s="2"/>
    </row>
    <row r="207" spans="1:38">
      <c r="A207" s="431" t="s">
        <v>296</v>
      </c>
      <c r="B207" s="432" t="s">
        <v>289</v>
      </c>
      <c r="C207" s="432" t="s">
        <v>297</v>
      </c>
      <c r="D207" s="433" t="s">
        <v>48</v>
      </c>
      <c r="E207" s="434" t="s">
        <v>289</v>
      </c>
      <c r="F207" s="432" t="s">
        <v>297</v>
      </c>
      <c r="G207" s="435" t="s">
        <v>48</v>
      </c>
      <c r="H207" s="432" t="s">
        <v>289</v>
      </c>
      <c r="I207" s="432" t="s">
        <v>297</v>
      </c>
      <c r="J207" s="435" t="s">
        <v>48</v>
      </c>
      <c r="K207" s="30"/>
      <c r="AC207" s="647"/>
      <c r="AD207" s="410"/>
      <c r="AE207" s="410"/>
      <c r="AF207" s="111"/>
      <c r="AG207" s="9"/>
      <c r="AH207" s="648"/>
      <c r="AI207" s="650"/>
      <c r="AK207" s="2"/>
      <c r="AL207" s="2"/>
    </row>
    <row r="208" spans="1:38">
      <c r="A208" s="436" t="s">
        <v>49</v>
      </c>
      <c r="B208" s="65">
        <f>$F$191*$F$192*B$191</f>
        <v>14000</v>
      </c>
      <c r="C208" s="53">
        <f>B192</f>
        <v>26.986000000000001</v>
      </c>
      <c r="D208" s="437">
        <f>B208*C208</f>
        <v>377804</v>
      </c>
      <c r="E208" s="454">
        <f>$F$191*$F$192*C$191</f>
        <v>4000</v>
      </c>
      <c r="F208" s="53">
        <f>C$192</f>
        <v>30.900000000000002</v>
      </c>
      <c r="G208" s="438">
        <f>E208*F208</f>
        <v>123600.00000000001</v>
      </c>
      <c r="J208" s="25"/>
      <c r="K208" s="30"/>
      <c r="AC208" s="647"/>
      <c r="AD208" s="410"/>
      <c r="AE208" s="410"/>
      <c r="AF208" s="111"/>
      <c r="AG208" s="9"/>
      <c r="AH208" s="648"/>
      <c r="AI208" s="650"/>
      <c r="AJ208" s="398" t="s">
        <v>416</v>
      </c>
      <c r="AK208" s="2"/>
      <c r="AL208" s="2"/>
    </row>
    <row r="209" spans="1:38">
      <c r="A209" s="436" t="s">
        <v>50</v>
      </c>
      <c r="B209" s="356">
        <f>$F$191*$F$192*B$193*B$191</f>
        <v>1400</v>
      </c>
      <c r="C209" s="439">
        <f>B$192*$F$193</f>
        <v>40.478999999999999</v>
      </c>
      <c r="D209" s="440">
        <f>B209*C209</f>
        <v>56670.6</v>
      </c>
      <c r="E209" s="409">
        <f>$F$191*$F$192*C$193*C$191</f>
        <v>400</v>
      </c>
      <c r="F209" s="441">
        <f>C$192*$F$193</f>
        <v>46.35</v>
      </c>
      <c r="G209" s="442">
        <f>E209*F209</f>
        <v>18540</v>
      </c>
      <c r="I209" s="29"/>
      <c r="J209" s="25"/>
      <c r="K209" s="30"/>
      <c r="AC209" s="638">
        <f t="shared" ref="AC209:AC214" si="65">$AC$18*$AI209</f>
        <v>39664.916359669667</v>
      </c>
      <c r="AD209" s="641"/>
      <c r="AE209" s="641"/>
      <c r="AF209" s="614"/>
      <c r="AG209" s="617" t="s">
        <v>288</v>
      </c>
      <c r="AH209" s="640" t="s">
        <v>171</v>
      </c>
      <c r="AI209" s="650">
        <f>+AJ209/AJ215</f>
        <v>0.14993240028300547</v>
      </c>
      <c r="AJ209" s="2">
        <v>30089.74</v>
      </c>
      <c r="AK209" s="2"/>
      <c r="AL209" s="2"/>
    </row>
    <row r="210" spans="1:38" ht="12.75">
      <c r="A210" s="443" t="s">
        <v>138</v>
      </c>
      <c r="B210" s="65">
        <f>SUM(B208:B209)</f>
        <v>15400</v>
      </c>
      <c r="C210" s="53">
        <f>D210/B210</f>
        <v>28.212636363636364</v>
      </c>
      <c r="D210" s="444">
        <f>SUM(D208:D209)</f>
        <v>434474.6</v>
      </c>
      <c r="E210" s="454">
        <f>SUM(E208:E209)</f>
        <v>4400</v>
      </c>
      <c r="F210" s="53">
        <f>IF(E210&lt;&gt;0,G210/E210,0)</f>
        <v>32.304545454545455</v>
      </c>
      <c r="G210" s="445">
        <f>SUM(G208:G209)</f>
        <v>142140</v>
      </c>
      <c r="H210" s="65">
        <f>B210+E210</f>
        <v>19800</v>
      </c>
      <c r="I210" s="53">
        <f>J210/H210</f>
        <v>13.361201616161617</v>
      </c>
      <c r="J210" s="446">
        <f>+(D210+G210+C241)*F194</f>
        <v>264551.79200000002</v>
      </c>
      <c r="K210" s="30"/>
      <c r="AC210" s="638">
        <f t="shared" si="65"/>
        <v>26780.970548866451</v>
      </c>
      <c r="AD210" s="641"/>
      <c r="AE210" s="641"/>
      <c r="AF210" s="614"/>
      <c r="AG210" s="617" t="s">
        <v>290</v>
      </c>
      <c r="AH210" s="640" t="s">
        <v>172</v>
      </c>
      <c r="AI210" s="650">
        <f>+AJ210/AJ215</f>
        <v>0.10123140459670103</v>
      </c>
      <c r="AJ210" s="2">
        <v>20316</v>
      </c>
      <c r="AK210" s="2"/>
      <c r="AL210" s="2"/>
    </row>
    <row r="211" spans="1:38">
      <c r="A211" s="443" t="s">
        <v>298</v>
      </c>
      <c r="B211" s="356">
        <f>-B202</f>
        <v>0</v>
      </c>
      <c r="C211" s="447">
        <f>IF(B211&lt;&gt;0,D211/B211,0)</f>
        <v>0</v>
      </c>
      <c r="D211" s="440">
        <f>-B203</f>
        <v>0</v>
      </c>
      <c r="E211" s="483">
        <v>0</v>
      </c>
      <c r="F211" s="447">
        <f>IF(E211&lt;&gt;0,(G211/E211),0)</f>
        <v>0</v>
      </c>
      <c r="G211" s="448">
        <v>0</v>
      </c>
      <c r="H211" s="356">
        <f>-B202</f>
        <v>0</v>
      </c>
      <c r="I211" s="447">
        <f>IF(H211&lt;&gt;0,J211/H211,0)</f>
        <v>0</v>
      </c>
      <c r="J211" s="449">
        <f>-B204</f>
        <v>0</v>
      </c>
      <c r="K211" s="30"/>
      <c r="R211" s="430"/>
      <c r="S211" s="430"/>
      <c r="T211" s="430"/>
      <c r="U211" s="430"/>
      <c r="V211" s="430"/>
      <c r="W211" s="430"/>
      <c r="X211" s="430"/>
      <c r="Y211" s="430"/>
      <c r="AC211" s="638">
        <f t="shared" si="65"/>
        <v>25455.460147409391</v>
      </c>
      <c r="AD211" s="641"/>
      <c r="AE211" s="641"/>
      <c r="AF211" s="614"/>
      <c r="AG211" s="617" t="s">
        <v>291</v>
      </c>
      <c r="AH211" s="640" t="s">
        <v>173</v>
      </c>
      <c r="AI211" s="650">
        <f>+AJ211/AJ215</f>
        <v>9.6221008147394052E-2</v>
      </c>
      <c r="AJ211" s="2">
        <v>19310.47</v>
      </c>
      <c r="AK211" s="2"/>
      <c r="AL211" s="2"/>
    </row>
    <row r="212" spans="1:38" ht="12.75">
      <c r="A212" s="443" t="s">
        <v>386</v>
      </c>
      <c r="B212" s="342">
        <f>SUM(B210:B211)</f>
        <v>15400</v>
      </c>
      <c r="C212" s="179">
        <f>D212/B212</f>
        <v>28.212636363636364</v>
      </c>
      <c r="D212" s="534">
        <f>SUM(D210:D211)</f>
        <v>434474.6</v>
      </c>
      <c r="E212" s="535">
        <f>SUM(E210:E211)</f>
        <v>4400</v>
      </c>
      <c r="F212" s="179">
        <f>IF(E212&lt;&gt;0,G212/E212,0)</f>
        <v>32.304545454545455</v>
      </c>
      <c r="G212" s="536">
        <f>SUM(G210:G211)</f>
        <v>142140</v>
      </c>
      <c r="H212" s="342">
        <f>SUM(H210:H211)</f>
        <v>19800</v>
      </c>
      <c r="I212" s="179">
        <f>J212/H212</f>
        <v>13.361201616161617</v>
      </c>
      <c r="J212" s="536">
        <f>SUM(J210:J211)</f>
        <v>264551.79200000002</v>
      </c>
      <c r="K212" s="30"/>
      <c r="AC212" s="638">
        <f t="shared" si="65"/>
        <v>97989.905007411726</v>
      </c>
      <c r="AD212" s="641"/>
      <c r="AE212" s="641"/>
      <c r="AF212" s="614"/>
      <c r="AG212" s="617" t="s">
        <v>292</v>
      </c>
      <c r="AH212" s="640" t="s">
        <v>174</v>
      </c>
      <c r="AI212" s="650">
        <f>+AJ212/AJ215</f>
        <v>0.37039941110787944</v>
      </c>
      <c r="AJ212" s="2">
        <v>74334.98</v>
      </c>
      <c r="AK212" s="2"/>
      <c r="AL212" s="2"/>
    </row>
    <row r="213" spans="1:38">
      <c r="A213" s="443" t="s">
        <v>380</v>
      </c>
      <c r="B213" s="342">
        <f>C202</f>
        <v>1000</v>
      </c>
      <c r="C213" s="450"/>
      <c r="D213" s="180">
        <f>B213*C212</f>
        <v>28212.636363636364</v>
      </c>
      <c r="E213" s="535">
        <v>0</v>
      </c>
      <c r="F213" s="450"/>
      <c r="G213" s="181">
        <f>E213*F212</f>
        <v>0</v>
      </c>
      <c r="H213" s="342">
        <f>B213+E213</f>
        <v>1000</v>
      </c>
      <c r="I213" s="450"/>
      <c r="J213" s="536">
        <f>H213*I212</f>
        <v>13361.201616161617</v>
      </c>
      <c r="K213" s="30"/>
      <c r="Q213" s="430"/>
      <c r="R213" s="29"/>
      <c r="S213" s="29"/>
      <c r="T213" s="29"/>
      <c r="U213" s="29"/>
      <c r="V213" s="29"/>
      <c r="W213" s="29"/>
      <c r="X213" s="29"/>
      <c r="Y213" s="29"/>
      <c r="AC213" s="638">
        <f t="shared" si="65"/>
        <v>66756.631060312269</v>
      </c>
      <c r="AD213" s="641"/>
      <c r="AE213" s="641"/>
      <c r="AF213" s="614"/>
      <c r="AG213" s="617" t="s">
        <v>293</v>
      </c>
      <c r="AH213" s="640" t="s">
        <v>175</v>
      </c>
      <c r="AI213" s="650">
        <f>+AJ213/AJ215</f>
        <v>0.25233841006801033</v>
      </c>
      <c r="AJ213" s="2">
        <v>50641.47</v>
      </c>
      <c r="AK213" s="2"/>
      <c r="AL213" s="2"/>
    </row>
    <row r="214" spans="1:38">
      <c r="A214" s="443" t="s">
        <v>379</v>
      </c>
      <c r="B214" s="342">
        <f>B212-B213</f>
        <v>14400</v>
      </c>
      <c r="C214" s="450"/>
      <c r="D214" s="180">
        <f>B214*C212</f>
        <v>406261.96363636362</v>
      </c>
      <c r="E214" s="535">
        <f>E212-E213</f>
        <v>4400</v>
      </c>
      <c r="F214" s="450"/>
      <c r="G214" s="536">
        <f>E214*F212</f>
        <v>142140</v>
      </c>
      <c r="H214" s="342">
        <f>H212-H213</f>
        <v>18800</v>
      </c>
      <c r="I214" s="450"/>
      <c r="J214" s="536">
        <f>H214*I212</f>
        <v>251190.5903838384</v>
      </c>
      <c r="K214" s="30"/>
      <c r="R214" s="29"/>
      <c r="S214" s="29"/>
      <c r="T214" s="29"/>
      <c r="U214" s="29"/>
      <c r="V214" s="29"/>
      <c r="W214" s="29"/>
      <c r="X214" s="29"/>
      <c r="Y214" s="29"/>
      <c r="AC214" s="643">
        <f t="shared" si="65"/>
        <v>7904.1168763305122</v>
      </c>
      <c r="AD214" s="644"/>
      <c r="AE214" s="644"/>
      <c r="AF214" s="614"/>
      <c r="AG214" s="617" t="s">
        <v>295</v>
      </c>
      <c r="AH214" s="640" t="s">
        <v>176</v>
      </c>
      <c r="AI214" s="650">
        <f>+AJ214/AJ215</f>
        <v>2.9877365797009708E-2</v>
      </c>
      <c r="AJ214" s="83">
        <v>5996.05</v>
      </c>
      <c r="AK214" s="2"/>
      <c r="AL214" s="2"/>
    </row>
    <row r="215" spans="1:38" ht="12.75">
      <c r="A215" s="451"/>
      <c r="B215" s="342"/>
      <c r="C215" s="179"/>
      <c r="D215" s="176"/>
      <c r="E215" s="30"/>
      <c r="F215" s="342"/>
      <c r="G215" s="452"/>
      <c r="H215" s="176"/>
      <c r="J215" s="25"/>
      <c r="K215" s="30"/>
      <c r="Q215" s="29"/>
      <c r="R215" s="29"/>
      <c r="S215" s="29"/>
      <c r="T215" s="29"/>
      <c r="U215" s="29"/>
      <c r="V215" s="29"/>
      <c r="W215" s="29"/>
      <c r="X215" s="29"/>
      <c r="Y215" s="29"/>
      <c r="AC215" s="618">
        <f>SUM(AC209:AC214)</f>
        <v>264552</v>
      </c>
      <c r="AD215" s="612"/>
      <c r="AE215" s="649"/>
      <c r="AF215" s="642" t="s">
        <v>95</v>
      </c>
      <c r="AG215" s="645" t="s">
        <v>97</v>
      </c>
      <c r="AH215" s="646" t="s">
        <v>229</v>
      </c>
      <c r="AJ215" s="2">
        <f>SUM(AJ209:AJ214)</f>
        <v>200688.71</v>
      </c>
      <c r="AK215" s="2"/>
      <c r="AL215" s="2"/>
    </row>
    <row r="216" spans="1:38" ht="12.75">
      <c r="A216" s="23" t="s">
        <v>299</v>
      </c>
      <c r="E216" s="33"/>
      <c r="F216" s="1"/>
      <c r="G216" s="38"/>
      <c r="H216" s="453"/>
      <c r="J216" s="25"/>
      <c r="Q216" s="29"/>
      <c r="AE216" s="6"/>
      <c r="AK216" s="2"/>
      <c r="AL216" s="2"/>
    </row>
    <row r="217" spans="1:38" ht="12.75">
      <c r="A217" s="112" t="s">
        <v>327</v>
      </c>
      <c r="B217" s="65">
        <f>ROUND($B$214*$E81,0)+1</f>
        <v>8325</v>
      </c>
      <c r="C217" s="53"/>
      <c r="D217" s="52">
        <f>ROUND($D$214*$E81,0)+1</f>
        <v>234835</v>
      </c>
      <c r="E217" s="454">
        <f>ROUND($E$214*$E81,0)-1</f>
        <v>2542</v>
      </c>
      <c r="F217" s="1"/>
      <c r="G217" s="54">
        <f t="shared" ref="G217:G228" si="66">ROUND($G$214*$E81,0)</f>
        <v>82162</v>
      </c>
      <c r="H217" s="65">
        <f>ROUND($H$214*$E81,0)+1</f>
        <v>10868</v>
      </c>
      <c r="J217" s="54">
        <f t="shared" ref="J217:J228" si="67">ROUND($J$214*$E81,0)</f>
        <v>145197</v>
      </c>
      <c r="Q217" s="29"/>
      <c r="AA217" s="104" t="s">
        <v>95</v>
      </c>
      <c r="AB217" s="104" t="s">
        <v>94</v>
      </c>
      <c r="AE217" s="6"/>
      <c r="AF217" s="391">
        <f>$B$212/$B$29</f>
        <v>1.54</v>
      </c>
      <c r="AK217" s="2"/>
      <c r="AL217" s="2"/>
    </row>
    <row r="218" spans="1:38" ht="12.75">
      <c r="A218" s="112" t="s">
        <v>328</v>
      </c>
      <c r="B218" s="65">
        <f t="shared" ref="B218:B228" si="68">ROUND($B$214*$E82,0)</f>
        <v>0</v>
      </c>
      <c r="C218" s="53"/>
      <c r="D218" s="52">
        <f t="shared" ref="D218:D228" si="69">ROUND($D$214*$E82,0)</f>
        <v>0</v>
      </c>
      <c r="E218" s="454">
        <f t="shared" ref="E218:E228" si="70">ROUND($E$214*$E82,0)</f>
        <v>0</v>
      </c>
      <c r="F218" s="1"/>
      <c r="G218" s="54">
        <f t="shared" si="66"/>
        <v>0</v>
      </c>
      <c r="H218" s="65">
        <f t="shared" ref="H218:H228" si="71">ROUND($H$214*$E82,0)</f>
        <v>0</v>
      </c>
      <c r="J218" s="54">
        <f t="shared" si="67"/>
        <v>0</v>
      </c>
      <c r="AA218" s="104" t="s">
        <v>95</v>
      </c>
      <c r="AB218" s="104" t="s">
        <v>96</v>
      </c>
      <c r="AE218" s="6"/>
      <c r="AF218" s="391">
        <f>$E$212/$B$29</f>
        <v>0.44</v>
      </c>
      <c r="AK218" s="2"/>
      <c r="AL218" s="2"/>
    </row>
    <row r="219" spans="1:38" ht="12.75">
      <c r="A219" s="112" t="s">
        <v>329</v>
      </c>
      <c r="B219" s="65">
        <f t="shared" si="68"/>
        <v>0</v>
      </c>
      <c r="C219" s="53"/>
      <c r="D219" s="52">
        <f t="shared" si="69"/>
        <v>0</v>
      </c>
      <c r="E219" s="454">
        <f t="shared" si="70"/>
        <v>0</v>
      </c>
      <c r="F219" s="1"/>
      <c r="G219" s="54">
        <f t="shared" si="66"/>
        <v>0</v>
      </c>
      <c r="H219" s="65">
        <f t="shared" si="71"/>
        <v>0</v>
      </c>
      <c r="J219" s="54">
        <f t="shared" si="67"/>
        <v>0</v>
      </c>
      <c r="AA219" s="104" t="s">
        <v>95</v>
      </c>
      <c r="AB219" s="104" t="s">
        <v>97</v>
      </c>
      <c r="AF219" s="391">
        <f>$H$212/$B$29</f>
        <v>1.98</v>
      </c>
      <c r="AK219" s="2"/>
      <c r="AL219" s="2"/>
    </row>
    <row r="220" spans="1:38" ht="12.75">
      <c r="A220" s="112" t="s">
        <v>330</v>
      </c>
      <c r="B220" s="65">
        <f t="shared" si="68"/>
        <v>416</v>
      </c>
      <c r="C220" s="53"/>
      <c r="D220" s="52">
        <f t="shared" si="69"/>
        <v>11742</v>
      </c>
      <c r="E220" s="454">
        <f t="shared" si="70"/>
        <v>127</v>
      </c>
      <c r="F220" s="1"/>
      <c r="G220" s="54">
        <f t="shared" si="66"/>
        <v>4108</v>
      </c>
      <c r="H220" s="65">
        <f t="shared" si="71"/>
        <v>543</v>
      </c>
      <c r="J220" s="54">
        <f t="shared" si="67"/>
        <v>7260</v>
      </c>
      <c r="AK220" s="2"/>
      <c r="AL220" s="2"/>
    </row>
    <row r="221" spans="1:38" ht="12.75">
      <c r="A221" s="112" t="s">
        <v>331</v>
      </c>
      <c r="B221" s="65">
        <f t="shared" si="68"/>
        <v>0</v>
      </c>
      <c r="C221" s="53"/>
      <c r="D221" s="52">
        <f t="shared" si="69"/>
        <v>0</v>
      </c>
      <c r="E221" s="454">
        <f t="shared" si="70"/>
        <v>0</v>
      </c>
      <c r="F221" s="1"/>
      <c r="G221" s="54">
        <f t="shared" si="66"/>
        <v>0</v>
      </c>
      <c r="H221" s="65">
        <f t="shared" si="71"/>
        <v>0</v>
      </c>
      <c r="J221" s="54">
        <f t="shared" si="67"/>
        <v>0</v>
      </c>
      <c r="AK221" s="2"/>
      <c r="AL221" s="2"/>
    </row>
    <row r="222" spans="1:38" ht="12.75">
      <c r="A222" s="112" t="s">
        <v>332</v>
      </c>
      <c r="B222" s="65">
        <f t="shared" si="68"/>
        <v>541</v>
      </c>
      <c r="C222" s="53"/>
      <c r="D222" s="52">
        <f t="shared" si="69"/>
        <v>15264</v>
      </c>
      <c r="E222" s="454">
        <f t="shared" si="70"/>
        <v>165</v>
      </c>
      <c r="F222" s="1"/>
      <c r="G222" s="54">
        <f t="shared" si="66"/>
        <v>5341</v>
      </c>
      <c r="H222" s="65">
        <f t="shared" si="71"/>
        <v>706</v>
      </c>
      <c r="J222" s="54">
        <f t="shared" si="67"/>
        <v>9438</v>
      </c>
      <c r="AK222" s="2"/>
      <c r="AL222" s="2"/>
    </row>
    <row r="223" spans="1:38" ht="12.75">
      <c r="A223" s="112" t="s">
        <v>322</v>
      </c>
      <c r="B223" s="65">
        <f t="shared" si="68"/>
        <v>541</v>
      </c>
      <c r="C223" s="53"/>
      <c r="D223" s="52">
        <f t="shared" si="69"/>
        <v>15264</v>
      </c>
      <c r="E223" s="454">
        <f t="shared" si="70"/>
        <v>165</v>
      </c>
      <c r="F223" s="1"/>
      <c r="G223" s="54">
        <f t="shared" si="66"/>
        <v>5341</v>
      </c>
      <c r="H223" s="65">
        <f t="shared" si="71"/>
        <v>706</v>
      </c>
      <c r="J223" s="54">
        <f t="shared" si="67"/>
        <v>9438</v>
      </c>
      <c r="AE223" s="6"/>
      <c r="AK223" s="2"/>
      <c r="AL223" s="2"/>
    </row>
    <row r="224" spans="1:38" ht="12.75">
      <c r="A224" s="112" t="s">
        <v>333</v>
      </c>
      <c r="B224" s="65">
        <f t="shared" si="68"/>
        <v>1623</v>
      </c>
      <c r="C224" s="53"/>
      <c r="D224" s="52">
        <f t="shared" si="69"/>
        <v>45793</v>
      </c>
      <c r="E224" s="454">
        <f t="shared" si="70"/>
        <v>496</v>
      </c>
      <c r="F224" s="1"/>
      <c r="G224" s="54">
        <f t="shared" si="66"/>
        <v>16022</v>
      </c>
      <c r="H224" s="65">
        <f t="shared" si="71"/>
        <v>2119</v>
      </c>
      <c r="J224" s="54">
        <f t="shared" si="67"/>
        <v>28313</v>
      </c>
      <c r="AE224" s="6"/>
      <c r="AK224" s="2"/>
      <c r="AL224" s="2"/>
    </row>
    <row r="225" spans="1:38" ht="12.75">
      <c r="A225" s="112" t="s">
        <v>334</v>
      </c>
      <c r="B225" s="65">
        <f t="shared" si="68"/>
        <v>0</v>
      </c>
      <c r="C225" s="53"/>
      <c r="D225" s="52">
        <f t="shared" si="69"/>
        <v>0</v>
      </c>
      <c r="E225" s="454">
        <f t="shared" si="70"/>
        <v>0</v>
      </c>
      <c r="F225" s="1"/>
      <c r="G225" s="54">
        <f t="shared" si="66"/>
        <v>0</v>
      </c>
      <c r="H225" s="65">
        <f t="shared" si="71"/>
        <v>0</v>
      </c>
      <c r="J225" s="54">
        <f t="shared" si="67"/>
        <v>0</v>
      </c>
      <c r="AE225" s="6"/>
      <c r="AK225" s="2"/>
      <c r="AL225" s="2"/>
    </row>
    <row r="226" spans="1:38" ht="12.75">
      <c r="A226" s="112" t="s">
        <v>335</v>
      </c>
      <c r="B226" s="65">
        <f t="shared" si="68"/>
        <v>42</v>
      </c>
      <c r="C226" s="53"/>
      <c r="D226" s="52">
        <f t="shared" si="69"/>
        <v>1174</v>
      </c>
      <c r="E226" s="454">
        <f t="shared" si="70"/>
        <v>13</v>
      </c>
      <c r="F226" s="1"/>
      <c r="G226" s="54">
        <f t="shared" si="66"/>
        <v>411</v>
      </c>
      <c r="H226" s="65">
        <f t="shared" si="71"/>
        <v>54</v>
      </c>
      <c r="J226" s="54">
        <f t="shared" si="67"/>
        <v>726</v>
      </c>
      <c r="AE226" s="6"/>
      <c r="AK226" s="2"/>
      <c r="AL226" s="2"/>
    </row>
    <row r="227" spans="1:38" ht="12.75">
      <c r="A227" s="112" t="s">
        <v>326</v>
      </c>
      <c r="B227" s="65">
        <f t="shared" si="68"/>
        <v>0</v>
      </c>
      <c r="C227" s="53"/>
      <c r="D227" s="52">
        <f t="shared" si="69"/>
        <v>0</v>
      </c>
      <c r="E227" s="454">
        <f t="shared" si="70"/>
        <v>0</v>
      </c>
      <c r="F227" s="1"/>
      <c r="G227" s="54">
        <f t="shared" si="66"/>
        <v>0</v>
      </c>
      <c r="H227" s="65">
        <f t="shared" si="71"/>
        <v>0</v>
      </c>
      <c r="J227" s="54">
        <f t="shared" si="67"/>
        <v>0</v>
      </c>
      <c r="AE227" s="6"/>
      <c r="AK227" s="2"/>
      <c r="AL227" s="2"/>
    </row>
    <row r="228" spans="1:38" ht="12.75">
      <c r="A228" s="112" t="s">
        <v>400</v>
      </c>
      <c r="B228" s="65">
        <f t="shared" si="68"/>
        <v>2913</v>
      </c>
      <c r="C228" s="53"/>
      <c r="D228" s="52">
        <f t="shared" si="69"/>
        <v>82192</v>
      </c>
      <c r="E228" s="454">
        <f t="shared" si="70"/>
        <v>890</v>
      </c>
      <c r="F228" s="1"/>
      <c r="G228" s="54">
        <f t="shared" si="66"/>
        <v>28757</v>
      </c>
      <c r="H228" s="65">
        <f t="shared" si="71"/>
        <v>3803</v>
      </c>
      <c r="J228" s="54">
        <f t="shared" si="67"/>
        <v>50819</v>
      </c>
      <c r="AE228" s="6"/>
      <c r="AK228" s="2"/>
      <c r="AL228" s="2"/>
    </row>
    <row r="229" spans="1:38">
      <c r="A229" s="112" t="s">
        <v>376</v>
      </c>
      <c r="B229" s="356">
        <f>B213</f>
        <v>1000</v>
      </c>
      <c r="C229" s="53"/>
      <c r="D229" s="455">
        <f>D213</f>
        <v>28212.636363636364</v>
      </c>
      <c r="E229" s="409">
        <f>E213</f>
        <v>0</v>
      </c>
      <c r="F229" s="1"/>
      <c r="G229" s="456">
        <f>G213</f>
        <v>0</v>
      </c>
      <c r="H229" s="356">
        <f>H213</f>
        <v>1000</v>
      </c>
      <c r="J229" s="456">
        <f>J213</f>
        <v>13361.201616161617</v>
      </c>
      <c r="AE229" s="6"/>
      <c r="AK229" s="2"/>
      <c r="AL229" s="2"/>
    </row>
    <row r="230" spans="1:38">
      <c r="A230" s="353" t="s">
        <v>229</v>
      </c>
      <c r="B230" s="457">
        <f>SUM(B217:B229)</f>
        <v>15401</v>
      </c>
      <c r="C230" s="53"/>
      <c r="D230" s="458">
        <f>SUM(D217:D229)</f>
        <v>434476.63636363635</v>
      </c>
      <c r="E230" s="459">
        <f>SUM(E217:E229)</f>
        <v>4398</v>
      </c>
      <c r="F230" s="1"/>
      <c r="G230" s="460">
        <f>SUM(G217:G229)</f>
        <v>142142</v>
      </c>
      <c r="H230" s="457">
        <f>SUM(H217:H229)</f>
        <v>19799</v>
      </c>
      <c r="J230" s="460">
        <f>SUM(J217:J229)</f>
        <v>264552.20161616162</v>
      </c>
      <c r="AE230" s="6"/>
      <c r="AK230" s="2"/>
      <c r="AL230" s="2"/>
    </row>
    <row r="231" spans="1:38" ht="12.75">
      <c r="A231" s="84"/>
      <c r="B231" s="85"/>
      <c r="C231" s="85"/>
      <c r="D231" s="85"/>
      <c r="E231" s="85"/>
      <c r="F231" s="85"/>
      <c r="G231" s="85"/>
      <c r="H231" s="85"/>
      <c r="I231" s="85"/>
      <c r="J231" s="87"/>
      <c r="AE231" s="6"/>
      <c r="AK231" s="2"/>
      <c r="AL231" s="2"/>
    </row>
    <row r="232" spans="1:38" ht="12.75">
      <c r="A232" s="1"/>
      <c r="B232" s="1"/>
      <c r="C232" s="1"/>
      <c r="D232" s="1"/>
      <c r="E232" s="1"/>
      <c r="F232" s="1"/>
      <c r="G232" s="1"/>
      <c r="H232" s="1"/>
      <c r="AE232" s="6"/>
      <c r="AK232" s="2"/>
      <c r="AL232" s="2"/>
    </row>
    <row r="233" spans="1:38" ht="12.75">
      <c r="A233" s="1"/>
      <c r="B233" s="1"/>
      <c r="C233" s="1"/>
      <c r="D233" s="1"/>
      <c r="E233" s="1"/>
      <c r="F233" s="1"/>
      <c r="G233" s="1"/>
      <c r="H233" s="1"/>
      <c r="AE233" s="6"/>
      <c r="AK233" s="2"/>
      <c r="AL233" s="2"/>
    </row>
    <row r="234" spans="1:38" ht="12.75">
      <c r="A234" s="1"/>
      <c r="B234" s="1"/>
      <c r="C234" s="1"/>
      <c r="D234" s="1"/>
      <c r="E234" s="1"/>
      <c r="F234" s="1"/>
      <c r="G234" s="1"/>
      <c r="H234" s="1"/>
      <c r="AE234" s="6"/>
      <c r="AK234" s="2"/>
      <c r="AL234" s="2"/>
    </row>
    <row r="235" spans="1:38" ht="12.75">
      <c r="A235" s="385" t="s">
        <v>301</v>
      </c>
      <c r="B235" s="406"/>
      <c r="C235" s="406"/>
      <c r="D235" s="406"/>
      <c r="E235" s="406"/>
      <c r="F235" s="406"/>
      <c r="G235" s="406"/>
      <c r="H235" s="407"/>
      <c r="AE235" s="6"/>
      <c r="AK235" s="2"/>
      <c r="AL235" s="2"/>
    </row>
    <row r="236" spans="1:38">
      <c r="A236" s="33"/>
      <c r="C236" s="345" t="s">
        <v>302</v>
      </c>
      <c r="H236" s="25"/>
      <c r="AE236" s="6"/>
      <c r="AK236" s="2"/>
      <c r="AL236" s="2"/>
    </row>
    <row r="237" spans="1:38" ht="12.75">
      <c r="A237" s="33"/>
      <c r="B237" s="2" t="s">
        <v>303</v>
      </c>
      <c r="C237" s="268">
        <f>B93</f>
        <v>34600</v>
      </c>
      <c r="E237" s="844" t="s">
        <v>304</v>
      </c>
      <c r="F237" s="844"/>
      <c r="G237" s="462">
        <f>C237/C238</f>
        <v>8.6499999999999994E-2</v>
      </c>
      <c r="H237" s="25"/>
      <c r="AK237" s="2"/>
      <c r="AL237" s="2"/>
    </row>
    <row r="238" spans="1:38">
      <c r="A238" s="33"/>
      <c r="B238" s="2" t="s">
        <v>305</v>
      </c>
      <c r="C238" s="268">
        <v>400000</v>
      </c>
      <c r="H238" s="45"/>
      <c r="AJ238" s="398" t="s">
        <v>416</v>
      </c>
      <c r="AK238" s="2"/>
      <c r="AL238" s="2"/>
    </row>
    <row r="239" spans="1:38" ht="12.75">
      <c r="A239" s="33"/>
      <c r="B239" s="1"/>
      <c r="C239" s="1"/>
      <c r="D239" s="463"/>
      <c r="E239" s="1"/>
      <c r="F239" s="65"/>
      <c r="G239" s="65"/>
      <c r="H239" s="464"/>
      <c r="AC239" s="631">
        <f>+AC21*AI239</f>
        <v>417493.8121100904</v>
      </c>
      <c r="AD239" s="624"/>
      <c r="AE239" s="624"/>
      <c r="AF239" s="612"/>
      <c r="AG239" s="617" t="s">
        <v>421</v>
      </c>
      <c r="AH239" s="640" t="s">
        <v>164</v>
      </c>
      <c r="AI239" s="653">
        <f>+AJ239/AJ241</f>
        <v>0.8590407656586222</v>
      </c>
      <c r="AJ239" s="2">
        <v>406174</v>
      </c>
      <c r="AK239" s="2"/>
      <c r="AL239" s="2"/>
    </row>
    <row r="240" spans="1:38" ht="27.75">
      <c r="A240" s="30"/>
      <c r="B240" s="465" t="s">
        <v>135</v>
      </c>
      <c r="C240" s="465" t="s">
        <v>136</v>
      </c>
      <c r="D240" s="465" t="s">
        <v>307</v>
      </c>
      <c r="E240" s="465" t="s">
        <v>308</v>
      </c>
      <c r="F240" s="285"/>
      <c r="G240" s="285"/>
      <c r="H240" s="38"/>
      <c r="AC240" s="643">
        <f>$AC$21*$AI240</f>
        <v>68506.187889909605</v>
      </c>
      <c r="AD240" s="624"/>
      <c r="AE240" s="624"/>
      <c r="AF240" s="639"/>
      <c r="AG240" s="617" t="s">
        <v>300</v>
      </c>
      <c r="AH240" s="640">
        <v>630040</v>
      </c>
      <c r="AI240" s="652">
        <f>+AJ240/AJ241</f>
        <v>0.14095923434137778</v>
      </c>
      <c r="AJ240" s="83">
        <v>66648.73</v>
      </c>
      <c r="AK240" s="2"/>
      <c r="AL240" s="2"/>
    </row>
    <row r="241" spans="1:38">
      <c r="A241" s="30" t="s">
        <v>17</v>
      </c>
      <c r="B241" s="401">
        <f>6858*1.03</f>
        <v>7063.74</v>
      </c>
      <c r="C241" s="2">
        <f>B241*12</f>
        <v>84764.88</v>
      </c>
      <c r="D241" s="65">
        <f>$B$64</f>
        <v>34600</v>
      </c>
      <c r="E241" s="282">
        <f>C241/D241/1000</f>
        <v>2.4498520231213874E-3</v>
      </c>
      <c r="F241" s="282"/>
      <c r="G241" s="282"/>
      <c r="H241" s="38"/>
      <c r="AC241" s="651">
        <f>+AC240+AC239</f>
        <v>486000</v>
      </c>
      <c r="AD241" s="612"/>
      <c r="AE241" s="612"/>
      <c r="AF241" s="642" t="s">
        <v>91</v>
      </c>
      <c r="AG241" s="645" t="s">
        <v>99</v>
      </c>
      <c r="AH241" s="646" t="s">
        <v>229</v>
      </c>
      <c r="AI241" s="654">
        <f>+AI239+AI240</f>
        <v>1</v>
      </c>
      <c r="AJ241" s="2">
        <f>+AJ239+AJ240</f>
        <v>472822.73</v>
      </c>
      <c r="AK241" s="2"/>
      <c r="AL241" s="2"/>
    </row>
    <row r="242" spans="1:38">
      <c r="A242" s="30" t="s">
        <v>19</v>
      </c>
      <c r="B242" s="466">
        <f>C242/12</f>
        <v>183583.33333333334</v>
      </c>
      <c r="C242" s="467">
        <v>2203000</v>
      </c>
      <c r="D242" s="65">
        <f>$B$64</f>
        <v>34600</v>
      </c>
      <c r="E242" s="282">
        <f>C242/D242/1000</f>
        <v>6.3670520231213876E-2</v>
      </c>
      <c r="F242" s="282"/>
      <c r="G242" s="282"/>
      <c r="H242" s="38"/>
      <c r="AK242" s="2"/>
      <c r="AL242" s="2"/>
    </row>
    <row r="243" spans="1:38" ht="16.5">
      <c r="A243" s="30" t="s">
        <v>18</v>
      </c>
      <c r="B243" s="401">
        <f>(406000+80000)/12</f>
        <v>40500</v>
      </c>
      <c r="C243" s="268">
        <f>B243*12</f>
        <v>486000</v>
      </c>
      <c r="D243" s="65">
        <f>$B$64</f>
        <v>34600</v>
      </c>
      <c r="E243" s="468">
        <f t="shared" ref="E243" si="72">C243/D243/1000</f>
        <v>1.4046242774566474E-2</v>
      </c>
      <c r="F243" s="282"/>
      <c r="G243" s="282"/>
      <c r="H243" s="38"/>
      <c r="AK243" s="2"/>
      <c r="AL243" s="2"/>
    </row>
    <row r="244" spans="1:38">
      <c r="A244" s="30" t="s">
        <v>72</v>
      </c>
      <c r="B244" s="63"/>
      <c r="C244" s="1"/>
      <c r="D244" s="63"/>
      <c r="E244" s="469">
        <f>SUM(E241:E243)</f>
        <v>8.0166615028901739E-2</v>
      </c>
      <c r="F244" s="282"/>
      <c r="G244" s="282"/>
      <c r="H244" s="38"/>
      <c r="AK244" s="2"/>
      <c r="AL244" s="2"/>
    </row>
    <row r="245" spans="1:38" ht="12.75">
      <c r="A245" s="59"/>
      <c r="B245" s="41"/>
      <c r="C245" s="41"/>
      <c r="D245" s="41"/>
      <c r="E245" s="41"/>
      <c r="F245" s="41"/>
      <c r="G245" s="41"/>
      <c r="H245" s="42"/>
      <c r="AK245" s="2"/>
      <c r="AL245" s="2"/>
    </row>
    <row r="246" spans="1:38">
      <c r="AJ246" s="398" t="s">
        <v>416</v>
      </c>
      <c r="AK246" s="2"/>
      <c r="AL246" s="2"/>
    </row>
    <row r="247" spans="1:38">
      <c r="B247" s="2" t="s">
        <v>7</v>
      </c>
      <c r="AC247" s="638">
        <f t="shared" ref="AC247:AC253" si="73">ROUND($AC$20*$AI247,0)</f>
        <v>5648</v>
      </c>
      <c r="AD247" s="624"/>
      <c r="AE247" s="624"/>
      <c r="AF247" s="639"/>
      <c r="AG247" s="617" t="s">
        <v>306</v>
      </c>
      <c r="AH247" s="640" t="s">
        <v>166</v>
      </c>
      <c r="AI247" s="652">
        <f>+AJ247/AJ254</f>
        <v>2.563803312104086E-3</v>
      </c>
      <c r="AJ247" s="2">
        <v>4708.54</v>
      </c>
      <c r="AK247" s="2"/>
      <c r="AL247" s="2"/>
    </row>
    <row r="248" spans="1:38">
      <c r="B248" s="2" t="s">
        <v>7</v>
      </c>
      <c r="AC248" s="638">
        <f t="shared" si="73"/>
        <v>180370</v>
      </c>
      <c r="AD248" s="624"/>
      <c r="AE248" s="624"/>
      <c r="AF248" s="639"/>
      <c r="AG248" s="617" t="s">
        <v>309</v>
      </c>
      <c r="AH248" s="640">
        <v>640010</v>
      </c>
      <c r="AI248" s="652">
        <f>+AJ248/AJ254</f>
        <v>8.1874642283460794E-2</v>
      </c>
      <c r="AJ248" s="2">
        <v>150366.46</v>
      </c>
      <c r="AK248" s="2"/>
      <c r="AL248" s="2"/>
    </row>
    <row r="249" spans="1:38">
      <c r="B249" s="2" t="s">
        <v>7</v>
      </c>
      <c r="AC249" s="638">
        <f t="shared" si="73"/>
        <v>1985624</v>
      </c>
      <c r="AD249" s="624"/>
      <c r="AE249" s="624"/>
      <c r="AF249" s="639"/>
      <c r="AG249" s="617" t="s">
        <v>311</v>
      </c>
      <c r="AH249" s="640">
        <v>640020</v>
      </c>
      <c r="AI249" s="652">
        <f>+AJ249/AJ254</f>
        <v>0.90132734241722379</v>
      </c>
      <c r="AJ249" s="2">
        <v>1655328.17</v>
      </c>
      <c r="AK249" s="2"/>
      <c r="AL249" s="2"/>
    </row>
    <row r="250" spans="1:38">
      <c r="B250" s="2" t="s">
        <v>7</v>
      </c>
      <c r="H250" s="262"/>
      <c r="AC250" s="638">
        <f t="shared" si="73"/>
        <v>8875</v>
      </c>
      <c r="AD250" s="624"/>
      <c r="AE250" s="624"/>
      <c r="AF250" s="639"/>
      <c r="AG250" s="617" t="s">
        <v>419</v>
      </c>
      <c r="AH250" s="640" t="s">
        <v>420</v>
      </c>
      <c r="AI250" s="652">
        <f>+AJ250/AJ254</f>
        <v>4.0284121770524164E-3</v>
      </c>
      <c r="AJ250" s="2">
        <v>7398.36</v>
      </c>
      <c r="AK250" s="2"/>
      <c r="AL250" s="2"/>
    </row>
    <row r="251" spans="1:38">
      <c r="B251" s="2" t="s">
        <v>7</v>
      </c>
      <c r="H251" s="271"/>
      <c r="AC251" s="638">
        <f t="shared" si="73"/>
        <v>80</v>
      </c>
      <c r="AD251" s="624"/>
      <c r="AE251" s="624"/>
      <c r="AF251" s="639"/>
      <c r="AG251" s="617" t="s">
        <v>312</v>
      </c>
      <c r="AH251" s="640" t="s">
        <v>313</v>
      </c>
      <c r="AI251" s="652">
        <f>+AJ251/AJ254</f>
        <v>3.6269191430730793E-5</v>
      </c>
      <c r="AJ251" s="2">
        <v>66.61</v>
      </c>
      <c r="AK251" s="2"/>
      <c r="AL251" s="2"/>
    </row>
    <row r="252" spans="1:38">
      <c r="A252" s="1"/>
      <c r="B252" s="1"/>
      <c r="C252" s="1"/>
      <c r="D252" s="470"/>
      <c r="E252" s="1"/>
      <c r="F252" s="1"/>
      <c r="G252" s="1"/>
      <c r="H252" s="39"/>
      <c r="AC252" s="638">
        <f t="shared" si="73"/>
        <v>10858</v>
      </c>
      <c r="AD252" s="624"/>
      <c r="AE252" s="624"/>
      <c r="AF252" s="639"/>
      <c r="AG252" s="617" t="s">
        <v>314</v>
      </c>
      <c r="AH252" s="640">
        <v>640070</v>
      </c>
      <c r="AI252" s="652">
        <f>+AJ252/AJ254</f>
        <v>4.92855894939331E-3</v>
      </c>
      <c r="AJ252" s="2">
        <v>9051.52</v>
      </c>
      <c r="AK252" s="2"/>
      <c r="AL252" s="2"/>
    </row>
    <row r="253" spans="1:38" ht="16.5">
      <c r="A253" s="1"/>
      <c r="B253" s="1"/>
      <c r="C253" s="1"/>
      <c r="D253" s="1"/>
      <c r="E253" s="1"/>
      <c r="F253" s="1"/>
      <c r="G253" s="1"/>
      <c r="H253" s="1"/>
      <c r="AC253" s="643">
        <f t="shared" si="73"/>
        <v>11546</v>
      </c>
      <c r="AD253" s="624"/>
      <c r="AE253" s="624"/>
      <c r="AF253" s="639"/>
      <c r="AG253" s="617" t="s">
        <v>315</v>
      </c>
      <c r="AH253" s="640">
        <v>640080</v>
      </c>
      <c r="AI253" s="652">
        <f>+AJ253/AJ254</f>
        <v>5.2409716693347019E-3</v>
      </c>
      <c r="AJ253" s="83">
        <v>9625.2800000000007</v>
      </c>
      <c r="AK253" s="2"/>
      <c r="AL253" s="2"/>
    </row>
    <row r="254" spans="1:38">
      <c r="A254" s="1"/>
      <c r="B254" s="845"/>
      <c r="C254" s="845"/>
      <c r="D254" s="845"/>
      <c r="E254" s="1"/>
      <c r="F254" s="845"/>
      <c r="G254" s="845"/>
      <c r="H254" s="845"/>
      <c r="AC254" s="651">
        <f>SUM(AC247:AC253)</f>
        <v>2203001</v>
      </c>
      <c r="AD254" s="612"/>
      <c r="AE254" s="612"/>
      <c r="AF254" s="642" t="s">
        <v>91</v>
      </c>
      <c r="AG254" s="645" t="s">
        <v>100</v>
      </c>
      <c r="AH254" s="646" t="s">
        <v>229</v>
      </c>
      <c r="AI254" s="652">
        <f>SUM(AI247:AI253)</f>
        <v>0.99999999999999978</v>
      </c>
      <c r="AJ254" s="2">
        <f>SUM(AJ247:AJ253)</f>
        <v>1836544.9400000002</v>
      </c>
      <c r="AK254" s="2"/>
      <c r="AL254" s="2"/>
    </row>
    <row r="255" spans="1:38" ht="12.75">
      <c r="A255" s="1"/>
      <c r="B255" s="471"/>
      <c r="C255" s="471"/>
      <c r="D255" s="472"/>
      <c r="E255" s="5"/>
      <c r="F255" s="471"/>
      <c r="G255" s="471"/>
      <c r="H255" s="472"/>
      <c r="AK255" s="2"/>
      <c r="AL255" s="2"/>
    </row>
    <row r="256" spans="1:38" ht="12.75">
      <c r="A256" s="1"/>
      <c r="B256" s="1"/>
      <c r="C256" s="473"/>
      <c r="D256" s="474"/>
      <c r="E256" s="1"/>
      <c r="F256" s="1"/>
      <c r="G256" s="473"/>
      <c r="H256" s="474"/>
      <c r="AC256" s="2" t="s">
        <v>7</v>
      </c>
      <c r="AK256" s="2"/>
      <c r="AL256" s="2"/>
    </row>
    <row r="257" spans="1:38" ht="12.75">
      <c r="A257" s="1"/>
      <c r="B257" s="1"/>
      <c r="C257" s="473"/>
      <c r="D257" s="463"/>
      <c r="E257" s="1"/>
      <c r="F257" s="1"/>
      <c r="G257" s="473"/>
      <c r="H257" s="463"/>
      <c r="AC257" s="2" t="s">
        <v>7</v>
      </c>
      <c r="AK257" s="2"/>
      <c r="AL257" s="2"/>
    </row>
    <row r="258" spans="1:38" ht="12.75">
      <c r="A258" s="1"/>
      <c r="B258" s="1"/>
      <c r="C258" s="475"/>
      <c r="D258" s="463"/>
      <c r="E258" s="1"/>
      <c r="F258" s="1"/>
      <c r="G258" s="475"/>
      <c r="H258" s="463"/>
      <c r="AK258" s="2"/>
      <c r="AL258" s="2"/>
    </row>
    <row r="259" spans="1:38" ht="12.75">
      <c r="A259" s="1"/>
      <c r="B259" s="1"/>
      <c r="C259" s="476"/>
      <c r="D259" s="463"/>
      <c r="E259" s="1"/>
      <c r="F259" s="1"/>
      <c r="G259" s="476"/>
      <c r="H259" s="463"/>
      <c r="AK259" s="2"/>
      <c r="AL259" s="2"/>
    </row>
    <row r="260" spans="1:38" ht="12.75">
      <c r="A260" s="1"/>
      <c r="B260" s="1"/>
      <c r="C260" s="477"/>
      <c r="D260" s="463"/>
      <c r="E260" s="1"/>
      <c r="F260" s="1"/>
      <c r="G260" s="477"/>
      <c r="H260" s="463"/>
      <c r="AK260" s="2"/>
      <c r="AL260" s="2"/>
    </row>
    <row r="261" spans="1:38" ht="12.75">
      <c r="A261" s="1"/>
      <c r="B261" s="1"/>
      <c r="C261" s="475"/>
      <c r="D261" s="463"/>
      <c r="E261" s="1"/>
      <c r="F261" s="1"/>
      <c r="G261" s="475"/>
      <c r="H261" s="463"/>
      <c r="AK261" s="2"/>
      <c r="AL261" s="2"/>
    </row>
    <row r="262" spans="1:38">
      <c r="A262" s="1"/>
      <c r="B262" s="1"/>
      <c r="C262" s="478"/>
      <c r="D262" s="479"/>
      <c r="E262" s="1"/>
      <c r="F262" s="1"/>
      <c r="G262" s="478"/>
      <c r="H262" s="479"/>
      <c r="AK262" s="2"/>
      <c r="AL262" s="2"/>
    </row>
    <row r="263" spans="1:38">
      <c r="A263" s="1"/>
      <c r="B263" s="1"/>
      <c r="C263" s="1"/>
      <c r="D263" s="480"/>
      <c r="E263" s="1"/>
      <c r="F263" s="1"/>
      <c r="G263" s="1"/>
      <c r="H263" s="480"/>
      <c r="AK263" s="2"/>
      <c r="AL263" s="2"/>
    </row>
    <row r="264" spans="1:38" ht="12.75">
      <c r="A264" s="1"/>
      <c r="B264" s="1"/>
      <c r="C264" s="1"/>
      <c r="D264" s="1"/>
      <c r="E264" s="1"/>
      <c r="F264" s="1"/>
      <c r="G264" s="1"/>
      <c r="H264" s="1"/>
      <c r="AK264" s="2"/>
      <c r="AL264" s="2"/>
    </row>
    <row r="265" spans="1:38" ht="12.75">
      <c r="A265" s="1"/>
      <c r="B265" s="1"/>
      <c r="C265" s="1"/>
      <c r="D265" s="1"/>
      <c r="E265" s="1"/>
      <c r="F265" s="1"/>
      <c r="G265" s="1"/>
      <c r="H265" s="1"/>
      <c r="AK265" s="2"/>
      <c r="AL265" s="2"/>
    </row>
    <row r="266" spans="1:38" ht="12.75">
      <c r="A266" s="1"/>
      <c r="B266" s="1"/>
      <c r="C266" s="1"/>
      <c r="D266" s="1"/>
      <c r="E266" s="1"/>
      <c r="F266" s="1"/>
      <c r="G266" s="1"/>
      <c r="H266" s="1"/>
      <c r="AK266" s="2"/>
      <c r="AL266" s="2"/>
    </row>
    <row r="267" spans="1:38" ht="12.75">
      <c r="A267" s="1"/>
      <c r="B267" s="1"/>
      <c r="C267" s="1"/>
      <c r="D267" s="1"/>
      <c r="E267" s="1"/>
      <c r="F267" s="1"/>
      <c r="G267" s="1"/>
      <c r="H267" s="1"/>
      <c r="AK267" s="2"/>
      <c r="AL267" s="2"/>
    </row>
    <row r="268" spans="1:38">
      <c r="A268" s="1"/>
      <c r="B268" s="481"/>
      <c r="C268" s="481"/>
      <c r="D268" s="1"/>
      <c r="E268" s="1"/>
      <c r="F268" s="1"/>
      <c r="G268" s="1"/>
      <c r="H268" s="1"/>
      <c r="AK268" s="2"/>
      <c r="AL268" s="2"/>
    </row>
    <row r="269" spans="1:38" ht="12.75">
      <c r="A269" s="1"/>
      <c r="B269" s="70"/>
      <c r="C269" s="70"/>
      <c r="D269" s="1"/>
      <c r="E269" s="1"/>
      <c r="F269" s="1"/>
      <c r="G269" s="1"/>
      <c r="H269" s="1"/>
      <c r="AK269" s="2"/>
      <c r="AL269" s="2"/>
    </row>
    <row r="270" spans="1:38" ht="12.75">
      <c r="A270" s="1"/>
      <c r="B270" s="70"/>
      <c r="C270" s="482"/>
      <c r="D270" s="1"/>
      <c r="E270" s="1"/>
      <c r="F270" s="1"/>
      <c r="G270" s="1"/>
      <c r="H270" s="1"/>
      <c r="AK270" s="2"/>
      <c r="AL270" s="2"/>
    </row>
    <row r="271" spans="1:38" ht="12.75">
      <c r="A271" s="1"/>
      <c r="B271" s="70"/>
      <c r="C271" s="70"/>
      <c r="D271" s="1"/>
      <c r="E271" s="1"/>
      <c r="F271" s="1"/>
      <c r="G271" s="1"/>
      <c r="H271" s="1"/>
      <c r="AK271" s="2"/>
      <c r="AL271" s="2"/>
    </row>
    <row r="272" spans="1:38" ht="12.75">
      <c r="A272" s="1"/>
      <c r="B272" s="70"/>
      <c r="C272" s="70"/>
      <c r="D272" s="1"/>
      <c r="E272" s="1"/>
      <c r="F272" s="1"/>
      <c r="G272" s="1"/>
      <c r="H272" s="1"/>
      <c r="AK272" s="2"/>
      <c r="AL272" s="2"/>
    </row>
    <row r="273" s="2" customFormat="1" ht="12.75"/>
    <row r="274" s="2" customFormat="1" ht="12.75"/>
    <row r="275" s="2" customFormat="1" ht="12.75"/>
    <row r="276" s="2" customFormat="1" ht="12.75"/>
    <row r="277" s="2" customFormat="1" ht="12.75"/>
    <row r="278" s="2" customFormat="1" ht="12.75"/>
  </sheetData>
  <sheetProtection formatCells="0" formatColumns="0" formatRows="0"/>
  <mergeCells count="66">
    <mergeCell ref="B254:D254"/>
    <mergeCell ref="F254:H254"/>
    <mergeCell ref="R182:S182"/>
    <mergeCell ref="B206:D206"/>
    <mergeCell ref="E206:G206"/>
    <mergeCell ref="H206:J206"/>
    <mergeCell ref="E237:F237"/>
    <mergeCell ref="E190:F190"/>
    <mergeCell ref="R179:S179"/>
    <mergeCell ref="R180:S180"/>
    <mergeCell ref="R181:S181"/>
    <mergeCell ref="R166:S166"/>
    <mergeCell ref="R167:S167"/>
    <mergeCell ref="R168:S168"/>
    <mergeCell ref="R170:S170"/>
    <mergeCell ref="R171:S171"/>
    <mergeCell ref="R177:S177"/>
    <mergeCell ref="R172:S172"/>
    <mergeCell ref="R173:S173"/>
    <mergeCell ref="R174:S174"/>
    <mergeCell ref="R175:S175"/>
    <mergeCell ref="R165:S165"/>
    <mergeCell ref="N126:O126"/>
    <mergeCell ref="D126:E126"/>
    <mergeCell ref="F126:G126"/>
    <mergeCell ref="R178:S178"/>
    <mergeCell ref="D166:E166"/>
    <mergeCell ref="F166:G166"/>
    <mergeCell ref="H166:I166"/>
    <mergeCell ref="J166:K166"/>
    <mergeCell ref="L166:M166"/>
    <mergeCell ref="N166:O166"/>
    <mergeCell ref="H126:I126"/>
    <mergeCell ref="J126:K126"/>
    <mergeCell ref="L126:M126"/>
    <mergeCell ref="R164:S164"/>
    <mergeCell ref="D159:E159"/>
    <mergeCell ref="F159:G159"/>
    <mergeCell ref="H159:I159"/>
    <mergeCell ref="J159:K159"/>
    <mergeCell ref="L159:M159"/>
    <mergeCell ref="N159:O159"/>
    <mergeCell ref="Q34:S34"/>
    <mergeCell ref="B68:D68"/>
    <mergeCell ref="D98:E98"/>
    <mergeCell ref="F98:G98"/>
    <mergeCell ref="H98:I98"/>
    <mergeCell ref="J98:K98"/>
    <mergeCell ref="L98:M98"/>
    <mergeCell ref="N98:O98"/>
    <mergeCell ref="B34:D34"/>
    <mergeCell ref="E34:G34"/>
    <mergeCell ref="H34:J34"/>
    <mergeCell ref="K34:M34"/>
    <mergeCell ref="N34:P34"/>
    <mergeCell ref="AA23:AB23"/>
    <mergeCell ref="AA24:AB24"/>
    <mergeCell ref="AA27:AB27"/>
    <mergeCell ref="AA28:AB28"/>
    <mergeCell ref="AA29:AB29"/>
    <mergeCell ref="Q3:S3"/>
    <mergeCell ref="B3:D3"/>
    <mergeCell ref="E3:G3"/>
    <mergeCell ref="H3:J3"/>
    <mergeCell ref="K3:M3"/>
    <mergeCell ref="N3:P3"/>
  </mergeCells>
  <printOptions horizontalCentered="1"/>
  <pageMargins left="0.25" right="0.25" top="0.25" bottom="0.25" header="0" footer="0"/>
  <pageSetup scale="50" fitToHeight="4" orientation="landscape" r:id="rId1"/>
  <headerFooter alignWithMargins="0">
    <oddHeader>&amp;R&amp;D  &amp;T</oddHeader>
  </headerFooter>
  <rowBreaks count="3" manualBreakCount="3">
    <brk id="95" max="18" man="1"/>
    <brk id="174" max="18" man="1"/>
    <brk id="186" max="18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273"/>
  <sheetViews>
    <sheetView zoomScale="90" zoomScaleNormal="90" workbookViewId="0">
      <pane xSplit="1" ySplit="2" topLeftCell="B147" activePane="bottomRight" state="frozenSplit"/>
      <selection pane="topRight" activeCell="B1" sqref="B1"/>
      <selection pane="bottomLeft" activeCell="A3" sqref="A3"/>
      <selection pane="bottomRight" activeCell="D163" sqref="D163"/>
    </sheetView>
  </sheetViews>
  <sheetFormatPr defaultColWidth="10.7109375" defaultRowHeight="15" outlineLevelCol="1"/>
  <cols>
    <col min="1" max="1" width="35.7109375" style="2" bestFit="1" customWidth="1"/>
    <col min="2" max="2" width="12.7109375" style="2" customWidth="1"/>
    <col min="3" max="3" width="13.28515625" style="2" customWidth="1"/>
    <col min="4" max="5" width="12.28515625" style="2" customWidth="1"/>
    <col min="6" max="6" width="9.7109375" style="2" customWidth="1"/>
    <col min="7" max="8" width="12.28515625" style="2" customWidth="1"/>
    <col min="9" max="9" width="9.7109375" style="2" customWidth="1"/>
    <col min="10" max="11" width="12.28515625" style="2" bestFit="1" customWidth="1"/>
    <col min="12" max="12" width="9.7109375" style="2" bestFit="1" customWidth="1"/>
    <col min="13" max="14" width="12.28515625" style="2" bestFit="1" customWidth="1"/>
    <col min="15" max="15" width="9.7109375" style="2" bestFit="1" customWidth="1"/>
    <col min="16" max="17" width="12.28515625" style="2" bestFit="1" customWidth="1"/>
    <col min="18" max="18" width="9.7109375" style="2" bestFit="1" customWidth="1"/>
    <col min="19" max="19" width="12.28515625" style="2" bestFit="1" customWidth="1"/>
    <col min="20" max="21" width="1.7109375" style="2" customWidth="1"/>
    <col min="22" max="22" width="10.7109375" style="2" bestFit="1" customWidth="1"/>
    <col min="23" max="23" width="10.28515625" style="2" customWidth="1"/>
    <col min="24" max="24" width="12.7109375" style="2" bestFit="1" customWidth="1"/>
    <col min="25" max="26" width="1.7109375" style="2" customWidth="1"/>
    <col min="27" max="27" width="4.7109375" style="2" customWidth="1" outlineLevel="1"/>
    <col min="28" max="28" width="7.7109375" style="2" customWidth="1" outlineLevel="1"/>
    <col min="29" max="29" width="12.28515625" style="2" customWidth="1" outlineLevel="1"/>
    <col min="30" max="30" width="12.42578125" style="2" customWidth="1" outlineLevel="1"/>
    <col min="31" max="31" width="10.7109375" style="2" customWidth="1" outlineLevel="1"/>
    <col min="32" max="32" width="10.42578125" style="2" customWidth="1" outlineLevel="1"/>
    <col min="33" max="33" width="16.42578125" style="2" customWidth="1" outlineLevel="1"/>
    <col min="34" max="34" width="10.7109375" style="2" customWidth="1" outlineLevel="1"/>
    <col min="35" max="35" width="11.42578125" style="2" customWidth="1" outlineLevel="1"/>
    <col min="36" max="36" width="10.7109375" style="2" customWidth="1" outlineLevel="1"/>
    <col min="37" max="37" width="8.7109375" customWidth="1" outlineLevel="1"/>
    <col min="38" max="38" width="8.7109375" customWidth="1"/>
    <col min="39" max="245" width="8.7109375" style="2" customWidth="1"/>
    <col min="246" max="16384" width="10.7109375" style="2"/>
  </cols>
  <sheetData>
    <row r="1" spans="1:36" s="2" customFormat="1" ht="19.5">
      <c r="A1" s="239" t="s">
        <v>364</v>
      </c>
      <c r="B1" s="297"/>
      <c r="C1" s="297"/>
      <c r="D1" s="297"/>
      <c r="E1" s="297"/>
      <c r="F1" s="297"/>
      <c r="G1" s="297"/>
      <c r="H1" s="297"/>
      <c r="AA1" s="298"/>
      <c r="AB1" s="299" t="s">
        <v>210</v>
      </c>
      <c r="AC1" s="233">
        <v>10001004</v>
      </c>
      <c r="AD1" s="233">
        <v>10001004</v>
      </c>
      <c r="AE1" s="300" t="s">
        <v>211</v>
      </c>
      <c r="AF1" s="300" t="s">
        <v>212</v>
      </c>
      <c r="AG1" s="233">
        <v>10001004</v>
      </c>
      <c r="AH1" s="300" t="s">
        <v>184</v>
      </c>
      <c r="AI1" s="233">
        <v>10001004</v>
      </c>
      <c r="AJ1" s="300" t="s">
        <v>186</v>
      </c>
    </row>
    <row r="2" spans="1:36" s="2" customFormat="1" ht="15.75">
      <c r="A2" s="240" t="s">
        <v>213</v>
      </c>
      <c r="B2" s="288"/>
      <c r="C2" s="288"/>
      <c r="D2" s="288"/>
      <c r="E2" s="288"/>
      <c r="F2" s="288"/>
      <c r="G2" s="288"/>
      <c r="H2" s="288"/>
      <c r="AA2" s="301" t="s">
        <v>79</v>
      </c>
      <c r="AB2" s="302" t="s">
        <v>214</v>
      </c>
      <c r="AC2" s="235" t="s">
        <v>64</v>
      </c>
      <c r="AD2" s="235" t="s">
        <v>81</v>
      </c>
      <c r="AE2" s="303" t="s">
        <v>57</v>
      </c>
      <c r="AF2" s="300" t="s">
        <v>215</v>
      </c>
      <c r="AG2" s="235" t="s">
        <v>181</v>
      </c>
      <c r="AH2" s="303" t="s">
        <v>57</v>
      </c>
      <c r="AI2" s="236" t="s">
        <v>185</v>
      </c>
      <c r="AJ2" s="303" t="s">
        <v>187</v>
      </c>
    </row>
    <row r="3" spans="1:36" s="2" customFormat="1" ht="19.899999999999999" customHeight="1" thickBot="1">
      <c r="A3" s="1" t="s">
        <v>7</v>
      </c>
      <c r="B3" s="860" t="s">
        <v>316</v>
      </c>
      <c r="C3" s="861"/>
      <c r="D3" s="862"/>
      <c r="E3" s="860" t="s">
        <v>317</v>
      </c>
      <c r="F3" s="861"/>
      <c r="G3" s="862"/>
      <c r="H3" s="868" t="s">
        <v>318</v>
      </c>
      <c r="I3" s="869"/>
      <c r="J3" s="870"/>
      <c r="K3" s="860" t="s">
        <v>319</v>
      </c>
      <c r="L3" s="861"/>
      <c r="M3" s="862"/>
      <c r="N3" s="860" t="s">
        <v>320</v>
      </c>
      <c r="O3" s="861"/>
      <c r="P3" s="862"/>
      <c r="Q3" s="868" t="s">
        <v>321</v>
      </c>
      <c r="R3" s="869"/>
      <c r="S3" s="870"/>
      <c r="AA3" s="103"/>
      <c r="AB3" s="103"/>
      <c r="AC3" s="103"/>
      <c r="AD3" s="103"/>
      <c r="AE3" s="103"/>
      <c r="AF3" s="103"/>
      <c r="AG3" s="103"/>
      <c r="AH3" s="103"/>
      <c r="AI3" s="103"/>
      <c r="AJ3" s="103"/>
    </row>
    <row r="4" spans="1:36" s="4" customFormat="1">
      <c r="A4" s="5"/>
      <c r="B4" s="304" t="s">
        <v>217</v>
      </c>
      <c r="C4" s="305" t="s">
        <v>218</v>
      </c>
      <c r="D4" s="306" t="s">
        <v>219</v>
      </c>
      <c r="E4" s="304" t="s">
        <v>217</v>
      </c>
      <c r="F4" s="305" t="s">
        <v>218</v>
      </c>
      <c r="G4" s="306" t="s">
        <v>219</v>
      </c>
      <c r="H4" s="304" t="s">
        <v>217</v>
      </c>
      <c r="I4" s="305" t="s">
        <v>218</v>
      </c>
      <c r="J4" s="306" t="s">
        <v>219</v>
      </c>
      <c r="K4" s="304" t="s">
        <v>217</v>
      </c>
      <c r="L4" s="305" t="s">
        <v>218</v>
      </c>
      <c r="M4" s="306" t="s">
        <v>219</v>
      </c>
      <c r="N4" s="304" t="s">
        <v>217</v>
      </c>
      <c r="O4" s="305" t="s">
        <v>218</v>
      </c>
      <c r="P4" s="306" t="s">
        <v>219</v>
      </c>
      <c r="Q4" s="304" t="s">
        <v>217</v>
      </c>
      <c r="R4" s="305" t="s">
        <v>218</v>
      </c>
      <c r="S4" s="306" t="s">
        <v>219</v>
      </c>
      <c r="V4" s="530" t="s">
        <v>220</v>
      </c>
      <c r="W4" s="531" t="s">
        <v>183</v>
      </c>
      <c r="X4" s="532" t="s">
        <v>374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s="4" customFormat="1" ht="12.75">
      <c r="B5" s="307"/>
      <c r="C5" s="111" t="s">
        <v>221</v>
      </c>
      <c r="D5" s="308"/>
      <c r="E5" s="307"/>
      <c r="F5" s="111" t="s">
        <v>221</v>
      </c>
      <c r="G5" s="308"/>
      <c r="H5" s="307"/>
      <c r="I5" s="111" t="s">
        <v>221</v>
      </c>
      <c r="J5" s="308"/>
      <c r="K5" s="307"/>
      <c r="L5" s="111" t="s">
        <v>221</v>
      </c>
      <c r="M5" s="308"/>
      <c r="N5" s="307"/>
      <c r="O5" s="111" t="s">
        <v>221</v>
      </c>
      <c r="P5" s="308"/>
      <c r="Q5" s="307"/>
      <c r="R5" s="111" t="s">
        <v>222</v>
      </c>
      <c r="S5" s="308"/>
      <c r="V5" s="309"/>
      <c r="W5" s="256"/>
      <c r="X5" s="310"/>
      <c r="AA5" s="101"/>
      <c r="AB5" s="103"/>
      <c r="AC5" s="311"/>
      <c r="AD5" s="100"/>
      <c r="AE5" s="100"/>
      <c r="AF5" s="100"/>
      <c r="AG5" s="311"/>
      <c r="AH5" s="100"/>
      <c r="AI5" s="311"/>
      <c r="AJ5" s="100"/>
    </row>
    <row r="6" spans="1:36">
      <c r="A6" s="6" t="s">
        <v>223</v>
      </c>
      <c r="B6" s="312">
        <f>E119</f>
        <v>0.17245408000000001</v>
      </c>
      <c r="C6" s="190">
        <v>0.16545432402778157</v>
      </c>
      <c r="D6" s="313">
        <v>0.22461710526315792</v>
      </c>
      <c r="E6" s="554">
        <f>G119</f>
        <v>0.26897458440490041</v>
      </c>
      <c r="F6" s="190">
        <v>0.34447965381280243</v>
      </c>
      <c r="G6" s="313">
        <v>0</v>
      </c>
      <c r="H6" s="312">
        <f>I119</f>
        <v>0.28067655000000002</v>
      </c>
      <c r="I6" s="190">
        <v>0.24621341893055665</v>
      </c>
      <c r="J6" s="313">
        <v>0</v>
      </c>
      <c r="K6" s="312">
        <f>K119</f>
        <v>0.17734195175784329</v>
      </c>
      <c r="L6" s="190">
        <v>0.18307969415103262</v>
      </c>
      <c r="M6" s="313">
        <v>0.22170000000000001</v>
      </c>
      <c r="N6" s="312">
        <f>M119</f>
        <v>0.23693418677170522</v>
      </c>
      <c r="O6" s="190">
        <v>0.22308682094206467</v>
      </c>
      <c r="P6" s="313">
        <v>0.22170000000000001</v>
      </c>
      <c r="Q6" s="312">
        <f>O119</f>
        <v>0.16623641046844798</v>
      </c>
      <c r="R6" s="190">
        <v>0.15968840601565604</v>
      </c>
      <c r="S6" s="313">
        <v>0.14384</v>
      </c>
      <c r="V6" s="315">
        <f>($B6*$B$29+$E6*$E$29+$H6*$H$29+$K6*$K$29+$N6*$N$29+$Q6*$Q$29+$B37*$B$60+$E37*$E$60+$H37*$H$60+$K37*$K$60+$N37*$N$60+$Q37*$Q$60)/$B$64</f>
        <v>0.22464721029484308</v>
      </c>
      <c r="W6" s="249">
        <f>V6</f>
        <v>0.22464721029484308</v>
      </c>
      <c r="X6" s="316"/>
      <c r="AA6" s="101"/>
      <c r="AB6" s="103"/>
      <c r="AC6" s="237"/>
      <c r="AD6" s="103"/>
      <c r="AE6" s="103"/>
      <c r="AF6" s="103"/>
      <c r="AG6" s="237"/>
      <c r="AH6" s="103"/>
      <c r="AI6" s="237"/>
      <c r="AJ6" s="103"/>
    </row>
    <row r="7" spans="1:36">
      <c r="A7" s="500" t="s">
        <v>362</v>
      </c>
      <c r="B7" s="317">
        <f>$C97*D97</f>
        <v>2.8073919999999999E-2</v>
      </c>
      <c r="C7" s="10"/>
      <c r="D7" s="318"/>
      <c r="E7" s="317">
        <v>0</v>
      </c>
      <c r="F7" s="10"/>
      <c r="G7" s="318"/>
      <c r="H7" s="317">
        <f>C99*H99</f>
        <v>0.22562455300000001</v>
      </c>
      <c r="I7" s="10"/>
      <c r="J7" s="318"/>
      <c r="K7" s="317">
        <f>$C97*J97</f>
        <v>2.8869620053602395E-2</v>
      </c>
      <c r="L7" s="10"/>
      <c r="M7" s="318"/>
      <c r="N7" s="317">
        <f>C101*L101</f>
        <v>0</v>
      </c>
      <c r="O7" s="10"/>
      <c r="P7" s="318"/>
      <c r="Q7" s="317">
        <f>$C98*N98</f>
        <v>2.7061741239049669E-2</v>
      </c>
      <c r="R7" s="10"/>
      <c r="S7" s="318"/>
      <c r="V7" s="315">
        <v>0</v>
      </c>
      <c r="W7" s="249">
        <v>0</v>
      </c>
      <c r="X7" s="320"/>
      <c r="AA7" s="101"/>
      <c r="AB7" s="104"/>
      <c r="AC7" s="102"/>
      <c r="AD7" s="321"/>
      <c r="AE7" s="322"/>
      <c r="AF7" s="106"/>
      <c r="AG7" s="237"/>
      <c r="AH7" s="322"/>
      <c r="AI7" s="102"/>
      <c r="AJ7" s="241"/>
    </row>
    <row r="8" spans="1:36">
      <c r="A8" s="6" t="s">
        <v>373</v>
      </c>
      <c r="B8" s="317">
        <f>E120+E121</f>
        <v>5.5106580000000002E-2</v>
      </c>
      <c r="C8" s="10">
        <v>5.1642831193431826E-2</v>
      </c>
      <c r="D8" s="318">
        <v>4.1844903000000003E-2</v>
      </c>
      <c r="E8" s="317">
        <f>G120+G121</f>
        <v>4.4746270205370309E-2</v>
      </c>
      <c r="F8" s="10">
        <v>4.0642977313658499E-2</v>
      </c>
      <c r="G8" s="318">
        <v>0</v>
      </c>
      <c r="H8" s="317">
        <f>I120+I121</f>
        <v>4.7107900000000008E-2</v>
      </c>
      <c r="I8" s="10">
        <v>4.2537790652156897E-2</v>
      </c>
      <c r="J8" s="318">
        <v>0</v>
      </c>
      <c r="K8" s="317">
        <f>K120+K121</f>
        <v>9.7903200378369845E-2</v>
      </c>
      <c r="L8" s="10">
        <v>7.1924562509853379E-2</v>
      </c>
      <c r="M8" s="318">
        <v>6.6107499999999986E-2</v>
      </c>
      <c r="N8" s="317">
        <f>M120+M121</f>
        <v>8.6065977351058587E-2</v>
      </c>
      <c r="O8" s="10">
        <v>6.3228349472071774E-2</v>
      </c>
      <c r="P8" s="318">
        <v>6.6107499999999986E-2</v>
      </c>
      <c r="Q8" s="317">
        <f>O120+O121</f>
        <v>7.8307486256391973E-2</v>
      </c>
      <c r="R8" s="10">
        <v>7.2759576655744868E-2</v>
      </c>
      <c r="S8" s="318">
        <v>0.10096470000000002</v>
      </c>
      <c r="V8" s="315">
        <f t="shared" ref="V8:V13" si="0">($B8*$B$29+$E8*$E$29+$H8*$H$29+$K8*$K$29+$N8*$N$29+$Q8*$Q$29+$B39*$B$60+$E39*$E$60+$H39*$H$60+$K39*$K$60+$N39*$N$60+$Q39*$Q$60)/$B$64</f>
        <v>6.3369760771076381E-2</v>
      </c>
      <c r="W8" s="249">
        <f>V8</f>
        <v>6.3369760771076381E-2</v>
      </c>
      <c r="X8" s="320">
        <f>V8-W8</f>
        <v>0</v>
      </c>
      <c r="AA8" s="101"/>
      <c r="AB8" s="104"/>
      <c r="AC8" s="102"/>
      <c r="AD8" s="321"/>
      <c r="AE8" s="322"/>
      <c r="AF8" s="106"/>
      <c r="AG8" s="237"/>
      <c r="AH8" s="322"/>
      <c r="AI8" s="102"/>
      <c r="AJ8" s="241"/>
    </row>
    <row r="9" spans="1:36">
      <c r="A9" s="6" t="s">
        <v>8</v>
      </c>
      <c r="B9" s="317">
        <f>E162</f>
        <v>1.0725999999999999E-2</v>
      </c>
      <c r="C9" s="10">
        <v>9.4989469574270173E-3</v>
      </c>
      <c r="D9" s="318">
        <v>5.3970000000000008E-3</v>
      </c>
      <c r="E9" s="317">
        <f>G162</f>
        <v>1.0725999999999999E-2</v>
      </c>
      <c r="F9" s="10">
        <v>2.0021391196721191E-2</v>
      </c>
      <c r="G9" s="318">
        <v>0</v>
      </c>
      <c r="H9" s="317">
        <f>I162</f>
        <v>1.0725999999999999E-2</v>
      </c>
      <c r="I9" s="10">
        <v>6.1177014013935648E-3</v>
      </c>
      <c r="J9" s="318">
        <v>0</v>
      </c>
      <c r="K9" s="317">
        <f>K162</f>
        <v>1.0725999999999999E-2</v>
      </c>
      <c r="L9" s="10">
        <v>1.9218863313889327E-2</v>
      </c>
      <c r="M9" s="318">
        <v>5.3970000000000008E-3</v>
      </c>
      <c r="N9" s="317">
        <f>M162</f>
        <v>1.0725999999999999E-2</v>
      </c>
      <c r="O9" s="10">
        <v>2.0021390666885498E-2</v>
      </c>
      <c r="P9" s="318">
        <v>5.3970000000000008E-3</v>
      </c>
      <c r="Q9" s="317">
        <f>O162</f>
        <v>1.0725999999999999E-2</v>
      </c>
      <c r="R9" s="10">
        <v>6.5255939569252705E-3</v>
      </c>
      <c r="S9" s="318">
        <v>5.3970000000000008E-3</v>
      </c>
      <c r="V9" s="315">
        <f t="shared" si="0"/>
        <v>1.0725999999999999E-2</v>
      </c>
      <c r="W9" s="249">
        <f t="shared" ref="W9:W13" si="1">V9</f>
        <v>1.0725999999999999E-2</v>
      </c>
      <c r="X9" s="320">
        <f t="shared" ref="X9:X13" si="2">V9-W9</f>
        <v>0</v>
      </c>
      <c r="AA9" s="101" t="s">
        <v>87</v>
      </c>
      <c r="AB9" s="104" t="s">
        <v>86</v>
      </c>
      <c r="AC9" s="102">
        <f>ROUND(((D162*B$29*1000)+(F162*E$29*1000)+(H162*H$29*1000)+(J162*K$29*1000)+(L162*N$29*1000)+(N162*Q$29*1000)+(D169*B$60*1000)+(F169*E$60*1000)+(H169*H$60*1000)+(J169*K$60*1000)+(L169*N$60*1000)+(N169*Q$60*1000))*$B162,0)</f>
        <v>324633</v>
      </c>
      <c r="AD9" s="321">
        <f>ROUND((D162*B$29*1000)+(F162*E$29*1000)+(H162*H$29*1000)+(J162*K$29*1000)+(L162*N$29*1000)+(N162*Q$29*1000)+(D169*B$60*1000)+(F169*E$60*1000)+(H169*H$60*1000)+(J169*K$60*1000)+(L169*N$60*1000)+(N169*Q$60*1000),0)</f>
        <v>1876492</v>
      </c>
      <c r="AE9" s="322">
        <f>AC9/AD9</f>
        <v>0.17299993818252357</v>
      </c>
      <c r="AF9" s="106">
        <f>ROUND(AD9/$B$64,3)</f>
        <v>62</v>
      </c>
      <c r="AG9" s="237">
        <f>ROUND(W9*$AC$29,0)</f>
        <v>324633</v>
      </c>
      <c r="AH9" s="322">
        <f>AG9/AD9</f>
        <v>0.17299993818252357</v>
      </c>
      <c r="AI9" s="102">
        <f>AC9-AG9</f>
        <v>0</v>
      </c>
      <c r="AJ9" s="241">
        <f>AH9*10000</f>
        <v>1729.9993818252358</v>
      </c>
    </row>
    <row r="10" spans="1:36">
      <c r="A10" s="2" t="s">
        <v>9</v>
      </c>
      <c r="B10" s="323">
        <f>E163</f>
        <v>1.2600000000000001E-3</v>
      </c>
      <c r="C10" s="10">
        <v>1.4631935757242608E-3</v>
      </c>
      <c r="D10" s="318">
        <v>1.0323999999999999E-3</v>
      </c>
      <c r="E10" s="317">
        <f>G163</f>
        <v>1.2600000000000001E-3</v>
      </c>
      <c r="F10" s="10">
        <v>8.1671941123718757E-4</v>
      </c>
      <c r="G10" s="318">
        <v>0</v>
      </c>
      <c r="H10" s="317">
        <f>I163</f>
        <v>1.2600000000000001E-3</v>
      </c>
      <c r="I10" s="10">
        <v>1.1258435762937446E-3</v>
      </c>
      <c r="J10" s="318">
        <v>0</v>
      </c>
      <c r="K10" s="323">
        <f>K163</f>
        <v>1.2600000000000001E-3</v>
      </c>
      <c r="L10" s="10">
        <v>1.1031846129591675E-3</v>
      </c>
      <c r="M10" s="318">
        <v>1.0323999999999999E-3</v>
      </c>
      <c r="N10" s="323">
        <f>M163</f>
        <v>1.2600000000000001E-3</v>
      </c>
      <c r="O10" s="10">
        <v>8.1672958039280042E-4</v>
      </c>
      <c r="P10" s="318">
        <v>1.0323999999999999E-3</v>
      </c>
      <c r="Q10" s="323">
        <f>O163</f>
        <v>1.2600000000000001E-3</v>
      </c>
      <c r="R10" s="10">
        <v>1.1625954512427511E-3</v>
      </c>
      <c r="S10" s="318">
        <v>1.0323999999999999E-3</v>
      </c>
      <c r="V10" s="315">
        <f t="shared" si="0"/>
        <v>1.2600000000000001E-3</v>
      </c>
      <c r="W10" s="249">
        <f t="shared" si="1"/>
        <v>1.2600000000000001E-3</v>
      </c>
      <c r="X10" s="320">
        <f t="shared" si="2"/>
        <v>0</v>
      </c>
      <c r="AA10" s="101" t="s">
        <v>89</v>
      </c>
      <c r="AB10" s="104" t="s">
        <v>88</v>
      </c>
      <c r="AC10" s="102">
        <f>ROUND(((D163*B$29*1000)+(F163*E$29*1000)+(H163*H$29*1000)+(J163*K$29*1000)+(L163*N$29*1000)+(N163*Q$29*1000)+(D170*B$60*1000)+(F170*E$60*1000)+(H170*H$60*1000)+(J170*K$60*1000)+(L170*N$60*1000)+(N170*Q$60*1000))*$B163,0)</f>
        <v>38135</v>
      </c>
      <c r="AD10" s="321">
        <f>ROUND(((D163*B$29*1000)+(F163*E$29*1000)+(H163*H$29*1000)+(J163*K$29*1000)+(L163*N$29*1000)+(N163*Q$29*1000)+(D170*B$60*1000)+(F170*E$60*1000)+(H170*H$60*1000)+(J170*K$60*1000)+(L170*N$60*1000)+(N170*Q$60*1000))*1000,0)</f>
        <v>10895760</v>
      </c>
      <c r="AE10" s="322">
        <f>AC10/AD10</f>
        <v>3.4999853153887383E-3</v>
      </c>
      <c r="AF10" s="106">
        <f>ROUND(AD10/$B$64,3)</f>
        <v>360</v>
      </c>
      <c r="AG10" s="102">
        <f>ROUND(W10*$AC$29,0)</f>
        <v>38135</v>
      </c>
      <c r="AH10" s="322">
        <f>AG10/AD10</f>
        <v>3.4999853153887383E-3</v>
      </c>
      <c r="AI10" s="102">
        <f t="shared" ref="AI10:AI13" si="3">AC10-AG10</f>
        <v>0</v>
      </c>
      <c r="AJ10" s="241">
        <f t="shared" ref="AJ10:AJ13" si="4">AH10*10000</f>
        <v>34.999853153887386</v>
      </c>
    </row>
    <row r="11" spans="1:36">
      <c r="A11" s="6" t="s">
        <v>10</v>
      </c>
      <c r="B11" s="323">
        <f>$H$178</f>
        <v>9.9121126015991549E-3</v>
      </c>
      <c r="C11" s="10">
        <v>1.17120743420675E-2</v>
      </c>
      <c r="D11" s="318">
        <v>9.8128301886792439E-3</v>
      </c>
      <c r="E11" s="323">
        <f>$H$178</f>
        <v>9.9121126015991549E-3</v>
      </c>
      <c r="F11" s="10">
        <v>4.7203951025369274E-3</v>
      </c>
      <c r="G11" s="318">
        <v>0</v>
      </c>
      <c r="H11" s="323">
        <f>$H$178</f>
        <v>9.9121126015991549E-3</v>
      </c>
      <c r="I11" s="10">
        <v>1.4279996868394269E-2</v>
      </c>
      <c r="J11" s="318">
        <v>0</v>
      </c>
      <c r="K11" s="323">
        <f>$H$178</f>
        <v>9.9121126015991549E-3</v>
      </c>
      <c r="L11" s="10">
        <v>2.6688593725366548E-2</v>
      </c>
      <c r="M11" s="318">
        <v>9.8128301886792439E-3</v>
      </c>
      <c r="N11" s="323">
        <f>$H$178</f>
        <v>9.9121126015991549E-3</v>
      </c>
      <c r="O11" s="10">
        <v>4.7203895180261508E-3</v>
      </c>
      <c r="P11" s="318">
        <v>9.8128301886792439E-3</v>
      </c>
      <c r="Q11" s="323">
        <f>$H$178</f>
        <v>9.9121126015991549E-3</v>
      </c>
      <c r="R11" s="10">
        <v>1.6241103327255528E-2</v>
      </c>
      <c r="S11" s="318">
        <v>9.8128301886792439E-3</v>
      </c>
      <c r="V11" s="315">
        <f t="shared" si="0"/>
        <v>9.9121126015991549E-3</v>
      </c>
      <c r="W11" s="249">
        <f t="shared" si="1"/>
        <v>9.9121126015991549E-3</v>
      </c>
      <c r="X11" s="320">
        <f t="shared" si="2"/>
        <v>0</v>
      </c>
      <c r="AA11" s="101" t="s">
        <v>91</v>
      </c>
      <c r="AB11" s="104" t="s">
        <v>90</v>
      </c>
      <c r="AC11" s="102">
        <f>ROUND(G178,0)</f>
        <v>300000</v>
      </c>
      <c r="AD11" s="103">
        <f>$B$64*1000</f>
        <v>30266000</v>
      </c>
      <c r="AE11" s="322">
        <f>AC11/AD11</f>
        <v>9.9121126015991549E-3</v>
      </c>
      <c r="AF11" s="106">
        <f>ROUND(AD11/$B$64,3)</f>
        <v>1000</v>
      </c>
      <c r="AG11" s="102">
        <f>ROUND(W11*$AC$29,0)</f>
        <v>300000</v>
      </c>
      <c r="AH11" s="322">
        <f>AG11/AD11</f>
        <v>9.9121126015991549E-3</v>
      </c>
      <c r="AI11" s="102">
        <f t="shared" si="3"/>
        <v>0</v>
      </c>
      <c r="AJ11" s="241">
        <f t="shared" si="4"/>
        <v>99.12112601599155</v>
      </c>
    </row>
    <row r="12" spans="1:36">
      <c r="A12" s="6" t="s">
        <v>11</v>
      </c>
      <c r="B12" s="323">
        <f>$H$181</f>
        <v>4.956056300799577E-4</v>
      </c>
      <c r="C12" s="10">
        <v>9.4581129875785316E-4</v>
      </c>
      <c r="D12" s="318">
        <v>1.8867924528301887E-3</v>
      </c>
      <c r="E12" s="323">
        <f>$H$181</f>
        <v>4.956056300799577E-4</v>
      </c>
      <c r="F12" s="10">
        <v>3.06424955716795E-4</v>
      </c>
      <c r="G12" s="318">
        <v>0</v>
      </c>
      <c r="H12" s="323">
        <f>$H$181</f>
        <v>4.956056300799577E-4</v>
      </c>
      <c r="I12" s="10">
        <v>4.3123776716511394E-4</v>
      </c>
      <c r="J12" s="318">
        <v>0</v>
      </c>
      <c r="K12" s="323">
        <f>$H$181</f>
        <v>4.956056300799577E-4</v>
      </c>
      <c r="L12" s="10">
        <v>1.3365915182090493E-3</v>
      </c>
      <c r="M12" s="318">
        <v>1.8867924528301887E-3</v>
      </c>
      <c r="N12" s="323">
        <f>$H$181</f>
        <v>4.956056300799577E-4</v>
      </c>
      <c r="O12" s="10">
        <v>3.0641720006564907E-4</v>
      </c>
      <c r="P12" s="318">
        <v>1.8867924528301887E-3</v>
      </c>
      <c r="Q12" s="323">
        <f>$H$181</f>
        <v>4.956056300799577E-4</v>
      </c>
      <c r="R12" s="10">
        <v>5.3366327132144272E-4</v>
      </c>
      <c r="S12" s="318">
        <v>1.8867924528301887E-3</v>
      </c>
      <c r="V12" s="315">
        <f t="shared" si="0"/>
        <v>4.956056300799577E-4</v>
      </c>
      <c r="W12" s="249">
        <f t="shared" si="1"/>
        <v>4.956056300799577E-4</v>
      </c>
      <c r="X12" s="320">
        <f t="shared" si="2"/>
        <v>0</v>
      </c>
      <c r="AA12" s="101" t="s">
        <v>91</v>
      </c>
      <c r="AB12" s="104" t="s">
        <v>92</v>
      </c>
      <c r="AC12" s="102">
        <f>ROUND(G181,0)</f>
        <v>15000</v>
      </c>
      <c r="AD12" s="103">
        <f>$B$64*1000</f>
        <v>30266000</v>
      </c>
      <c r="AE12" s="322">
        <f>AC12/AD12</f>
        <v>4.956056300799577E-4</v>
      </c>
      <c r="AF12" s="106">
        <f>ROUND(AD12/$B$64,3)</f>
        <v>1000</v>
      </c>
      <c r="AG12" s="102">
        <f>ROUND(W12*$AC$29,0)</f>
        <v>15000</v>
      </c>
      <c r="AH12" s="322">
        <f>AG12/AD12</f>
        <v>4.956056300799577E-4</v>
      </c>
      <c r="AI12" s="102">
        <f t="shared" si="3"/>
        <v>0</v>
      </c>
      <c r="AJ12" s="241">
        <f t="shared" si="4"/>
        <v>4.9560563007995766</v>
      </c>
    </row>
    <row r="13" spans="1:36" ht="16.5">
      <c r="A13" s="6" t="s">
        <v>12</v>
      </c>
      <c r="B13" s="324">
        <f>$H$184</f>
        <v>6.6080750677327688E-3</v>
      </c>
      <c r="C13" s="14">
        <v>6.5232203821107299E-3</v>
      </c>
      <c r="D13" s="325">
        <v>7.0188679245283018E-3</v>
      </c>
      <c r="E13" s="324">
        <f>$H$184</f>
        <v>6.6080750677327688E-3</v>
      </c>
      <c r="F13" s="14">
        <v>1.505744773099528E-2</v>
      </c>
      <c r="G13" s="325">
        <v>0</v>
      </c>
      <c r="H13" s="324">
        <f>$H$184</f>
        <v>6.6080750677327688E-3</v>
      </c>
      <c r="I13" s="14">
        <v>4.8742190558208722E-3</v>
      </c>
      <c r="J13" s="325">
        <v>0</v>
      </c>
      <c r="K13" s="324">
        <f>$H$184</f>
        <v>6.6080750677327688E-3</v>
      </c>
      <c r="L13" s="14">
        <v>2.682161437805455E-2</v>
      </c>
      <c r="M13" s="325">
        <v>7.0188679245283018E-3</v>
      </c>
      <c r="N13" s="324">
        <f>$H$184</f>
        <v>6.6080750677327688E-3</v>
      </c>
      <c r="O13" s="14">
        <v>1.505744296733957E-2</v>
      </c>
      <c r="P13" s="325">
        <v>7.0188679245283018E-3</v>
      </c>
      <c r="Q13" s="324">
        <f>$H$184</f>
        <v>6.6080750677327688E-3</v>
      </c>
      <c r="R13" s="14">
        <v>5.9964108961792087E-3</v>
      </c>
      <c r="S13" s="325">
        <v>7.0188679245283018E-3</v>
      </c>
      <c r="V13" s="326">
        <f t="shared" si="0"/>
        <v>6.6080750677327688E-3</v>
      </c>
      <c r="W13" s="250">
        <f t="shared" si="1"/>
        <v>6.6080750677327688E-3</v>
      </c>
      <c r="X13" s="327">
        <f t="shared" si="2"/>
        <v>0</v>
      </c>
      <c r="AA13" s="101" t="s">
        <v>91</v>
      </c>
      <c r="AB13" s="104" t="s">
        <v>93</v>
      </c>
      <c r="AC13" s="108">
        <f>ROUND(G184,0)</f>
        <v>200000</v>
      </c>
      <c r="AD13" s="103">
        <f>$B$64*1000</f>
        <v>30266000</v>
      </c>
      <c r="AE13" s="322">
        <f>AC13/AD13</f>
        <v>6.6080750677327696E-3</v>
      </c>
      <c r="AF13" s="106">
        <f>ROUND(AD13/$B$64,3)</f>
        <v>1000</v>
      </c>
      <c r="AG13" s="108">
        <f>ROUND(W13*$AC$29,0)</f>
        <v>200000</v>
      </c>
      <c r="AH13" s="322">
        <f>AG13/AD13</f>
        <v>6.6080750677327696E-3</v>
      </c>
      <c r="AI13" s="108">
        <f t="shared" si="3"/>
        <v>0</v>
      </c>
      <c r="AJ13" s="241">
        <f t="shared" si="4"/>
        <v>66.0807506773277</v>
      </c>
    </row>
    <row r="14" spans="1:36">
      <c r="A14" s="328" t="s">
        <v>224</v>
      </c>
      <c r="B14" s="10">
        <f t="shared" ref="B14:S14" si="5">SUM(B6:B13)</f>
        <v>0.28463637329941183</v>
      </c>
      <c r="C14" s="10">
        <f t="shared" si="5"/>
        <v>0.24724040177730072</v>
      </c>
      <c r="D14" s="318">
        <f t="shared" si="5"/>
        <v>0.29160989882919564</v>
      </c>
      <c r="E14" s="10">
        <f t="shared" si="5"/>
        <v>0.34272264790968254</v>
      </c>
      <c r="F14" s="10">
        <f t="shared" si="5"/>
        <v>0.42604500952366831</v>
      </c>
      <c r="G14" s="318">
        <f t="shared" si="5"/>
        <v>0</v>
      </c>
      <c r="H14" s="10">
        <f t="shared" si="5"/>
        <v>0.58241079629941195</v>
      </c>
      <c r="I14" s="10">
        <f t="shared" si="5"/>
        <v>0.31558020825178112</v>
      </c>
      <c r="J14" s="318">
        <f t="shared" si="5"/>
        <v>0</v>
      </c>
      <c r="K14" s="10">
        <f t="shared" si="5"/>
        <v>0.33311656548922736</v>
      </c>
      <c r="L14" s="10">
        <f t="shared" si="5"/>
        <v>0.33017310420936458</v>
      </c>
      <c r="M14" s="318">
        <f t="shared" si="5"/>
        <v>0.31295539056603772</v>
      </c>
      <c r="N14" s="10">
        <f t="shared" si="5"/>
        <v>0.3520019574221756</v>
      </c>
      <c r="O14" s="10">
        <f t="shared" si="5"/>
        <v>0.32723754034684616</v>
      </c>
      <c r="P14" s="318">
        <f t="shared" si="5"/>
        <v>0.31295539056603772</v>
      </c>
      <c r="Q14" s="10">
        <f t="shared" si="5"/>
        <v>0.30060743126330142</v>
      </c>
      <c r="R14" s="10">
        <f t="shared" si="5"/>
        <v>0.26290734957432504</v>
      </c>
      <c r="S14" s="318">
        <f t="shared" si="5"/>
        <v>0.26995259056603776</v>
      </c>
      <c r="V14" s="315">
        <f>SUM(V6:V13)</f>
        <v>0.31701876436533127</v>
      </c>
      <c r="W14" s="249">
        <f>SUM(W6:W13)</f>
        <v>0.31701876436533127</v>
      </c>
      <c r="X14" s="320">
        <f>SUM(X6:X13)</f>
        <v>0</v>
      </c>
      <c r="AA14" s="101"/>
      <c r="AB14" s="104"/>
      <c r="AC14" s="102">
        <f>SUM(AC9:AC13)</f>
        <v>877768</v>
      </c>
      <c r="AD14" s="103"/>
      <c r="AE14" s="103"/>
      <c r="AF14" s="103"/>
      <c r="AG14" s="102">
        <f>SUM(AG9:AG13)</f>
        <v>877768</v>
      </c>
      <c r="AH14" s="103"/>
      <c r="AI14" s="102">
        <f>SUM(AI9:AI13)</f>
        <v>0</v>
      </c>
      <c r="AJ14" s="241"/>
    </row>
    <row r="15" spans="1:36" ht="7.15" customHeight="1">
      <c r="A15" s="514"/>
      <c r="B15" s="512"/>
      <c r="C15" s="13"/>
      <c r="D15" s="513"/>
      <c r="E15" s="512"/>
      <c r="F15" s="13"/>
      <c r="G15" s="513"/>
      <c r="H15" s="512"/>
      <c r="I15" s="13"/>
      <c r="J15" s="513"/>
      <c r="K15" s="512"/>
      <c r="L15" s="13"/>
      <c r="M15" s="513"/>
      <c r="N15" s="512"/>
      <c r="O15" s="13"/>
      <c r="P15" s="513"/>
      <c r="Q15" s="512"/>
      <c r="R15" s="13"/>
      <c r="S15" s="513"/>
      <c r="V15" s="315"/>
      <c r="W15" s="249"/>
      <c r="X15" s="320"/>
      <c r="AA15" s="101"/>
      <c r="AB15" s="104"/>
      <c r="AC15" s="102"/>
      <c r="AD15" s="103"/>
      <c r="AE15" s="103"/>
      <c r="AF15" s="103"/>
      <c r="AG15" s="102"/>
      <c r="AH15" s="103"/>
      <c r="AI15" s="102"/>
      <c r="AJ15" s="241"/>
    </row>
    <row r="16" spans="1:36">
      <c r="A16" s="6" t="s">
        <v>14</v>
      </c>
      <c r="B16" s="323">
        <f>$D$215/$B$64/1000</f>
        <v>1.4552450935042623E-2</v>
      </c>
      <c r="C16" s="10">
        <v>1.7023254924060986E-2</v>
      </c>
      <c r="D16" s="318">
        <v>1.4529056603773585E-2</v>
      </c>
      <c r="E16" s="323">
        <f>$D$215/$B$64/1000</f>
        <v>1.4552450935042623E-2</v>
      </c>
      <c r="F16" s="10">
        <v>2.3933432522771574E-2</v>
      </c>
      <c r="G16" s="318">
        <v>0</v>
      </c>
      <c r="H16" s="323">
        <f>$D$215/$B$64/1000</f>
        <v>1.4552450935042623E-2</v>
      </c>
      <c r="I16" s="10">
        <v>4.6801377906521566E-3</v>
      </c>
      <c r="J16" s="318">
        <v>0</v>
      </c>
      <c r="K16" s="323">
        <f>$D$215/$B$64/1000</f>
        <v>1.4552450935042623E-2</v>
      </c>
      <c r="L16" s="10">
        <v>3.2785826895790633E-2</v>
      </c>
      <c r="M16" s="318">
        <v>1.4529056603773585E-2</v>
      </c>
      <c r="N16" s="323">
        <f>$D$215/$B$64/1000</f>
        <v>1.4552450935042623E-2</v>
      </c>
      <c r="O16" s="10">
        <v>2.393342086547404E-2</v>
      </c>
      <c r="P16" s="318">
        <v>1.4529056603773585E-2</v>
      </c>
      <c r="Q16" s="323">
        <f>$D$215/$B$64/1000</f>
        <v>1.4552450935042623E-2</v>
      </c>
      <c r="R16" s="10">
        <v>1.3727222625885965E-2</v>
      </c>
      <c r="S16" s="318">
        <v>1.4529056603773585E-2</v>
      </c>
      <c r="V16" s="315">
        <f t="shared" ref="V16:V21" si="6">($B16*$B$29+$E16*$E$29+$H16*$H$29+$K16*$K$29+$N16*$N$29+$Q16*$Q$29+$B47*$B$60+$E47*$E$60+$H47*$H$60+$K47*$K$60+$N47*$N$60+$Q47*$Q$60)/$B$64</f>
        <v>1.4552450935042621E-2</v>
      </c>
      <c r="W16" s="249">
        <f>V16</f>
        <v>1.4552450935042621E-2</v>
      </c>
      <c r="X16" s="320">
        <f t="shared" ref="X16:X21" si="7">V16-W16</f>
        <v>0</v>
      </c>
      <c r="AA16" s="101" t="s">
        <v>95</v>
      </c>
      <c r="AB16" s="104" t="s">
        <v>94</v>
      </c>
      <c r="AC16" s="102">
        <f>ROUND(D213,0)</f>
        <v>466977</v>
      </c>
      <c r="AD16" s="103">
        <f>ROUND(B213,0)</f>
        <v>15400</v>
      </c>
      <c r="AE16" s="322">
        <f t="shared" ref="AE16:AE21" si="8">AC16/AD16</f>
        <v>30.323181818181819</v>
      </c>
      <c r="AF16" s="106">
        <f>ROUND(AD16/$B$64,3)</f>
        <v>0.50900000000000001</v>
      </c>
      <c r="AG16" s="102">
        <f t="shared" ref="AG16:AG21" si="9">ROUND(W16*$AC$29,0)</f>
        <v>440444</v>
      </c>
      <c r="AH16" s="322">
        <f t="shared" ref="AH16:AH21" si="10">AG16/AD16</f>
        <v>28.600259740259741</v>
      </c>
      <c r="AI16" s="102">
        <f t="shared" ref="AI16:AI21" si="11">AC16-AG16</f>
        <v>26533</v>
      </c>
      <c r="AJ16" s="241">
        <f t="shared" ref="AJ16:AJ21" si="12">AH16*10000</f>
        <v>286002.59740259743</v>
      </c>
    </row>
    <row r="17" spans="1:36">
      <c r="A17" s="6" t="s">
        <v>15</v>
      </c>
      <c r="B17" s="323">
        <f>$G$215/$B$64/1000</f>
        <v>4.6963589506376791E-3</v>
      </c>
      <c r="C17" s="10">
        <v>4.2297483066138265E-3</v>
      </c>
      <c r="D17" s="318">
        <v>2.5169811320754714E-3</v>
      </c>
      <c r="E17" s="323">
        <f>$G$215/$B$64/1000</f>
        <v>4.6963589506376791E-3</v>
      </c>
      <c r="F17" s="10">
        <v>7.8755364011650741E-3</v>
      </c>
      <c r="G17" s="318">
        <v>0</v>
      </c>
      <c r="H17" s="323">
        <f>$G$215/$B$64/1000</f>
        <v>4.6963589506376791E-3</v>
      </c>
      <c r="I17" s="10">
        <v>2.6458936819854378E-4</v>
      </c>
      <c r="J17" s="318">
        <v>0</v>
      </c>
      <c r="K17" s="323">
        <f>$G$215/$B$64/1000</f>
        <v>4.6963589506376791E-3</v>
      </c>
      <c r="L17" s="10">
        <v>8.8578354091124068E-3</v>
      </c>
      <c r="M17" s="318">
        <v>2.5169811320754718E-3</v>
      </c>
      <c r="N17" s="323">
        <f>$G$215/$B$64/1000</f>
        <v>4.6963589506376791E-3</v>
      </c>
      <c r="O17" s="10">
        <v>7.8754855298429887E-3</v>
      </c>
      <c r="P17" s="318">
        <v>2.5169811320754718E-3</v>
      </c>
      <c r="Q17" s="323">
        <f>$G$215/$B$64/1000</f>
        <v>4.6963589506376791E-3</v>
      </c>
      <c r="R17" s="10">
        <v>1.6693747172449721E-3</v>
      </c>
      <c r="S17" s="318">
        <v>2.5169811320754718E-3</v>
      </c>
      <c r="V17" s="315">
        <f t="shared" si="6"/>
        <v>4.6963589506376791E-3</v>
      </c>
      <c r="W17" s="249">
        <f>V17</f>
        <v>4.6963589506376791E-3</v>
      </c>
      <c r="X17" s="320">
        <f t="shared" si="7"/>
        <v>0</v>
      </c>
      <c r="AA17" s="101" t="s">
        <v>95</v>
      </c>
      <c r="AB17" s="104" t="s">
        <v>96</v>
      </c>
      <c r="AC17" s="102">
        <f>ROUND(G213,0)</f>
        <v>142140</v>
      </c>
      <c r="AD17" s="103">
        <f>ROUND(E213,0)</f>
        <v>4400</v>
      </c>
      <c r="AE17" s="322">
        <f t="shared" si="8"/>
        <v>32.304545454545455</v>
      </c>
      <c r="AF17" s="106">
        <f>ROUND(AD17/$B$64,3)</f>
        <v>0.14499999999999999</v>
      </c>
      <c r="AG17" s="102">
        <f t="shared" si="9"/>
        <v>142140</v>
      </c>
      <c r="AH17" s="322">
        <f t="shared" si="10"/>
        <v>32.304545454545455</v>
      </c>
      <c r="AI17" s="102">
        <f t="shared" si="11"/>
        <v>0</v>
      </c>
      <c r="AJ17" s="241">
        <f t="shared" si="12"/>
        <v>323045.45454545453</v>
      </c>
    </row>
    <row r="18" spans="1:36">
      <c r="A18" s="6" t="s">
        <v>16</v>
      </c>
      <c r="B18" s="323">
        <f>$J$215/$B$64/1000</f>
        <v>8.7651909820467295E-3</v>
      </c>
      <c r="C18" s="10">
        <v>1.0365948763117491E-2</v>
      </c>
      <c r="D18" s="318">
        <v>7.6707169811320751E-3</v>
      </c>
      <c r="E18" s="323">
        <f>$J$215/$B$64/1000</f>
        <v>8.7651909820467295E-3</v>
      </c>
      <c r="F18" s="10">
        <v>1.7445581684911102E-2</v>
      </c>
      <c r="G18" s="318">
        <v>0</v>
      </c>
      <c r="H18" s="323">
        <f>$J$215/$B$64/1000</f>
        <v>8.7651909820467295E-3</v>
      </c>
      <c r="I18" s="10">
        <v>1.4031472637594928E-3</v>
      </c>
      <c r="J18" s="318">
        <v>0</v>
      </c>
      <c r="K18" s="323">
        <f>$J$215/$B$64/1000</f>
        <v>8.7651909820467295E-3</v>
      </c>
      <c r="L18" s="10">
        <v>3.8686583635503702E-2</v>
      </c>
      <c r="M18" s="318">
        <v>7.6707169811320759E-3</v>
      </c>
      <c r="N18" s="323">
        <f>$J$215/$B$64/1000</f>
        <v>8.7651909820467295E-3</v>
      </c>
      <c r="O18" s="10">
        <v>1.7445538596203292E-2</v>
      </c>
      <c r="P18" s="318">
        <v>7.6707169811320759E-3</v>
      </c>
      <c r="Q18" s="323">
        <f>$J$215/$B$64/1000</f>
        <v>8.7651909820467295E-3</v>
      </c>
      <c r="R18" s="10">
        <v>5.663317933180703E-3</v>
      </c>
      <c r="S18" s="318">
        <v>7.6707169811320759E-3</v>
      </c>
      <c r="V18" s="315">
        <f t="shared" si="6"/>
        <v>8.7651909820467295E-3</v>
      </c>
      <c r="W18" s="249">
        <f>W24-W14-W16-W17</f>
        <v>1.549396814907884E-3</v>
      </c>
      <c r="X18" s="320">
        <f t="shared" si="7"/>
        <v>7.2157941671388455E-3</v>
      </c>
      <c r="AA18" s="101" t="s">
        <v>95</v>
      </c>
      <c r="AB18" s="104" t="s">
        <v>97</v>
      </c>
      <c r="AC18" s="102">
        <f>ROUND(J213,0)</f>
        <v>277553</v>
      </c>
      <c r="AD18" s="103">
        <f>ROUND(H213,0)</f>
        <v>19800</v>
      </c>
      <c r="AE18" s="322">
        <f t="shared" si="8"/>
        <v>14.017828282828283</v>
      </c>
      <c r="AF18" s="106">
        <f>ROUND(AD18/$B$64,3)</f>
        <v>0.65400000000000003</v>
      </c>
      <c r="AG18" s="102">
        <f t="shared" si="9"/>
        <v>46894</v>
      </c>
      <c r="AH18" s="322">
        <f t="shared" si="10"/>
        <v>2.3683838383838385</v>
      </c>
      <c r="AI18" s="102">
        <f t="shared" si="11"/>
        <v>230659</v>
      </c>
      <c r="AJ18" s="241">
        <f t="shared" si="12"/>
        <v>23683.838383838385</v>
      </c>
    </row>
    <row r="19" spans="1:36">
      <c r="A19" s="2" t="s">
        <v>17</v>
      </c>
      <c r="B19" s="323">
        <f>$E$242</f>
        <v>2.8006634507368004E-3</v>
      </c>
      <c r="C19" s="10">
        <v>3.3787343256592157E-3</v>
      </c>
      <c r="D19" s="318">
        <v>4.0754716981132076E-3</v>
      </c>
      <c r="E19" s="323">
        <f>$E$242</f>
        <v>2.8006634507368004E-3</v>
      </c>
      <c r="F19" s="10">
        <v>5.4334751384081757E-3</v>
      </c>
      <c r="G19" s="318">
        <v>0</v>
      </c>
      <c r="H19" s="323">
        <f>$E$242</f>
        <v>2.8006634507368004E-3</v>
      </c>
      <c r="I19" s="10">
        <v>1.5341579895091207E-3</v>
      </c>
      <c r="J19" s="318">
        <v>0</v>
      </c>
      <c r="K19" s="323">
        <f>$E$242</f>
        <v>2.8006634507368004E-3</v>
      </c>
      <c r="L19" s="10">
        <v>1.2541660097745547E-2</v>
      </c>
      <c r="M19" s="318">
        <v>4.0754716981132076E-3</v>
      </c>
      <c r="N19" s="323">
        <f>$E$242</f>
        <v>2.8006634507368004E-3</v>
      </c>
      <c r="O19" s="10">
        <v>5.4334482192680122E-3</v>
      </c>
      <c r="P19" s="318">
        <v>4.0754716981132076E-3</v>
      </c>
      <c r="Q19" s="323">
        <f>$E$242</f>
        <v>2.8006634507368004E-3</v>
      </c>
      <c r="R19" s="10">
        <v>2.3710733038125658E-3</v>
      </c>
      <c r="S19" s="318">
        <v>4.0754716981132076E-3</v>
      </c>
      <c r="V19" s="315">
        <f t="shared" si="6"/>
        <v>2.8006634507368004E-3</v>
      </c>
      <c r="W19" s="249">
        <f>W24-W14-W16-W17-W18</f>
        <v>0</v>
      </c>
      <c r="X19" s="320">
        <f t="shared" si="7"/>
        <v>2.8006634507368004E-3</v>
      </c>
      <c r="AA19" s="101" t="s">
        <v>91</v>
      </c>
      <c r="AB19" s="104" t="s">
        <v>98</v>
      </c>
      <c r="AC19" s="102">
        <f>ROUND(C242,0)</f>
        <v>84765</v>
      </c>
      <c r="AD19" s="103">
        <f>$B$64*1000</f>
        <v>30266000</v>
      </c>
      <c r="AE19" s="322">
        <f t="shared" si="8"/>
        <v>2.8006674155818408E-3</v>
      </c>
      <c r="AF19" s="106">
        <f>ROUND(AD19/$B$64,3)</f>
        <v>1000</v>
      </c>
      <c r="AG19" s="102">
        <f t="shared" si="9"/>
        <v>0</v>
      </c>
      <c r="AH19" s="322">
        <f t="shared" si="10"/>
        <v>0</v>
      </c>
      <c r="AI19" s="102">
        <f t="shared" si="11"/>
        <v>84765</v>
      </c>
      <c r="AJ19" s="241">
        <f t="shared" si="12"/>
        <v>0</v>
      </c>
    </row>
    <row r="20" spans="1:36">
      <c r="A20" s="2" t="s">
        <v>19</v>
      </c>
      <c r="B20" s="323">
        <f>$E$243</f>
        <v>7.2787946871076453E-2</v>
      </c>
      <c r="C20" s="10">
        <v>9.1193139682262184E-2</v>
      </c>
      <c r="D20" s="318">
        <v>8.4316981132075475E-2</v>
      </c>
      <c r="E20" s="323">
        <f>$E$243</f>
        <v>7.2787946871076453E-2</v>
      </c>
      <c r="F20" s="10">
        <v>0.14719680827410378</v>
      </c>
      <c r="G20" s="318">
        <v>0</v>
      </c>
      <c r="H20" s="323">
        <f>$E$243</f>
        <v>7.2787946871076453E-2</v>
      </c>
      <c r="I20" s="10">
        <v>4.1645721443670243E-2</v>
      </c>
      <c r="J20" s="318">
        <v>0</v>
      </c>
      <c r="K20" s="323">
        <f>$E$243</f>
        <v>7.2787946871076453E-2</v>
      </c>
      <c r="L20" s="10">
        <v>0.34045175784329179</v>
      </c>
      <c r="M20" s="318">
        <v>8.4316981132075475E-2</v>
      </c>
      <c r="N20" s="323">
        <f>$E$243</f>
        <v>7.2787946871076453E-2</v>
      </c>
      <c r="O20" s="10">
        <v>0.14719678319382898</v>
      </c>
      <c r="P20" s="318">
        <v>8.4316981132075475E-2</v>
      </c>
      <c r="Q20" s="323">
        <f>$E$243</f>
        <v>7.2787946871076453E-2</v>
      </c>
      <c r="R20" s="10">
        <v>6.4182394472396251E-2</v>
      </c>
      <c r="S20" s="318">
        <v>8.4316981132075475E-2</v>
      </c>
      <c r="V20" s="315">
        <f t="shared" si="6"/>
        <v>7.2787946871076439E-2</v>
      </c>
      <c r="W20" s="249">
        <f>W24-W14-W16-W17-W18-W19-W21</f>
        <v>0</v>
      </c>
      <c r="X20" s="320">
        <f t="shared" si="7"/>
        <v>7.2787946871076439E-2</v>
      </c>
      <c r="AA20" s="101" t="s">
        <v>91</v>
      </c>
      <c r="AB20" s="104" t="s">
        <v>100</v>
      </c>
      <c r="AC20" s="102">
        <f>ROUND(C243,0)</f>
        <v>2203000</v>
      </c>
      <c r="AD20" s="103">
        <f>($B$29+$E$29+$H$29+$K$29+$N$29)*1000</f>
        <v>13064000</v>
      </c>
      <c r="AE20" s="322">
        <f>AC20/AD20</f>
        <v>0.1686313533374158</v>
      </c>
      <c r="AF20" s="106">
        <f>ROUND(AD20/($B$29+$E$29+$H$29+$K$29+$N$29),3)</f>
        <v>1000</v>
      </c>
      <c r="AG20" s="102">
        <f t="shared" si="9"/>
        <v>0</v>
      </c>
      <c r="AH20" s="322">
        <f>AG20/AD20</f>
        <v>0</v>
      </c>
      <c r="AI20" s="102">
        <f>AC20-AG20</f>
        <v>2203000</v>
      </c>
      <c r="AJ20" s="241">
        <f>AH20*10000</f>
        <v>0</v>
      </c>
    </row>
    <row r="21" spans="1:36" ht="16.5">
      <c r="A21" s="2" t="s">
        <v>18</v>
      </c>
      <c r="B21" s="324">
        <f>$E$244</f>
        <v>1.8172206436265118E-2</v>
      </c>
      <c r="C21" s="14">
        <v>2.2775633019904755E-2</v>
      </c>
      <c r="D21" s="325">
        <v>2.1645283018867926E-2</v>
      </c>
      <c r="E21" s="324">
        <f>$E$244</f>
        <v>1.8172206436265118E-2</v>
      </c>
      <c r="F21" s="14">
        <v>3.732467371245192E-2</v>
      </c>
      <c r="G21" s="325">
        <v>0</v>
      </c>
      <c r="H21" s="324">
        <f>$E$244</f>
        <v>1.8172206436265118E-2</v>
      </c>
      <c r="I21" s="14">
        <v>1.0026884835199248E-2</v>
      </c>
      <c r="J21" s="325">
        <v>0</v>
      </c>
      <c r="K21" s="324">
        <f>$E$244</f>
        <v>1.8172206436265118E-2</v>
      </c>
      <c r="L21" s="14">
        <v>8.3528141258079766E-2</v>
      </c>
      <c r="M21" s="325">
        <v>2.1645283018867926E-2</v>
      </c>
      <c r="N21" s="324">
        <f>$E$244</f>
        <v>1.8172206436265118E-2</v>
      </c>
      <c r="O21" s="14">
        <v>3.7324689534438425E-2</v>
      </c>
      <c r="P21" s="325">
        <v>2.1645283018867926E-2</v>
      </c>
      <c r="Q21" s="324">
        <f>$E$244</f>
        <v>1.8172206436265118E-2</v>
      </c>
      <c r="R21" s="14">
        <v>1.5675971649095871E-2</v>
      </c>
      <c r="S21" s="325">
        <v>2.1645283018867926E-2</v>
      </c>
      <c r="V21" s="326">
        <f t="shared" si="6"/>
        <v>1.8172206436265118E-2</v>
      </c>
      <c r="W21" s="250">
        <f>W24-W14-W16-W17-W18-W19</f>
        <v>0</v>
      </c>
      <c r="X21" s="327">
        <f t="shared" si="7"/>
        <v>1.8172206436265118E-2</v>
      </c>
      <c r="AA21" s="101" t="s">
        <v>91</v>
      </c>
      <c r="AB21" s="104" t="s">
        <v>99</v>
      </c>
      <c r="AC21" s="108">
        <f>ROUND(C244,0)</f>
        <v>550000</v>
      </c>
      <c r="AD21" s="103">
        <f>$B$64*1000</f>
        <v>30266000</v>
      </c>
      <c r="AE21" s="322">
        <f t="shared" si="8"/>
        <v>1.8172206436265118E-2</v>
      </c>
      <c r="AF21" s="106">
        <f>ROUND(AD21/$B$64,3)</f>
        <v>1000</v>
      </c>
      <c r="AG21" s="108">
        <f t="shared" si="9"/>
        <v>0</v>
      </c>
      <c r="AH21" s="322">
        <f t="shared" si="10"/>
        <v>0</v>
      </c>
      <c r="AI21" s="108">
        <f t="shared" si="11"/>
        <v>550000</v>
      </c>
      <c r="AJ21" s="241">
        <f t="shared" si="12"/>
        <v>0</v>
      </c>
    </row>
    <row r="22" spans="1:36" ht="16.5">
      <c r="A22" s="328" t="s">
        <v>225</v>
      </c>
      <c r="B22" s="323">
        <f t="shared" ref="B22:K22" si="13">SUM(B16:B21)</f>
        <v>0.1217748176258054</v>
      </c>
      <c r="C22" s="10">
        <f t="shared" si="13"/>
        <v>0.14896645902161848</v>
      </c>
      <c r="D22" s="318">
        <f t="shared" si="13"/>
        <v>0.13475449056603775</v>
      </c>
      <c r="E22" s="323">
        <f t="shared" si="13"/>
        <v>0.1217748176258054</v>
      </c>
      <c r="F22" s="10">
        <f t="shared" si="13"/>
        <v>0.23920950773381161</v>
      </c>
      <c r="G22" s="318">
        <f t="shared" si="13"/>
        <v>0</v>
      </c>
      <c r="H22" s="323">
        <f t="shared" si="13"/>
        <v>0.1217748176258054</v>
      </c>
      <c r="I22" s="10">
        <f t="shared" ref="I22:J22" si="14">SUM(I16:I21)</f>
        <v>5.9554638690988808E-2</v>
      </c>
      <c r="J22" s="318">
        <f t="shared" si="14"/>
        <v>0</v>
      </c>
      <c r="K22" s="323">
        <f t="shared" si="13"/>
        <v>0.1217748176258054</v>
      </c>
      <c r="L22" s="10">
        <f t="shared" ref="L22:P22" si="15">SUM(L16:L21)</f>
        <v>0.51685180513952378</v>
      </c>
      <c r="M22" s="318">
        <f t="shared" si="15"/>
        <v>0.13475449056603775</v>
      </c>
      <c r="N22" s="323">
        <f t="shared" si="15"/>
        <v>0.1217748176258054</v>
      </c>
      <c r="O22" s="10">
        <f t="shared" si="15"/>
        <v>0.23920936593905576</v>
      </c>
      <c r="P22" s="318">
        <f t="shared" si="15"/>
        <v>0.13475449056603775</v>
      </c>
      <c r="Q22" s="323">
        <f>SUM(Q16:Q21)</f>
        <v>0.1217748176258054</v>
      </c>
      <c r="R22" s="10">
        <f t="shared" ref="R22:S22" si="16">SUM(R16:R21)</f>
        <v>0.10328935470161633</v>
      </c>
      <c r="S22" s="318">
        <f t="shared" si="16"/>
        <v>0.13475449056603775</v>
      </c>
      <c r="V22" s="315">
        <f>SUM(V16:V21)</f>
        <v>0.12177481762580539</v>
      </c>
      <c r="W22" s="249">
        <f>SUM(W16:W21)</f>
        <v>2.0798206700588184E-2</v>
      </c>
      <c r="X22" s="320">
        <f>SUM(X16:X21)</f>
        <v>0.1009766109252172</v>
      </c>
      <c r="AA22" s="99"/>
      <c r="AB22" s="329"/>
      <c r="AC22" s="108">
        <f>SUM(AC16:AC21)</f>
        <v>3724435</v>
      </c>
      <c r="AD22" s="330"/>
      <c r="AE22" s="103"/>
      <c r="AF22" s="103"/>
      <c r="AG22" s="108">
        <f>SUM(AG16:AG21)</f>
        <v>629478</v>
      </c>
      <c r="AH22" s="103"/>
      <c r="AI22" s="108">
        <f>SUM(AI16:AI21)</f>
        <v>3094957</v>
      </c>
      <c r="AJ22" s="103"/>
    </row>
    <row r="23" spans="1:36">
      <c r="A23" s="509"/>
      <c r="B23" s="512"/>
      <c r="C23" s="13"/>
      <c r="D23" s="513"/>
      <c r="E23" s="512"/>
      <c r="F23" s="13"/>
      <c r="G23" s="513"/>
      <c r="H23" s="512"/>
      <c r="I23" s="13"/>
      <c r="J23" s="513"/>
      <c r="K23" s="512"/>
      <c r="L23" s="13"/>
      <c r="M23" s="513"/>
      <c r="N23" s="512"/>
      <c r="O23" s="13"/>
      <c r="P23" s="513"/>
      <c r="Q23" s="512"/>
      <c r="R23" s="13"/>
      <c r="S23" s="513"/>
      <c r="V23" s="315"/>
      <c r="W23" s="249"/>
      <c r="X23" s="320"/>
      <c r="AA23" s="882" t="s">
        <v>226</v>
      </c>
      <c r="AB23" s="882"/>
      <c r="AC23" s="331">
        <f>AC14+AC22</f>
        <v>4602203</v>
      </c>
      <c r="AD23" s="330"/>
      <c r="AE23" s="103"/>
      <c r="AF23" s="103"/>
      <c r="AG23" s="331">
        <f>AG14+AG22</f>
        <v>1507246</v>
      </c>
      <c r="AH23" s="103"/>
      <c r="AI23" s="332">
        <f>AI14+AI22</f>
        <v>3094957</v>
      </c>
      <c r="AJ23" s="103"/>
    </row>
    <row r="24" spans="1:36" ht="15.75" thickBot="1">
      <c r="A24" s="526" t="s">
        <v>365</v>
      </c>
      <c r="B24" s="502">
        <f t="shared" ref="B24:P24" si="17">B14+B22</f>
        <v>0.40641119092521721</v>
      </c>
      <c r="C24" s="503">
        <f t="shared" si="17"/>
        <v>0.3962068607989192</v>
      </c>
      <c r="D24" s="504">
        <f t="shared" si="17"/>
        <v>0.42636438939523336</v>
      </c>
      <c r="E24" s="502">
        <f t="shared" si="17"/>
        <v>0.46449746553548793</v>
      </c>
      <c r="F24" s="503">
        <f t="shared" si="17"/>
        <v>0.66525451725747997</v>
      </c>
      <c r="G24" s="504">
        <f t="shared" si="17"/>
        <v>0</v>
      </c>
      <c r="H24" s="502">
        <f t="shared" si="17"/>
        <v>0.70418561392521739</v>
      </c>
      <c r="I24" s="503">
        <f t="shared" si="17"/>
        <v>0.37513484694276994</v>
      </c>
      <c r="J24" s="504">
        <f t="shared" si="17"/>
        <v>0</v>
      </c>
      <c r="K24" s="502">
        <f t="shared" si="17"/>
        <v>0.45489138311503274</v>
      </c>
      <c r="L24" s="503">
        <f t="shared" si="17"/>
        <v>0.84702490934888841</v>
      </c>
      <c r="M24" s="504">
        <f t="shared" si="17"/>
        <v>0.44770988113207544</v>
      </c>
      <c r="N24" s="502">
        <f t="shared" si="17"/>
        <v>0.47377677504798099</v>
      </c>
      <c r="O24" s="503">
        <f t="shared" si="17"/>
        <v>0.56644690628590189</v>
      </c>
      <c r="P24" s="504">
        <f t="shared" si="17"/>
        <v>0.44770988113207544</v>
      </c>
      <c r="Q24" s="502">
        <f>Q14+Q22</f>
        <v>0.4223822488891068</v>
      </c>
      <c r="R24" s="503">
        <f t="shared" ref="R24:S24" si="18">R14+R22</f>
        <v>0.36619670427594136</v>
      </c>
      <c r="S24" s="504">
        <f t="shared" si="18"/>
        <v>0.40470708113207554</v>
      </c>
      <c r="V24" s="333">
        <f>V14+V22</f>
        <v>0.43879358199113666</v>
      </c>
      <c r="W24" s="334">
        <f>0.0498+V6+V7+V8</f>
        <v>0.33781697106591946</v>
      </c>
      <c r="X24" s="335">
        <f>X14+X22</f>
        <v>0.1009766109252172</v>
      </c>
      <c r="AA24" s="882" t="s">
        <v>227</v>
      </c>
      <c r="AB24" s="882"/>
      <c r="AC24" s="336">
        <f>ROUND(AC23/AC29,5)</f>
        <v>0.15206</v>
      </c>
      <c r="AD24" s="337"/>
      <c r="AE24" s="103"/>
      <c r="AF24" s="103"/>
      <c r="AG24" s="336">
        <f>ROUND(AG23/AC29,5)</f>
        <v>4.9799999999999997E-2</v>
      </c>
      <c r="AH24" s="103"/>
      <c r="AI24" s="336">
        <f>ROUND(AI23/AC29,5)</f>
        <v>0.10226</v>
      </c>
      <c r="AJ24" s="103"/>
    </row>
    <row r="25" spans="1:36">
      <c r="A25" s="501" t="s">
        <v>368</v>
      </c>
      <c r="B25" s="494">
        <f>-B7</f>
        <v>-2.8073919999999999E-2</v>
      </c>
      <c r="C25" s="497"/>
      <c r="D25" s="498"/>
      <c r="E25" s="494">
        <f>-E7</f>
        <v>0</v>
      </c>
      <c r="F25" s="497"/>
      <c r="G25" s="498"/>
      <c r="H25" s="494">
        <f>-H7</f>
        <v>-0.22562455300000001</v>
      </c>
      <c r="I25" s="497"/>
      <c r="J25" s="498"/>
      <c r="K25" s="494">
        <f>-K7</f>
        <v>-2.8869620053602395E-2</v>
      </c>
      <c r="L25" s="497"/>
      <c r="M25" s="498"/>
      <c r="N25" s="494">
        <f>-N7</f>
        <v>0</v>
      </c>
      <c r="O25" s="497"/>
      <c r="P25" s="498"/>
      <c r="Q25" s="494">
        <f>-Q7</f>
        <v>-2.7061741239049669E-2</v>
      </c>
      <c r="R25" s="497"/>
      <c r="S25" s="498"/>
      <c r="V25" s="499">
        <v>0</v>
      </c>
      <c r="W25" s="493"/>
      <c r="X25" s="493"/>
      <c r="AA25" s="542"/>
      <c r="AB25" s="542"/>
      <c r="AC25" s="336"/>
      <c r="AD25" s="337"/>
      <c r="AE25" s="103"/>
      <c r="AF25" s="103"/>
      <c r="AG25" s="336"/>
      <c r="AH25" s="103"/>
      <c r="AI25" s="336"/>
      <c r="AJ25" s="103"/>
    </row>
    <row r="26" spans="1:36">
      <c r="A26" s="328" t="s">
        <v>367</v>
      </c>
      <c r="B26" s="323">
        <f t="shared" ref="B26:S26" si="19">IF(B9+B10+B11+B12+B13+B22&gt;0.0498,0.0498-B9-B10-B11-B12-B13-B22,0)</f>
        <v>-0.10097661092521729</v>
      </c>
      <c r="C26" s="544">
        <f t="shared" si="19"/>
        <v>-0.12930970557770585</v>
      </c>
      <c r="D26" s="318">
        <f t="shared" si="19"/>
        <v>-0.11010238113207549</v>
      </c>
      <c r="E26" s="323">
        <f t="shared" si="19"/>
        <v>-0.10097661092521729</v>
      </c>
      <c r="F26" s="544">
        <f t="shared" si="19"/>
        <v>-0.23033188613101899</v>
      </c>
      <c r="G26" s="318">
        <f t="shared" si="19"/>
        <v>0</v>
      </c>
      <c r="H26" s="323">
        <f t="shared" si="19"/>
        <v>-0.10097661092521729</v>
      </c>
      <c r="I26" s="544">
        <f t="shared" si="19"/>
        <v>-3.6583637360056376E-2</v>
      </c>
      <c r="J26" s="318">
        <f t="shared" si="19"/>
        <v>0</v>
      </c>
      <c r="K26" s="323">
        <f t="shared" si="19"/>
        <v>-0.10097661092521729</v>
      </c>
      <c r="L26" s="544">
        <f t="shared" si="19"/>
        <v>-0.54222065268800246</v>
      </c>
      <c r="M26" s="318">
        <f t="shared" si="19"/>
        <v>-0.11010238113207549</v>
      </c>
      <c r="N26" s="323">
        <f t="shared" si="19"/>
        <v>-0.10097661092521729</v>
      </c>
      <c r="O26" s="544">
        <f t="shared" si="19"/>
        <v>-0.23033173587176542</v>
      </c>
      <c r="P26" s="318">
        <f t="shared" si="19"/>
        <v>-0.11010238113207549</v>
      </c>
      <c r="Q26" s="323">
        <f t="shared" si="19"/>
        <v>-0.10097661092521729</v>
      </c>
      <c r="R26" s="544">
        <f t="shared" si="19"/>
        <v>-8.3948721604540533E-2</v>
      </c>
      <c r="S26" s="318">
        <f t="shared" si="19"/>
        <v>-0.11010238113207549</v>
      </c>
      <c r="V26" s="499">
        <f>($B26*$B$29+$E26*$E$29+$H26*$H$29+$K26*$K$29+$N26*$N$29+$Q26*$Q$29+$B57*$B$60+$E57*$E$60+$H57*$H$60+$K57*$K$60+$N57*$N$60+$Q57*$Q$60)/$B$64</f>
        <v>-0.10097661092521729</v>
      </c>
      <c r="W26" s="495"/>
      <c r="X26" s="495"/>
      <c r="AA26" s="103"/>
      <c r="AB26" s="103"/>
      <c r="AC26" s="496"/>
      <c r="AD26" s="329"/>
      <c r="AE26" s="103"/>
      <c r="AF26" s="103"/>
      <c r="AG26" s="496"/>
      <c r="AH26" s="103"/>
      <c r="AI26" s="496"/>
      <c r="AJ26" s="103"/>
    </row>
    <row r="27" spans="1:36" ht="15.75" thickBot="1">
      <c r="A27" s="526" t="s">
        <v>366</v>
      </c>
      <c r="B27" s="502">
        <f t="shared" ref="B27:S27" si="20">SUM(B24:B26)</f>
        <v>0.27736065999999993</v>
      </c>
      <c r="C27" s="503">
        <f t="shared" si="20"/>
        <v>0.26689715522121338</v>
      </c>
      <c r="D27" s="504">
        <f t="shared" si="20"/>
        <v>0.31626200826315787</v>
      </c>
      <c r="E27" s="502">
        <f t="shared" si="20"/>
        <v>0.36352085461027062</v>
      </c>
      <c r="F27" s="503">
        <f t="shared" si="20"/>
        <v>0.43492263112646101</v>
      </c>
      <c r="G27" s="504">
        <f t="shared" si="20"/>
        <v>0</v>
      </c>
      <c r="H27" s="502">
        <f t="shared" si="20"/>
        <v>0.37758445000000007</v>
      </c>
      <c r="I27" s="503">
        <f t="shared" si="20"/>
        <v>0.33855120958271356</v>
      </c>
      <c r="J27" s="504">
        <f t="shared" si="20"/>
        <v>0</v>
      </c>
      <c r="K27" s="502">
        <f t="shared" si="20"/>
        <v>0.3250451521362131</v>
      </c>
      <c r="L27" s="503">
        <f t="shared" si="20"/>
        <v>0.30480425666088595</v>
      </c>
      <c r="M27" s="504">
        <f t="shared" si="20"/>
        <v>0.33760749999999995</v>
      </c>
      <c r="N27" s="502">
        <f t="shared" si="20"/>
        <v>0.37280016412276373</v>
      </c>
      <c r="O27" s="503">
        <f t="shared" si="20"/>
        <v>0.33611517041413647</v>
      </c>
      <c r="P27" s="504">
        <f t="shared" si="20"/>
        <v>0.33760749999999995</v>
      </c>
      <c r="Q27" s="502">
        <f t="shared" si="20"/>
        <v>0.29434389672483985</v>
      </c>
      <c r="R27" s="503">
        <f t="shared" si="20"/>
        <v>0.28224798267140083</v>
      </c>
      <c r="S27" s="504">
        <f t="shared" si="20"/>
        <v>0.29460470000000005</v>
      </c>
      <c r="V27" s="333">
        <f>SUM(V24:V26)</f>
        <v>0.33781697106591935</v>
      </c>
      <c r="W27" s="334"/>
      <c r="X27" s="335"/>
      <c r="AA27" s="882"/>
      <c r="AB27" s="882"/>
      <c r="AC27" s="336"/>
      <c r="AD27" s="337"/>
      <c r="AE27" s="103"/>
      <c r="AF27" s="103"/>
      <c r="AG27" s="336"/>
      <c r="AH27" s="103"/>
      <c r="AI27" s="336"/>
      <c r="AJ27" s="103"/>
    </row>
    <row r="28" spans="1:36" ht="15.75" thickBot="1">
      <c r="A28" s="509"/>
      <c r="B28" s="510"/>
      <c r="C28" s="509"/>
      <c r="D28" s="511"/>
      <c r="E28" s="510"/>
      <c r="F28" s="509"/>
      <c r="G28" s="511"/>
      <c r="H28" s="510"/>
      <c r="I28" s="509"/>
      <c r="J28" s="511"/>
      <c r="K28" s="510"/>
      <c r="L28" s="509"/>
      <c r="M28" s="511"/>
      <c r="N28" s="510"/>
      <c r="O28" s="509"/>
      <c r="P28" s="511"/>
      <c r="Q28" s="510"/>
      <c r="R28" s="509"/>
      <c r="S28" s="511"/>
      <c r="AA28" s="882" t="s">
        <v>228</v>
      </c>
      <c r="AB28" s="882"/>
      <c r="AC28" s="336">
        <f>ROUND((AC24+(B8*B29+E8*E29+H8*H29+K8*K29+N8*N29+Q8*Q29)/B64),5)</f>
        <v>0.20754</v>
      </c>
      <c r="AD28" s="99"/>
      <c r="AE28" s="103"/>
      <c r="AF28" s="103"/>
      <c r="AG28" s="336">
        <f>ROUND(AG24+W8,5)</f>
        <v>0.11317000000000001</v>
      </c>
      <c r="AH28" s="103"/>
      <c r="AI28" s="336">
        <f>ROUND(AI24+X8,5)</f>
        <v>0.10226</v>
      </c>
      <c r="AJ28" s="103"/>
    </row>
    <row r="29" spans="1:36" ht="15.75" thickBot="1">
      <c r="A29" s="526" t="s">
        <v>392</v>
      </c>
      <c r="B29" s="517">
        <f>$B$78</f>
        <v>8700</v>
      </c>
      <c r="C29" s="518">
        <v>8728.5169999999998</v>
      </c>
      <c r="D29" s="519">
        <v>8000</v>
      </c>
      <c r="E29" s="517">
        <f>$B$79</f>
        <v>1100</v>
      </c>
      <c r="F29" s="518">
        <v>1079.4159999999999</v>
      </c>
      <c r="G29" s="519">
        <v>0</v>
      </c>
      <c r="H29" s="517">
        <f>$B$80</f>
        <v>600</v>
      </c>
      <c r="I29" s="518">
        <v>638.65</v>
      </c>
      <c r="J29" s="519">
        <v>0</v>
      </c>
      <c r="K29" s="517">
        <f>$B$81</f>
        <v>2664</v>
      </c>
      <c r="L29" s="518">
        <v>253.72</v>
      </c>
      <c r="M29" s="519">
        <f>1700/2</f>
        <v>850</v>
      </c>
      <c r="N29" s="517">
        <f>$B$82</f>
        <v>0</v>
      </c>
      <c r="O29" s="518">
        <v>182.79</v>
      </c>
      <c r="P29" s="519">
        <f>1700/2</f>
        <v>850</v>
      </c>
      <c r="Q29" s="517">
        <f>$B$83</f>
        <v>11002</v>
      </c>
      <c r="R29" s="518">
        <v>3647.15</v>
      </c>
      <c r="S29" s="519">
        <v>6000</v>
      </c>
      <c r="V29" s="339">
        <f>B29+E29+H29+K29+N29+Q29+B60+E60+H60+K60+N60+Q60</f>
        <v>30266</v>
      </c>
      <c r="AA29" s="883" t="s">
        <v>215</v>
      </c>
      <c r="AB29" s="883"/>
      <c r="AC29" s="94">
        <f>ROUND($B$64*1000,0)</f>
        <v>30266000</v>
      </c>
      <c r="AD29" s="99"/>
      <c r="AE29" s="103"/>
      <c r="AF29" s="103"/>
      <c r="AG29" s="542"/>
      <c r="AH29" s="103"/>
      <c r="AI29" s="542"/>
      <c r="AJ29" s="103"/>
    </row>
    <row r="30" spans="1:36">
      <c r="A30" s="505"/>
      <c r="B30" s="506"/>
      <c r="C30" s="507"/>
      <c r="D30" s="508"/>
      <c r="E30" s="506"/>
      <c r="F30" s="507"/>
      <c r="G30" s="508"/>
      <c r="H30" s="506"/>
      <c r="I30" s="507"/>
      <c r="J30" s="508"/>
      <c r="K30" s="506"/>
      <c r="L30" s="507"/>
      <c r="M30" s="508"/>
      <c r="N30" s="506"/>
      <c r="O30" s="507"/>
      <c r="P30" s="508"/>
      <c r="Q30" s="506"/>
      <c r="R30" s="507"/>
      <c r="S30" s="508"/>
      <c r="AA30" s="341"/>
      <c r="AB30" s="341"/>
      <c r="AC30" s="342"/>
      <c r="AD30" s="1"/>
      <c r="AG30" s="176"/>
      <c r="AI30" s="176"/>
    </row>
    <row r="31" spans="1:36">
      <c r="A31" s="526" t="s">
        <v>393</v>
      </c>
      <c r="B31" s="502"/>
      <c r="C31" s="543">
        <v>0.42199999999999999</v>
      </c>
      <c r="D31" s="504">
        <v>0.29599999999999999</v>
      </c>
      <c r="E31" s="502"/>
      <c r="F31" s="543">
        <v>0.53600000000000003</v>
      </c>
      <c r="G31" s="504">
        <v>0</v>
      </c>
      <c r="H31" s="502"/>
      <c r="I31" s="543">
        <v>0.53800000000000003</v>
      </c>
      <c r="J31" s="504">
        <v>0.59399999999999997</v>
      </c>
      <c r="K31" s="502"/>
      <c r="L31" s="543">
        <v>0.36799999999999999</v>
      </c>
      <c r="M31" s="504">
        <v>0.35199999999999998</v>
      </c>
      <c r="N31" s="502"/>
      <c r="O31" s="543">
        <v>0.38600000000000001</v>
      </c>
      <c r="P31" s="504">
        <v>0</v>
      </c>
      <c r="Q31" s="502"/>
      <c r="R31" s="543">
        <v>0.27900000000000003</v>
      </c>
      <c r="S31" s="504">
        <v>0.23300000000000001</v>
      </c>
      <c r="AA31" s="341"/>
      <c r="AB31" s="341"/>
      <c r="AC31" s="342"/>
      <c r="AD31" s="1"/>
      <c r="AG31" s="176"/>
      <c r="AI31" s="176"/>
    </row>
    <row r="32" spans="1:36">
      <c r="A32" s="505"/>
      <c r="B32" s="515"/>
      <c r="C32" s="507"/>
      <c r="D32" s="507"/>
      <c r="E32" s="509"/>
      <c r="F32" s="509"/>
      <c r="G32" s="509"/>
      <c r="H32" s="516"/>
      <c r="I32" s="509"/>
      <c r="J32" s="509"/>
      <c r="K32" s="509"/>
      <c r="L32" s="509"/>
      <c r="M32" s="509"/>
      <c r="N32" s="509"/>
      <c r="O32" s="509"/>
      <c r="P32" s="509"/>
      <c r="Q32" s="509"/>
      <c r="R32" s="509"/>
      <c r="S32" s="509"/>
      <c r="AA32" s="341"/>
      <c r="AB32" s="341"/>
      <c r="AC32" s="342"/>
      <c r="AD32" s="1"/>
      <c r="AG32" s="176"/>
      <c r="AI32" s="176"/>
    </row>
    <row r="33" spans="1:35">
      <c r="A33" s="505"/>
      <c r="B33" s="515"/>
      <c r="C33" s="507"/>
      <c r="D33" s="507"/>
      <c r="E33" s="509"/>
      <c r="F33" s="509"/>
      <c r="G33" s="509"/>
      <c r="H33" s="516"/>
      <c r="I33" s="509"/>
      <c r="J33" s="509"/>
      <c r="K33" s="509"/>
      <c r="L33" s="509"/>
      <c r="M33" s="509"/>
      <c r="N33" s="509"/>
      <c r="O33" s="509"/>
      <c r="P33" s="509"/>
      <c r="Q33" s="509"/>
      <c r="R33" s="509"/>
      <c r="S33" s="509"/>
      <c r="AA33" s="341"/>
      <c r="AB33" s="341"/>
      <c r="AC33" s="342"/>
      <c r="AD33" s="1"/>
      <c r="AG33" s="176"/>
      <c r="AI33" s="176"/>
    </row>
    <row r="34" spans="1:35" ht="16.899999999999999" customHeight="1">
      <c r="A34" s="340"/>
      <c r="B34" s="860" t="s">
        <v>322</v>
      </c>
      <c r="C34" s="861"/>
      <c r="D34" s="862"/>
      <c r="E34" s="860" t="s">
        <v>323</v>
      </c>
      <c r="F34" s="861"/>
      <c r="G34" s="862"/>
      <c r="H34" s="860" t="s">
        <v>324</v>
      </c>
      <c r="I34" s="861"/>
      <c r="J34" s="862"/>
      <c r="K34" s="868" t="s">
        <v>325</v>
      </c>
      <c r="L34" s="869"/>
      <c r="M34" s="870"/>
      <c r="N34" s="860" t="s">
        <v>326</v>
      </c>
      <c r="O34" s="861"/>
      <c r="P34" s="862"/>
      <c r="Q34" s="860" t="s">
        <v>216</v>
      </c>
      <c r="R34" s="861"/>
      <c r="S34" s="862"/>
      <c r="AA34" s="341"/>
      <c r="AB34" s="341"/>
      <c r="AC34" s="342"/>
      <c r="AD34" s="1"/>
      <c r="AG34" s="176"/>
      <c r="AI34" s="176"/>
    </row>
    <row r="35" spans="1:35" ht="15" customHeight="1">
      <c r="A35" s="340"/>
      <c r="B35" s="304" t="s">
        <v>217</v>
      </c>
      <c r="C35" s="305" t="s">
        <v>369</v>
      </c>
      <c r="D35" s="306" t="s">
        <v>219</v>
      </c>
      <c r="E35" s="304" t="s">
        <v>217</v>
      </c>
      <c r="F35" s="305" t="s">
        <v>218</v>
      </c>
      <c r="G35" s="306" t="s">
        <v>219</v>
      </c>
      <c r="H35" s="304" t="s">
        <v>217</v>
      </c>
      <c r="I35" s="305" t="s">
        <v>218</v>
      </c>
      <c r="J35" s="306" t="s">
        <v>219</v>
      </c>
      <c r="K35" s="304" t="s">
        <v>217</v>
      </c>
      <c r="L35" s="305" t="s">
        <v>218</v>
      </c>
      <c r="M35" s="306" t="s">
        <v>219</v>
      </c>
      <c r="N35" s="304" t="s">
        <v>217</v>
      </c>
      <c r="O35" s="305" t="s">
        <v>384</v>
      </c>
      <c r="P35" s="306" t="s">
        <v>219</v>
      </c>
      <c r="Q35" s="304" t="s">
        <v>217</v>
      </c>
      <c r="R35" s="305" t="s">
        <v>218</v>
      </c>
      <c r="S35" s="306" t="s">
        <v>219</v>
      </c>
      <c r="AA35" s="341"/>
      <c r="AB35" s="341"/>
      <c r="AC35" s="342"/>
      <c r="AD35" s="1"/>
      <c r="AG35" s="176"/>
      <c r="AI35" s="176"/>
    </row>
    <row r="36" spans="1:35">
      <c r="A36" s="340"/>
      <c r="B36" s="307"/>
      <c r="C36" s="111" t="s">
        <v>372</v>
      </c>
      <c r="D36" s="308"/>
      <c r="E36" s="307"/>
      <c r="F36" s="111" t="s">
        <v>221</v>
      </c>
      <c r="G36" s="308"/>
      <c r="H36" s="307"/>
      <c r="I36" s="111" t="s">
        <v>221</v>
      </c>
      <c r="J36" s="308"/>
      <c r="K36" s="307"/>
      <c r="L36" s="111" t="s">
        <v>221</v>
      </c>
      <c r="M36" s="308"/>
      <c r="N36" s="307"/>
      <c r="O36" s="111" t="s">
        <v>385</v>
      </c>
      <c r="P36" s="308"/>
      <c r="Q36" s="307"/>
      <c r="R36" s="111" t="s">
        <v>222</v>
      </c>
      <c r="S36" s="308"/>
      <c r="AA36" s="341"/>
      <c r="AB36" s="341"/>
      <c r="AC36" s="342"/>
      <c r="AD36" s="1"/>
      <c r="AG36" s="176"/>
      <c r="AI36" s="176"/>
    </row>
    <row r="37" spans="1:35">
      <c r="A37" s="6" t="s">
        <v>223</v>
      </c>
      <c r="B37" s="312">
        <f>E149</f>
        <v>0.24705272333848535</v>
      </c>
      <c r="C37" s="190">
        <f>(849.2+36344.81+4499.57)/226450</f>
        <v>0.18411826010156765</v>
      </c>
      <c r="D37" s="313">
        <v>0.17580420000000002</v>
      </c>
      <c r="E37" s="312">
        <f>G149</f>
        <v>0.41971568295623746</v>
      </c>
      <c r="F37" s="190">
        <v>0.40475489266390052</v>
      </c>
      <c r="G37" s="313">
        <v>0.36631399999999997</v>
      </c>
      <c r="H37" s="312">
        <f>I149</f>
        <v>0.523392245500793</v>
      </c>
      <c r="I37" s="190">
        <v>0.51652212679831522</v>
      </c>
      <c r="J37" s="313">
        <v>0</v>
      </c>
      <c r="K37" s="312">
        <f>K149</f>
        <v>1.8876071243523318</v>
      </c>
      <c r="L37" s="190">
        <v>0</v>
      </c>
      <c r="M37" s="313">
        <v>1.8001243523316064</v>
      </c>
      <c r="N37" s="312">
        <f>M149</f>
        <v>0.32849256141664884</v>
      </c>
      <c r="O37" s="190">
        <v>0.61625722234110847</v>
      </c>
      <c r="P37" s="313">
        <v>0</v>
      </c>
      <c r="Q37" s="314">
        <f>O149</f>
        <v>0</v>
      </c>
      <c r="R37" s="190">
        <v>0</v>
      </c>
      <c r="S37" s="313">
        <v>0</v>
      </c>
      <c r="AA37" s="341"/>
      <c r="AB37" s="341"/>
      <c r="AC37" s="342"/>
      <c r="AD37" s="1"/>
      <c r="AG37" s="176"/>
      <c r="AI37" s="176"/>
    </row>
    <row r="38" spans="1:35">
      <c r="A38" s="500" t="s">
        <v>362</v>
      </c>
      <c r="B38" s="317">
        <f>$C136*D136</f>
        <v>0.14908529211746521</v>
      </c>
      <c r="C38" s="10">
        <f>0.0852*D136</f>
        <v>8.6585323029366307E-2</v>
      </c>
      <c r="D38" s="318"/>
      <c r="E38" s="317">
        <f>$C134*F134</f>
        <v>3.4805886386358467E-2</v>
      </c>
      <c r="F38" s="10"/>
      <c r="G38" s="318"/>
      <c r="H38" s="317">
        <f>$C132*H132</f>
        <v>3.0058660904764507E-2</v>
      </c>
      <c r="I38" s="10"/>
      <c r="J38" s="318"/>
      <c r="K38" s="317">
        <f>$C135*J135</f>
        <v>7.4705958549222806E-3</v>
      </c>
      <c r="L38" s="10"/>
      <c r="M38" s="318"/>
      <c r="N38" s="317">
        <f>$C133*L133</f>
        <v>3.5760622833297673E-2</v>
      </c>
      <c r="O38" s="10"/>
      <c r="P38" s="318"/>
      <c r="Q38" s="319">
        <v>0</v>
      </c>
      <c r="R38" s="10"/>
      <c r="S38" s="318"/>
      <c r="AA38" s="341"/>
      <c r="AB38" s="341"/>
      <c r="AC38" s="342"/>
      <c r="AD38" s="1"/>
      <c r="AG38" s="176"/>
      <c r="AI38" s="176"/>
    </row>
    <row r="39" spans="1:35">
      <c r="A39" s="6" t="s">
        <v>373</v>
      </c>
      <c r="B39" s="317">
        <f>E150+E151</f>
        <v>5.4021222256568774E-2</v>
      </c>
      <c r="C39" s="10">
        <f>((8243.73)/226450)+0.00745312431000221</f>
        <v>4.3857319496577611E-2</v>
      </c>
      <c r="D39" s="318">
        <v>4.1844903000000003E-2</v>
      </c>
      <c r="E39" s="317">
        <f>G150+G151</f>
        <v>3.7426675477251953E-2</v>
      </c>
      <c r="F39" s="10">
        <v>3.343115943583648E-2</v>
      </c>
      <c r="G39" s="318">
        <v>4.1844903000000003E-2</v>
      </c>
      <c r="H39" s="317">
        <f>I150+I151</f>
        <v>6.548684426453695E-2</v>
      </c>
      <c r="I39" s="10">
        <v>5.946397899458454E-2</v>
      </c>
      <c r="J39" s="318">
        <v>0</v>
      </c>
      <c r="K39" s="317">
        <f>K150+K151</f>
        <v>4.4929537499999991E-2</v>
      </c>
      <c r="L39" s="10">
        <v>0</v>
      </c>
      <c r="M39" s="318">
        <v>4.1844903000000003E-2</v>
      </c>
      <c r="N39" s="552">
        <f>M150+M151</f>
        <v>3.1888615450460095E-2</v>
      </c>
      <c r="O39" s="10">
        <f>0.0197753049432912+0.00687780868820886</f>
        <v>2.665311363150006E-2</v>
      </c>
      <c r="P39" s="318">
        <v>0</v>
      </c>
      <c r="Q39" s="319">
        <f>O150</f>
        <v>0</v>
      </c>
      <c r="R39" s="10">
        <v>0</v>
      </c>
      <c r="S39" s="318">
        <v>0</v>
      </c>
      <c r="AA39" s="341"/>
      <c r="AB39" s="341"/>
      <c r="AC39" s="342"/>
      <c r="AD39" s="1"/>
      <c r="AG39" s="176"/>
      <c r="AI39" s="176"/>
    </row>
    <row r="40" spans="1:35">
      <c r="A40" s="6" t="s">
        <v>8</v>
      </c>
      <c r="B40" s="317">
        <f>E169</f>
        <v>1.0725999999999999E-2</v>
      </c>
      <c r="C40" s="10">
        <v>7.7981821890351338E-3</v>
      </c>
      <c r="D40" s="318">
        <v>5.3970000000000008E-3</v>
      </c>
      <c r="E40" s="317">
        <f>G169</f>
        <v>1.0725999999999999E-2</v>
      </c>
      <c r="F40" s="10">
        <v>1.2646762753536749E-2</v>
      </c>
      <c r="G40" s="318">
        <v>5.3970000000000008E-3</v>
      </c>
      <c r="H40" s="317">
        <f>I169</f>
        <v>1.0725999999999999E-2</v>
      </c>
      <c r="I40" s="10">
        <v>5.3529894425906679E-3</v>
      </c>
      <c r="J40" s="318">
        <v>0</v>
      </c>
      <c r="K40" s="317">
        <f>K169</f>
        <v>1.0725999999999999E-2</v>
      </c>
      <c r="L40" s="10">
        <v>0</v>
      </c>
      <c r="M40" s="318">
        <v>5.3970000000000008E-3</v>
      </c>
      <c r="N40" s="317">
        <f>M169</f>
        <v>1.0725999999999999E-2</v>
      </c>
      <c r="O40" s="10">
        <v>2.0676225123047294E-2</v>
      </c>
      <c r="P40" s="318">
        <v>0</v>
      </c>
      <c r="Q40" s="317">
        <f>O169</f>
        <v>1.0725999999999999E-2</v>
      </c>
      <c r="R40" s="10">
        <v>0</v>
      </c>
      <c r="S40" s="318">
        <v>0</v>
      </c>
      <c r="AA40" s="341"/>
      <c r="AB40" s="341"/>
      <c r="AC40" s="342"/>
      <c r="AD40" s="1"/>
      <c r="AG40" s="176"/>
      <c r="AI40" s="176"/>
    </row>
    <row r="41" spans="1:35">
      <c r="A41" s="2" t="s">
        <v>9</v>
      </c>
      <c r="B41" s="317">
        <f>E170</f>
        <v>1.2600000000000001E-3</v>
      </c>
      <c r="C41" s="10">
        <v>-9.6959254150955792E-4</v>
      </c>
      <c r="D41" s="318">
        <v>1.0323999999999999E-3</v>
      </c>
      <c r="E41" s="317">
        <f>G170</f>
        <v>1.2600000000000001E-3</v>
      </c>
      <c r="F41" s="10">
        <v>-2.0369186408241906E-3</v>
      </c>
      <c r="G41" s="318">
        <v>1.0323999999999999E-3</v>
      </c>
      <c r="H41" s="317">
        <f>I170</f>
        <v>1.2600000000000001E-3</v>
      </c>
      <c r="I41" s="10">
        <v>1.1258683879437667E-3</v>
      </c>
      <c r="J41" s="318">
        <v>0</v>
      </c>
      <c r="K41" s="317">
        <f>K170</f>
        <v>1.2600000000000001E-3</v>
      </c>
      <c r="L41" s="10">
        <v>0</v>
      </c>
      <c r="M41" s="318">
        <v>1.0323999999999999E-3</v>
      </c>
      <c r="N41" s="317">
        <f>M170</f>
        <v>1.2600000000000001E-3</v>
      </c>
      <c r="O41" s="10">
        <v>6.2401027177402101E-3</v>
      </c>
      <c r="P41" s="318">
        <v>0</v>
      </c>
      <c r="Q41" s="317">
        <f>O170</f>
        <v>1.2600000000000001E-3</v>
      </c>
      <c r="R41" s="10">
        <v>0</v>
      </c>
      <c r="S41" s="318">
        <v>0</v>
      </c>
      <c r="AA41" s="341"/>
      <c r="AB41" s="341"/>
      <c r="AC41" s="342"/>
      <c r="AD41" s="1"/>
      <c r="AG41" s="176"/>
      <c r="AI41" s="176"/>
    </row>
    <row r="42" spans="1:35">
      <c r="A42" s="6" t="s">
        <v>10</v>
      </c>
      <c r="B42" s="323">
        <f>$H$178</f>
        <v>9.9121126015991549E-3</v>
      </c>
      <c r="C42" s="10">
        <v>1.0343825241170375E-2</v>
      </c>
      <c r="D42" s="318">
        <v>9.8128301886792439E-3</v>
      </c>
      <c r="E42" s="323">
        <f>$H$178</f>
        <v>9.9121126015991549E-3</v>
      </c>
      <c r="F42" s="10">
        <v>4.1886832608891533E-2</v>
      </c>
      <c r="G42" s="318">
        <v>9.8128301886792439E-3</v>
      </c>
      <c r="H42" s="323">
        <f>$H$178</f>
        <v>9.9121126015991549E-3</v>
      </c>
      <c r="I42" s="10">
        <v>1.4280017504512884E-2</v>
      </c>
      <c r="J42" s="318">
        <v>0</v>
      </c>
      <c r="K42" s="323">
        <f>$H$178</f>
        <v>9.9121126015991549E-3</v>
      </c>
      <c r="L42" s="10">
        <v>0</v>
      </c>
      <c r="M42" s="318">
        <v>9.8128301886792439E-3</v>
      </c>
      <c r="N42" s="323">
        <f>$H$178</f>
        <v>9.9121126015991549E-3</v>
      </c>
      <c r="O42" s="10">
        <v>3.9987160282473788E-2</v>
      </c>
      <c r="P42" s="318">
        <v>0</v>
      </c>
      <c r="Q42" s="323">
        <f>$H$178</f>
        <v>9.9121126015991549E-3</v>
      </c>
      <c r="R42" s="10">
        <v>0</v>
      </c>
      <c r="S42" s="318">
        <v>0</v>
      </c>
      <c r="AA42" s="341"/>
      <c r="AB42" s="341"/>
      <c r="AC42" s="342"/>
      <c r="AD42" s="1"/>
      <c r="AG42" s="176"/>
      <c r="AI42" s="176"/>
    </row>
    <row r="43" spans="1:35">
      <c r="A43" s="6" t="s">
        <v>11</v>
      </c>
      <c r="B43" s="323">
        <f>$H$181</f>
        <v>4.956056300799577E-4</v>
      </c>
      <c r="C43" s="10">
        <v>1.379175635812804E-4</v>
      </c>
      <c r="D43" s="318">
        <v>1.8867924528301887E-3</v>
      </c>
      <c r="E43" s="323">
        <f>$H$181</f>
        <v>4.956056300799577E-4</v>
      </c>
      <c r="F43" s="10">
        <v>6.5889304149699857E-4</v>
      </c>
      <c r="G43" s="318">
        <v>1.8867924528301887E-3</v>
      </c>
      <c r="H43" s="323">
        <f>$H$181</f>
        <v>4.956056300799577E-4</v>
      </c>
      <c r="I43" s="10">
        <v>4.3121273453312182E-4</v>
      </c>
      <c r="J43" s="318">
        <v>0</v>
      </c>
      <c r="K43" s="323">
        <f>$H$181</f>
        <v>4.956056300799577E-4</v>
      </c>
      <c r="L43" s="10">
        <v>0</v>
      </c>
      <c r="M43" s="318">
        <v>1.8867924528301887E-3</v>
      </c>
      <c r="N43" s="323">
        <f>$H$181</f>
        <v>4.956056300799577E-4</v>
      </c>
      <c r="O43" s="10">
        <v>0</v>
      </c>
      <c r="P43" s="318">
        <v>0</v>
      </c>
      <c r="Q43" s="323">
        <f>$H$181</f>
        <v>4.956056300799577E-4</v>
      </c>
      <c r="R43" s="10">
        <v>0</v>
      </c>
      <c r="S43" s="318">
        <v>0</v>
      </c>
      <c r="AA43" s="341"/>
      <c r="AB43" s="341"/>
      <c r="AC43" s="342"/>
      <c r="AD43" s="1"/>
      <c r="AG43" s="176"/>
      <c r="AI43" s="176"/>
    </row>
    <row r="44" spans="1:35" ht="16.5">
      <c r="A44" s="6" t="s">
        <v>12</v>
      </c>
      <c r="B44" s="324">
        <f>$H$184</f>
        <v>6.6080750677327688E-3</v>
      </c>
      <c r="C44" s="14">
        <v>6.4917962209997604E-3</v>
      </c>
      <c r="D44" s="325">
        <v>7.0188679245283018E-3</v>
      </c>
      <c r="E44" s="324">
        <f>$H$184</f>
        <v>6.6080750677327688E-3</v>
      </c>
      <c r="F44" s="14">
        <v>1.8835792716678183E-2</v>
      </c>
      <c r="G44" s="325">
        <v>7.0188679245283018E-3</v>
      </c>
      <c r="H44" s="324">
        <f>$H$184</f>
        <v>6.6080750677327688E-3</v>
      </c>
      <c r="I44" s="14">
        <v>4.8742410152617472E-3</v>
      </c>
      <c r="J44" s="325">
        <v>0</v>
      </c>
      <c r="K44" s="324">
        <f>$H$184</f>
        <v>6.6080750677327688E-3</v>
      </c>
      <c r="L44" s="14">
        <v>0</v>
      </c>
      <c r="M44" s="325">
        <v>7.0188679245283018E-3</v>
      </c>
      <c r="N44" s="324">
        <f>$H$184</f>
        <v>6.6080750677327688E-3</v>
      </c>
      <c r="O44" s="14">
        <v>4.1277551893858337E-2</v>
      </c>
      <c r="P44" s="325">
        <v>0</v>
      </c>
      <c r="Q44" s="324">
        <f>$H$184</f>
        <v>6.6080750677327688E-3</v>
      </c>
      <c r="R44" s="14">
        <v>0</v>
      </c>
      <c r="S44" s="325">
        <v>0</v>
      </c>
      <c r="AA44" s="341"/>
      <c r="AB44" s="341"/>
      <c r="AC44" s="342"/>
      <c r="AD44" s="1"/>
      <c r="AG44" s="176"/>
      <c r="AI44" s="176"/>
    </row>
    <row r="45" spans="1:35">
      <c r="A45" s="328" t="s">
        <v>224</v>
      </c>
      <c r="B45" s="10">
        <f t="shared" ref="B45:S45" si="21">SUM(B37:B44)</f>
        <v>0.47916103101193114</v>
      </c>
      <c r="C45" s="10">
        <f t="shared" si="21"/>
        <v>0.33836303130078854</v>
      </c>
      <c r="D45" s="318">
        <f t="shared" si="21"/>
        <v>0.24279699356603773</v>
      </c>
      <c r="E45" s="10">
        <f t="shared" si="21"/>
        <v>0.52095003811925988</v>
      </c>
      <c r="F45" s="10">
        <f t="shared" si="21"/>
        <v>0.51017741457951638</v>
      </c>
      <c r="G45" s="318">
        <f t="shared" si="21"/>
        <v>0.43330679356603768</v>
      </c>
      <c r="H45" s="10">
        <f t="shared" si="21"/>
        <v>0.64793954396950648</v>
      </c>
      <c r="I45" s="10">
        <f t="shared" si="21"/>
        <v>0.60205043487774212</v>
      </c>
      <c r="J45" s="318">
        <f t="shared" si="21"/>
        <v>0</v>
      </c>
      <c r="K45" s="10">
        <f t="shared" si="21"/>
        <v>1.9690090510066662</v>
      </c>
      <c r="L45" s="10">
        <f t="shared" si="21"/>
        <v>0</v>
      </c>
      <c r="M45" s="318">
        <f t="shared" si="21"/>
        <v>1.8671171458976443</v>
      </c>
      <c r="N45" s="10">
        <f t="shared" si="21"/>
        <v>0.42514359299981846</v>
      </c>
      <c r="O45" s="10">
        <f t="shared" si="21"/>
        <v>0.75109137598972808</v>
      </c>
      <c r="P45" s="318">
        <f t="shared" si="21"/>
        <v>0</v>
      </c>
      <c r="Q45" s="10">
        <f t="shared" si="21"/>
        <v>2.9001793299411882E-2</v>
      </c>
      <c r="R45" s="10">
        <f t="shared" si="21"/>
        <v>0</v>
      </c>
      <c r="S45" s="318">
        <f t="shared" si="21"/>
        <v>0</v>
      </c>
      <c r="AA45" s="341"/>
      <c r="AB45" s="341"/>
      <c r="AC45" s="342"/>
      <c r="AD45" s="1"/>
      <c r="AG45" s="176"/>
      <c r="AI45" s="176"/>
    </row>
    <row r="46" spans="1:35">
      <c r="A46" s="514"/>
      <c r="B46" s="512"/>
      <c r="C46" s="13"/>
      <c r="D46" s="513"/>
      <c r="E46" s="512"/>
      <c r="F46" s="13"/>
      <c r="G46" s="513"/>
      <c r="H46" s="512"/>
      <c r="I46" s="13"/>
      <c r="J46" s="513"/>
      <c r="K46" s="512"/>
      <c r="L46" s="13"/>
      <c r="M46" s="513"/>
      <c r="N46" s="512"/>
      <c r="O46" s="13"/>
      <c r="P46" s="513"/>
      <c r="Q46" s="512"/>
      <c r="R46" s="13"/>
      <c r="S46" s="513"/>
      <c r="AA46" s="341"/>
      <c r="AB46" s="341"/>
      <c r="AC46" s="342"/>
      <c r="AD46" s="1"/>
      <c r="AG46" s="176"/>
      <c r="AI46" s="176"/>
    </row>
    <row r="47" spans="1:35">
      <c r="A47" s="6" t="s">
        <v>14</v>
      </c>
      <c r="B47" s="323">
        <f>$D$215/$B$64/1000</f>
        <v>1.4552450935042623E-2</v>
      </c>
      <c r="C47" s="10">
        <v>1.985957454629746E-2</v>
      </c>
      <c r="D47" s="318">
        <v>1.4529056603773585E-2</v>
      </c>
      <c r="E47" s="323">
        <f>$D$215/$B$64/1000</f>
        <v>1.4552450935042623E-2</v>
      </c>
      <c r="F47" s="10">
        <v>2.5826172587351377E-2</v>
      </c>
      <c r="G47" s="318">
        <v>1.4529056603773585E-2</v>
      </c>
      <c r="H47" s="323">
        <f>$D$215/$B$64/1000</f>
        <v>1.4552450935042623E-2</v>
      </c>
      <c r="I47" s="10">
        <v>1.0939937640172858E-2</v>
      </c>
      <c r="J47" s="318">
        <v>0</v>
      </c>
      <c r="K47" s="323">
        <f>$D$215/$B$64/1000</f>
        <v>1.4552450935042623E-2</v>
      </c>
      <c r="L47" s="10">
        <v>0</v>
      </c>
      <c r="M47" s="318">
        <v>1.4529056603773585E-2</v>
      </c>
      <c r="N47" s="323">
        <f>$D$215/$B$64/1000</f>
        <v>1.4552450935042623E-2</v>
      </c>
      <c r="O47" s="10">
        <v>9.2050074898352235E-2</v>
      </c>
      <c r="P47" s="318">
        <v>0</v>
      </c>
      <c r="Q47" s="323">
        <f>$D$215/$B$64/1000</f>
        <v>1.4552450935042623E-2</v>
      </c>
      <c r="R47" s="10">
        <v>0</v>
      </c>
      <c r="S47" s="318">
        <v>0</v>
      </c>
      <c r="AA47" s="341"/>
      <c r="AB47" s="341"/>
      <c r="AC47" s="342"/>
      <c r="AD47" s="1"/>
      <c r="AG47" s="176"/>
      <c r="AI47" s="176"/>
    </row>
    <row r="48" spans="1:35">
      <c r="A48" s="6" t="s">
        <v>15</v>
      </c>
      <c r="B48" s="323">
        <f>$G$215/$B$64/1000</f>
        <v>4.6963589506376791E-3</v>
      </c>
      <c r="C48" s="10">
        <v>6.357027431284897E-3</v>
      </c>
      <c r="D48" s="318">
        <v>2.5169811320754714E-3</v>
      </c>
      <c r="E48" s="323">
        <f>$G$215/$B$64/1000</f>
        <v>4.6963589506376791E-3</v>
      </c>
      <c r="F48" s="10">
        <v>1.0115278498882227E-2</v>
      </c>
      <c r="G48" s="318">
        <v>2.5169811320754714E-3</v>
      </c>
      <c r="H48" s="323">
        <f>$G$215/$B$64/1000</f>
        <v>4.6963589506376791E-3</v>
      </c>
      <c r="I48" s="10">
        <v>8.8195394125047859E-4</v>
      </c>
      <c r="J48" s="318">
        <v>0</v>
      </c>
      <c r="K48" s="323">
        <f>$G$215/$B$64/1000</f>
        <v>4.6963589506376791E-3</v>
      </c>
      <c r="L48" s="10">
        <v>0</v>
      </c>
      <c r="M48" s="318">
        <v>2.5169811320754714E-3</v>
      </c>
      <c r="N48" s="323">
        <f>$G$215/$B$64/1000</f>
        <v>4.6963589506376791E-3</v>
      </c>
      <c r="O48" s="10">
        <v>1.6661673443184252E-2</v>
      </c>
      <c r="P48" s="318">
        <v>0</v>
      </c>
      <c r="Q48" s="323">
        <f>$G$215/$B$64/1000</f>
        <v>4.6963589506376791E-3</v>
      </c>
      <c r="R48" s="10">
        <v>0</v>
      </c>
      <c r="S48" s="318">
        <v>0</v>
      </c>
      <c r="AA48" s="341"/>
      <c r="AB48" s="341"/>
      <c r="AC48" s="342"/>
      <c r="AD48" s="1"/>
      <c r="AG48" s="176"/>
      <c r="AI48" s="176"/>
    </row>
    <row r="49" spans="1:35">
      <c r="A49" s="6" t="s">
        <v>16</v>
      </c>
      <c r="B49" s="323">
        <f>$J$215/$B$64/1000</f>
        <v>8.7651909820467295E-3</v>
      </c>
      <c r="C49" s="10">
        <v>1.2848600486827176E-2</v>
      </c>
      <c r="D49" s="318">
        <v>7.6707169811320751E-3</v>
      </c>
      <c r="E49" s="323">
        <f>$J$215/$B$64/1000</f>
        <v>8.7651909820467295E-3</v>
      </c>
      <c r="F49" s="10">
        <v>2.7162542425971777E-2</v>
      </c>
      <c r="G49" s="318">
        <v>7.6707169811320751E-3</v>
      </c>
      <c r="H49" s="323">
        <f>$J$215/$B$64/1000</f>
        <v>8.7651909820467295E-3</v>
      </c>
      <c r="I49" s="10">
        <v>3.2797439964990975E-3</v>
      </c>
      <c r="J49" s="318">
        <v>0</v>
      </c>
      <c r="K49" s="323">
        <f>$J$215/$B$64/1000</f>
        <v>8.7651909820467295E-3</v>
      </c>
      <c r="L49" s="10">
        <v>0</v>
      </c>
      <c r="M49" s="318">
        <v>7.6707169811320751E-3</v>
      </c>
      <c r="N49" s="323">
        <f>$J$215/$B$64/1000</f>
        <v>8.7651909820467295E-3</v>
      </c>
      <c r="O49" s="10">
        <v>2.9696126685212924E-2</v>
      </c>
      <c r="P49" s="318">
        <v>0</v>
      </c>
      <c r="Q49" s="323">
        <f>$J$215/$B$64/1000</f>
        <v>8.7651909820467295E-3</v>
      </c>
      <c r="R49" s="10">
        <v>0</v>
      </c>
      <c r="S49" s="318">
        <v>0</v>
      </c>
      <c r="AA49" s="341"/>
      <c r="AB49" s="341"/>
      <c r="AC49" s="342"/>
      <c r="AD49" s="1"/>
      <c r="AG49" s="176"/>
      <c r="AI49" s="176"/>
    </row>
    <row r="50" spans="1:35">
      <c r="A50" s="2" t="s">
        <v>17</v>
      </c>
      <c r="B50" s="323">
        <f>$E$242</f>
        <v>2.8006634507368004E-3</v>
      </c>
      <c r="C50" s="10">
        <v>1.066877142629355E-2</v>
      </c>
      <c r="D50" s="318">
        <v>4.0754716981132076E-3</v>
      </c>
      <c r="E50" s="323">
        <f>$E$242</f>
        <v>2.8006634507368004E-3</v>
      </c>
      <c r="F50" s="10">
        <v>8.2136380994880989E-3</v>
      </c>
      <c r="G50" s="318">
        <v>4.0754716981132076E-3</v>
      </c>
      <c r="H50" s="323">
        <f>$E$242</f>
        <v>2.8006634507368004E-3</v>
      </c>
      <c r="I50" s="10">
        <v>1.534161150921722E-3</v>
      </c>
      <c r="J50" s="318">
        <v>0</v>
      </c>
      <c r="K50" s="323">
        <f>$E$242</f>
        <v>2.8006634507368004E-3</v>
      </c>
      <c r="L50" s="10">
        <v>0</v>
      </c>
      <c r="M50" s="318">
        <v>4.0754716981132076E-3</v>
      </c>
      <c r="N50" s="323">
        <f>$E$242</f>
        <v>2.8006634507368004E-3</v>
      </c>
      <c r="O50" s="10">
        <v>1.8656109565589558E-2</v>
      </c>
      <c r="P50" s="318">
        <v>0</v>
      </c>
      <c r="Q50" s="323">
        <f>$E$242</f>
        <v>2.8006634507368004E-3</v>
      </c>
      <c r="R50" s="10">
        <v>0</v>
      </c>
      <c r="S50" s="318">
        <v>0</v>
      </c>
      <c r="AA50" s="341"/>
      <c r="AB50" s="341"/>
      <c r="AC50" s="342"/>
      <c r="AD50" s="1"/>
      <c r="AG50" s="176"/>
      <c r="AI50" s="176"/>
    </row>
    <row r="51" spans="1:35">
      <c r="A51" s="2" t="s">
        <v>19</v>
      </c>
      <c r="B51" s="323">
        <f>$E$243</f>
        <v>7.2787946871076453E-2</v>
      </c>
      <c r="C51" s="10">
        <v>0.15717803555768159</v>
      </c>
      <c r="D51" s="318">
        <v>8.4316981132075475E-2</v>
      </c>
      <c r="E51" s="323">
        <f>$E$243</f>
        <v>7.2787946871076453E-2</v>
      </c>
      <c r="F51" s="10">
        <v>0.22296444585566372</v>
      </c>
      <c r="G51" s="318">
        <v>8.4316981132075475E-2</v>
      </c>
      <c r="H51" s="323">
        <f>$E$243</f>
        <v>7.2787946871076453E-2</v>
      </c>
      <c r="I51" s="10">
        <v>4.1645697718943164E-2</v>
      </c>
      <c r="J51" s="318">
        <v>0</v>
      </c>
      <c r="K51" s="323">
        <f>$E$243</f>
        <v>7.2787946871076453E-2</v>
      </c>
      <c r="L51" s="10">
        <v>0</v>
      </c>
      <c r="M51" s="318">
        <v>8.4316981132075475E-2</v>
      </c>
      <c r="N51" s="323">
        <f>$E$243</f>
        <v>7.2787946871076453E-2</v>
      </c>
      <c r="O51" s="10">
        <v>0.39839289535630218</v>
      </c>
      <c r="P51" s="318">
        <v>0</v>
      </c>
      <c r="Q51" s="323">
        <f>$E$243</f>
        <v>7.2787946871076453E-2</v>
      </c>
      <c r="R51" s="10">
        <v>0</v>
      </c>
      <c r="S51" s="318">
        <v>0</v>
      </c>
      <c r="AA51" s="341"/>
      <c r="AB51" s="341"/>
      <c r="AC51" s="342"/>
      <c r="AD51" s="1"/>
      <c r="AG51" s="176"/>
      <c r="AI51" s="176"/>
    </row>
    <row r="52" spans="1:35" ht="16.5">
      <c r="A52" s="2" t="s">
        <v>18</v>
      </c>
      <c r="B52" s="324">
        <f>$E$244</f>
        <v>1.8172206436265118E-2</v>
      </c>
      <c r="C52" s="14">
        <v>4.3344295623056688E-2</v>
      </c>
      <c r="D52" s="325">
        <v>2.1645283018867926E-2</v>
      </c>
      <c r="E52" s="324">
        <f>$E$244</f>
        <v>1.8172206436265118E-2</v>
      </c>
      <c r="F52" s="14">
        <v>5.3769018206159112E-2</v>
      </c>
      <c r="G52" s="325">
        <v>2.1645283018867926E-2</v>
      </c>
      <c r="H52" s="324">
        <f>$E$244</f>
        <v>1.8172206436265118E-2</v>
      </c>
      <c r="I52" s="14">
        <v>1.0026913188556424E-2</v>
      </c>
      <c r="J52" s="325">
        <v>0</v>
      </c>
      <c r="K52" s="324">
        <f>$E$244</f>
        <v>1.8172206436265118E-2</v>
      </c>
      <c r="L52" s="14">
        <v>0</v>
      </c>
      <c r="M52" s="325">
        <v>2.1645283018867926E-2</v>
      </c>
      <c r="N52" s="324">
        <f>$E$244</f>
        <v>1.8172206436265118E-2</v>
      </c>
      <c r="O52" s="14">
        <v>0.1021677723090092</v>
      </c>
      <c r="P52" s="325">
        <v>0</v>
      </c>
      <c r="Q52" s="324">
        <f>$E$244</f>
        <v>1.8172206436265118E-2</v>
      </c>
      <c r="R52" s="14">
        <v>0</v>
      </c>
      <c r="S52" s="325">
        <v>0</v>
      </c>
      <c r="AA52" s="341"/>
      <c r="AB52" s="341"/>
      <c r="AC52" s="342"/>
      <c r="AD52" s="1"/>
      <c r="AG52" s="176"/>
      <c r="AI52" s="176"/>
    </row>
    <row r="53" spans="1:35">
      <c r="A53" s="328" t="s">
        <v>225</v>
      </c>
      <c r="B53" s="323">
        <f t="shared" ref="B53:M53" si="22">SUM(B47:B52)</f>
        <v>0.1217748176258054</v>
      </c>
      <c r="C53" s="10">
        <f t="shared" si="22"/>
        <v>0.25025630507144137</v>
      </c>
      <c r="D53" s="318">
        <f t="shared" si="22"/>
        <v>0.13475449056603775</v>
      </c>
      <c r="E53" s="323">
        <f t="shared" si="22"/>
        <v>0.1217748176258054</v>
      </c>
      <c r="F53" s="10">
        <f t="shared" si="22"/>
        <v>0.34805109567351628</v>
      </c>
      <c r="G53" s="318">
        <f t="shared" si="22"/>
        <v>0.13475449056603775</v>
      </c>
      <c r="H53" s="323">
        <f t="shared" si="22"/>
        <v>0.1217748176258054</v>
      </c>
      <c r="I53" s="10">
        <f t="shared" si="22"/>
        <v>6.8308407636343743E-2</v>
      </c>
      <c r="J53" s="318">
        <f t="shared" si="22"/>
        <v>0</v>
      </c>
      <c r="K53" s="323">
        <f t="shared" si="22"/>
        <v>0.1217748176258054</v>
      </c>
      <c r="L53" s="10">
        <f t="shared" si="22"/>
        <v>0</v>
      </c>
      <c r="M53" s="318">
        <f t="shared" si="22"/>
        <v>0.13475449056603775</v>
      </c>
      <c r="N53" s="323">
        <f t="shared" ref="N53:P53" si="23">SUM(N47:N52)</f>
        <v>0.1217748176258054</v>
      </c>
      <c r="O53" s="10">
        <f t="shared" si="23"/>
        <v>0.65762465225765032</v>
      </c>
      <c r="P53" s="318">
        <f t="shared" si="23"/>
        <v>0</v>
      </c>
      <c r="Q53" s="323">
        <f>SUM(Q47:Q52)</f>
        <v>0.1217748176258054</v>
      </c>
      <c r="R53" s="10">
        <f t="shared" ref="R53:S53" si="24">SUM(R47:R52)</f>
        <v>0</v>
      </c>
      <c r="S53" s="318">
        <f t="shared" si="24"/>
        <v>0</v>
      </c>
      <c r="AA53" s="341"/>
      <c r="AB53" s="341"/>
      <c r="AC53" s="342"/>
      <c r="AD53" s="1"/>
      <c r="AG53" s="176"/>
      <c r="AI53" s="176"/>
    </row>
    <row r="54" spans="1:35">
      <c r="A54" s="509"/>
      <c r="B54" s="512"/>
      <c r="C54" s="13"/>
      <c r="D54" s="513"/>
      <c r="E54" s="512"/>
      <c r="F54" s="13"/>
      <c r="G54" s="513"/>
      <c r="H54" s="512"/>
      <c r="I54" s="13"/>
      <c r="J54" s="513"/>
      <c r="K54" s="512"/>
      <c r="L54" s="13"/>
      <c r="M54" s="513"/>
      <c r="N54" s="512"/>
      <c r="O54" s="13"/>
      <c r="P54" s="513"/>
      <c r="Q54" s="512"/>
      <c r="R54" s="13"/>
      <c r="S54" s="513"/>
      <c r="AA54" s="341"/>
      <c r="AB54" s="341"/>
      <c r="AC54" s="342"/>
      <c r="AD54" s="1"/>
      <c r="AG54" s="176"/>
      <c r="AI54" s="176"/>
    </row>
    <row r="55" spans="1:35">
      <c r="A55" s="526" t="s">
        <v>365</v>
      </c>
      <c r="B55" s="502">
        <f t="shared" ref="B55:P55" si="25">B45+B53</f>
        <v>0.60093584863773652</v>
      </c>
      <c r="C55" s="503">
        <f t="shared" si="25"/>
        <v>0.58861933637222985</v>
      </c>
      <c r="D55" s="504">
        <f t="shared" si="25"/>
        <v>0.37755148413207551</v>
      </c>
      <c r="E55" s="502">
        <f t="shared" si="25"/>
        <v>0.64272485574506533</v>
      </c>
      <c r="F55" s="503">
        <f t="shared" si="25"/>
        <v>0.85822851025303271</v>
      </c>
      <c r="G55" s="504">
        <f t="shared" si="25"/>
        <v>0.56806128413207546</v>
      </c>
      <c r="H55" s="502">
        <f t="shared" si="25"/>
        <v>0.76971436159531192</v>
      </c>
      <c r="I55" s="503">
        <f t="shared" si="25"/>
        <v>0.67035884251408584</v>
      </c>
      <c r="J55" s="504">
        <f t="shared" si="25"/>
        <v>0</v>
      </c>
      <c r="K55" s="502">
        <f t="shared" si="25"/>
        <v>2.0907838686324718</v>
      </c>
      <c r="L55" s="503">
        <f t="shared" si="25"/>
        <v>0</v>
      </c>
      <c r="M55" s="504">
        <f t="shared" si="25"/>
        <v>2.0018716364636822</v>
      </c>
      <c r="N55" s="502">
        <f t="shared" si="25"/>
        <v>0.54691841062562385</v>
      </c>
      <c r="O55" s="503">
        <f t="shared" si="25"/>
        <v>1.4087160282473783</v>
      </c>
      <c r="P55" s="504">
        <f t="shared" si="25"/>
        <v>0</v>
      </c>
      <c r="Q55" s="502">
        <f>Q45+Q53</f>
        <v>0.15077661092521727</v>
      </c>
      <c r="R55" s="503">
        <f t="shared" ref="R55:S55" si="26">R45+R53</f>
        <v>0</v>
      </c>
      <c r="S55" s="504">
        <f t="shared" si="26"/>
        <v>0</v>
      </c>
      <c r="AA55" s="341"/>
      <c r="AB55" s="341"/>
      <c r="AC55" s="342"/>
      <c r="AD55" s="1"/>
      <c r="AG55" s="176"/>
      <c r="AI55" s="176"/>
    </row>
    <row r="56" spans="1:35">
      <c r="A56" s="501" t="s">
        <v>368</v>
      </c>
      <c r="B56" s="494">
        <f>-B38</f>
        <v>-0.14908529211746521</v>
      </c>
      <c r="C56" s="497">
        <f>-C38</f>
        <v>-8.6585323029366307E-2</v>
      </c>
      <c r="D56" s="498"/>
      <c r="E56" s="494">
        <f>-E38</f>
        <v>-3.4805886386358467E-2</v>
      </c>
      <c r="F56" s="497"/>
      <c r="G56" s="498"/>
      <c r="H56" s="494">
        <f>-H38</f>
        <v>-3.0058660904764507E-2</v>
      </c>
      <c r="I56" s="497"/>
      <c r="J56" s="498"/>
      <c r="K56" s="494">
        <f>-K38</f>
        <v>-7.4705958549222806E-3</v>
      </c>
      <c r="L56" s="497"/>
      <c r="M56" s="498"/>
      <c r="N56" s="494">
        <f>-N38</f>
        <v>-3.5760622833297673E-2</v>
      </c>
      <c r="O56" s="497"/>
      <c r="P56" s="498"/>
      <c r="Q56" s="494">
        <f>-Q38</f>
        <v>0</v>
      </c>
      <c r="R56" s="497"/>
      <c r="S56" s="498"/>
      <c r="AA56" s="341"/>
      <c r="AB56" s="341"/>
      <c r="AC56" s="342"/>
      <c r="AD56" s="1"/>
      <c r="AG56" s="176"/>
      <c r="AI56" s="176"/>
    </row>
    <row r="57" spans="1:35">
      <c r="A57" s="328" t="s">
        <v>367</v>
      </c>
      <c r="B57" s="323">
        <f t="shared" ref="B57:D57" si="27">IF(B40+B41+B42+B43+B44+B53&gt;0.0498,0.0498-B40-B41-B42-B43-B44-B53,0)</f>
        <v>-0.10097661092521729</v>
      </c>
      <c r="C57" s="544">
        <f t="shared" si="27"/>
        <v>-0.22425843374471838</v>
      </c>
      <c r="D57" s="318">
        <f t="shared" si="27"/>
        <v>-0.11010238113207549</v>
      </c>
      <c r="E57" s="323">
        <f t="shared" ref="E57:G57" si="28">IF(E40+E41+E42+E43+E44+E53&gt;0.0498,0.0498-E40-E41-E42-E43-E44-E53,0)</f>
        <v>-0.10097661092521729</v>
      </c>
      <c r="F57" s="544">
        <f t="shared" si="28"/>
        <v>-0.37024245815329554</v>
      </c>
      <c r="G57" s="318">
        <f t="shared" si="28"/>
        <v>-0.11010238113207549</v>
      </c>
      <c r="H57" s="323">
        <f>IF(H40+H41+H42+H43+H44+H53&gt;0.0498,0.0498-H40-H41-H42-H43-H44-H53,0)</f>
        <v>-0.10097661092521729</v>
      </c>
      <c r="I57" s="544">
        <f>IF(I40+I41+I42+I43+I44+I53&gt;0.0498,0.0498-I40-I41-I42-I43-I44-I53,0)</f>
        <v>-4.4572736721185932E-2</v>
      </c>
      <c r="J57" s="318">
        <f>IF(J40+J41+J42+J43+J44+J53&gt;0.0498,0.0498-J40-J41-J42-J43-J44-J53,0)</f>
        <v>0</v>
      </c>
      <c r="K57" s="323">
        <f t="shared" ref="K57:S57" si="29">IF(K40+K41+K42+K43+K44+K53&gt;0.0498,0.0498-K40-K41-K42-K43-K44-K53,0)</f>
        <v>-0.10097661092521729</v>
      </c>
      <c r="L57" s="544">
        <f t="shared" si="29"/>
        <v>0</v>
      </c>
      <c r="M57" s="318">
        <f t="shared" si="29"/>
        <v>-0.11010238113207549</v>
      </c>
      <c r="N57" s="323">
        <f t="shared" si="29"/>
        <v>-0.10097661092521729</v>
      </c>
      <c r="O57" s="544">
        <f t="shared" si="29"/>
        <v>-0.71600569227476996</v>
      </c>
      <c r="P57" s="318">
        <f t="shared" si="29"/>
        <v>0</v>
      </c>
      <c r="Q57" s="323">
        <f t="shared" si="29"/>
        <v>-0.10097661092521729</v>
      </c>
      <c r="R57" s="544">
        <f t="shared" si="29"/>
        <v>0</v>
      </c>
      <c r="S57" s="318">
        <f t="shared" si="29"/>
        <v>0</v>
      </c>
      <c r="AA57" s="341"/>
      <c r="AB57" s="341"/>
      <c r="AC57" s="342"/>
      <c r="AD57" s="1"/>
      <c r="AG57" s="176"/>
      <c r="AI57" s="176"/>
    </row>
    <row r="58" spans="1:35">
      <c r="A58" s="526" t="s">
        <v>366</v>
      </c>
      <c r="B58" s="502">
        <f t="shared" ref="B58:S58" si="30">SUM(B55:B57)</f>
        <v>0.35087394559505403</v>
      </c>
      <c r="C58" s="503">
        <f t="shared" si="30"/>
        <v>0.27777557959814519</v>
      </c>
      <c r="D58" s="504">
        <f t="shared" si="30"/>
        <v>0.26744910300000002</v>
      </c>
      <c r="E58" s="502">
        <f t="shared" si="30"/>
        <v>0.50694235843348956</v>
      </c>
      <c r="F58" s="503">
        <f t="shared" si="30"/>
        <v>0.48798605209973717</v>
      </c>
      <c r="G58" s="504">
        <f t="shared" si="30"/>
        <v>0.45795890299999997</v>
      </c>
      <c r="H58" s="502">
        <f t="shared" si="30"/>
        <v>0.63867908976533017</v>
      </c>
      <c r="I58" s="503">
        <f t="shared" si="30"/>
        <v>0.62578610579289995</v>
      </c>
      <c r="J58" s="504">
        <f t="shared" si="30"/>
        <v>0</v>
      </c>
      <c r="K58" s="502">
        <f t="shared" si="30"/>
        <v>1.9823366618523321</v>
      </c>
      <c r="L58" s="503">
        <f t="shared" si="30"/>
        <v>0</v>
      </c>
      <c r="M58" s="504">
        <f t="shared" si="30"/>
        <v>1.8917692553316066</v>
      </c>
      <c r="N58" s="502">
        <f t="shared" si="30"/>
        <v>0.41018117686710887</v>
      </c>
      <c r="O58" s="503">
        <f t="shared" si="30"/>
        <v>0.69271033597260834</v>
      </c>
      <c r="P58" s="504">
        <f t="shared" si="30"/>
        <v>0</v>
      </c>
      <c r="Q58" s="502">
        <f t="shared" si="30"/>
        <v>4.9799999999999983E-2</v>
      </c>
      <c r="R58" s="503">
        <f t="shared" si="30"/>
        <v>0</v>
      </c>
      <c r="S58" s="504">
        <f t="shared" si="30"/>
        <v>0</v>
      </c>
      <c r="AA58" s="341"/>
      <c r="AB58" s="341"/>
      <c r="AC58" s="342"/>
      <c r="AD58" s="1"/>
      <c r="AG58" s="176"/>
      <c r="AI58" s="176"/>
    </row>
    <row r="59" spans="1:35">
      <c r="A59" s="509"/>
      <c r="B59" s="510"/>
      <c r="C59" s="509"/>
      <c r="D59" s="511"/>
      <c r="E59" s="510"/>
      <c r="F59" s="509"/>
      <c r="G59" s="511"/>
      <c r="H59" s="510"/>
      <c r="I59" s="509"/>
      <c r="J59" s="511"/>
      <c r="K59" s="510"/>
      <c r="L59" s="509"/>
      <c r="M59" s="511"/>
      <c r="N59" s="510"/>
      <c r="O59" s="509"/>
      <c r="P59" s="511"/>
      <c r="Q59" s="510"/>
      <c r="R59" s="509"/>
      <c r="S59" s="511"/>
      <c r="AA59" s="341"/>
      <c r="AB59" s="341"/>
      <c r="AC59" s="342"/>
      <c r="AD59" s="1"/>
      <c r="AG59" s="176"/>
      <c r="AI59" s="176"/>
    </row>
    <row r="60" spans="1:35">
      <c r="A60" s="526" t="s">
        <v>392</v>
      </c>
      <c r="B60" s="517">
        <f>$B$84</f>
        <v>400</v>
      </c>
      <c r="C60" s="518">
        <v>226.45</v>
      </c>
      <c r="D60" s="519">
        <v>200</v>
      </c>
      <c r="E60" s="517">
        <f>$B$85</f>
        <v>5800</v>
      </c>
      <c r="F60" s="518">
        <v>2330.5300000000002</v>
      </c>
      <c r="G60" s="519">
        <v>9000</v>
      </c>
      <c r="H60" s="517">
        <f>$B$86</f>
        <v>0</v>
      </c>
      <c r="I60" s="518">
        <v>182.81</v>
      </c>
      <c r="J60" s="519">
        <v>0</v>
      </c>
      <c r="K60" s="517">
        <f>$B$87</f>
        <v>0</v>
      </c>
      <c r="L60" s="518">
        <v>0</v>
      </c>
      <c r="M60" s="519">
        <v>1600</v>
      </c>
      <c r="N60" s="517">
        <f>$B$88</f>
        <v>0</v>
      </c>
      <c r="O60" s="518">
        <v>467.3</v>
      </c>
      <c r="P60" s="519">
        <v>0</v>
      </c>
      <c r="Q60" s="517">
        <f>$B$89</f>
        <v>0</v>
      </c>
      <c r="R60" s="518">
        <v>0</v>
      </c>
      <c r="S60" s="519">
        <v>0</v>
      </c>
      <c r="AA60" s="341"/>
      <c r="AB60" s="341"/>
      <c r="AC60" s="342"/>
      <c r="AD60" s="1"/>
      <c r="AG60" s="176"/>
      <c r="AI60" s="176"/>
    </row>
    <row r="61" spans="1:35">
      <c r="A61" s="505"/>
      <c r="B61" s="506"/>
      <c r="C61" s="507"/>
      <c r="D61" s="508"/>
      <c r="E61" s="506"/>
      <c r="F61" s="507"/>
      <c r="G61" s="508"/>
      <c r="H61" s="506"/>
      <c r="I61" s="507"/>
      <c r="J61" s="508"/>
      <c r="K61" s="506"/>
      <c r="L61" s="507"/>
      <c r="M61" s="508"/>
      <c r="N61" s="506"/>
      <c r="O61" s="507"/>
      <c r="P61" s="508"/>
      <c r="Q61" s="506"/>
      <c r="R61" s="507"/>
      <c r="S61" s="508"/>
      <c r="AA61" s="341"/>
      <c r="AB61" s="341"/>
      <c r="AC61" s="342"/>
      <c r="AD61" s="1"/>
      <c r="AG61" s="176"/>
      <c r="AI61" s="176"/>
    </row>
    <row r="62" spans="1:35">
      <c r="A62" s="526" t="s">
        <v>371</v>
      </c>
      <c r="B62" s="502"/>
      <c r="C62" s="543">
        <v>0</v>
      </c>
      <c r="D62" s="504">
        <v>0</v>
      </c>
      <c r="E62" s="502"/>
      <c r="F62" s="543">
        <f>(2142442-8800-10000-335500-4151-214817)/(3464866-231140)</f>
        <v>0.485252615713267</v>
      </c>
      <c r="G62" s="504">
        <v>0.35899999999999999</v>
      </c>
      <c r="H62" s="502"/>
      <c r="I62" s="543">
        <v>0.36387930631741716</v>
      </c>
      <c r="J62" s="504">
        <v>0</v>
      </c>
      <c r="K62" s="502"/>
      <c r="L62" s="543">
        <v>2.8879999999999999</v>
      </c>
      <c r="M62" s="504">
        <v>2.9569999999999999</v>
      </c>
      <c r="N62" s="502"/>
      <c r="O62" s="543">
        <v>0.75800000000000001</v>
      </c>
      <c r="P62" s="504">
        <v>0.29299999999999998</v>
      </c>
      <c r="Q62" s="502"/>
      <c r="R62" s="543">
        <v>0</v>
      </c>
      <c r="S62" s="504">
        <v>1.595</v>
      </c>
      <c r="AA62" s="341"/>
      <c r="AB62" s="341"/>
      <c r="AC62" s="342"/>
      <c r="AD62" s="1"/>
      <c r="AG62" s="176"/>
      <c r="AI62" s="176"/>
    </row>
    <row r="63" spans="1:35" ht="15.75" thickBot="1">
      <c r="A63" s="523"/>
      <c r="B63" s="524"/>
      <c r="C63" s="509"/>
      <c r="D63" s="509"/>
      <c r="E63" s="525"/>
      <c r="H63" s="525"/>
      <c r="K63" s="338"/>
      <c r="N63" s="338"/>
      <c r="Q63" s="338"/>
      <c r="AA63" s="341"/>
      <c r="AB63" s="341"/>
      <c r="AC63" s="342"/>
      <c r="AD63" s="1"/>
      <c r="AG63" s="176"/>
      <c r="AI63" s="176"/>
    </row>
    <row r="64" spans="1:35" ht="15.75" thickBot="1">
      <c r="A64" s="527" t="s">
        <v>391</v>
      </c>
      <c r="B64" s="520">
        <f>B29+E29+H29+K29+N29+Q29+B60+E60+H60+K60+N60+Q60</f>
        <v>30266</v>
      </c>
      <c r="C64" s="521">
        <f>C29+F29+I29+L29+O29+R29+C60+F60+I60+L60+O60+R60</f>
        <v>17737.332999999999</v>
      </c>
      <c r="D64" s="522">
        <f>D29+G29+J29+M29+P29+S29+D60+G60+J60+M60+P60+S60</f>
        <v>26500</v>
      </c>
      <c r="H64" s="52"/>
      <c r="AA64" s="341"/>
      <c r="AB64" s="341"/>
      <c r="AC64" s="342"/>
      <c r="AD64" s="1"/>
      <c r="AG64" s="176"/>
      <c r="AI64" s="176"/>
    </row>
    <row r="65" spans="1:35">
      <c r="A65" s="340"/>
      <c r="B65" s="196"/>
      <c r="C65" s="4"/>
      <c r="D65" s="4"/>
      <c r="H65" s="52"/>
      <c r="AA65" s="341"/>
      <c r="AB65" s="341"/>
      <c r="AC65" s="342"/>
      <c r="AD65" s="1"/>
      <c r="AG65" s="176"/>
      <c r="AI65" s="176"/>
    </row>
    <row r="66" spans="1:35">
      <c r="A66" s="340"/>
      <c r="B66" s="196"/>
      <c r="C66" s="4"/>
      <c r="D66" s="4"/>
      <c r="H66" s="52"/>
      <c r="AA66" s="341"/>
      <c r="AB66" s="341"/>
      <c r="AC66" s="342"/>
      <c r="AD66" s="1"/>
      <c r="AG66" s="176"/>
      <c r="AI66" s="176"/>
    </row>
    <row r="67" spans="1:35" ht="16.5">
      <c r="A67" s="6"/>
      <c r="B67" s="26" t="s">
        <v>229</v>
      </c>
      <c r="C67" s="26" t="s">
        <v>230</v>
      </c>
      <c r="D67" s="26" t="s">
        <v>231</v>
      </c>
      <c r="H67" s="52"/>
      <c r="AA67" s="341"/>
      <c r="AB67" s="341"/>
      <c r="AC67" s="342"/>
      <c r="AD67" s="1"/>
      <c r="AG67" s="176"/>
      <c r="AI67" s="176"/>
    </row>
    <row r="68" spans="1:35">
      <c r="A68" s="343" t="s">
        <v>232</v>
      </c>
      <c r="B68" s="859" t="s">
        <v>233</v>
      </c>
      <c r="C68" s="859"/>
      <c r="D68" s="859"/>
      <c r="H68" s="52"/>
      <c r="AA68" s="341"/>
      <c r="AB68" s="341"/>
      <c r="AC68" s="342"/>
      <c r="AD68" s="1"/>
      <c r="AG68" s="176"/>
      <c r="AI68" s="176"/>
    </row>
    <row r="69" spans="1:35">
      <c r="A69" s="328" t="s">
        <v>234</v>
      </c>
      <c r="B69" s="344">
        <f>SUM(C69:D69)</f>
        <v>10224.368446281118</v>
      </c>
      <c r="C69" s="344">
        <f>W14*$V$29</f>
        <v>9594.889922281116</v>
      </c>
      <c r="D69" s="344">
        <f>W22*$V$29</f>
        <v>629.47852400000204</v>
      </c>
      <c r="H69" s="52"/>
      <c r="AA69" s="341"/>
      <c r="AB69" s="341"/>
      <c r="AC69" s="342"/>
      <c r="AD69" s="1"/>
      <c r="AG69" s="176"/>
      <c r="AI69" s="176"/>
    </row>
    <row r="70" spans="1:35">
      <c r="A70" s="328" t="s">
        <v>235</v>
      </c>
      <c r="B70" s="196">
        <f>SUM(C70:D70)</f>
        <v>3056.1581062626237</v>
      </c>
      <c r="C70" s="196">
        <f>X14*$V$29</f>
        <v>0</v>
      </c>
      <c r="D70" s="196">
        <f>X22*$V$29</f>
        <v>3056.1581062626237</v>
      </c>
      <c r="AA70" s="341"/>
      <c r="AB70" s="341"/>
      <c r="AC70" s="342"/>
      <c r="AD70" s="1"/>
      <c r="AG70" s="176"/>
      <c r="AI70" s="176"/>
    </row>
    <row r="71" spans="1:35" ht="16.5">
      <c r="A71" s="328" t="s">
        <v>236</v>
      </c>
      <c r="B71" s="345">
        <f>SUM(C71:D71)</f>
        <v>0</v>
      </c>
      <c r="C71" s="345">
        <v>0</v>
      </c>
      <c r="D71" s="345">
        <v>0</v>
      </c>
      <c r="AA71" s="341"/>
      <c r="AB71" s="341"/>
      <c r="AC71" s="342"/>
      <c r="AD71" s="1"/>
      <c r="AG71" s="176"/>
      <c r="AI71" s="176"/>
    </row>
    <row r="72" spans="1:35">
      <c r="A72" s="340" t="s">
        <v>64</v>
      </c>
      <c r="B72" s="344">
        <f>SUM(B69:B71)</f>
        <v>13280.526552543743</v>
      </c>
      <c r="C72" s="344">
        <f>SUM(C69:C71)</f>
        <v>9594.889922281116</v>
      </c>
      <c r="D72" s="344">
        <f>SUM(D69:D71)</f>
        <v>3685.6366302626257</v>
      </c>
      <c r="AA72" s="341"/>
      <c r="AB72" s="341"/>
      <c r="AC72" s="342"/>
      <c r="AD72" s="1"/>
      <c r="AG72" s="176"/>
      <c r="AI72" s="176"/>
    </row>
    <row r="73" spans="1:35" ht="16.5">
      <c r="A73" s="340" t="s">
        <v>237</v>
      </c>
      <c r="B73" s="346">
        <f>SUM(C73:D73)</f>
        <v>-2202.9999999999995</v>
      </c>
      <c r="C73" s="346">
        <v>0</v>
      </c>
      <c r="D73" s="346">
        <f>-V20*V29</f>
        <v>-2202.9999999999995</v>
      </c>
      <c r="AA73" s="341"/>
      <c r="AB73" s="341"/>
      <c r="AC73" s="342"/>
      <c r="AD73" s="1"/>
      <c r="AG73" s="176"/>
      <c r="AI73" s="176"/>
    </row>
    <row r="74" spans="1:35" ht="16.5">
      <c r="A74" s="340" t="s">
        <v>238</v>
      </c>
      <c r="B74" s="347">
        <f>SUM(B72:B73)</f>
        <v>11077.526552543743</v>
      </c>
      <c r="C74" s="347">
        <f>SUM(C72:C73)</f>
        <v>9594.889922281116</v>
      </c>
      <c r="D74" s="347">
        <f>SUM(D72:D73)</f>
        <v>1482.6366302626261</v>
      </c>
      <c r="AA74" s="341"/>
      <c r="AB74" s="341"/>
      <c r="AC74" s="342"/>
      <c r="AD74" s="1"/>
      <c r="AG74" s="176"/>
      <c r="AI74" s="176"/>
    </row>
    <row r="75" spans="1:35">
      <c r="AD75" s="1"/>
      <c r="AG75" s="342"/>
      <c r="AI75" s="342"/>
    </row>
    <row r="76" spans="1:35">
      <c r="A76" s="1"/>
      <c r="B76" s="111" t="s">
        <v>356</v>
      </c>
      <c r="C76" s="111" t="s">
        <v>297</v>
      </c>
      <c r="D76" s="1"/>
      <c r="E76" s="1"/>
      <c r="F76" s="1"/>
      <c r="G76" s="1"/>
      <c r="H76" s="1"/>
    </row>
    <row r="77" spans="1:35" ht="16.5">
      <c r="A77" s="348" t="s">
        <v>239</v>
      </c>
      <c r="B77" s="305" t="s">
        <v>357</v>
      </c>
      <c r="C77" s="3" t="s">
        <v>394</v>
      </c>
      <c r="D77" s="3" t="s">
        <v>240</v>
      </c>
      <c r="E77" s="3" t="s">
        <v>241</v>
      </c>
      <c r="AA77" s="6"/>
      <c r="AB77" s="6"/>
    </row>
    <row r="78" spans="1:35">
      <c r="A78" s="112" t="s">
        <v>327</v>
      </c>
      <c r="B78" s="349">
        <v>8700</v>
      </c>
      <c r="C78" s="350">
        <f>350</f>
        <v>350</v>
      </c>
      <c r="D78" s="65">
        <f>IF(C78&lt;&gt;0,B78/C78,0)</f>
        <v>24.857142857142858</v>
      </c>
      <c r="E78" s="351">
        <f>IF($D$90&lt;&gt;0,D78/$D$90,0)</f>
        <v>0.2874512654463755</v>
      </c>
      <c r="AA78" s="6"/>
      <c r="AB78" s="6"/>
    </row>
    <row r="79" spans="1:35">
      <c r="A79" s="112" t="s">
        <v>328</v>
      </c>
      <c r="B79" s="349">
        <v>1100</v>
      </c>
      <c r="C79" s="350">
        <f>350</f>
        <v>350</v>
      </c>
      <c r="D79" s="65">
        <f>IF(C79&lt;&gt;0,B79/C79,0)</f>
        <v>3.1428571428571428</v>
      </c>
      <c r="E79" s="352">
        <f>IF($D$90&lt;&gt;0,D79/$D$90,0)</f>
        <v>3.6344412872530235E-2</v>
      </c>
      <c r="AA79" s="6"/>
      <c r="AB79" s="6"/>
    </row>
    <row r="80" spans="1:35">
      <c r="A80" s="112" t="s">
        <v>329</v>
      </c>
      <c r="B80" s="349">
        <v>600</v>
      </c>
      <c r="C80" s="350">
        <f>350</f>
        <v>350</v>
      </c>
      <c r="D80" s="65">
        <f t="shared" ref="D80:D88" si="31">IF(C80&lt;&gt;0,B80/C80,0)</f>
        <v>1.7142857142857142</v>
      </c>
      <c r="E80" s="352">
        <f>IF($D$90&lt;&gt;0,D80/$D$90,0)</f>
        <v>1.982422520319831E-2</v>
      </c>
      <c r="AA80" s="6"/>
      <c r="AB80" s="6"/>
    </row>
    <row r="81" spans="1:32">
      <c r="A81" s="112" t="s">
        <v>330</v>
      </c>
      <c r="B81" s="349">
        <v>2664</v>
      </c>
      <c r="C81" s="350">
        <f>350</f>
        <v>350</v>
      </c>
      <c r="D81" s="65">
        <f t="shared" si="31"/>
        <v>7.6114285714285712</v>
      </c>
      <c r="E81" s="352">
        <f>IF($D$90&lt;&gt;0,D81/$D$90,0)</f>
        <v>8.8019559902200506E-2</v>
      </c>
      <c r="AA81" s="6"/>
      <c r="AB81" s="6"/>
    </row>
    <row r="82" spans="1:32">
      <c r="A82" s="112" t="s">
        <v>331</v>
      </c>
      <c r="B82" s="349">
        <v>0</v>
      </c>
      <c r="C82" s="350">
        <f>350</f>
        <v>350</v>
      </c>
      <c r="D82" s="65">
        <f t="shared" si="31"/>
        <v>0</v>
      </c>
      <c r="E82" s="352">
        <f>IF($D$90&lt;&gt;0,D82/$D$90,0)</f>
        <v>0</v>
      </c>
      <c r="AA82" s="6"/>
      <c r="AB82" s="6"/>
    </row>
    <row r="83" spans="1:32">
      <c r="A83" s="112" t="s">
        <v>332</v>
      </c>
      <c r="B83" s="349">
        <v>11002</v>
      </c>
      <c r="C83" s="350">
        <f>350</f>
        <v>350</v>
      </c>
      <c r="D83" s="65">
        <f t="shared" si="31"/>
        <v>31.434285714285714</v>
      </c>
      <c r="E83" s="352">
        <f t="shared" ref="E83:E88" si="32">IF($D$90&lt;&gt;0,D83/$D$90,0)</f>
        <v>0.36351020947597973</v>
      </c>
      <c r="AA83" s="6"/>
      <c r="AB83" s="6"/>
    </row>
    <row r="84" spans="1:32">
      <c r="A84" s="112" t="s">
        <v>370</v>
      </c>
      <c r="B84" s="349">
        <v>400</v>
      </c>
      <c r="C84" s="350">
        <f>350</f>
        <v>350</v>
      </c>
      <c r="D84" s="65">
        <f t="shared" si="31"/>
        <v>1.1428571428571428</v>
      </c>
      <c r="E84" s="352">
        <f t="shared" si="32"/>
        <v>1.3216150135465541E-2</v>
      </c>
      <c r="AA84" s="6"/>
      <c r="AB84" s="6"/>
    </row>
    <row r="85" spans="1:32">
      <c r="A85" s="112" t="s">
        <v>333</v>
      </c>
      <c r="B85" s="349">
        <v>5800</v>
      </c>
      <c r="C85" s="350">
        <f>350</f>
        <v>350</v>
      </c>
      <c r="D85" s="65">
        <f t="shared" si="31"/>
        <v>16.571428571428573</v>
      </c>
      <c r="E85" s="352">
        <f t="shared" si="32"/>
        <v>0.19163417696425036</v>
      </c>
      <c r="AA85" s="6"/>
      <c r="AB85" s="6"/>
    </row>
    <row r="86" spans="1:32">
      <c r="A86" s="112" t="s">
        <v>334</v>
      </c>
      <c r="B86" s="349">
        <v>0</v>
      </c>
      <c r="C86" s="350">
        <f>350</f>
        <v>350</v>
      </c>
      <c r="D86" s="65">
        <f t="shared" si="31"/>
        <v>0</v>
      </c>
      <c r="E86" s="352">
        <f t="shared" si="32"/>
        <v>0</v>
      </c>
      <c r="AA86" s="6"/>
      <c r="AB86" s="6"/>
    </row>
    <row r="87" spans="1:32">
      <c r="A87" s="112" t="s">
        <v>335</v>
      </c>
      <c r="B87" s="349">
        <v>0</v>
      </c>
      <c r="C87" s="350">
        <f>350</f>
        <v>350</v>
      </c>
      <c r="D87" s="65">
        <f t="shared" si="31"/>
        <v>0</v>
      </c>
      <c r="E87" s="352">
        <f t="shared" si="32"/>
        <v>0</v>
      </c>
      <c r="AA87" s="6"/>
      <c r="AB87" s="6"/>
    </row>
    <row r="88" spans="1:32">
      <c r="A88" s="112" t="s">
        <v>326</v>
      </c>
      <c r="B88" s="349">
        <v>0</v>
      </c>
      <c r="C88" s="350">
        <f>350</f>
        <v>350</v>
      </c>
      <c r="D88" s="65">
        <f t="shared" si="31"/>
        <v>0</v>
      </c>
      <c r="E88" s="352">
        <f t="shared" si="32"/>
        <v>0</v>
      </c>
      <c r="AA88" s="6"/>
      <c r="AB88" s="6"/>
    </row>
    <row r="89" spans="1:32">
      <c r="A89" s="112" t="s">
        <v>216</v>
      </c>
      <c r="B89" s="349">
        <v>0</v>
      </c>
      <c r="C89" s="350">
        <f>350</f>
        <v>350</v>
      </c>
      <c r="D89" s="65">
        <f>IF(C89&lt;&gt;0,B89/C89,0)</f>
        <v>0</v>
      </c>
      <c r="E89" s="352">
        <f>IF($D$90&lt;&gt;0,D89/$D$90,0)</f>
        <v>0</v>
      </c>
      <c r="AA89" s="6"/>
      <c r="AB89" s="6"/>
    </row>
    <row r="90" spans="1:32" ht="15.75" thickBot="1">
      <c r="A90" s="353" t="s">
        <v>229</v>
      </c>
      <c r="B90" s="354">
        <f>SUM(B78:B89)</f>
        <v>30266</v>
      </c>
      <c r="C90" s="354">
        <f>B90/D90</f>
        <v>350.00000000000006</v>
      </c>
      <c r="D90" s="354">
        <f>SUM(D78:D89)</f>
        <v>86.474285714285699</v>
      </c>
      <c r="E90" s="355">
        <f>IF($D$90&lt;&gt;0,D90/$D$90,0)</f>
        <v>1</v>
      </c>
      <c r="AA90" s="6"/>
      <c r="AB90" s="6"/>
    </row>
    <row r="91" spans="1:32" ht="16.5">
      <c r="C91" s="356"/>
      <c r="D91" s="356"/>
      <c r="AA91" s="6"/>
      <c r="AB91" s="6"/>
    </row>
    <row r="92" spans="1:32">
      <c r="A92" s="23"/>
      <c r="B92" s="351"/>
      <c r="C92" s="351"/>
      <c r="D92" s="351"/>
      <c r="E92" s="1"/>
      <c r="F92" s="357"/>
      <c r="G92" s="1"/>
      <c r="H92" s="1"/>
      <c r="L92" s="85"/>
      <c r="AA92" s="6"/>
      <c r="AB92" s="6"/>
    </row>
    <row r="93" spans="1:32">
      <c r="A93" s="358" t="s">
        <v>242</v>
      </c>
      <c r="B93" s="406"/>
      <c r="C93" s="406"/>
      <c r="D93" s="406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07"/>
      <c r="AA93" s="6"/>
      <c r="AB93" s="6"/>
    </row>
    <row r="94" spans="1:32">
      <c r="A94" s="30"/>
      <c r="B94" s="359"/>
      <c r="C94" s="359"/>
      <c r="D94" s="360"/>
      <c r="E94" s="360"/>
      <c r="F94" s="1"/>
      <c r="G94" s="8"/>
      <c r="H94" s="1"/>
      <c r="I94" s="8"/>
      <c r="J94" s="1"/>
      <c r="K94" s="70"/>
      <c r="O94" s="25"/>
      <c r="AA94" s="6"/>
      <c r="AB94" s="6"/>
    </row>
    <row r="95" spans="1:32" ht="17.25" thickBot="1">
      <c r="A95" s="30"/>
      <c r="B95" s="1"/>
      <c r="C95" s="1"/>
      <c r="D95" s="847" t="s">
        <v>327</v>
      </c>
      <c r="E95" s="848"/>
      <c r="F95" s="847" t="s">
        <v>328</v>
      </c>
      <c r="G95" s="848"/>
      <c r="H95" s="847" t="s">
        <v>329</v>
      </c>
      <c r="I95" s="848"/>
      <c r="J95" s="847" t="s">
        <v>330</v>
      </c>
      <c r="K95" s="848"/>
      <c r="L95" s="847" t="s">
        <v>331</v>
      </c>
      <c r="M95" s="848"/>
      <c r="N95" s="847" t="s">
        <v>332</v>
      </c>
      <c r="O95" s="848"/>
      <c r="AA95" s="6"/>
      <c r="AB95" s="6"/>
    </row>
    <row r="96" spans="1:32" ht="30">
      <c r="A96" s="30" t="s">
        <v>243</v>
      </c>
      <c r="B96" s="550" t="s">
        <v>27</v>
      </c>
      <c r="C96" s="551" t="s">
        <v>396</v>
      </c>
      <c r="D96" s="48" t="s">
        <v>244</v>
      </c>
      <c r="E96" s="362" t="s">
        <v>245</v>
      </c>
      <c r="F96" s="361" t="s">
        <v>244</v>
      </c>
      <c r="G96" s="362" t="s">
        <v>245</v>
      </c>
      <c r="H96" s="361" t="s">
        <v>244</v>
      </c>
      <c r="I96" s="362" t="s">
        <v>245</v>
      </c>
      <c r="J96" s="361" t="s">
        <v>244</v>
      </c>
      <c r="K96" s="362" t="s">
        <v>245</v>
      </c>
      <c r="L96" s="361" t="s">
        <v>244</v>
      </c>
      <c r="M96" s="362" t="s">
        <v>245</v>
      </c>
      <c r="N96" s="361" t="s">
        <v>244</v>
      </c>
      <c r="O96" s="362" t="s">
        <v>245</v>
      </c>
      <c r="P96" s="72"/>
      <c r="Q96" s="72"/>
      <c r="AA96" s="111"/>
      <c r="AB96" s="363" t="s">
        <v>246</v>
      </c>
      <c r="AE96" s="364" t="s">
        <v>247</v>
      </c>
      <c r="AF96" s="364" t="s">
        <v>248</v>
      </c>
    </row>
    <row r="97" spans="1:32">
      <c r="A97" s="112" t="s">
        <v>336</v>
      </c>
      <c r="B97" s="546">
        <f>0.168+0.032-C97</f>
        <v>0.17200000000000001</v>
      </c>
      <c r="C97" s="547">
        <v>2.8000000000000001E-2</v>
      </c>
      <c r="D97" s="545">
        <v>1.00264</v>
      </c>
      <c r="E97" s="275">
        <f t="shared" ref="E97:E116" si="33">$B97*D97</f>
        <v>0.17245408000000001</v>
      </c>
      <c r="F97" s="528">
        <v>0</v>
      </c>
      <c r="G97" s="275">
        <f t="shared" ref="G97:G116" si="34">$B97*F97</f>
        <v>0</v>
      </c>
      <c r="H97" s="528">
        <v>0</v>
      </c>
      <c r="I97" s="275">
        <f t="shared" ref="I97:I116" si="35">$B97*H97</f>
        <v>0</v>
      </c>
      <c r="J97" s="528">
        <v>1.0310578590572284</v>
      </c>
      <c r="K97" s="275">
        <f t="shared" ref="K97:K116" si="36">$B97*J97</f>
        <v>0.17734195175784329</v>
      </c>
      <c r="L97" s="528">
        <v>0</v>
      </c>
      <c r="M97" s="275">
        <f t="shared" ref="M97:M116" si="37">$B97*L97</f>
        <v>0</v>
      </c>
      <c r="N97" s="528">
        <v>0</v>
      </c>
      <c r="O97" s="275">
        <f t="shared" ref="O97:O116" si="38">$B97*N97</f>
        <v>0</v>
      </c>
      <c r="P97" s="63"/>
      <c r="Q97" s="63"/>
      <c r="AB97" s="365">
        <v>30012</v>
      </c>
      <c r="AD97" s="111"/>
      <c r="AE97" s="366">
        <f>B97*1000</f>
        <v>172</v>
      </c>
      <c r="AF97" s="106">
        <f>E97/B97*1000</f>
        <v>1002.64</v>
      </c>
    </row>
    <row r="98" spans="1:32">
      <c r="A98" s="112" t="s">
        <v>337</v>
      </c>
      <c r="B98" s="546">
        <f>0.168+0.032-C98</f>
        <v>0.17200000000000001</v>
      </c>
      <c r="C98" s="547">
        <v>2.8000000000000001E-2</v>
      </c>
      <c r="D98" s="545">
        <v>0</v>
      </c>
      <c r="E98" s="367">
        <f t="shared" si="33"/>
        <v>0</v>
      </c>
      <c r="F98" s="553">
        <v>0</v>
      </c>
      <c r="G98" s="555">
        <f t="shared" si="34"/>
        <v>0</v>
      </c>
      <c r="H98" s="528">
        <v>0</v>
      </c>
      <c r="I98" s="367">
        <f t="shared" si="35"/>
        <v>0</v>
      </c>
      <c r="J98" s="528">
        <v>0</v>
      </c>
      <c r="K98" s="367">
        <f t="shared" si="36"/>
        <v>0</v>
      </c>
      <c r="L98" s="528">
        <v>0</v>
      </c>
      <c r="M98" s="367">
        <f t="shared" si="37"/>
        <v>0</v>
      </c>
      <c r="N98" s="528">
        <v>0.96649075853748823</v>
      </c>
      <c r="O98" s="367">
        <f t="shared" si="38"/>
        <v>0.16623641046844798</v>
      </c>
      <c r="P98" s="368"/>
      <c r="Q98" s="368"/>
      <c r="AB98" s="365">
        <v>30282</v>
      </c>
      <c r="AD98" s="111"/>
      <c r="AE98" s="366"/>
      <c r="AF98" s="106"/>
    </row>
    <row r="99" spans="1:32">
      <c r="A99" s="112" t="s">
        <v>338</v>
      </c>
      <c r="B99" s="546">
        <f>0.4821+0.032-C99</f>
        <v>0.28500000000000003</v>
      </c>
      <c r="C99" s="547">
        <v>0.2291</v>
      </c>
      <c r="D99" s="545">
        <v>0</v>
      </c>
      <c r="E99" s="367">
        <f t="shared" si="33"/>
        <v>0</v>
      </c>
      <c r="F99" s="528">
        <v>0</v>
      </c>
      <c r="G99" s="367">
        <f t="shared" si="34"/>
        <v>0</v>
      </c>
      <c r="H99" s="528">
        <v>0.98482999999999998</v>
      </c>
      <c r="I99" s="367">
        <f t="shared" si="35"/>
        <v>0.28067655000000002</v>
      </c>
      <c r="J99" s="528">
        <v>0</v>
      </c>
      <c r="K99" s="367">
        <f t="shared" si="36"/>
        <v>0</v>
      </c>
      <c r="L99" s="528">
        <v>0</v>
      </c>
      <c r="M99" s="367">
        <f t="shared" si="37"/>
        <v>0</v>
      </c>
      <c r="N99" s="528">
        <v>0</v>
      </c>
      <c r="O99" s="367">
        <f t="shared" si="38"/>
        <v>0</v>
      </c>
      <c r="P99" s="368"/>
      <c r="Q99" s="368"/>
      <c r="AB99" s="365"/>
      <c r="AD99" s="111"/>
      <c r="AE99" s="366"/>
      <c r="AF99" s="106"/>
    </row>
    <row r="100" spans="1:32">
      <c r="A100" s="112" t="s">
        <v>339</v>
      </c>
      <c r="B100" s="546">
        <f>0.225+0.032-C100</f>
        <v>0.25700000000000001</v>
      </c>
      <c r="C100" s="547">
        <v>0</v>
      </c>
      <c r="D100" s="545">
        <v>0</v>
      </c>
      <c r="E100" s="367">
        <f t="shared" si="33"/>
        <v>0</v>
      </c>
      <c r="F100" s="528">
        <v>1.0465937136377448</v>
      </c>
      <c r="G100" s="367">
        <f t="shared" si="34"/>
        <v>0.26897458440490041</v>
      </c>
      <c r="H100" s="528">
        <v>0</v>
      </c>
      <c r="I100" s="367">
        <f t="shared" si="35"/>
        <v>0</v>
      </c>
      <c r="J100" s="528">
        <v>0</v>
      </c>
      <c r="K100" s="367">
        <f t="shared" si="36"/>
        <v>0</v>
      </c>
      <c r="L100" s="528">
        <v>0</v>
      </c>
      <c r="M100" s="367">
        <f t="shared" si="37"/>
        <v>0</v>
      </c>
      <c r="N100" s="528">
        <v>0</v>
      </c>
      <c r="O100" s="367">
        <f t="shared" si="38"/>
        <v>0</v>
      </c>
      <c r="P100" s="368"/>
      <c r="Q100" s="368"/>
      <c r="AB100" s="365"/>
      <c r="AD100" s="111"/>
      <c r="AE100" s="366"/>
      <c r="AF100" s="106"/>
    </row>
    <row r="101" spans="1:32">
      <c r="A101" s="112" t="s">
        <v>340</v>
      </c>
      <c r="B101" s="546">
        <f>0.1996+0.032-C101</f>
        <v>0.2316</v>
      </c>
      <c r="C101" s="547">
        <v>0</v>
      </c>
      <c r="D101" s="545">
        <v>0</v>
      </c>
      <c r="E101" s="367">
        <f t="shared" si="33"/>
        <v>0</v>
      </c>
      <c r="F101" s="528">
        <v>0</v>
      </c>
      <c r="G101" s="367">
        <f t="shared" si="34"/>
        <v>0</v>
      </c>
      <c r="H101" s="528">
        <v>0</v>
      </c>
      <c r="I101" s="367">
        <f t="shared" si="35"/>
        <v>0</v>
      </c>
      <c r="J101" s="528">
        <v>0</v>
      </c>
      <c r="K101" s="367">
        <f t="shared" si="36"/>
        <v>0</v>
      </c>
      <c r="L101" s="528">
        <v>1.0230318945237704</v>
      </c>
      <c r="M101" s="367">
        <f t="shared" si="37"/>
        <v>0.23693418677170522</v>
      </c>
      <c r="N101" s="528">
        <v>0</v>
      </c>
      <c r="O101" s="367">
        <f t="shared" si="38"/>
        <v>0</v>
      </c>
      <c r="P101" s="368"/>
      <c r="Q101" s="368"/>
      <c r="AB101" s="365"/>
      <c r="AD101" s="111"/>
      <c r="AE101" s="366"/>
      <c r="AF101" s="106"/>
    </row>
    <row r="102" spans="1:32">
      <c r="A102" s="112" t="s">
        <v>341</v>
      </c>
      <c r="B102" s="546">
        <f>0.54519-C102</f>
        <v>0.51557999999999993</v>
      </c>
      <c r="C102" s="547">
        <f>0.00749+0.02212</f>
        <v>2.9610000000000001E-2</v>
      </c>
      <c r="D102" s="545">
        <v>0</v>
      </c>
      <c r="E102" s="367">
        <f t="shared" si="33"/>
        <v>0</v>
      </c>
      <c r="F102" s="528">
        <v>0</v>
      </c>
      <c r="G102" s="367">
        <f t="shared" si="34"/>
        <v>0</v>
      </c>
      <c r="H102" s="528">
        <v>0</v>
      </c>
      <c r="I102" s="367">
        <f t="shared" si="35"/>
        <v>0</v>
      </c>
      <c r="J102" s="528">
        <v>0</v>
      </c>
      <c r="K102" s="367">
        <f t="shared" si="36"/>
        <v>0</v>
      </c>
      <c r="L102" s="528">
        <v>0</v>
      </c>
      <c r="M102" s="367">
        <f t="shared" si="37"/>
        <v>0</v>
      </c>
      <c r="N102" s="528">
        <v>0</v>
      </c>
      <c r="O102" s="367">
        <f t="shared" si="38"/>
        <v>0</v>
      </c>
      <c r="P102" s="368"/>
      <c r="Q102" s="368"/>
      <c r="AB102" s="365"/>
      <c r="AD102" s="111"/>
      <c r="AE102" s="366"/>
      <c r="AF102" s="106"/>
    </row>
    <row r="103" spans="1:32">
      <c r="A103" s="112" t="s">
        <v>342</v>
      </c>
      <c r="B103" s="546">
        <f>0.3562-C103</f>
        <v>0.32123000000000002</v>
      </c>
      <c r="C103" s="547">
        <f>0.00749+0.02748</f>
        <v>3.4970000000000001E-2</v>
      </c>
      <c r="D103" s="545">
        <v>0</v>
      </c>
      <c r="E103" s="367">
        <f t="shared" si="33"/>
        <v>0</v>
      </c>
      <c r="F103" s="528">
        <v>0</v>
      </c>
      <c r="G103" s="367">
        <f t="shared" si="34"/>
        <v>0</v>
      </c>
      <c r="H103" s="528">
        <v>0</v>
      </c>
      <c r="I103" s="367">
        <f t="shared" si="35"/>
        <v>0</v>
      </c>
      <c r="J103" s="528">
        <v>0</v>
      </c>
      <c r="K103" s="367">
        <f t="shared" si="36"/>
        <v>0</v>
      </c>
      <c r="L103" s="528">
        <v>0</v>
      </c>
      <c r="M103" s="367">
        <f t="shared" si="37"/>
        <v>0</v>
      </c>
      <c r="N103" s="528">
        <v>0</v>
      </c>
      <c r="O103" s="367">
        <f t="shared" si="38"/>
        <v>0</v>
      </c>
      <c r="P103" s="368"/>
      <c r="Q103" s="368"/>
      <c r="AB103" s="365"/>
      <c r="AD103" s="111"/>
      <c r="AE103" s="366"/>
      <c r="AF103" s="106"/>
    </row>
    <row r="104" spans="1:32">
      <c r="A104" s="112" t="s">
        <v>343</v>
      </c>
      <c r="B104" s="546">
        <f>0.4534-C104</f>
        <v>0.41868000000000005</v>
      </c>
      <c r="C104" s="547">
        <f>0.00749+0.02723</f>
        <v>3.4720000000000001E-2</v>
      </c>
      <c r="D104" s="545">
        <v>0</v>
      </c>
      <c r="E104" s="367">
        <f t="shared" si="33"/>
        <v>0</v>
      </c>
      <c r="F104" s="528">
        <v>0</v>
      </c>
      <c r="G104" s="367">
        <f t="shared" si="34"/>
        <v>0</v>
      </c>
      <c r="H104" s="528">
        <v>0</v>
      </c>
      <c r="I104" s="367">
        <f t="shared" si="35"/>
        <v>0</v>
      </c>
      <c r="J104" s="528">
        <v>0</v>
      </c>
      <c r="K104" s="367">
        <f t="shared" si="36"/>
        <v>0</v>
      </c>
      <c r="L104" s="528">
        <v>0</v>
      </c>
      <c r="M104" s="367">
        <f t="shared" si="37"/>
        <v>0</v>
      </c>
      <c r="N104" s="528">
        <v>0</v>
      </c>
      <c r="O104" s="367">
        <f t="shared" si="38"/>
        <v>0</v>
      </c>
      <c r="P104" s="368"/>
      <c r="Q104" s="368"/>
      <c r="AB104" s="365"/>
      <c r="AD104" s="111"/>
      <c r="AE104" s="366"/>
      <c r="AF104" s="106"/>
    </row>
    <row r="105" spans="1:32">
      <c r="A105" s="112" t="s">
        <v>397</v>
      </c>
      <c r="B105" s="546">
        <f>1.9-C105</f>
        <v>1.8925099999999999</v>
      </c>
      <c r="C105" s="547">
        <v>7.4900000000000001E-3</v>
      </c>
      <c r="D105" s="545">
        <v>0</v>
      </c>
      <c r="E105" s="367">
        <f t="shared" si="33"/>
        <v>0</v>
      </c>
      <c r="F105" s="528">
        <v>0</v>
      </c>
      <c r="G105" s="367">
        <f t="shared" si="34"/>
        <v>0</v>
      </c>
      <c r="H105" s="528">
        <v>0</v>
      </c>
      <c r="I105" s="367">
        <f t="shared" si="35"/>
        <v>0</v>
      </c>
      <c r="J105" s="528">
        <v>0</v>
      </c>
      <c r="K105" s="367">
        <f t="shared" si="36"/>
        <v>0</v>
      </c>
      <c r="L105" s="528">
        <v>0</v>
      </c>
      <c r="M105" s="367">
        <f t="shared" si="37"/>
        <v>0</v>
      </c>
      <c r="N105" s="528">
        <v>0</v>
      </c>
      <c r="O105" s="367">
        <f t="shared" si="38"/>
        <v>0</v>
      </c>
      <c r="P105" s="368"/>
      <c r="Q105" s="368"/>
      <c r="AB105" s="365"/>
      <c r="AD105" s="111"/>
      <c r="AE105" s="366"/>
      <c r="AF105" s="106"/>
    </row>
    <row r="106" spans="1:32">
      <c r="A106" s="112" t="s">
        <v>345</v>
      </c>
      <c r="B106" s="546">
        <f>0.3578+0.032-C106</f>
        <v>0.24310000000000004</v>
      </c>
      <c r="C106" s="547">
        <v>0.1467</v>
      </c>
      <c r="D106" s="545">
        <v>0</v>
      </c>
      <c r="E106" s="367">
        <f t="shared" si="33"/>
        <v>0</v>
      </c>
      <c r="F106" s="528">
        <v>0</v>
      </c>
      <c r="G106" s="367">
        <f t="shared" si="34"/>
        <v>0</v>
      </c>
      <c r="H106" s="528">
        <v>0</v>
      </c>
      <c r="I106" s="367">
        <f t="shared" si="35"/>
        <v>0</v>
      </c>
      <c r="J106" s="528">
        <v>0</v>
      </c>
      <c r="K106" s="367">
        <f t="shared" si="36"/>
        <v>0</v>
      </c>
      <c r="L106" s="528">
        <v>0</v>
      </c>
      <c r="M106" s="367">
        <f t="shared" si="37"/>
        <v>0</v>
      </c>
      <c r="N106" s="528">
        <v>0</v>
      </c>
      <c r="O106" s="367">
        <f t="shared" si="38"/>
        <v>0</v>
      </c>
      <c r="P106" s="368"/>
      <c r="Q106" s="368"/>
      <c r="AB106" s="365"/>
      <c r="AD106" s="111"/>
      <c r="AE106" s="366"/>
      <c r="AF106" s="106"/>
    </row>
    <row r="107" spans="1:32">
      <c r="A107" s="112" t="s">
        <v>352</v>
      </c>
      <c r="B107" s="546">
        <v>1.19</v>
      </c>
      <c r="C107" s="547">
        <v>0</v>
      </c>
      <c r="D107" s="545">
        <v>2.0379999999999999E-2</v>
      </c>
      <c r="E107" s="367">
        <f t="shared" si="33"/>
        <v>2.4252199999999998E-2</v>
      </c>
      <c r="F107" s="528">
        <v>3.1498514011280176E-2</v>
      </c>
      <c r="G107" s="367">
        <f t="shared" si="34"/>
        <v>3.7483231673423406E-2</v>
      </c>
      <c r="H107" s="528">
        <v>3.2800000000000003E-2</v>
      </c>
      <c r="I107" s="367">
        <f t="shared" si="35"/>
        <v>3.9032000000000004E-2</v>
      </c>
      <c r="J107" s="528">
        <v>0</v>
      </c>
      <c r="K107" s="367">
        <f t="shared" si="36"/>
        <v>0</v>
      </c>
      <c r="L107" s="528">
        <v>0</v>
      </c>
      <c r="M107" s="367">
        <f t="shared" si="37"/>
        <v>0</v>
      </c>
      <c r="N107" s="528">
        <v>4.0703571281685696E-2</v>
      </c>
      <c r="O107" s="367">
        <f t="shared" si="38"/>
        <v>4.8437249825205975E-2</v>
      </c>
      <c r="P107" s="368"/>
      <c r="Q107" s="368"/>
      <c r="AB107" s="365">
        <v>30017</v>
      </c>
      <c r="AD107" s="111"/>
      <c r="AE107" s="366">
        <f>B107*1000</f>
        <v>1190</v>
      </c>
      <c r="AF107" s="106">
        <f>E107/B107*1000</f>
        <v>20.38</v>
      </c>
    </row>
    <row r="108" spans="1:32">
      <c r="A108" s="112" t="s">
        <v>353</v>
      </c>
      <c r="B108" s="546">
        <v>1.37</v>
      </c>
      <c r="C108" s="547">
        <v>0</v>
      </c>
      <c r="D108" s="545">
        <v>1.593E-2</v>
      </c>
      <c r="E108" s="367">
        <f t="shared" si="33"/>
        <v>2.1824100000000003E-2</v>
      </c>
      <c r="F108" s="528">
        <v>0</v>
      </c>
      <c r="G108" s="367">
        <f t="shared" si="34"/>
        <v>0</v>
      </c>
      <c r="H108" s="528">
        <v>0</v>
      </c>
      <c r="I108" s="367">
        <f t="shared" si="35"/>
        <v>0</v>
      </c>
      <c r="J108" s="528">
        <v>0</v>
      </c>
      <c r="K108" s="367">
        <f t="shared" si="36"/>
        <v>0</v>
      </c>
      <c r="L108" s="528">
        <v>0</v>
      </c>
      <c r="M108" s="367">
        <f t="shared" si="37"/>
        <v>0</v>
      </c>
      <c r="N108" s="528">
        <v>0</v>
      </c>
      <c r="O108" s="367">
        <f t="shared" si="38"/>
        <v>0</v>
      </c>
      <c r="P108" s="368"/>
      <c r="Q108" s="368"/>
      <c r="R108" s="111"/>
      <c r="S108" s="111"/>
      <c r="T108" s="111"/>
      <c r="U108" s="111"/>
      <c r="V108" s="111"/>
      <c r="W108" s="111"/>
      <c r="X108" s="111"/>
      <c r="Y108" s="111"/>
      <c r="AB108" s="365">
        <v>30011</v>
      </c>
      <c r="AD108" s="111"/>
      <c r="AE108" s="366">
        <f>B108*1000</f>
        <v>1370</v>
      </c>
      <c r="AF108" s="106">
        <f>E108/B108*1000</f>
        <v>15.93</v>
      </c>
    </row>
    <row r="109" spans="1:32" ht="16.5">
      <c r="A109" s="112" t="s">
        <v>346</v>
      </c>
      <c r="B109" s="546">
        <v>1.1200000000000001</v>
      </c>
      <c r="C109" s="547">
        <v>0</v>
      </c>
      <c r="D109" s="545">
        <v>2.049E-3</v>
      </c>
      <c r="E109" s="367">
        <f t="shared" si="33"/>
        <v>2.2948800000000004E-3</v>
      </c>
      <c r="F109" s="528">
        <v>0</v>
      </c>
      <c r="G109" s="367">
        <f t="shared" si="34"/>
        <v>0</v>
      </c>
      <c r="H109" s="528">
        <v>0</v>
      </c>
      <c r="I109" s="367">
        <f t="shared" si="35"/>
        <v>0</v>
      </c>
      <c r="J109" s="528">
        <v>0</v>
      </c>
      <c r="K109" s="367">
        <f t="shared" si="36"/>
        <v>0</v>
      </c>
      <c r="L109" s="528">
        <v>0</v>
      </c>
      <c r="M109" s="367">
        <f t="shared" si="37"/>
        <v>0</v>
      </c>
      <c r="N109" s="528">
        <v>0</v>
      </c>
      <c r="O109" s="367">
        <f t="shared" si="38"/>
        <v>0</v>
      </c>
      <c r="P109" s="368"/>
      <c r="Q109" s="368"/>
      <c r="R109" s="111"/>
      <c r="S109" s="111"/>
      <c r="T109" s="111"/>
      <c r="U109" s="111"/>
      <c r="V109" s="111"/>
      <c r="W109" s="111"/>
      <c r="X109" s="111"/>
      <c r="Y109" s="111"/>
      <c r="AB109" s="365">
        <v>30342</v>
      </c>
      <c r="AD109" s="111"/>
      <c r="AE109" s="366"/>
      <c r="AF109" s="369"/>
    </row>
    <row r="110" spans="1:32" ht="16.5">
      <c r="A110" s="112" t="s">
        <v>347</v>
      </c>
      <c r="B110" s="546">
        <v>4.83</v>
      </c>
      <c r="C110" s="547">
        <v>0</v>
      </c>
      <c r="D110" s="545">
        <v>6.9999999999999994E-5</v>
      </c>
      <c r="E110" s="367">
        <f t="shared" si="33"/>
        <v>3.3809999999999998E-4</v>
      </c>
      <c r="F110" s="528">
        <v>0</v>
      </c>
      <c r="G110" s="367">
        <f t="shared" si="34"/>
        <v>0</v>
      </c>
      <c r="H110" s="528">
        <v>0</v>
      </c>
      <c r="I110" s="367">
        <f t="shared" si="35"/>
        <v>0</v>
      </c>
      <c r="J110" s="528">
        <v>0</v>
      </c>
      <c r="K110" s="367">
        <f t="shared" si="36"/>
        <v>0</v>
      </c>
      <c r="L110" s="528">
        <v>0</v>
      </c>
      <c r="M110" s="367">
        <f t="shared" si="37"/>
        <v>0</v>
      </c>
      <c r="N110" s="528">
        <v>8.225600811592614E-6</v>
      </c>
      <c r="O110" s="367">
        <f t="shared" si="38"/>
        <v>3.9729651919992326E-5</v>
      </c>
      <c r="P110" s="368"/>
      <c r="Q110" s="368"/>
      <c r="R110" s="111"/>
      <c r="S110" s="111"/>
      <c r="T110" s="111"/>
      <c r="U110" s="111"/>
      <c r="V110" s="111"/>
      <c r="W110" s="111"/>
      <c r="X110" s="111"/>
      <c r="Y110" s="111"/>
      <c r="AB110" s="365"/>
      <c r="AD110" s="111"/>
      <c r="AE110" s="366"/>
      <c r="AF110" s="369"/>
    </row>
    <row r="111" spans="1:32" ht="16.5">
      <c r="A111" s="112" t="s">
        <v>348</v>
      </c>
      <c r="B111" s="546">
        <v>0.88</v>
      </c>
      <c r="C111" s="547">
        <v>0</v>
      </c>
      <c r="D111" s="545">
        <v>1E-4</v>
      </c>
      <c r="E111" s="367">
        <f t="shared" si="33"/>
        <v>8.8000000000000011E-5</v>
      </c>
      <c r="F111" s="528">
        <v>0</v>
      </c>
      <c r="G111" s="367">
        <f t="shared" si="34"/>
        <v>0</v>
      </c>
      <c r="H111" s="528">
        <v>8.0000000000000007E-5</v>
      </c>
      <c r="I111" s="367">
        <f t="shared" si="35"/>
        <v>7.0400000000000004E-5</v>
      </c>
      <c r="J111" s="528">
        <v>0</v>
      </c>
      <c r="K111" s="367">
        <f t="shared" si="36"/>
        <v>0</v>
      </c>
      <c r="L111" s="528">
        <v>0</v>
      </c>
      <c r="M111" s="367">
        <f t="shared" si="37"/>
        <v>0</v>
      </c>
      <c r="N111" s="528">
        <v>3.1805656471491436E-5</v>
      </c>
      <c r="O111" s="367">
        <f t="shared" si="38"/>
        <v>2.7988977694912463E-5</v>
      </c>
      <c r="P111" s="368"/>
      <c r="Q111" s="368"/>
      <c r="R111" s="111"/>
      <c r="S111" s="111"/>
      <c r="T111" s="111"/>
      <c r="U111" s="111"/>
      <c r="V111" s="111"/>
      <c r="W111" s="111"/>
      <c r="X111" s="111"/>
      <c r="Y111" s="111"/>
      <c r="AB111" s="365"/>
      <c r="AD111" s="111"/>
      <c r="AE111" s="366"/>
      <c r="AF111" s="369"/>
    </row>
    <row r="112" spans="1:32" ht="16.5">
      <c r="A112" s="112" t="s">
        <v>349</v>
      </c>
      <c r="B112" s="546">
        <v>1.67</v>
      </c>
      <c r="C112" s="547">
        <v>0</v>
      </c>
      <c r="D112" s="545">
        <v>5.6999999999999998E-4</v>
      </c>
      <c r="E112" s="367">
        <f t="shared" si="33"/>
        <v>9.5189999999999988E-4</v>
      </c>
      <c r="F112" s="528">
        <v>4.9285910158826623E-4</v>
      </c>
      <c r="G112" s="367">
        <f t="shared" si="34"/>
        <v>8.2307469965240462E-4</v>
      </c>
      <c r="H112" s="528">
        <v>5.2999999999999998E-4</v>
      </c>
      <c r="I112" s="367">
        <f t="shared" si="35"/>
        <v>8.8509999999999988E-4</v>
      </c>
      <c r="J112" s="528">
        <v>0</v>
      </c>
      <c r="K112" s="367">
        <f t="shared" si="36"/>
        <v>0</v>
      </c>
      <c r="L112" s="528">
        <v>0</v>
      </c>
      <c r="M112" s="367">
        <f t="shared" si="37"/>
        <v>0</v>
      </c>
      <c r="N112" s="528">
        <v>1.5403808453175768E-3</v>
      </c>
      <c r="O112" s="367">
        <f t="shared" si="38"/>
        <v>2.5724360116803533E-3</v>
      </c>
      <c r="P112" s="368"/>
      <c r="Q112" s="368"/>
      <c r="R112" s="111"/>
      <c r="S112" s="111"/>
      <c r="T112" s="111"/>
      <c r="U112" s="111"/>
      <c r="V112" s="111"/>
      <c r="W112" s="111"/>
      <c r="X112" s="111"/>
      <c r="Y112" s="111"/>
      <c r="AB112" s="365"/>
      <c r="AD112" s="111"/>
      <c r="AE112" s="366"/>
      <c r="AF112" s="369"/>
    </row>
    <row r="113" spans="1:38" ht="16.5">
      <c r="A113" s="112" t="s">
        <v>350</v>
      </c>
      <c r="B113" s="546">
        <v>1.06</v>
      </c>
      <c r="C113" s="547">
        <v>0</v>
      </c>
      <c r="D113" s="545">
        <v>2.7899999999999999E-3</v>
      </c>
      <c r="E113" s="367">
        <f t="shared" si="33"/>
        <v>2.9574000000000002E-3</v>
      </c>
      <c r="F113" s="528">
        <v>3.9743713267174101E-3</v>
      </c>
      <c r="G113" s="367">
        <f t="shared" si="34"/>
        <v>4.2128336063204548E-3</v>
      </c>
      <c r="H113" s="528">
        <v>4.3400000000000001E-3</v>
      </c>
      <c r="I113" s="367">
        <f t="shared" si="35"/>
        <v>4.6004000000000001E-3</v>
      </c>
      <c r="J113" s="528">
        <v>0</v>
      </c>
      <c r="K113" s="367">
        <f t="shared" si="36"/>
        <v>0</v>
      </c>
      <c r="L113" s="528">
        <v>0</v>
      </c>
      <c r="M113" s="367">
        <f t="shared" si="37"/>
        <v>0</v>
      </c>
      <c r="N113" s="528">
        <v>5.3356401573831621E-3</v>
      </c>
      <c r="O113" s="367">
        <f t="shared" si="38"/>
        <v>5.6557785668261522E-3</v>
      </c>
      <c r="P113" s="368"/>
      <c r="Q113" s="368"/>
      <c r="R113" s="111"/>
      <c r="S113" s="111"/>
      <c r="T113" s="111"/>
      <c r="U113" s="111"/>
      <c r="V113" s="111"/>
      <c r="W113" s="111"/>
      <c r="X113" s="111"/>
      <c r="Y113" s="111"/>
      <c r="AB113" s="365"/>
      <c r="AD113" s="111"/>
      <c r="AE113" s="366"/>
      <c r="AF113" s="369"/>
    </row>
    <row r="114" spans="1:38" ht="16.5">
      <c r="A114" s="112" t="s">
        <v>351</v>
      </c>
      <c r="B114" s="546">
        <v>4</v>
      </c>
      <c r="C114" s="547">
        <v>0</v>
      </c>
      <c r="D114" s="545">
        <v>5.9999999999999995E-4</v>
      </c>
      <c r="E114" s="367">
        <f t="shared" si="33"/>
        <v>2.3999999999999998E-3</v>
      </c>
      <c r="F114" s="528">
        <v>5.5678255649351134E-4</v>
      </c>
      <c r="G114" s="367">
        <f t="shared" si="34"/>
        <v>2.2271302259740454E-3</v>
      </c>
      <c r="H114" s="528">
        <v>6.3000000000000003E-4</v>
      </c>
      <c r="I114" s="367">
        <f t="shared" si="35"/>
        <v>2.5200000000000001E-3</v>
      </c>
      <c r="J114" s="528">
        <v>0</v>
      </c>
      <c r="K114" s="367">
        <f t="shared" si="36"/>
        <v>0</v>
      </c>
      <c r="L114" s="528">
        <v>0</v>
      </c>
      <c r="M114" s="367">
        <f t="shared" si="37"/>
        <v>0</v>
      </c>
      <c r="N114" s="528">
        <v>1.0131198332944903E-3</v>
      </c>
      <c r="O114" s="367">
        <f t="shared" si="38"/>
        <v>4.0524793331779612E-3</v>
      </c>
      <c r="P114" s="368"/>
      <c r="Q114" s="368"/>
      <c r="R114" s="111"/>
      <c r="S114" s="111"/>
      <c r="T114" s="111"/>
      <c r="U114" s="111"/>
      <c r="V114" s="111"/>
      <c r="W114" s="111"/>
      <c r="X114" s="111"/>
      <c r="Y114" s="111"/>
      <c r="AB114" s="365"/>
      <c r="AD114" s="111"/>
      <c r="AE114" s="366"/>
      <c r="AF114" s="369"/>
    </row>
    <row r="115" spans="1:38" ht="16.5">
      <c r="A115" s="112" t="s">
        <v>354</v>
      </c>
      <c r="B115" s="546">
        <v>8.2799999999999994</v>
      </c>
      <c r="C115" s="547">
        <v>0</v>
      </c>
      <c r="D115" s="545">
        <v>0</v>
      </c>
      <c r="E115" s="367">
        <f t="shared" si="33"/>
        <v>0</v>
      </c>
      <c r="F115" s="528">
        <v>0</v>
      </c>
      <c r="G115" s="367">
        <f t="shared" si="34"/>
        <v>0</v>
      </c>
      <c r="H115" s="528">
        <v>0</v>
      </c>
      <c r="I115" s="367">
        <f t="shared" si="35"/>
        <v>0</v>
      </c>
      <c r="J115" s="528">
        <v>1.1824058016711336E-2</v>
      </c>
      <c r="K115" s="367">
        <f t="shared" si="36"/>
        <v>9.7903200378369845E-2</v>
      </c>
      <c r="L115" s="528">
        <v>1.0394441709065047E-2</v>
      </c>
      <c r="M115" s="367">
        <f t="shared" si="37"/>
        <v>8.6065977351058587E-2</v>
      </c>
      <c r="N115" s="528">
        <v>0</v>
      </c>
      <c r="O115" s="367">
        <f t="shared" si="38"/>
        <v>0</v>
      </c>
      <c r="P115" s="368"/>
      <c r="Q115" s="368"/>
      <c r="R115" s="111"/>
      <c r="S115" s="111"/>
      <c r="T115" s="111"/>
      <c r="U115" s="111"/>
      <c r="V115" s="111"/>
      <c r="W115" s="111"/>
      <c r="X115" s="111"/>
      <c r="Y115" s="111"/>
      <c r="AB115" s="365"/>
      <c r="AD115" s="111"/>
      <c r="AE115" s="366"/>
      <c r="AF115" s="369"/>
    </row>
    <row r="116" spans="1:38" ht="17.25" thickBot="1">
      <c r="A116" s="112" t="s">
        <v>355</v>
      </c>
      <c r="B116" s="548">
        <v>10.1</v>
      </c>
      <c r="C116" s="549">
        <v>0</v>
      </c>
      <c r="D116" s="545">
        <v>0</v>
      </c>
      <c r="E116" s="367">
        <f t="shared" si="33"/>
        <v>0</v>
      </c>
      <c r="F116" s="528">
        <v>0</v>
      </c>
      <c r="G116" s="367">
        <f t="shared" si="34"/>
        <v>0</v>
      </c>
      <c r="H116" s="528">
        <v>0</v>
      </c>
      <c r="I116" s="367">
        <f t="shared" si="35"/>
        <v>0</v>
      </c>
      <c r="J116" s="528">
        <v>0</v>
      </c>
      <c r="K116" s="367">
        <f t="shared" si="36"/>
        <v>0</v>
      </c>
      <c r="L116" s="528">
        <v>0</v>
      </c>
      <c r="M116" s="367">
        <f t="shared" si="37"/>
        <v>0</v>
      </c>
      <c r="N116" s="528">
        <v>1.734834048503626E-3</v>
      </c>
      <c r="O116" s="367">
        <f t="shared" si="38"/>
        <v>1.7521823889886622E-2</v>
      </c>
      <c r="P116" s="368"/>
      <c r="Q116" s="368"/>
      <c r="R116" s="111"/>
      <c r="S116" s="111"/>
      <c r="T116" s="111"/>
      <c r="U116" s="111"/>
      <c r="V116" s="111"/>
      <c r="W116" s="111"/>
      <c r="X116" s="111"/>
      <c r="Y116" s="111"/>
      <c r="AB116" s="365">
        <v>30350</v>
      </c>
      <c r="AD116" s="111"/>
      <c r="AE116" s="366"/>
      <c r="AF116" s="369"/>
    </row>
    <row r="117" spans="1:38">
      <c r="A117" s="23"/>
      <c r="B117" s="370"/>
      <c r="C117" s="370"/>
      <c r="D117" s="371"/>
      <c r="E117" s="372"/>
      <c r="F117" s="30"/>
      <c r="G117" s="25"/>
      <c r="H117" s="30"/>
      <c r="I117" s="25"/>
      <c r="J117" s="30"/>
      <c r="K117" s="25"/>
      <c r="L117" s="30"/>
      <c r="M117" s="25"/>
      <c r="N117" s="30"/>
      <c r="O117" s="25"/>
      <c r="AB117" s="103"/>
      <c r="AE117" s="366"/>
      <c r="AF117" s="373">
        <f>SUM(AF97:AF108)</f>
        <v>1038.95</v>
      </c>
    </row>
    <row r="118" spans="1:38" ht="16.5">
      <c r="A118" s="23" t="s">
        <v>249</v>
      </c>
      <c r="D118" s="374"/>
      <c r="E118" s="541" t="s">
        <v>250</v>
      </c>
      <c r="F118" s="33"/>
      <c r="G118" s="541" t="s">
        <v>250</v>
      </c>
      <c r="H118" s="33"/>
      <c r="I118" s="541" t="s">
        <v>250</v>
      </c>
      <c r="J118" s="33"/>
      <c r="K118" s="541" t="s">
        <v>250</v>
      </c>
      <c r="L118" s="30"/>
      <c r="M118" s="541" t="s">
        <v>250</v>
      </c>
      <c r="N118" s="33"/>
      <c r="O118" s="541" t="s">
        <v>250</v>
      </c>
      <c r="P118" s="26"/>
      <c r="Q118" s="26"/>
    </row>
    <row r="119" spans="1:38">
      <c r="A119" s="112" t="s">
        <v>363</v>
      </c>
      <c r="D119" s="374"/>
      <c r="E119" s="275">
        <f>SUM(E97:E106)</f>
        <v>0.17245408000000001</v>
      </c>
      <c r="F119" s="33"/>
      <c r="G119" s="275">
        <f>SUM(G97:G106)</f>
        <v>0.26897458440490041</v>
      </c>
      <c r="H119" s="33"/>
      <c r="I119" s="275">
        <f>SUM(I97:I106)</f>
        <v>0.28067655000000002</v>
      </c>
      <c r="J119" s="33"/>
      <c r="K119" s="275">
        <f>SUM(K97:K106)</f>
        <v>0.17734195175784329</v>
      </c>
      <c r="L119" s="30"/>
      <c r="M119" s="275">
        <f>SUM(M97:M106)</f>
        <v>0.23693418677170522</v>
      </c>
      <c r="N119" s="33"/>
      <c r="O119" s="275">
        <f>SUM(O97:O106)</f>
        <v>0.16623641046844798</v>
      </c>
      <c r="P119" s="63"/>
      <c r="Q119" s="63"/>
    </row>
    <row r="120" spans="1:38">
      <c r="A120" s="112" t="s">
        <v>36</v>
      </c>
      <c r="D120" s="374"/>
      <c r="E120" s="375">
        <f>SUM(E107:E108)</f>
        <v>4.6076300000000001E-2</v>
      </c>
      <c r="F120" s="33"/>
      <c r="G120" s="375">
        <f>SUM(G107:G108)</f>
        <v>3.7483231673423406E-2</v>
      </c>
      <c r="H120" s="33"/>
      <c r="I120" s="375">
        <f>SUM(I107:I108)</f>
        <v>3.9032000000000004E-2</v>
      </c>
      <c r="J120" s="33"/>
      <c r="K120" s="375">
        <f>SUM(K107:K108)</f>
        <v>0</v>
      </c>
      <c r="L120" s="30"/>
      <c r="M120" s="375">
        <f>SUM(M107:M108)</f>
        <v>0</v>
      </c>
      <c r="N120" s="33"/>
      <c r="O120" s="375">
        <f>SUM(O107:O108)</f>
        <v>4.8437249825205975E-2</v>
      </c>
      <c r="P120" s="376"/>
      <c r="Q120" s="376"/>
      <c r="V120" s="249">
        <f>($E120*$B$29+$G120*$E$29+$I120*$H$29+$K120*$K$29+$M120*$N$29+$O120*$Q$29+$E150*$B$60+$G150*$E$60+$I150*$H$60+$K150*$K$60+$M150*$N$60+$O150*$Q$60)/$B$64</f>
        <v>3.8867053429028742E-2</v>
      </c>
    </row>
    <row r="121" spans="1:38" ht="16.5">
      <c r="A121" s="112" t="s">
        <v>147</v>
      </c>
      <c r="D121" s="374"/>
      <c r="E121" s="377">
        <f>SUM(E109:E116)</f>
        <v>9.0302799999999999E-3</v>
      </c>
      <c r="F121" s="33"/>
      <c r="G121" s="377">
        <f>SUM(G109:G116)</f>
        <v>7.2630385319469044E-3</v>
      </c>
      <c r="H121" s="33"/>
      <c r="I121" s="377">
        <f>SUM(I109:I116)</f>
        <v>8.0759000000000004E-3</v>
      </c>
      <c r="J121" s="33"/>
      <c r="K121" s="377">
        <f>SUM(K109:K116)</f>
        <v>9.7903200378369845E-2</v>
      </c>
      <c r="L121" s="30"/>
      <c r="M121" s="377">
        <f>SUM(M109:M116)</f>
        <v>8.6065977351058587E-2</v>
      </c>
      <c r="N121" s="33"/>
      <c r="O121" s="377">
        <f>SUM(O109:O116)</f>
        <v>2.9870236431185995E-2</v>
      </c>
      <c r="P121" s="378"/>
      <c r="Q121" s="378"/>
      <c r="V121" s="249">
        <f>($E121*$B$29+$G121*$E$29+$I121*$H$29+$K121*$K$29+$M121*$N$29+$O121*$Q$29+$E151*$B$60+$G151*$E$60+$I151*$H$60+$K151*$K$60+$M151*$N$60+$O151*$Q$60)/$B$64</f>
        <v>2.4502707342047635E-2</v>
      </c>
    </row>
    <row r="122" spans="1:38" ht="16.5">
      <c r="A122" s="353" t="s">
        <v>251</v>
      </c>
      <c r="D122" s="371"/>
      <c r="E122" s="379">
        <f>SUM(E119:E121)</f>
        <v>0.22756066000000003</v>
      </c>
      <c r="F122" s="33"/>
      <c r="G122" s="379">
        <f>SUM(G119:G121)</f>
        <v>0.31372085461027072</v>
      </c>
      <c r="H122" s="33"/>
      <c r="I122" s="379">
        <f>SUM(I119:I121)</f>
        <v>0.32778445000000006</v>
      </c>
      <c r="J122" s="33"/>
      <c r="K122" s="379">
        <f>SUM(K119:K121)</f>
        <v>0.27524515213621314</v>
      </c>
      <c r="L122" s="30"/>
      <c r="M122" s="379">
        <f>SUM(M119:M121)</f>
        <v>0.32300016412276378</v>
      </c>
      <c r="N122" s="33"/>
      <c r="O122" s="379">
        <f>SUM(O119:O121)</f>
        <v>0.24454389672483995</v>
      </c>
      <c r="P122" s="380"/>
      <c r="Q122" s="380"/>
    </row>
    <row r="123" spans="1:38" ht="12.75">
      <c r="A123" s="491" t="s">
        <v>389</v>
      </c>
      <c r="B123" s="1"/>
      <c r="C123" s="1"/>
      <c r="D123" s="33"/>
      <c r="E123" s="1"/>
      <c r="F123" s="371"/>
      <c r="G123" s="484"/>
      <c r="H123" s="371"/>
      <c r="I123" s="484"/>
      <c r="J123" s="371"/>
      <c r="K123" s="484"/>
      <c r="L123" s="371"/>
      <c r="M123" s="484"/>
      <c r="N123" s="371"/>
      <c r="O123" s="484"/>
      <c r="AC123" s="262"/>
      <c r="AE123" s="384"/>
      <c r="AG123" s="262"/>
      <c r="AI123" s="262"/>
      <c r="AK123" s="2"/>
      <c r="AL123" s="2"/>
    </row>
    <row r="124" spans="1:38" ht="12.75">
      <c r="A124" s="492" t="s">
        <v>390</v>
      </c>
      <c r="B124" s="359"/>
      <c r="C124" s="359"/>
      <c r="D124" s="485"/>
      <c r="E124" s="486"/>
      <c r="F124" s="59"/>
      <c r="G124" s="487"/>
      <c r="H124" s="59"/>
      <c r="I124" s="487"/>
      <c r="J124" s="59"/>
      <c r="K124" s="487"/>
      <c r="L124" s="59"/>
      <c r="M124" s="487"/>
      <c r="N124" s="59"/>
      <c r="O124" s="487"/>
      <c r="AA124" s="6"/>
      <c r="AB124" s="6"/>
      <c r="AK124" s="2"/>
      <c r="AL124" s="2"/>
    </row>
    <row r="125" spans="1:38" ht="15.75" thickBot="1">
      <c r="A125" s="30"/>
      <c r="B125" s="1"/>
      <c r="C125" s="1"/>
      <c r="D125" s="847" t="s">
        <v>322</v>
      </c>
      <c r="E125" s="848"/>
      <c r="F125" s="847" t="s">
        <v>333</v>
      </c>
      <c r="G125" s="848"/>
      <c r="H125" s="847" t="s">
        <v>334</v>
      </c>
      <c r="I125" s="848"/>
      <c r="J125" s="847" t="s">
        <v>335</v>
      </c>
      <c r="K125" s="848"/>
      <c r="L125" s="847" t="s">
        <v>326</v>
      </c>
      <c r="M125" s="848"/>
      <c r="N125" s="880" t="s">
        <v>216</v>
      </c>
      <c r="O125" s="881"/>
      <c r="AA125" s="6"/>
      <c r="AB125" s="6"/>
      <c r="AK125" s="2"/>
      <c r="AL125" s="2"/>
    </row>
    <row r="126" spans="1:38" ht="30">
      <c r="A126" s="30" t="s">
        <v>243</v>
      </c>
      <c r="B126" s="550" t="s">
        <v>27</v>
      </c>
      <c r="C126" s="551" t="s">
        <v>396</v>
      </c>
      <c r="D126" s="48" t="s">
        <v>244</v>
      </c>
      <c r="E126" s="362" t="s">
        <v>245</v>
      </c>
      <c r="F126" s="361" t="s">
        <v>244</v>
      </c>
      <c r="G126" s="362" t="s">
        <v>245</v>
      </c>
      <c r="H126" s="361" t="s">
        <v>244</v>
      </c>
      <c r="I126" s="362" t="s">
        <v>245</v>
      </c>
      <c r="J126" s="361" t="s">
        <v>244</v>
      </c>
      <c r="K126" s="362" t="s">
        <v>245</v>
      </c>
      <c r="L126" s="361" t="s">
        <v>244</v>
      </c>
      <c r="M126" s="362" t="s">
        <v>245</v>
      </c>
      <c r="N126" s="361" t="s">
        <v>244</v>
      </c>
      <c r="O126" s="362" t="s">
        <v>245</v>
      </c>
      <c r="P126" s="72"/>
      <c r="Q126" s="72"/>
      <c r="AA126" s="111"/>
      <c r="AB126" s="363" t="s">
        <v>246</v>
      </c>
      <c r="AE126" s="364" t="s">
        <v>247</v>
      </c>
      <c r="AF126" s="364" t="s">
        <v>248</v>
      </c>
      <c r="AK126" s="2"/>
      <c r="AL126" s="2"/>
    </row>
    <row r="127" spans="1:38">
      <c r="A127" s="112" t="s">
        <v>336</v>
      </c>
      <c r="B127" s="546">
        <f>0.168+0.032-C127</f>
        <v>0.17200000000000001</v>
      </c>
      <c r="C127" s="547">
        <v>2.8000000000000001E-2</v>
      </c>
      <c r="D127" s="545">
        <v>0</v>
      </c>
      <c r="E127" s="275">
        <f t="shared" ref="E127:E146" si="39">$B127*D127</f>
        <v>0</v>
      </c>
      <c r="F127" s="528">
        <v>0</v>
      </c>
      <c r="G127" s="275">
        <f t="shared" ref="G127:G146" si="40">$B127*F127</f>
        <v>0</v>
      </c>
      <c r="H127" s="528">
        <v>0</v>
      </c>
      <c r="I127" s="275">
        <f t="shared" ref="I127:I146" si="41">$B127*H127</f>
        <v>0</v>
      </c>
      <c r="J127" s="528">
        <v>0</v>
      </c>
      <c r="K127" s="275">
        <f t="shared" ref="K127:K146" si="42">$B127*J127</f>
        <v>0</v>
      </c>
      <c r="L127" s="528">
        <v>0</v>
      </c>
      <c r="M127" s="275">
        <f t="shared" ref="M127:M146" si="43">$B127*L127</f>
        <v>0</v>
      </c>
      <c r="N127" s="528">
        <v>0</v>
      </c>
      <c r="O127" s="275">
        <f t="shared" ref="O127:O146" si="44">$B127*N127</f>
        <v>0</v>
      </c>
      <c r="P127" s="63"/>
      <c r="Q127" s="63"/>
      <c r="AB127" s="365">
        <v>30012</v>
      </c>
      <c r="AD127" s="111"/>
      <c r="AE127" s="366">
        <f>B127*1000</f>
        <v>172</v>
      </c>
      <c r="AF127" s="106">
        <f>E127/B127*1000</f>
        <v>0</v>
      </c>
      <c r="AK127" s="2"/>
      <c r="AL127" s="2"/>
    </row>
    <row r="128" spans="1:38">
      <c r="A128" s="112" t="s">
        <v>337</v>
      </c>
      <c r="B128" s="546">
        <f>0.168+0.032-C128</f>
        <v>0.17200000000000001</v>
      </c>
      <c r="C128" s="547">
        <v>2.8000000000000001E-2</v>
      </c>
      <c r="D128" s="545">
        <v>0</v>
      </c>
      <c r="E128" s="367">
        <f t="shared" si="39"/>
        <v>0</v>
      </c>
      <c r="F128" s="528">
        <v>0</v>
      </c>
      <c r="G128" s="367">
        <f t="shared" si="40"/>
        <v>0</v>
      </c>
      <c r="H128" s="528">
        <v>0</v>
      </c>
      <c r="I128" s="367">
        <f t="shared" si="41"/>
        <v>0</v>
      </c>
      <c r="J128" s="528">
        <v>0</v>
      </c>
      <c r="K128" s="367">
        <f t="shared" si="42"/>
        <v>0</v>
      </c>
      <c r="L128" s="528">
        <v>0</v>
      </c>
      <c r="M128" s="367">
        <f t="shared" si="43"/>
        <v>0</v>
      </c>
      <c r="N128" s="528">
        <v>0</v>
      </c>
      <c r="O128" s="367">
        <f t="shared" si="44"/>
        <v>0</v>
      </c>
      <c r="P128" s="368"/>
      <c r="Q128" s="368"/>
      <c r="AB128" s="365">
        <v>30282</v>
      </c>
      <c r="AD128" s="111"/>
      <c r="AE128" s="366"/>
      <c r="AF128" s="106"/>
      <c r="AK128" s="2"/>
      <c r="AL128" s="2"/>
    </row>
    <row r="129" spans="1:38">
      <c r="A129" s="112" t="s">
        <v>338</v>
      </c>
      <c r="B129" s="546">
        <f>0.4821+0.032-C129</f>
        <v>0.28500000000000003</v>
      </c>
      <c r="C129" s="547">
        <v>0.2291</v>
      </c>
      <c r="D129" s="545">
        <v>0</v>
      </c>
      <c r="E129" s="367">
        <f t="shared" si="39"/>
        <v>0</v>
      </c>
      <c r="F129" s="528">
        <v>0</v>
      </c>
      <c r="G129" s="367">
        <f t="shared" si="40"/>
        <v>0</v>
      </c>
      <c r="H129" s="528">
        <v>0</v>
      </c>
      <c r="I129" s="367">
        <f t="shared" si="41"/>
        <v>0</v>
      </c>
      <c r="J129" s="528">
        <v>0</v>
      </c>
      <c r="K129" s="367">
        <f t="shared" si="42"/>
        <v>0</v>
      </c>
      <c r="L129" s="528">
        <v>0</v>
      </c>
      <c r="M129" s="367">
        <f t="shared" si="43"/>
        <v>0</v>
      </c>
      <c r="N129" s="528">
        <v>0</v>
      </c>
      <c r="O129" s="367">
        <f t="shared" si="44"/>
        <v>0</v>
      </c>
      <c r="P129" s="368"/>
      <c r="Q129" s="368"/>
      <c r="AB129" s="365"/>
      <c r="AD129" s="111"/>
      <c r="AE129" s="366"/>
      <c r="AF129" s="106"/>
      <c r="AK129" s="2"/>
      <c r="AL129" s="2"/>
    </row>
    <row r="130" spans="1:38">
      <c r="A130" s="112" t="s">
        <v>339</v>
      </c>
      <c r="B130" s="546">
        <f>0.225+0.032-C130</f>
        <v>0.25700000000000001</v>
      </c>
      <c r="C130" s="547">
        <v>0</v>
      </c>
      <c r="D130" s="545">
        <v>0</v>
      </c>
      <c r="E130" s="367">
        <f t="shared" si="39"/>
        <v>0</v>
      </c>
      <c r="F130" s="528">
        <v>0</v>
      </c>
      <c r="G130" s="367">
        <f t="shared" si="40"/>
        <v>0</v>
      </c>
      <c r="H130" s="528">
        <v>0</v>
      </c>
      <c r="I130" s="367">
        <f t="shared" si="41"/>
        <v>0</v>
      </c>
      <c r="J130" s="528">
        <v>0</v>
      </c>
      <c r="K130" s="367">
        <f t="shared" si="42"/>
        <v>0</v>
      </c>
      <c r="L130" s="528">
        <v>0</v>
      </c>
      <c r="M130" s="367">
        <f t="shared" si="43"/>
        <v>0</v>
      </c>
      <c r="N130" s="528">
        <v>0</v>
      </c>
      <c r="O130" s="367">
        <f t="shared" si="44"/>
        <v>0</v>
      </c>
      <c r="P130" s="368"/>
      <c r="Q130" s="368"/>
      <c r="AB130" s="365"/>
      <c r="AD130" s="111"/>
      <c r="AE130" s="366"/>
      <c r="AF130" s="106"/>
      <c r="AK130" s="2"/>
      <c r="AL130" s="2"/>
    </row>
    <row r="131" spans="1:38">
      <c r="A131" s="112" t="s">
        <v>340</v>
      </c>
      <c r="B131" s="546">
        <f>0.1996+0.032-C131</f>
        <v>0.2316</v>
      </c>
      <c r="C131" s="547">
        <v>0</v>
      </c>
      <c r="D131" s="545">
        <v>0</v>
      </c>
      <c r="E131" s="367">
        <f t="shared" si="39"/>
        <v>0</v>
      </c>
      <c r="F131" s="528">
        <v>0</v>
      </c>
      <c r="G131" s="367">
        <f t="shared" si="40"/>
        <v>0</v>
      </c>
      <c r="H131" s="528">
        <v>0</v>
      </c>
      <c r="I131" s="367">
        <f t="shared" si="41"/>
        <v>0</v>
      </c>
      <c r="J131" s="528">
        <v>0</v>
      </c>
      <c r="K131" s="367">
        <f t="shared" si="42"/>
        <v>0</v>
      </c>
      <c r="L131" s="528">
        <v>0</v>
      </c>
      <c r="M131" s="367">
        <f t="shared" si="43"/>
        <v>0</v>
      </c>
      <c r="N131" s="528">
        <v>0</v>
      </c>
      <c r="O131" s="367">
        <f t="shared" si="44"/>
        <v>0</v>
      </c>
      <c r="P131" s="368"/>
      <c r="Q131" s="368"/>
      <c r="AB131" s="365"/>
      <c r="AD131" s="111"/>
      <c r="AE131" s="366"/>
      <c r="AF131" s="106"/>
      <c r="AK131" s="2"/>
      <c r="AL131" s="2"/>
    </row>
    <row r="132" spans="1:38">
      <c r="A132" s="112" t="s">
        <v>341</v>
      </c>
      <c r="B132" s="546">
        <f>0.54519-C132</f>
        <v>0.51557999999999993</v>
      </c>
      <c r="C132" s="547">
        <f>0.00749+0.02212</f>
        <v>2.9610000000000001E-2</v>
      </c>
      <c r="D132" s="545">
        <v>0</v>
      </c>
      <c r="E132" s="367">
        <f t="shared" si="39"/>
        <v>0</v>
      </c>
      <c r="F132" s="528">
        <v>0</v>
      </c>
      <c r="G132" s="367">
        <f t="shared" si="40"/>
        <v>0</v>
      </c>
      <c r="H132" s="528">
        <v>1.015152343963678</v>
      </c>
      <c r="I132" s="367">
        <f t="shared" si="41"/>
        <v>0.523392245500793</v>
      </c>
      <c r="J132" s="528">
        <v>0</v>
      </c>
      <c r="K132" s="367">
        <f t="shared" si="42"/>
        <v>0</v>
      </c>
      <c r="L132" s="528">
        <v>0</v>
      </c>
      <c r="M132" s="367">
        <f t="shared" si="43"/>
        <v>0</v>
      </c>
      <c r="N132" s="528">
        <v>0</v>
      </c>
      <c r="O132" s="367">
        <f t="shared" si="44"/>
        <v>0</v>
      </c>
      <c r="P132" s="368"/>
      <c r="Q132" s="368"/>
      <c r="AB132" s="365"/>
      <c r="AD132" s="111"/>
      <c r="AE132" s="366"/>
      <c r="AF132" s="106"/>
      <c r="AK132" s="2"/>
      <c r="AL132" s="2"/>
    </row>
    <row r="133" spans="1:38">
      <c r="A133" s="112" t="s">
        <v>342</v>
      </c>
      <c r="B133" s="546">
        <f>0.3562-C133</f>
        <v>0.32123000000000002</v>
      </c>
      <c r="C133" s="547">
        <f>0.00749+0.02748</f>
        <v>3.4970000000000001E-2</v>
      </c>
      <c r="D133" s="545">
        <v>0</v>
      </c>
      <c r="E133" s="367">
        <f t="shared" si="39"/>
        <v>0</v>
      </c>
      <c r="F133" s="528">
        <v>0</v>
      </c>
      <c r="G133" s="367">
        <f t="shared" si="40"/>
        <v>0</v>
      </c>
      <c r="H133" s="528">
        <v>0</v>
      </c>
      <c r="I133" s="367">
        <f t="shared" si="41"/>
        <v>0</v>
      </c>
      <c r="J133" s="528">
        <v>0</v>
      </c>
      <c r="K133" s="367">
        <f t="shared" si="42"/>
        <v>0</v>
      </c>
      <c r="L133" s="528">
        <f>477865/467300</f>
        <v>1.0226086026107426</v>
      </c>
      <c r="M133" s="367">
        <f t="shared" si="43"/>
        <v>0.32849256141664884</v>
      </c>
      <c r="N133" s="528">
        <v>0</v>
      </c>
      <c r="O133" s="367">
        <f t="shared" si="44"/>
        <v>0</v>
      </c>
      <c r="P133" s="368"/>
      <c r="Q133" s="368"/>
      <c r="AB133" s="365"/>
      <c r="AD133" s="111"/>
      <c r="AE133" s="366"/>
      <c r="AF133" s="106"/>
      <c r="AK133" s="2"/>
      <c r="AL133" s="2"/>
    </row>
    <row r="134" spans="1:38">
      <c r="A134" s="112" t="s">
        <v>343</v>
      </c>
      <c r="B134" s="546">
        <f>0.4534-C134</f>
        <v>0.41868000000000005</v>
      </c>
      <c r="C134" s="547">
        <f>0.00749+0.02723</f>
        <v>3.4720000000000001E-2</v>
      </c>
      <c r="D134" s="545">
        <v>0</v>
      </c>
      <c r="E134" s="367">
        <f t="shared" si="39"/>
        <v>0</v>
      </c>
      <c r="F134" s="528">
        <v>1.0024736862430434</v>
      </c>
      <c r="G134" s="367">
        <f t="shared" si="40"/>
        <v>0.41971568295623746</v>
      </c>
      <c r="H134" s="528">
        <v>0</v>
      </c>
      <c r="I134" s="367">
        <f t="shared" si="41"/>
        <v>0</v>
      </c>
      <c r="J134" s="528">
        <v>0</v>
      </c>
      <c r="K134" s="367">
        <f t="shared" si="42"/>
        <v>0</v>
      </c>
      <c r="L134" s="528">
        <v>0</v>
      </c>
      <c r="M134" s="367">
        <f t="shared" si="43"/>
        <v>0</v>
      </c>
      <c r="N134" s="528">
        <v>0</v>
      </c>
      <c r="O134" s="367">
        <f t="shared" si="44"/>
        <v>0</v>
      </c>
      <c r="P134" s="368"/>
      <c r="Q134" s="368"/>
      <c r="AB134" s="365"/>
      <c r="AD134" s="111"/>
      <c r="AE134" s="366"/>
      <c r="AF134" s="106"/>
      <c r="AK134" s="2"/>
      <c r="AL134" s="2"/>
    </row>
    <row r="135" spans="1:38">
      <c r="A135" s="112" t="s">
        <v>344</v>
      </c>
      <c r="B135" s="546">
        <f>1.9-C135</f>
        <v>1.8925099999999999</v>
      </c>
      <c r="C135" s="547">
        <v>7.4900000000000001E-3</v>
      </c>
      <c r="D135" s="545">
        <v>0</v>
      </c>
      <c r="E135" s="367">
        <f t="shared" si="39"/>
        <v>0</v>
      </c>
      <c r="F135" s="528">
        <v>0</v>
      </c>
      <c r="G135" s="367">
        <f t="shared" si="40"/>
        <v>0</v>
      </c>
      <c r="H135" s="528">
        <v>0</v>
      </c>
      <c r="I135" s="367">
        <f t="shared" si="41"/>
        <v>0</v>
      </c>
      <c r="J135" s="528">
        <v>0.99740932642487057</v>
      </c>
      <c r="K135" s="367">
        <f t="shared" si="42"/>
        <v>1.8876071243523318</v>
      </c>
      <c r="L135" s="528">
        <v>0</v>
      </c>
      <c r="M135" s="367">
        <f t="shared" si="43"/>
        <v>0</v>
      </c>
      <c r="N135" s="528">
        <v>0</v>
      </c>
      <c r="O135" s="367">
        <f t="shared" si="44"/>
        <v>0</v>
      </c>
      <c r="P135" s="368"/>
      <c r="Q135" s="368"/>
      <c r="AB135" s="365"/>
      <c r="AD135" s="111"/>
      <c r="AE135" s="366"/>
      <c r="AF135" s="106"/>
      <c r="AK135" s="2"/>
      <c r="AL135" s="2"/>
    </row>
    <row r="136" spans="1:38">
      <c r="A136" s="112" t="s">
        <v>345</v>
      </c>
      <c r="B136" s="546">
        <f>0.3578+0.032-C136</f>
        <v>0.24310000000000004</v>
      </c>
      <c r="C136" s="547">
        <v>0.1467</v>
      </c>
      <c r="D136" s="545">
        <f>(204662+22400+3070)/226450</f>
        <v>1.0162596599690881</v>
      </c>
      <c r="E136" s="367">
        <f t="shared" si="39"/>
        <v>0.24705272333848535</v>
      </c>
      <c r="F136" s="528">
        <v>0</v>
      </c>
      <c r="G136" s="367">
        <f t="shared" si="40"/>
        <v>0</v>
      </c>
      <c r="H136" s="528">
        <v>0</v>
      </c>
      <c r="I136" s="367">
        <f t="shared" si="41"/>
        <v>0</v>
      </c>
      <c r="J136" s="528">
        <v>0</v>
      </c>
      <c r="K136" s="367">
        <f t="shared" si="42"/>
        <v>0</v>
      </c>
      <c r="L136" s="528">
        <v>0</v>
      </c>
      <c r="M136" s="367">
        <f t="shared" si="43"/>
        <v>0</v>
      </c>
      <c r="N136" s="528">
        <v>0</v>
      </c>
      <c r="O136" s="367">
        <f t="shared" si="44"/>
        <v>0</v>
      </c>
      <c r="P136" s="368"/>
      <c r="Q136" s="368"/>
      <c r="AB136" s="365"/>
      <c r="AD136" s="111"/>
      <c r="AE136" s="366"/>
      <c r="AF136" s="106"/>
      <c r="AK136" s="2"/>
      <c r="AL136" s="2"/>
    </row>
    <row r="137" spans="1:38">
      <c r="A137" s="112" t="s">
        <v>352</v>
      </c>
      <c r="B137" s="546">
        <v>1.19</v>
      </c>
      <c r="C137" s="547">
        <v>0</v>
      </c>
      <c r="D137" s="545">
        <f>8448.633/226450</f>
        <v>3.7309043939059393E-2</v>
      </c>
      <c r="E137" s="367">
        <f t="shared" si="39"/>
        <v>4.4397762287480678E-2</v>
      </c>
      <c r="F137" s="528">
        <v>2.3206309294452335E-2</v>
      </c>
      <c r="G137" s="367">
        <f t="shared" si="40"/>
        <v>2.7615508060398277E-2</v>
      </c>
      <c r="H137" s="528">
        <v>4.5402330288277448E-2</v>
      </c>
      <c r="I137" s="367">
        <f t="shared" si="41"/>
        <v>5.4028773043050163E-2</v>
      </c>
      <c r="J137" s="528">
        <v>3.2819999999999995E-2</v>
      </c>
      <c r="K137" s="367">
        <f t="shared" si="42"/>
        <v>3.9055799999999995E-2</v>
      </c>
      <c r="L137" s="528">
        <f>9062/467300</f>
        <v>1.9392253370425851E-2</v>
      </c>
      <c r="M137" s="367">
        <f t="shared" si="43"/>
        <v>2.3076781510806763E-2</v>
      </c>
      <c r="N137" s="528">
        <v>0</v>
      </c>
      <c r="O137" s="367">
        <f t="shared" si="44"/>
        <v>0</v>
      </c>
      <c r="P137" s="368"/>
      <c r="Q137" s="368"/>
      <c r="AB137" s="365">
        <v>30017</v>
      </c>
      <c r="AD137" s="111"/>
      <c r="AE137" s="366">
        <f>B137*1000</f>
        <v>1190</v>
      </c>
      <c r="AF137" s="106">
        <f>E137/B137*1000</f>
        <v>37.309043939059393</v>
      </c>
      <c r="AK137" s="2"/>
      <c r="AL137" s="2"/>
    </row>
    <row r="138" spans="1:38">
      <c r="A138" s="112" t="s">
        <v>353</v>
      </c>
      <c r="B138" s="546">
        <v>1.37</v>
      </c>
      <c r="C138" s="547">
        <v>0</v>
      </c>
      <c r="D138" s="545">
        <v>0</v>
      </c>
      <c r="E138" s="367">
        <f t="shared" si="39"/>
        <v>0</v>
      </c>
      <c r="F138" s="528">
        <v>0</v>
      </c>
      <c r="G138" s="367">
        <f t="shared" si="40"/>
        <v>0</v>
      </c>
      <c r="H138" s="528">
        <v>0</v>
      </c>
      <c r="I138" s="367">
        <f t="shared" si="41"/>
        <v>0</v>
      </c>
      <c r="J138" s="528">
        <v>0</v>
      </c>
      <c r="K138" s="367">
        <f t="shared" si="42"/>
        <v>0</v>
      </c>
      <c r="L138" s="528">
        <v>0</v>
      </c>
      <c r="M138" s="367">
        <f t="shared" si="43"/>
        <v>0</v>
      </c>
      <c r="N138" s="528">
        <v>0</v>
      </c>
      <c r="O138" s="367">
        <f t="shared" si="44"/>
        <v>0</v>
      </c>
      <c r="P138" s="368"/>
      <c r="Q138" s="368"/>
      <c r="R138" s="111"/>
      <c r="S138" s="111"/>
      <c r="T138" s="111"/>
      <c r="U138" s="111"/>
      <c r="V138" s="111"/>
      <c r="W138" s="111"/>
      <c r="X138" s="111"/>
      <c r="Y138" s="111"/>
      <c r="AB138" s="365">
        <v>30011</v>
      </c>
      <c r="AD138" s="111"/>
      <c r="AE138" s="366">
        <f>B138*1000</f>
        <v>1370</v>
      </c>
      <c r="AF138" s="106">
        <f>E138/B138*1000</f>
        <v>0</v>
      </c>
      <c r="AK138" s="2"/>
      <c r="AL138" s="2"/>
    </row>
    <row r="139" spans="1:38" ht="16.5">
      <c r="A139" s="112" t="s">
        <v>346</v>
      </c>
      <c r="B139" s="546">
        <v>1.1200000000000001</v>
      </c>
      <c r="C139" s="547">
        <v>0</v>
      </c>
      <c r="D139" s="545">
        <v>0</v>
      </c>
      <c r="E139" s="367">
        <f t="shared" si="39"/>
        <v>0</v>
      </c>
      <c r="F139" s="528">
        <v>0</v>
      </c>
      <c r="G139" s="367">
        <f t="shared" si="40"/>
        <v>0</v>
      </c>
      <c r="H139" s="528">
        <v>0</v>
      </c>
      <c r="I139" s="367">
        <f t="shared" si="41"/>
        <v>0</v>
      </c>
      <c r="J139" s="528">
        <v>0</v>
      </c>
      <c r="K139" s="367">
        <f t="shared" si="42"/>
        <v>0</v>
      </c>
      <c r="L139" s="528">
        <v>0</v>
      </c>
      <c r="M139" s="367">
        <f t="shared" si="43"/>
        <v>0</v>
      </c>
      <c r="N139" s="528">
        <v>0</v>
      </c>
      <c r="O139" s="367">
        <f t="shared" si="44"/>
        <v>0</v>
      </c>
      <c r="P139" s="368"/>
      <c r="Q139" s="368"/>
      <c r="R139" s="111"/>
      <c r="S139" s="111"/>
      <c r="T139" s="111"/>
      <c r="U139" s="111"/>
      <c r="V139" s="111"/>
      <c r="W139" s="111"/>
      <c r="X139" s="111"/>
      <c r="Y139" s="111"/>
      <c r="AB139" s="365">
        <v>30342</v>
      </c>
      <c r="AD139" s="111"/>
      <c r="AE139" s="366"/>
      <c r="AF139" s="369"/>
      <c r="AK139" s="2"/>
      <c r="AL139" s="2"/>
    </row>
    <row r="140" spans="1:38" ht="16.5">
      <c r="A140" s="112" t="s">
        <v>347</v>
      </c>
      <c r="B140" s="546">
        <v>4.83</v>
      </c>
      <c r="C140" s="547">
        <v>0</v>
      </c>
      <c r="D140" s="545">
        <v>0</v>
      </c>
      <c r="E140" s="367">
        <f t="shared" si="39"/>
        <v>0</v>
      </c>
      <c r="F140" s="528">
        <v>0</v>
      </c>
      <c r="G140" s="367">
        <f t="shared" si="40"/>
        <v>0</v>
      </c>
      <c r="H140" s="528">
        <v>0</v>
      </c>
      <c r="I140" s="367">
        <f t="shared" si="41"/>
        <v>0</v>
      </c>
      <c r="J140" s="528">
        <v>0</v>
      </c>
      <c r="K140" s="367">
        <f t="shared" si="42"/>
        <v>0</v>
      </c>
      <c r="L140" s="528">
        <v>0</v>
      </c>
      <c r="M140" s="367">
        <f t="shared" si="43"/>
        <v>0</v>
      </c>
      <c r="N140" s="528">
        <v>0</v>
      </c>
      <c r="O140" s="367">
        <f t="shared" si="44"/>
        <v>0</v>
      </c>
      <c r="P140" s="368"/>
      <c r="Q140" s="368"/>
      <c r="R140" s="111"/>
      <c r="S140" s="111"/>
      <c r="T140" s="111"/>
      <c r="U140" s="111"/>
      <c r="V140" s="111"/>
      <c r="W140" s="111"/>
      <c r="X140" s="111"/>
      <c r="Y140" s="111"/>
      <c r="AB140" s="365"/>
      <c r="AD140" s="111"/>
      <c r="AE140" s="366"/>
      <c r="AF140" s="369"/>
      <c r="AK140" s="2"/>
      <c r="AL140" s="2"/>
    </row>
    <row r="141" spans="1:38" ht="16.5">
      <c r="A141" s="112" t="s">
        <v>348</v>
      </c>
      <c r="B141" s="546">
        <v>0.88</v>
      </c>
      <c r="C141" s="547">
        <v>0</v>
      </c>
      <c r="D141" s="545">
        <v>0</v>
      </c>
      <c r="E141" s="367">
        <f t="shared" si="39"/>
        <v>0</v>
      </c>
      <c r="F141" s="528">
        <v>0</v>
      </c>
      <c r="G141" s="367">
        <f t="shared" si="40"/>
        <v>0</v>
      </c>
      <c r="H141" s="528">
        <v>0</v>
      </c>
      <c r="I141" s="367">
        <f t="shared" si="41"/>
        <v>0</v>
      </c>
      <c r="J141" s="528">
        <v>0</v>
      </c>
      <c r="K141" s="367">
        <f t="shared" si="42"/>
        <v>0</v>
      </c>
      <c r="L141" s="528">
        <v>0</v>
      </c>
      <c r="M141" s="367">
        <f t="shared" si="43"/>
        <v>0</v>
      </c>
      <c r="N141" s="528">
        <v>0</v>
      </c>
      <c r="O141" s="367">
        <f t="shared" si="44"/>
        <v>0</v>
      </c>
      <c r="P141" s="368"/>
      <c r="Q141" s="368"/>
      <c r="R141" s="111"/>
      <c r="S141" s="111"/>
      <c r="T141" s="111"/>
      <c r="U141" s="111"/>
      <c r="V141" s="111"/>
      <c r="W141" s="111"/>
      <c r="X141" s="111"/>
      <c r="Y141" s="111"/>
      <c r="AB141" s="365"/>
      <c r="AD141" s="111"/>
      <c r="AE141" s="366"/>
      <c r="AF141" s="369"/>
      <c r="AK141" s="2"/>
      <c r="AL141" s="2"/>
    </row>
    <row r="142" spans="1:38" ht="16.5">
      <c r="A142" s="112" t="s">
        <v>349</v>
      </c>
      <c r="B142" s="546">
        <v>1.67</v>
      </c>
      <c r="C142" s="547">
        <v>0</v>
      </c>
      <c r="D142" s="545">
        <f>126.237/226450</f>
        <v>5.5746080812541399E-4</v>
      </c>
      <c r="E142" s="367">
        <f t="shared" si="39"/>
        <v>9.3095954956944136E-4</v>
      </c>
      <c r="F142" s="528">
        <v>8.2127241442933585E-4</v>
      </c>
      <c r="G142" s="367">
        <f t="shared" si="40"/>
        <v>1.3715249320969908E-3</v>
      </c>
      <c r="H142" s="528">
        <v>7.9317323997593126E-4</v>
      </c>
      <c r="I142" s="367">
        <f t="shared" si="41"/>
        <v>1.3245993107598051E-3</v>
      </c>
      <c r="J142" s="528">
        <v>1.8374999999999999E-4</v>
      </c>
      <c r="K142" s="367">
        <f t="shared" si="42"/>
        <v>3.0686249999999998E-4</v>
      </c>
      <c r="L142" s="528">
        <f>355/467300</f>
        <v>7.5968328696768674E-4</v>
      </c>
      <c r="M142" s="367">
        <f t="shared" si="43"/>
        <v>1.2686710892360368E-3</v>
      </c>
      <c r="N142" s="528">
        <v>0</v>
      </c>
      <c r="O142" s="367">
        <f t="shared" si="44"/>
        <v>0</v>
      </c>
      <c r="P142" s="368"/>
      <c r="Q142" s="368"/>
      <c r="R142" s="111"/>
      <c r="S142" s="111"/>
      <c r="T142" s="111"/>
      <c r="U142" s="111"/>
      <c r="V142" s="111"/>
      <c r="W142" s="111"/>
      <c r="X142" s="111"/>
      <c r="Y142" s="111"/>
      <c r="AB142" s="365"/>
      <c r="AD142" s="111"/>
      <c r="AE142" s="366"/>
      <c r="AF142" s="369"/>
      <c r="AK142" s="2"/>
      <c r="AL142" s="2"/>
    </row>
    <row r="143" spans="1:38" ht="16.5">
      <c r="A143" s="112" t="s">
        <v>350</v>
      </c>
      <c r="B143" s="546">
        <v>1.06</v>
      </c>
      <c r="C143" s="547">
        <v>0</v>
      </c>
      <c r="D143" s="545">
        <f>1094.812/226450</f>
        <v>4.8346743210421726E-3</v>
      </c>
      <c r="E143" s="367">
        <f t="shared" si="39"/>
        <v>5.1247547803047033E-3</v>
      </c>
      <c r="F143" s="528">
        <v>3.2567699192887455E-3</v>
      </c>
      <c r="G143" s="367">
        <f t="shared" si="40"/>
        <v>3.4521761144460702E-3</v>
      </c>
      <c r="H143" s="528">
        <v>5.0598982550188716E-3</v>
      </c>
      <c r="I143" s="367">
        <f t="shared" si="41"/>
        <v>5.3634921503200039E-3</v>
      </c>
      <c r="J143" s="528">
        <v>4.2187500000000003E-3</v>
      </c>
      <c r="K143" s="367">
        <f t="shared" si="42"/>
        <v>4.4718750000000002E-3</v>
      </c>
      <c r="L143" s="528">
        <f>1182/467300</f>
        <v>2.5294243526642413E-3</v>
      </c>
      <c r="M143" s="367">
        <f t="shared" si="43"/>
        <v>2.6811898138240958E-3</v>
      </c>
      <c r="N143" s="528">
        <v>0</v>
      </c>
      <c r="O143" s="367">
        <f t="shared" si="44"/>
        <v>0</v>
      </c>
      <c r="P143" s="368"/>
      <c r="Q143" s="368"/>
      <c r="R143" s="111"/>
      <c r="S143" s="111"/>
      <c r="T143" s="111"/>
      <c r="U143" s="111"/>
      <c r="V143" s="111"/>
      <c r="W143" s="111"/>
      <c r="X143" s="111"/>
      <c r="Y143" s="111"/>
      <c r="AB143" s="365"/>
      <c r="AD143" s="111"/>
      <c r="AE143" s="366"/>
      <c r="AF143" s="369"/>
      <c r="AK143" s="2"/>
      <c r="AL143" s="2"/>
    </row>
    <row r="144" spans="1:38" ht="16.5">
      <c r="A144" s="112" t="s">
        <v>351</v>
      </c>
      <c r="B144" s="546">
        <v>4</v>
      </c>
      <c r="C144" s="547">
        <v>0</v>
      </c>
      <c r="D144" s="545">
        <f>201.979/226450</f>
        <v>8.9193640980348864E-4</v>
      </c>
      <c r="E144" s="367">
        <f t="shared" si="39"/>
        <v>3.5677456392139545E-3</v>
      </c>
      <c r="F144" s="528">
        <v>1.2468665925776539E-3</v>
      </c>
      <c r="G144" s="367">
        <f t="shared" si="40"/>
        <v>4.9874663703106158E-3</v>
      </c>
      <c r="H144" s="528">
        <v>1.192494940101745E-3</v>
      </c>
      <c r="I144" s="367">
        <f t="shared" si="41"/>
        <v>4.7699797604069802E-3</v>
      </c>
      <c r="J144" s="528">
        <v>2.7375000000000001E-4</v>
      </c>
      <c r="K144" s="367">
        <f t="shared" si="42"/>
        <v>1.0950000000000001E-3</v>
      </c>
      <c r="L144" s="528">
        <f>568/467300</f>
        <v>1.2154932591482987E-3</v>
      </c>
      <c r="M144" s="367">
        <f t="shared" si="43"/>
        <v>4.861973036593195E-3</v>
      </c>
      <c r="N144" s="528">
        <v>0</v>
      </c>
      <c r="O144" s="367">
        <f t="shared" si="44"/>
        <v>0</v>
      </c>
      <c r="P144" s="368"/>
      <c r="Q144" s="368"/>
      <c r="R144" s="111"/>
      <c r="S144" s="111"/>
      <c r="T144" s="111"/>
      <c r="U144" s="111"/>
      <c r="V144" s="111"/>
      <c r="W144" s="111"/>
      <c r="X144" s="111"/>
      <c r="Y144" s="111"/>
      <c r="AB144" s="365"/>
      <c r="AD144" s="111"/>
      <c r="AE144" s="366"/>
      <c r="AF144" s="369"/>
      <c r="AK144" s="2"/>
      <c r="AL144" s="2"/>
    </row>
    <row r="145" spans="1:38" ht="16.5">
      <c r="A145" s="112" t="s">
        <v>354</v>
      </c>
      <c r="B145" s="546">
        <v>8.2799999999999994</v>
      </c>
      <c r="C145" s="547">
        <v>0</v>
      </c>
      <c r="D145" s="545">
        <v>0</v>
      </c>
      <c r="E145" s="367">
        <f t="shared" si="39"/>
        <v>0</v>
      </c>
      <c r="F145" s="528">
        <v>0</v>
      </c>
      <c r="G145" s="367">
        <f t="shared" si="40"/>
        <v>0</v>
      </c>
      <c r="H145" s="528">
        <v>0</v>
      </c>
      <c r="I145" s="367">
        <f t="shared" si="41"/>
        <v>0</v>
      </c>
      <c r="J145" s="528">
        <v>0</v>
      </c>
      <c r="K145" s="367">
        <f t="shared" si="42"/>
        <v>0</v>
      </c>
      <c r="L145" s="528">
        <v>0</v>
      </c>
      <c r="M145" s="367">
        <f t="shared" si="43"/>
        <v>0</v>
      </c>
      <c r="N145" s="528">
        <v>0</v>
      </c>
      <c r="O145" s="367">
        <f t="shared" si="44"/>
        <v>0</v>
      </c>
      <c r="P145" s="368"/>
      <c r="Q145" s="368"/>
      <c r="R145" s="111"/>
      <c r="S145" s="111"/>
      <c r="T145" s="111"/>
      <c r="U145" s="111"/>
      <c r="V145" s="111"/>
      <c r="W145" s="111"/>
      <c r="X145" s="111"/>
      <c r="Y145" s="111"/>
      <c r="AB145" s="365"/>
      <c r="AD145" s="111"/>
      <c r="AE145" s="366"/>
      <c r="AF145" s="369"/>
      <c r="AK145" s="2"/>
      <c r="AL145" s="2"/>
    </row>
    <row r="146" spans="1:38" ht="17.25" thickBot="1">
      <c r="A146" s="112" t="s">
        <v>355</v>
      </c>
      <c r="B146" s="548">
        <v>10.1</v>
      </c>
      <c r="C146" s="549">
        <v>0</v>
      </c>
      <c r="D146" s="545">
        <v>0</v>
      </c>
      <c r="E146" s="367">
        <f t="shared" si="39"/>
        <v>0</v>
      </c>
      <c r="F146" s="528">
        <v>0</v>
      </c>
      <c r="G146" s="367">
        <f t="shared" si="40"/>
        <v>0</v>
      </c>
      <c r="H146" s="528">
        <v>0</v>
      </c>
      <c r="I146" s="367">
        <f t="shared" si="41"/>
        <v>0</v>
      </c>
      <c r="J146" s="528">
        <v>0</v>
      </c>
      <c r="K146" s="367">
        <f t="shared" si="42"/>
        <v>0</v>
      </c>
      <c r="L146" s="528">
        <v>0</v>
      </c>
      <c r="M146" s="367">
        <f t="shared" si="43"/>
        <v>0</v>
      </c>
      <c r="N146" s="528">
        <v>0</v>
      </c>
      <c r="O146" s="367">
        <f t="shared" si="44"/>
        <v>0</v>
      </c>
      <c r="P146" s="368"/>
      <c r="Q146" s="368"/>
      <c r="R146" s="111"/>
      <c r="S146" s="111"/>
      <c r="T146" s="111"/>
      <c r="U146" s="111"/>
      <c r="V146" s="111"/>
      <c r="W146" s="111"/>
      <c r="X146" s="111"/>
      <c r="Y146" s="111"/>
      <c r="AB146" s="365">
        <v>30350</v>
      </c>
      <c r="AD146" s="111"/>
      <c r="AE146" s="366"/>
      <c r="AF146" s="369"/>
      <c r="AK146" s="2"/>
      <c r="AL146" s="2"/>
    </row>
    <row r="147" spans="1:38" ht="12.75">
      <c r="A147" s="23"/>
      <c r="B147" s="370"/>
      <c r="C147" s="370"/>
      <c r="D147" s="371"/>
      <c r="E147" s="372"/>
      <c r="F147" s="30"/>
      <c r="G147" s="25"/>
      <c r="H147" s="30"/>
      <c r="I147" s="25"/>
      <c r="J147" s="30"/>
      <c r="K147" s="25"/>
      <c r="L147" s="30"/>
      <c r="M147" s="25"/>
      <c r="N147" s="30"/>
      <c r="O147" s="25"/>
      <c r="AB147" s="103"/>
      <c r="AE147" s="366"/>
      <c r="AF147" s="373">
        <f>SUM(AF127:AF138)</f>
        <v>37.309043939059393</v>
      </c>
      <c r="AK147" s="2"/>
      <c r="AL147" s="2"/>
    </row>
    <row r="148" spans="1:38">
      <c r="A148" s="23" t="s">
        <v>249</v>
      </c>
      <c r="D148" s="374"/>
      <c r="E148" s="541" t="s">
        <v>250</v>
      </c>
      <c r="F148" s="33"/>
      <c r="G148" s="541" t="s">
        <v>250</v>
      </c>
      <c r="H148" s="33"/>
      <c r="I148" s="541" t="s">
        <v>250</v>
      </c>
      <c r="J148" s="33"/>
      <c r="K148" s="541" t="s">
        <v>250</v>
      </c>
      <c r="L148" s="30"/>
      <c r="M148" s="541" t="s">
        <v>250</v>
      </c>
      <c r="N148" s="33"/>
      <c r="O148" s="541" t="s">
        <v>250</v>
      </c>
      <c r="P148" s="26"/>
      <c r="Q148" s="26"/>
      <c r="AK148" s="2"/>
      <c r="AL148" s="2"/>
    </row>
    <row r="149" spans="1:38" ht="12.75">
      <c r="A149" s="112" t="s">
        <v>363</v>
      </c>
      <c r="D149" s="374"/>
      <c r="E149" s="275">
        <f>SUM(E127:E136)</f>
        <v>0.24705272333848535</v>
      </c>
      <c r="F149" s="33"/>
      <c r="G149" s="275">
        <f>SUM(G127:G136)</f>
        <v>0.41971568295623746</v>
      </c>
      <c r="H149" s="33"/>
      <c r="I149" s="275">
        <f>SUM(I127:I136)</f>
        <v>0.523392245500793</v>
      </c>
      <c r="J149" s="33"/>
      <c r="K149" s="275">
        <f>SUM(K127:K136)</f>
        <v>1.8876071243523318</v>
      </c>
      <c r="L149" s="30"/>
      <c r="M149" s="275">
        <f>SUM(M127:M136)</f>
        <v>0.32849256141664884</v>
      </c>
      <c r="N149" s="33"/>
      <c r="O149" s="275">
        <f>SUM(O127:O136)</f>
        <v>0</v>
      </c>
      <c r="P149" s="63"/>
      <c r="Q149" s="63"/>
      <c r="AK149" s="2"/>
      <c r="AL149" s="2"/>
    </row>
    <row r="150" spans="1:38" ht="12.75">
      <c r="A150" s="112" t="s">
        <v>36</v>
      </c>
      <c r="D150" s="374"/>
      <c r="E150" s="375">
        <f>SUM(E137:E138)</f>
        <v>4.4397762287480678E-2</v>
      </c>
      <c r="F150" s="33"/>
      <c r="G150" s="375">
        <f>SUM(G137:G138)</f>
        <v>2.7615508060398277E-2</v>
      </c>
      <c r="H150" s="33"/>
      <c r="I150" s="375">
        <f>SUM(I137:I138)</f>
        <v>5.4028773043050163E-2</v>
      </c>
      <c r="J150" s="33"/>
      <c r="K150" s="375">
        <f>SUM(K137:K138)</f>
        <v>3.9055799999999995E-2</v>
      </c>
      <c r="L150" s="30"/>
      <c r="M150" s="375">
        <f>SUM(M137:M138)</f>
        <v>2.3076781510806763E-2</v>
      </c>
      <c r="N150" s="33"/>
      <c r="O150" s="375">
        <f>SUM(O137:O138)</f>
        <v>0</v>
      </c>
      <c r="P150" s="376"/>
      <c r="Q150" s="376"/>
      <c r="AK150" s="2"/>
      <c r="AL150" s="2"/>
    </row>
    <row r="151" spans="1:38">
      <c r="A151" s="112" t="s">
        <v>147</v>
      </c>
      <c r="D151" s="374"/>
      <c r="E151" s="377">
        <f>SUM(E139:E146)</f>
        <v>9.6234599690880988E-3</v>
      </c>
      <c r="F151" s="33"/>
      <c r="G151" s="377">
        <f>SUM(G139:G146)</f>
        <v>9.8111674168536757E-3</v>
      </c>
      <c r="H151" s="33"/>
      <c r="I151" s="377">
        <f>SUM(I139:I146)</f>
        <v>1.1458071221486789E-2</v>
      </c>
      <c r="J151" s="33"/>
      <c r="K151" s="377">
        <f>SUM(K139:K146)</f>
        <v>5.8737375000000001E-3</v>
      </c>
      <c r="L151" s="30"/>
      <c r="M151" s="377">
        <f>SUM(M139:M146)</f>
        <v>8.8118339396533289E-3</v>
      </c>
      <c r="N151" s="33"/>
      <c r="O151" s="377">
        <f>SUM(O139:O146)</f>
        <v>0</v>
      </c>
      <c r="P151" s="378"/>
      <c r="Q151" s="378"/>
      <c r="AK151" s="2"/>
      <c r="AL151" s="2"/>
    </row>
    <row r="152" spans="1:38">
      <c r="A152" s="353" t="s">
        <v>251</v>
      </c>
      <c r="D152" s="371"/>
      <c r="E152" s="379">
        <f>SUM(E149:E151)</f>
        <v>0.30107394559505413</v>
      </c>
      <c r="F152" s="33"/>
      <c r="G152" s="379">
        <f>SUM(G149:G151)</f>
        <v>0.45714235843348938</v>
      </c>
      <c r="H152" s="33"/>
      <c r="I152" s="379">
        <f>SUM(I149:I151)</f>
        <v>0.58887908976532999</v>
      </c>
      <c r="J152" s="33"/>
      <c r="K152" s="379">
        <f>SUM(K149:K151)</f>
        <v>1.9325366618523319</v>
      </c>
      <c r="L152" s="30"/>
      <c r="M152" s="379">
        <f>SUM(M149:M151)</f>
        <v>0.36038117686710897</v>
      </c>
      <c r="N152" s="33"/>
      <c r="O152" s="379">
        <f>SUM(O149:O151)</f>
        <v>0</v>
      </c>
      <c r="P152" s="380"/>
      <c r="Q152" s="380"/>
      <c r="AK152" s="2"/>
      <c r="AL152" s="2"/>
    </row>
    <row r="153" spans="1:38">
      <c r="A153" s="491" t="s">
        <v>389</v>
      </c>
      <c r="D153" s="371"/>
      <c r="E153" s="379"/>
      <c r="F153" s="33"/>
      <c r="G153" s="379"/>
      <c r="H153" s="33"/>
      <c r="I153" s="379"/>
      <c r="J153" s="33"/>
      <c r="K153" s="379"/>
      <c r="L153" s="30"/>
      <c r="M153" s="379"/>
      <c r="N153" s="33"/>
      <c r="O153" s="379"/>
      <c r="P153" s="380"/>
      <c r="Q153" s="380"/>
      <c r="AK153" s="2"/>
      <c r="AL153" s="2"/>
    </row>
    <row r="154" spans="1:38">
      <c r="A154" s="492" t="s">
        <v>390</v>
      </c>
      <c r="D154" s="371"/>
      <c r="E154" s="379"/>
      <c r="F154" s="33"/>
      <c r="G154" s="379"/>
      <c r="H154" s="33"/>
      <c r="I154" s="379"/>
      <c r="J154" s="33"/>
      <c r="K154" s="379"/>
      <c r="L154" s="30"/>
      <c r="M154" s="379"/>
      <c r="N154" s="33"/>
      <c r="O154" s="379"/>
      <c r="P154" s="380"/>
      <c r="Q154" s="380"/>
      <c r="AK154" s="2"/>
      <c r="AL154" s="2"/>
    </row>
    <row r="155" spans="1:38" ht="13.15" customHeight="1">
      <c r="A155" s="381"/>
      <c r="B155" s="41"/>
      <c r="C155" s="41"/>
      <c r="D155" s="59"/>
      <c r="E155" s="42"/>
      <c r="F155" s="382"/>
      <c r="G155" s="383"/>
      <c r="H155" s="382"/>
      <c r="I155" s="383"/>
      <c r="J155" s="59"/>
      <c r="K155" s="42"/>
      <c r="L155" s="84"/>
      <c r="M155" s="87"/>
      <c r="N155" s="84"/>
      <c r="O155" s="87"/>
      <c r="AC155" s="262"/>
      <c r="AE155" s="384"/>
      <c r="AG155" s="262"/>
      <c r="AI155" s="262"/>
      <c r="AK155" s="2"/>
      <c r="AL155" s="2"/>
    </row>
    <row r="156" spans="1:38" ht="12.75">
      <c r="A156" s="8"/>
      <c r="B156" s="1"/>
      <c r="C156" s="1"/>
      <c r="D156" s="1"/>
      <c r="E156" s="39"/>
      <c r="F156" s="43"/>
      <c r="G156" s="1"/>
      <c r="H156" s="1"/>
      <c r="AC156" s="262"/>
      <c r="AE156" s="384"/>
      <c r="AG156" s="262"/>
      <c r="AI156" s="262"/>
      <c r="AK156" s="2"/>
      <c r="AL156" s="2"/>
    </row>
    <row r="157" spans="1:38" ht="12.75">
      <c r="A157" s="1"/>
      <c r="B157" s="1"/>
      <c r="C157" s="1"/>
      <c r="D157" s="1"/>
      <c r="E157" s="1"/>
      <c r="F157" s="1"/>
      <c r="G157" s="1"/>
      <c r="H157" s="1"/>
      <c r="AK157" s="2"/>
      <c r="AL157" s="2"/>
    </row>
    <row r="158" spans="1:38" ht="12.75">
      <c r="A158" s="385" t="s">
        <v>51</v>
      </c>
      <c r="B158" s="406"/>
      <c r="C158" s="406"/>
      <c r="D158" s="406"/>
      <c r="E158" s="406"/>
      <c r="F158" s="406"/>
      <c r="G158" s="406"/>
      <c r="H158" s="406"/>
      <c r="I158" s="406"/>
      <c r="J158" s="406"/>
      <c r="K158" s="406"/>
      <c r="L158" s="406"/>
      <c r="M158" s="406"/>
      <c r="N158" s="406"/>
      <c r="O158" s="407"/>
      <c r="P158" s="5"/>
      <c r="Q158" s="5"/>
      <c r="R158" s="5"/>
      <c r="S158" s="5"/>
      <c r="V158" s="5"/>
      <c r="W158" s="5"/>
      <c r="X158" s="5"/>
      <c r="AK158" s="2"/>
      <c r="AL158" s="2"/>
    </row>
    <row r="159" spans="1:38" ht="12.75">
      <c r="A159" s="30"/>
      <c r="F159" s="1"/>
      <c r="G159" s="1"/>
      <c r="H159" s="1"/>
      <c r="I159" s="1"/>
      <c r="O159" s="25"/>
      <c r="P159" s="539"/>
      <c r="R159" s="846"/>
      <c r="S159" s="846"/>
      <c r="V159" s="1"/>
      <c r="W159" s="1"/>
      <c r="X159" s="1"/>
      <c r="AK159" s="2"/>
      <c r="AL159" s="2"/>
    </row>
    <row r="160" spans="1:38" ht="15" customHeight="1">
      <c r="A160" s="30"/>
      <c r="D160" s="847" t="s">
        <v>327</v>
      </c>
      <c r="E160" s="848"/>
      <c r="F160" s="847" t="s">
        <v>328</v>
      </c>
      <c r="G160" s="848"/>
      <c r="H160" s="847" t="s">
        <v>329</v>
      </c>
      <c r="I160" s="848"/>
      <c r="J160" s="847" t="s">
        <v>330</v>
      </c>
      <c r="K160" s="848"/>
      <c r="L160" s="847" t="s">
        <v>331</v>
      </c>
      <c r="M160" s="848"/>
      <c r="N160" s="847" t="s">
        <v>332</v>
      </c>
      <c r="O160" s="848"/>
      <c r="P160" s="539"/>
      <c r="R160" s="846"/>
      <c r="S160" s="846"/>
      <c r="V160" s="1"/>
      <c r="W160" s="1"/>
      <c r="X160" s="1"/>
      <c r="AK160" s="2"/>
      <c r="AL160" s="2"/>
    </row>
    <row r="161" spans="1:38" ht="30">
      <c r="A161" s="30"/>
      <c r="B161" s="26" t="s">
        <v>252</v>
      </c>
      <c r="D161" s="386" t="s">
        <v>253</v>
      </c>
      <c r="E161" s="72" t="s">
        <v>245</v>
      </c>
      <c r="F161" s="387" t="s">
        <v>253</v>
      </c>
      <c r="G161" s="72" t="s">
        <v>245</v>
      </c>
      <c r="H161" s="387" t="s">
        <v>253</v>
      </c>
      <c r="I161" s="72" t="s">
        <v>245</v>
      </c>
      <c r="J161" s="386" t="s">
        <v>253</v>
      </c>
      <c r="K161" s="72" t="s">
        <v>245</v>
      </c>
      <c r="L161" s="386" t="s">
        <v>253</v>
      </c>
      <c r="M161" s="72" t="s">
        <v>245</v>
      </c>
      <c r="N161" s="386" t="s">
        <v>253</v>
      </c>
      <c r="O161" s="362" t="s">
        <v>245</v>
      </c>
      <c r="P161" s="539"/>
      <c r="R161" s="846"/>
      <c r="S161" s="846"/>
      <c r="V161" s="29"/>
      <c r="W161" s="1"/>
      <c r="X161" s="1"/>
      <c r="AA161" s="285"/>
      <c r="AK161" s="2"/>
      <c r="AL161" s="2"/>
    </row>
    <row r="162" spans="1:38">
      <c r="A162" s="30" t="s">
        <v>254</v>
      </c>
      <c r="B162" s="388">
        <v>0.17299999999999999</v>
      </c>
      <c r="D162" s="529">
        <v>6.2E-2</v>
      </c>
      <c r="E162" s="389">
        <f>D162*$B162</f>
        <v>1.0725999999999999E-2</v>
      </c>
      <c r="F162" s="529">
        <f>$D$162</f>
        <v>6.2E-2</v>
      </c>
      <c r="G162" s="389">
        <f>F162*$B162</f>
        <v>1.0725999999999999E-2</v>
      </c>
      <c r="H162" s="529">
        <f>$D$162</f>
        <v>6.2E-2</v>
      </c>
      <c r="I162" s="389">
        <f>H162*$B162</f>
        <v>1.0725999999999999E-2</v>
      </c>
      <c r="J162" s="529">
        <f>$D$162</f>
        <v>6.2E-2</v>
      </c>
      <c r="K162" s="389">
        <f>J162*$B162</f>
        <v>1.0725999999999999E-2</v>
      </c>
      <c r="L162" s="529">
        <f>$D$162</f>
        <v>6.2E-2</v>
      </c>
      <c r="M162" s="389">
        <f>L162*$B162</f>
        <v>1.0725999999999999E-2</v>
      </c>
      <c r="N162" s="529">
        <f>$D$162</f>
        <v>6.2E-2</v>
      </c>
      <c r="O162" s="390">
        <f>N162*$B162</f>
        <v>1.0725999999999999E-2</v>
      </c>
      <c r="P162" s="539"/>
      <c r="R162" s="846"/>
      <c r="S162" s="846"/>
      <c r="V162" s="1"/>
      <c r="W162" s="1"/>
      <c r="X162" s="1"/>
      <c r="AA162" s="104" t="s">
        <v>87</v>
      </c>
      <c r="AB162" s="104" t="s">
        <v>86</v>
      </c>
      <c r="AF162" s="391">
        <f>D162*1000</f>
        <v>62</v>
      </c>
      <c r="AK162" s="2"/>
      <c r="AL162" s="2"/>
    </row>
    <row r="163" spans="1:38" ht="16.5">
      <c r="A163" s="30" t="s">
        <v>255</v>
      </c>
      <c r="B163" s="388">
        <v>3.5</v>
      </c>
      <c r="D163" s="529">
        <v>3.6000000000000002E-4</v>
      </c>
      <c r="E163" s="392">
        <f>D163*$B163</f>
        <v>1.2600000000000001E-3</v>
      </c>
      <c r="F163" s="529">
        <f>$D$163</f>
        <v>3.6000000000000002E-4</v>
      </c>
      <c r="G163" s="392">
        <f>F163*$B163</f>
        <v>1.2600000000000001E-3</v>
      </c>
      <c r="H163" s="529">
        <f>$D$163</f>
        <v>3.6000000000000002E-4</v>
      </c>
      <c r="I163" s="392">
        <f>H163*$B163</f>
        <v>1.2600000000000001E-3</v>
      </c>
      <c r="J163" s="529">
        <f>$D$163</f>
        <v>3.6000000000000002E-4</v>
      </c>
      <c r="K163" s="392">
        <f>J163*$B163</f>
        <v>1.2600000000000001E-3</v>
      </c>
      <c r="L163" s="529">
        <f>$D$163</f>
        <v>3.6000000000000002E-4</v>
      </c>
      <c r="M163" s="392">
        <f>L163*$B163</f>
        <v>1.2600000000000001E-3</v>
      </c>
      <c r="N163" s="529">
        <f>$D$163</f>
        <v>3.6000000000000002E-4</v>
      </c>
      <c r="O163" s="393">
        <f>N163*$B163</f>
        <v>1.2600000000000001E-3</v>
      </c>
      <c r="P163" s="539"/>
      <c r="R163" s="846"/>
      <c r="S163" s="846"/>
      <c r="V163" s="29"/>
      <c r="W163" s="1"/>
      <c r="X163" s="1"/>
      <c r="AA163" s="104" t="s">
        <v>89</v>
      </c>
      <c r="AB163" s="104" t="s">
        <v>88</v>
      </c>
      <c r="AF163" s="391">
        <f>D163*1000*1000</f>
        <v>360.00000000000006</v>
      </c>
      <c r="AK163" s="2"/>
      <c r="AL163" s="2"/>
    </row>
    <row r="164" spans="1:38">
      <c r="A164" s="30" t="s">
        <v>256</v>
      </c>
      <c r="B164" s="394"/>
      <c r="D164" s="395"/>
      <c r="E164" s="396">
        <f>SUM(E162:E163)</f>
        <v>1.1986E-2</v>
      </c>
      <c r="F164" s="395"/>
      <c r="G164" s="396">
        <f>SUM(G162:G163)</f>
        <v>1.1986E-2</v>
      </c>
      <c r="H164" s="395"/>
      <c r="I164" s="396">
        <f>SUM(I162:I163)</f>
        <v>1.1986E-2</v>
      </c>
      <c r="J164" s="395"/>
      <c r="K164" s="396">
        <f>SUM(K162:K163)</f>
        <v>1.1986E-2</v>
      </c>
      <c r="L164" s="395"/>
      <c r="M164" s="396">
        <f>SUM(M162:M163)</f>
        <v>1.1986E-2</v>
      </c>
      <c r="N164" s="395"/>
      <c r="O164" s="397">
        <f>SUM(O162:O163)</f>
        <v>1.1986E-2</v>
      </c>
      <c r="P164" s="276"/>
      <c r="R164" s="276"/>
      <c r="V164" s="1"/>
      <c r="W164" s="1"/>
      <c r="X164" s="1"/>
      <c r="AK164" s="2"/>
      <c r="AL164" s="2"/>
    </row>
    <row r="165" spans="1:38" ht="12.75">
      <c r="A165" s="30"/>
      <c r="B165" s="1"/>
      <c r="D165" s="59"/>
      <c r="E165" s="41"/>
      <c r="F165" s="41"/>
      <c r="G165" s="41"/>
      <c r="H165" s="41"/>
      <c r="I165" s="41"/>
      <c r="J165" s="85"/>
      <c r="K165" s="85"/>
      <c r="L165" s="85"/>
      <c r="M165" s="85"/>
      <c r="N165" s="85"/>
      <c r="O165" s="87"/>
      <c r="P165" s="539"/>
      <c r="R165" s="846"/>
      <c r="S165" s="846"/>
      <c r="V165" s="1"/>
      <c r="W165" s="1"/>
      <c r="X165" s="1"/>
      <c r="AK165" s="2"/>
      <c r="AL165" s="2"/>
    </row>
    <row r="166" spans="1:38" ht="12.75">
      <c r="A166" s="30"/>
      <c r="F166" s="1"/>
      <c r="G166" s="1"/>
      <c r="H166" s="1"/>
      <c r="I166" s="1"/>
      <c r="O166" s="25"/>
      <c r="P166" s="539"/>
      <c r="R166" s="846"/>
      <c r="S166" s="846"/>
      <c r="V166" s="1"/>
      <c r="W166" s="1"/>
      <c r="X166" s="1"/>
      <c r="AK166" s="2"/>
      <c r="AL166" s="2"/>
    </row>
    <row r="167" spans="1:38">
      <c r="A167" s="30"/>
      <c r="D167" s="847" t="s">
        <v>322</v>
      </c>
      <c r="E167" s="848"/>
      <c r="F167" s="847" t="s">
        <v>333</v>
      </c>
      <c r="G167" s="848"/>
      <c r="H167" s="847" t="s">
        <v>334</v>
      </c>
      <c r="I167" s="848"/>
      <c r="J167" s="847" t="s">
        <v>335</v>
      </c>
      <c r="K167" s="848"/>
      <c r="L167" s="847" t="s">
        <v>326</v>
      </c>
      <c r="M167" s="848"/>
      <c r="N167" s="847" t="s">
        <v>216</v>
      </c>
      <c r="O167" s="848"/>
      <c r="P167" s="539"/>
      <c r="R167" s="846"/>
      <c r="S167" s="846"/>
      <c r="V167" s="1"/>
      <c r="W167" s="1"/>
      <c r="X167" s="1"/>
      <c r="AK167" s="2"/>
      <c r="AL167" s="2"/>
    </row>
    <row r="168" spans="1:38" ht="30">
      <c r="A168" s="30"/>
      <c r="B168" s="26" t="s">
        <v>252</v>
      </c>
      <c r="D168" s="386" t="s">
        <v>253</v>
      </c>
      <c r="E168" s="72" t="s">
        <v>245</v>
      </c>
      <c r="F168" s="387" t="s">
        <v>253</v>
      </c>
      <c r="G168" s="72" t="s">
        <v>245</v>
      </c>
      <c r="H168" s="387" t="s">
        <v>253</v>
      </c>
      <c r="I168" s="72" t="s">
        <v>245</v>
      </c>
      <c r="J168" s="386" t="s">
        <v>253</v>
      </c>
      <c r="K168" s="72" t="s">
        <v>245</v>
      </c>
      <c r="L168" s="386" t="s">
        <v>253</v>
      </c>
      <c r="M168" s="72" t="s">
        <v>245</v>
      </c>
      <c r="N168" s="386" t="s">
        <v>253</v>
      </c>
      <c r="O168" s="362" t="s">
        <v>245</v>
      </c>
      <c r="P168" s="539"/>
      <c r="R168" s="846"/>
      <c r="S168" s="846"/>
      <c r="V168" s="29"/>
      <c r="W168" s="1"/>
      <c r="X168" s="1"/>
      <c r="AA168" s="285"/>
      <c r="AK168" s="2"/>
      <c r="AL168" s="2"/>
    </row>
    <row r="169" spans="1:38">
      <c r="A169" s="30" t="s">
        <v>254</v>
      </c>
      <c r="B169" s="388">
        <f>B162</f>
        <v>0.17299999999999999</v>
      </c>
      <c r="D169" s="529">
        <f>$D$162</f>
        <v>6.2E-2</v>
      </c>
      <c r="E169" s="389">
        <f>D169*$B169</f>
        <v>1.0725999999999999E-2</v>
      </c>
      <c r="F169" s="529">
        <f>$D$162</f>
        <v>6.2E-2</v>
      </c>
      <c r="G169" s="389">
        <f>F169*$B169</f>
        <v>1.0725999999999999E-2</v>
      </c>
      <c r="H169" s="529">
        <f>$D$162</f>
        <v>6.2E-2</v>
      </c>
      <c r="I169" s="389">
        <f>H169*$B169</f>
        <v>1.0725999999999999E-2</v>
      </c>
      <c r="J169" s="529">
        <f>$D$162</f>
        <v>6.2E-2</v>
      </c>
      <c r="K169" s="389">
        <f>J169*$B169</f>
        <v>1.0725999999999999E-2</v>
      </c>
      <c r="L169" s="529">
        <f>$D$162</f>
        <v>6.2E-2</v>
      </c>
      <c r="M169" s="389">
        <f>L169*$B169</f>
        <v>1.0725999999999999E-2</v>
      </c>
      <c r="N169" s="529">
        <f>$D$162</f>
        <v>6.2E-2</v>
      </c>
      <c r="O169" s="390">
        <f>N169*$B169</f>
        <v>1.0725999999999999E-2</v>
      </c>
      <c r="P169" s="539"/>
      <c r="R169" s="846"/>
      <c r="S169" s="846"/>
      <c r="V169" s="1"/>
      <c r="W169" s="1"/>
      <c r="X169" s="1"/>
      <c r="AA169" s="104" t="s">
        <v>87</v>
      </c>
      <c r="AB169" s="104" t="s">
        <v>86</v>
      </c>
      <c r="AF169" s="391">
        <f>D169*1000</f>
        <v>62</v>
      </c>
      <c r="AK169" s="2"/>
      <c r="AL169" s="2"/>
    </row>
    <row r="170" spans="1:38" ht="16.5">
      <c r="A170" s="30" t="s">
        <v>255</v>
      </c>
      <c r="B170" s="388">
        <f>B163</f>
        <v>3.5</v>
      </c>
      <c r="D170" s="529">
        <f>$D$163</f>
        <v>3.6000000000000002E-4</v>
      </c>
      <c r="E170" s="392">
        <f>D170*$B170</f>
        <v>1.2600000000000001E-3</v>
      </c>
      <c r="F170" s="529">
        <f>$D$163</f>
        <v>3.6000000000000002E-4</v>
      </c>
      <c r="G170" s="392">
        <f>F170*$B170</f>
        <v>1.2600000000000001E-3</v>
      </c>
      <c r="H170" s="529">
        <f>$D$163</f>
        <v>3.6000000000000002E-4</v>
      </c>
      <c r="I170" s="392">
        <f>H170*$B170</f>
        <v>1.2600000000000001E-3</v>
      </c>
      <c r="J170" s="529">
        <f>$D$163</f>
        <v>3.6000000000000002E-4</v>
      </c>
      <c r="K170" s="392">
        <f>J170*$B170</f>
        <v>1.2600000000000001E-3</v>
      </c>
      <c r="L170" s="529">
        <f>$D$163</f>
        <v>3.6000000000000002E-4</v>
      </c>
      <c r="M170" s="392">
        <f>L170*$B170</f>
        <v>1.2600000000000001E-3</v>
      </c>
      <c r="N170" s="529">
        <f>$D$163</f>
        <v>3.6000000000000002E-4</v>
      </c>
      <c r="O170" s="393">
        <f>N170*$B170</f>
        <v>1.2600000000000001E-3</v>
      </c>
      <c r="P170" s="539"/>
      <c r="R170" s="846"/>
      <c r="S170" s="846"/>
      <c r="V170" s="29"/>
      <c r="W170" s="1"/>
      <c r="X170" s="1"/>
      <c r="AA170" s="104" t="s">
        <v>89</v>
      </c>
      <c r="AB170" s="104" t="s">
        <v>88</v>
      </c>
      <c r="AF170" s="391">
        <f>D170*1000*1000</f>
        <v>360.00000000000006</v>
      </c>
      <c r="AK170" s="2"/>
      <c r="AL170" s="2"/>
    </row>
    <row r="171" spans="1:38">
      <c r="A171" s="30" t="s">
        <v>256</v>
      </c>
      <c r="B171" s="394"/>
      <c r="D171" s="395"/>
      <c r="E171" s="396">
        <f>SUM(E169:E170)</f>
        <v>1.1986E-2</v>
      </c>
      <c r="F171" s="395"/>
      <c r="G171" s="396">
        <f>SUM(G169:G170)</f>
        <v>1.1986E-2</v>
      </c>
      <c r="H171" s="395"/>
      <c r="I171" s="396">
        <f>SUM(I169:I170)</f>
        <v>1.1986E-2</v>
      </c>
      <c r="J171" s="395"/>
      <c r="K171" s="396">
        <f>SUM(K169:K170)</f>
        <v>1.1986E-2</v>
      </c>
      <c r="L171" s="395"/>
      <c r="M171" s="396">
        <f>SUM(M169:M170)</f>
        <v>1.1986E-2</v>
      </c>
      <c r="N171" s="395"/>
      <c r="O171" s="397">
        <f>SUM(O169:O170)</f>
        <v>1.1986E-2</v>
      </c>
      <c r="P171" s="276"/>
      <c r="R171" s="276"/>
      <c r="V171" s="1"/>
      <c r="W171" s="1"/>
      <c r="X171" s="1"/>
      <c r="AK171" s="2"/>
      <c r="AL171" s="2"/>
    </row>
    <row r="172" spans="1:38" ht="12.75">
      <c r="A172" s="30"/>
      <c r="B172" s="1"/>
      <c r="D172" s="59"/>
      <c r="E172" s="41"/>
      <c r="F172" s="41"/>
      <c r="G172" s="41"/>
      <c r="H172" s="41"/>
      <c r="I172" s="41"/>
      <c r="J172" s="85"/>
      <c r="K172" s="85"/>
      <c r="L172" s="85"/>
      <c r="M172" s="85"/>
      <c r="N172" s="85"/>
      <c r="O172" s="87"/>
      <c r="P172" s="539"/>
      <c r="R172" s="846"/>
      <c r="S172" s="846"/>
      <c r="V172" s="1"/>
      <c r="W172" s="1"/>
      <c r="X172" s="1"/>
      <c r="AK172" s="2"/>
      <c r="AL172" s="2"/>
    </row>
    <row r="173" spans="1:38" ht="12.75">
      <c r="A173" s="59"/>
      <c r="B173" s="41"/>
      <c r="C173" s="41"/>
      <c r="D173" s="41"/>
      <c r="E173" s="41"/>
      <c r="F173" s="41"/>
      <c r="G173" s="41"/>
      <c r="H173" s="41"/>
      <c r="I173" s="41"/>
      <c r="J173" s="85"/>
      <c r="K173" s="85"/>
      <c r="L173" s="85"/>
      <c r="M173" s="85"/>
      <c r="N173" s="85"/>
      <c r="O173" s="87"/>
      <c r="P173" s="1"/>
      <c r="R173" s="846"/>
      <c r="S173" s="846"/>
      <c r="V173" s="1"/>
      <c r="W173" s="1"/>
      <c r="X173" s="1"/>
      <c r="AK173" s="2"/>
      <c r="AL173" s="2"/>
    </row>
    <row r="174" spans="1:38">
      <c r="A174" s="1"/>
      <c r="B174" s="1"/>
      <c r="C174" s="1"/>
      <c r="D174" s="1"/>
      <c r="E174" s="1"/>
      <c r="F174" s="1"/>
      <c r="G174" s="1"/>
      <c r="H174" s="1"/>
      <c r="P174" s="1"/>
      <c r="R174" s="846"/>
      <c r="S174" s="846"/>
      <c r="V174" s="29"/>
      <c r="W174" s="1"/>
      <c r="X174" s="1"/>
      <c r="AJ174" s="398" t="s">
        <v>257</v>
      </c>
      <c r="AK174" s="2"/>
      <c r="AL174" s="2"/>
    </row>
    <row r="175" spans="1:38">
      <c r="A175" s="1"/>
      <c r="B175" s="1"/>
      <c r="C175" s="1"/>
      <c r="D175" s="1"/>
      <c r="E175" s="1"/>
      <c r="F175" s="1"/>
      <c r="G175" s="1"/>
      <c r="H175" s="1"/>
      <c r="P175" s="1"/>
      <c r="R175" s="846"/>
      <c r="S175" s="846"/>
      <c r="V175" s="1"/>
      <c r="W175" s="1"/>
      <c r="X175" s="1"/>
      <c r="AC175" s="210" t="e">
        <f t="shared" ref="AC175:AC178" si="45">ROUND($AC$13*$AI175,0)</f>
        <v>#REF!</v>
      </c>
      <c r="AD175" s="1"/>
      <c r="AE175" s="1"/>
      <c r="AF175" s="399"/>
      <c r="AG175" s="104" t="s">
        <v>258</v>
      </c>
      <c r="AH175" s="206">
        <v>631040</v>
      </c>
      <c r="AI175" s="400" t="e">
        <f>+AJ175/#REF!</f>
        <v>#REF!</v>
      </c>
      <c r="AJ175" s="2">
        <v>45569.7</v>
      </c>
      <c r="AK175" s="2"/>
      <c r="AL175" s="2"/>
    </row>
    <row r="176" spans="1:38">
      <c r="A176" s="385" t="s">
        <v>259</v>
      </c>
      <c r="B176" s="406"/>
      <c r="C176" s="488" t="s">
        <v>359</v>
      </c>
      <c r="D176" s="488"/>
      <c r="E176" s="406"/>
      <c r="F176" s="406"/>
      <c r="G176" s="406"/>
      <c r="H176" s="407"/>
      <c r="P176" s="1"/>
      <c r="R176" s="846"/>
      <c r="S176" s="846"/>
      <c r="V176" s="29"/>
      <c r="W176" s="1"/>
      <c r="X176" s="1"/>
      <c r="AC176" s="210" t="e">
        <f t="shared" si="45"/>
        <v>#REF!</v>
      </c>
      <c r="AD176" s="1"/>
      <c r="AE176" s="1"/>
      <c r="AF176" s="399"/>
      <c r="AG176" s="104" t="s">
        <v>260</v>
      </c>
      <c r="AH176" s="206">
        <v>631060</v>
      </c>
      <c r="AI176" s="400" t="e">
        <f>+AJ176/#REF!</f>
        <v>#REF!</v>
      </c>
      <c r="AJ176" s="2">
        <v>42623.91</v>
      </c>
      <c r="AK176" s="2"/>
      <c r="AL176" s="2"/>
    </row>
    <row r="177" spans="1:38">
      <c r="A177" s="30" t="s">
        <v>63</v>
      </c>
      <c r="B177" s="271"/>
      <c r="C177" s="489" t="s">
        <v>360</v>
      </c>
      <c r="D177" s="430" t="s">
        <v>361</v>
      </c>
      <c r="G177" s="490" t="s">
        <v>64</v>
      </c>
      <c r="H177" s="81" t="s">
        <v>261</v>
      </c>
      <c r="P177" s="1"/>
      <c r="R177" s="846"/>
      <c r="S177" s="846"/>
      <c r="V177" s="29"/>
      <c r="W177" s="1"/>
      <c r="X177" s="1"/>
      <c r="AC177" s="210" t="e">
        <f t="shared" si="45"/>
        <v>#REF!</v>
      </c>
      <c r="AD177" s="1"/>
      <c r="AE177" s="1"/>
      <c r="AF177" s="399"/>
      <c r="AG177" s="104" t="s">
        <v>262</v>
      </c>
      <c r="AH177" s="206">
        <v>630020</v>
      </c>
      <c r="AI177" s="400" t="e">
        <f>+AJ177/#REF!</f>
        <v>#REF!</v>
      </c>
      <c r="AJ177" s="2">
        <v>790</v>
      </c>
      <c r="AK177" s="2"/>
      <c r="AL177" s="2"/>
    </row>
    <row r="178" spans="1:38" ht="16.5">
      <c r="A178" s="30" t="s">
        <v>395</v>
      </c>
      <c r="B178" s="271">
        <v>27000000</v>
      </c>
      <c r="C178" s="36">
        <f>G178/B178</f>
        <v>1.1111111111111112E-2</v>
      </c>
      <c r="D178" s="27">
        <f>G238</f>
        <v>7.5664999999999996E-2</v>
      </c>
      <c r="E178" s="1"/>
      <c r="F178" s="1"/>
      <c r="G178" s="401">
        <v>300000</v>
      </c>
      <c r="H178" s="402">
        <f>G178/$B$64/1000</f>
        <v>9.9121126015991549E-3</v>
      </c>
      <c r="P178" s="5"/>
      <c r="AC178" s="210" t="e">
        <f t="shared" si="45"/>
        <v>#REF!</v>
      </c>
      <c r="AD178" s="1"/>
      <c r="AE178" s="1"/>
      <c r="AF178" s="399"/>
      <c r="AG178" s="104" t="s">
        <v>263</v>
      </c>
      <c r="AH178" s="206">
        <v>630080</v>
      </c>
      <c r="AI178" s="400" t="e">
        <f>+AJ178/#REF!</f>
        <v>#REF!</v>
      </c>
      <c r="AJ178" s="2">
        <v>642210.63</v>
      </c>
      <c r="AK178" s="2"/>
      <c r="AL178" s="2"/>
    </row>
    <row r="179" spans="1:38" ht="12.75">
      <c r="A179" s="33"/>
      <c r="B179" s="1"/>
      <c r="C179" s="1"/>
      <c r="D179" s="1"/>
      <c r="E179" s="1"/>
      <c r="F179" s="1"/>
      <c r="G179" s="1"/>
      <c r="H179" s="403"/>
      <c r="Z179" s="404"/>
      <c r="AC179" s="1"/>
      <c r="AD179" s="1"/>
      <c r="AE179" s="1"/>
      <c r="AF179" s="394"/>
      <c r="AG179" s="1"/>
      <c r="AH179" s="1"/>
      <c r="AI179" s="1"/>
      <c r="AK179" s="2"/>
      <c r="AL179" s="2"/>
    </row>
    <row r="180" spans="1:38" ht="12.75">
      <c r="A180" s="30" t="s">
        <v>264</v>
      </c>
      <c r="C180" s="430" t="s">
        <v>358</v>
      </c>
      <c r="H180" s="313"/>
      <c r="AC180" s="1"/>
      <c r="AD180" s="1"/>
      <c r="AE180" s="1"/>
      <c r="AF180" s="394"/>
      <c r="AG180" s="1"/>
      <c r="AH180" s="1"/>
      <c r="AI180" s="1"/>
      <c r="AK180" s="2"/>
      <c r="AL180" s="2"/>
    </row>
    <row r="181" spans="1:38" ht="16.5">
      <c r="A181" s="30" t="s">
        <v>265</v>
      </c>
      <c r="C181" s="52">
        <f>G181/12</f>
        <v>1250</v>
      </c>
      <c r="G181" s="401">
        <v>15000</v>
      </c>
      <c r="H181" s="402">
        <f>G181/$B$64/1000</f>
        <v>4.956056300799577E-4</v>
      </c>
      <c r="AC181" s="1"/>
      <c r="AD181" s="1"/>
      <c r="AE181" s="1"/>
      <c r="AF181" s="394"/>
      <c r="AG181" s="1"/>
      <c r="AH181" s="1"/>
      <c r="AI181" s="1"/>
      <c r="AK181" s="2"/>
      <c r="AL181" s="2"/>
    </row>
    <row r="182" spans="1:38">
      <c r="A182" s="33"/>
      <c r="B182" s="1"/>
      <c r="C182" s="1"/>
      <c r="D182" s="1"/>
      <c r="E182" s="1"/>
      <c r="F182" s="1"/>
      <c r="G182" s="1"/>
      <c r="H182" s="403"/>
      <c r="Z182" s="404"/>
      <c r="AC182" s="1"/>
      <c r="AD182" s="1"/>
      <c r="AE182" s="1"/>
      <c r="AF182" s="394"/>
      <c r="AG182" s="1"/>
      <c r="AH182" s="1"/>
      <c r="AI182" s="1"/>
      <c r="AJ182" s="398" t="s">
        <v>257</v>
      </c>
      <c r="AK182" s="2"/>
      <c r="AL182" s="2"/>
    </row>
    <row r="183" spans="1:38">
      <c r="A183" s="30" t="s">
        <v>266</v>
      </c>
      <c r="C183" s="430" t="s">
        <v>358</v>
      </c>
      <c r="H183" s="313"/>
      <c r="AC183" s="210">
        <f>$AC$21*$AI183</f>
        <v>67438.349943217254</v>
      </c>
      <c r="AD183" s="1"/>
      <c r="AE183" s="1"/>
      <c r="AF183" s="399"/>
      <c r="AG183" s="104" t="s">
        <v>267</v>
      </c>
      <c r="AH183" s="206" t="s">
        <v>164</v>
      </c>
      <c r="AI183" s="400">
        <f>+AJ183/AJ234</f>
        <v>0.12261518171494047</v>
      </c>
      <c r="AJ183" s="2">
        <v>896800</v>
      </c>
      <c r="AK183" s="2"/>
      <c r="AL183" s="2"/>
    </row>
    <row r="184" spans="1:38" ht="16.5">
      <c r="A184" s="30" t="s">
        <v>268</v>
      </c>
      <c r="C184" s="52">
        <f>G184/12</f>
        <v>16666.666666666668</v>
      </c>
      <c r="G184" s="401">
        <v>200000</v>
      </c>
      <c r="H184" s="402">
        <f>G184/$B$64/1000</f>
        <v>6.6080750677327688E-3</v>
      </c>
      <c r="AE184" s="6"/>
      <c r="AK184" s="2"/>
      <c r="AL184" s="2"/>
    </row>
    <row r="185" spans="1:38" ht="12.75">
      <c r="A185" s="59"/>
      <c r="B185" s="41"/>
      <c r="C185" s="405"/>
      <c r="D185" s="41"/>
      <c r="E185" s="41"/>
      <c r="F185" s="41"/>
      <c r="G185" s="41"/>
      <c r="H185" s="42"/>
      <c r="AE185" s="6"/>
      <c r="AK185" s="2"/>
      <c r="AL185" s="2"/>
    </row>
    <row r="186" spans="1:38" ht="12.75">
      <c r="A186" s="1"/>
      <c r="B186" s="1"/>
      <c r="C186" s="1"/>
      <c r="D186" s="1"/>
      <c r="E186" s="1"/>
      <c r="F186" s="8"/>
      <c r="G186" s="8"/>
      <c r="H186" s="1"/>
      <c r="AE186" s="6"/>
      <c r="AK186" s="2"/>
      <c r="AL186" s="2"/>
    </row>
    <row r="187" spans="1:38" ht="12.75">
      <c r="A187" s="1"/>
      <c r="B187" s="1"/>
      <c r="C187" s="1"/>
      <c r="D187" s="1"/>
      <c r="E187" s="1"/>
      <c r="F187" s="8"/>
      <c r="G187" s="8"/>
      <c r="H187" s="1"/>
      <c r="AE187" s="6"/>
      <c r="AK187" s="2"/>
      <c r="AL187" s="2"/>
    </row>
    <row r="188" spans="1:38" ht="12.75">
      <c r="A188" s="385" t="s">
        <v>269</v>
      </c>
      <c r="B188" s="406"/>
      <c r="C188" s="406"/>
      <c r="D188" s="406"/>
      <c r="E188" s="406"/>
      <c r="F188" s="406"/>
      <c r="G188" s="406"/>
      <c r="H188" s="406"/>
      <c r="I188" s="406"/>
      <c r="J188" s="407"/>
      <c r="K188" s="30"/>
      <c r="AE188" s="6"/>
      <c r="AJ188" s="83" t="s">
        <v>270</v>
      </c>
      <c r="AK188" s="2"/>
      <c r="AL188" s="2"/>
    </row>
    <row r="189" spans="1:38">
      <c r="A189" s="30" t="s">
        <v>271</v>
      </c>
      <c r="I189" s="356"/>
      <c r="J189" s="408"/>
      <c r="K189" s="409"/>
      <c r="L189" s="356"/>
      <c r="M189" s="356"/>
      <c r="N189" s="356"/>
      <c r="AC189" s="210">
        <f>$AC$16*$AI189</f>
        <v>59083.64708879192</v>
      </c>
      <c r="AD189" s="410"/>
      <c r="AE189" s="410"/>
      <c r="AF189" s="411"/>
      <c r="AG189" s="104" t="s">
        <v>272</v>
      </c>
      <c r="AH189" s="206" t="s">
        <v>167</v>
      </c>
      <c r="AI189" s="412">
        <f>+AJ189/AJ191</f>
        <v>0.12652367694509992</v>
      </c>
      <c r="AJ189" s="2">
        <v>138741.68</v>
      </c>
      <c r="AK189" s="2"/>
      <c r="AL189" s="2"/>
    </row>
    <row r="190" spans="1:38">
      <c r="A190" s="30"/>
      <c r="I190" s="356"/>
      <c r="J190" s="408"/>
      <c r="K190" s="409"/>
      <c r="L190" s="356"/>
      <c r="M190" s="356"/>
      <c r="N190" s="356"/>
      <c r="AC190" s="413">
        <f>$AC$16*$AI190</f>
        <v>407893.35291120806</v>
      </c>
      <c r="AD190" s="410"/>
      <c r="AE190" s="410"/>
      <c r="AF190" s="411"/>
      <c r="AG190" s="104" t="s">
        <v>273</v>
      </c>
      <c r="AH190" s="206" t="s">
        <v>168</v>
      </c>
      <c r="AI190" s="412">
        <f>+AJ190/AJ191</f>
        <v>0.87347632305490008</v>
      </c>
      <c r="AJ190" s="83">
        <v>957825.25</v>
      </c>
      <c r="AK190" s="2"/>
      <c r="AL190" s="2"/>
    </row>
    <row r="191" spans="1:38">
      <c r="A191" s="30" t="s">
        <v>274</v>
      </c>
      <c r="B191" s="26" t="s">
        <v>275</v>
      </c>
      <c r="C191" s="26" t="s">
        <v>43</v>
      </c>
      <c r="D191" s="356"/>
      <c r="E191" s="847" t="s">
        <v>276</v>
      </c>
      <c r="F191" s="848"/>
      <c r="G191" s="356"/>
      <c r="I191" s="26"/>
      <c r="J191" s="541"/>
      <c r="K191" s="540"/>
      <c r="L191" s="26"/>
      <c r="M191" s="26"/>
      <c r="N191" s="26"/>
      <c r="AC191" s="102">
        <f>SUM(AC189:AC190)</f>
        <v>466977</v>
      </c>
      <c r="AD191" s="414"/>
      <c r="AE191" s="414"/>
      <c r="AF191" s="411" t="s">
        <v>95</v>
      </c>
      <c r="AG191" s="211" t="s">
        <v>94</v>
      </c>
      <c r="AH191" s="208" t="s">
        <v>229</v>
      </c>
      <c r="AJ191" s="2">
        <f>SUM(AJ189:AJ190)</f>
        <v>1096566.93</v>
      </c>
      <c r="AK191" s="2"/>
      <c r="AL191" s="2"/>
    </row>
    <row r="192" spans="1:38">
      <c r="A192" s="112" t="s">
        <v>277</v>
      </c>
      <c r="B192" s="415">
        <v>7</v>
      </c>
      <c r="C192" s="416">
        <v>2</v>
      </c>
      <c r="E192" s="30" t="s">
        <v>278</v>
      </c>
      <c r="F192" s="417">
        <v>50</v>
      </c>
      <c r="J192" s="25"/>
      <c r="K192" s="30"/>
      <c r="AC192" s="1"/>
      <c r="AD192" s="1"/>
      <c r="AE192" s="1"/>
      <c r="AF192" s="394"/>
      <c r="AG192" s="1"/>
      <c r="AH192" s="1"/>
      <c r="AK192" s="2"/>
      <c r="AL192" s="2"/>
    </row>
    <row r="193" spans="1:38">
      <c r="A193" s="112" t="s">
        <v>279</v>
      </c>
      <c r="B193" s="418">
        <f>28.16*1.03</f>
        <v>29.004799999999999</v>
      </c>
      <c r="C193" s="418">
        <f>30*1.03</f>
        <v>30.900000000000002</v>
      </c>
      <c r="E193" s="30" t="s">
        <v>280</v>
      </c>
      <c r="F193" s="417">
        <v>40</v>
      </c>
      <c r="J193" s="25"/>
      <c r="K193" s="30"/>
      <c r="AC193" s="210">
        <f>$AC$17*$AI193</f>
        <v>126416.18295694704</v>
      </c>
      <c r="AD193" s="410"/>
      <c r="AE193" s="410"/>
      <c r="AF193" s="411"/>
      <c r="AG193" s="104" t="s">
        <v>281</v>
      </c>
      <c r="AH193" s="206" t="s">
        <v>169</v>
      </c>
      <c r="AI193" s="412">
        <f>+AJ193/AJ195</f>
        <v>0.88937795804803044</v>
      </c>
      <c r="AJ193" s="2">
        <v>672293.65</v>
      </c>
      <c r="AK193" s="2"/>
      <c r="AL193" s="2"/>
    </row>
    <row r="194" spans="1:38" ht="16.5">
      <c r="A194" s="112" t="s">
        <v>282</v>
      </c>
      <c r="B194" s="419">
        <v>0.1</v>
      </c>
      <c r="C194" s="420">
        <v>0.1</v>
      </c>
      <c r="E194" s="30" t="s">
        <v>283</v>
      </c>
      <c r="F194" s="421">
        <v>1.5</v>
      </c>
      <c r="J194" s="25"/>
      <c r="K194" s="30"/>
      <c r="AC194" s="413">
        <f>$AC$17*$AI194</f>
        <v>15723.817043052954</v>
      </c>
      <c r="AD194" s="410"/>
      <c r="AE194" s="410"/>
      <c r="AF194" s="411"/>
      <c r="AG194" s="104" t="s">
        <v>284</v>
      </c>
      <c r="AH194" s="206" t="s">
        <v>170</v>
      </c>
      <c r="AI194" s="412">
        <f>+AJ194/AJ195</f>
        <v>0.11062204195196956</v>
      </c>
      <c r="AJ194" s="83">
        <v>83620.800000000003</v>
      </c>
      <c r="AK194" s="2"/>
      <c r="AL194" s="2"/>
    </row>
    <row r="195" spans="1:38">
      <c r="A195" s="112" t="s">
        <v>285</v>
      </c>
      <c r="B195" s="419">
        <v>0</v>
      </c>
      <c r="E195" s="422" t="s">
        <v>286</v>
      </c>
      <c r="F195" s="423">
        <v>0.4</v>
      </c>
      <c r="H195" s="205"/>
      <c r="J195" s="25"/>
      <c r="K195" s="30"/>
      <c r="AC195" s="102">
        <f>SUM(AC193:AC194)</f>
        <v>142140</v>
      </c>
      <c r="AD195" s="414"/>
      <c r="AE195" s="414"/>
      <c r="AF195" s="411" t="s">
        <v>95</v>
      </c>
      <c r="AG195" s="211" t="s">
        <v>96</v>
      </c>
      <c r="AH195" s="208" t="s">
        <v>229</v>
      </c>
      <c r="AJ195" s="2">
        <f>SUM(AJ193:AJ194)</f>
        <v>755914.45000000007</v>
      </c>
      <c r="AK195" s="2"/>
      <c r="AL195" s="2"/>
    </row>
    <row r="196" spans="1:38">
      <c r="A196" s="112" t="s">
        <v>387</v>
      </c>
      <c r="B196" s="419">
        <v>0.3</v>
      </c>
      <c r="E196" s="1"/>
      <c r="F196" s="1"/>
      <c r="H196" s="205"/>
      <c r="J196" s="25"/>
      <c r="K196" s="30"/>
      <c r="AC196" s="102"/>
      <c r="AD196" s="414"/>
      <c r="AE196" s="414"/>
      <c r="AF196" s="411"/>
      <c r="AG196" s="211"/>
      <c r="AH196" s="208"/>
      <c r="AK196" s="2"/>
      <c r="AL196" s="2"/>
    </row>
    <row r="197" spans="1:38" ht="12.75">
      <c r="A197" s="112"/>
      <c r="E197" s="1"/>
      <c r="F197" s="1"/>
      <c r="H197" s="205"/>
      <c r="J197" s="25"/>
      <c r="K197" s="30"/>
      <c r="AC197" s="102"/>
      <c r="AD197" s="414"/>
      <c r="AE197" s="414"/>
      <c r="AF197" s="411"/>
      <c r="AG197" s="211"/>
      <c r="AH197" s="208"/>
      <c r="AK197" s="2"/>
      <c r="AL197" s="2"/>
    </row>
    <row r="198" spans="1:38" ht="12.75">
      <c r="A198" s="30"/>
      <c r="E198" s="1"/>
      <c r="F198" s="1"/>
      <c r="G198" s="1"/>
      <c r="H198" s="205"/>
      <c r="J198" s="25"/>
      <c r="K198" s="30"/>
      <c r="AC198" s="102"/>
      <c r="AD198" s="414"/>
      <c r="AE198" s="414"/>
      <c r="AF198" s="411"/>
      <c r="AG198" s="211"/>
      <c r="AH198" s="208"/>
      <c r="AK198" s="2"/>
      <c r="AL198" s="2"/>
    </row>
    <row r="199" spans="1:38" ht="16.5">
      <c r="A199" s="30" t="s">
        <v>388</v>
      </c>
      <c r="B199" s="533" t="s">
        <v>375</v>
      </c>
      <c r="C199" s="533" t="s">
        <v>376</v>
      </c>
      <c r="D199" s="266"/>
      <c r="E199" s="1"/>
      <c r="J199" s="25"/>
      <c r="K199" s="30"/>
      <c r="AC199"/>
      <c r="AD199" s="213"/>
      <c r="AE199" s="213"/>
      <c r="AF199" s="424"/>
      <c r="AG199" s="213"/>
      <c r="AH199" s="215"/>
      <c r="AK199" s="2"/>
      <c r="AL199" s="2"/>
    </row>
    <row r="200" spans="1:38" ht="12.75">
      <c r="A200" s="112" t="s">
        <v>377</v>
      </c>
      <c r="B200" s="196" t="s">
        <v>378</v>
      </c>
      <c r="C200" s="2">
        <f>ROUND(B196*B64,-2)</f>
        <v>9100</v>
      </c>
      <c r="J200" s="25"/>
      <c r="K200" s="30"/>
      <c r="AC200" s="210"/>
      <c r="AD200" s="410"/>
      <c r="AE200" s="410"/>
      <c r="AF200" s="101"/>
      <c r="AG200" s="104"/>
      <c r="AH200" s="206"/>
      <c r="AI200" s="412"/>
      <c r="AK200" s="2"/>
      <c r="AL200" s="2"/>
    </row>
    <row r="201" spans="1:38" ht="12.75">
      <c r="A201" s="112" t="s">
        <v>383</v>
      </c>
      <c r="B201" s="196" t="s">
        <v>378</v>
      </c>
      <c r="C201" s="2">
        <v>2600</v>
      </c>
      <c r="J201" s="25"/>
      <c r="K201" s="30"/>
      <c r="AC201" s="210"/>
      <c r="AD201" s="410"/>
      <c r="AE201" s="410"/>
      <c r="AF201" s="101"/>
      <c r="AG201" s="104"/>
      <c r="AH201" s="206"/>
      <c r="AI201" s="412"/>
      <c r="AK201" s="2"/>
      <c r="AL201" s="2"/>
    </row>
    <row r="202" spans="1:38" ht="12.75">
      <c r="A202" s="112" t="s">
        <v>287</v>
      </c>
      <c r="B202" s="538">
        <f>ROUND(B192*B195,0)</f>
        <v>0</v>
      </c>
      <c r="C202" s="31">
        <f>(C200/(C201*4)*1000)/($F$192*$F$193)</f>
        <v>0.4375</v>
      </c>
      <c r="D202" s="537"/>
      <c r="E202" s="1"/>
      <c r="J202" s="25"/>
      <c r="K202" s="30"/>
      <c r="AC202" s="210">
        <f t="shared" ref="AC202:AC207" si="46">$AC$18*$AI202</f>
        <v>43452.575044787984</v>
      </c>
      <c r="AD202" s="410"/>
      <c r="AE202" s="410"/>
      <c r="AF202" s="101"/>
      <c r="AG202" s="104" t="s">
        <v>288</v>
      </c>
      <c r="AH202" s="206" t="s">
        <v>171</v>
      </c>
      <c r="AI202" s="412">
        <f>+AJ202/AJ208</f>
        <v>0.15655595524021712</v>
      </c>
      <c r="AJ202" s="2">
        <v>171706.34</v>
      </c>
      <c r="AK202" s="2"/>
      <c r="AL202" s="2"/>
    </row>
    <row r="203" spans="1:38" ht="12.75">
      <c r="A203" s="112" t="s">
        <v>289</v>
      </c>
      <c r="B203" s="425">
        <f>(B202*$F$192*$F$193)</f>
        <v>0</v>
      </c>
      <c r="C203" s="425">
        <f>(C202*$F$192*$F$193)</f>
        <v>875</v>
      </c>
      <c r="J203" s="25"/>
      <c r="K203" s="30"/>
      <c r="AC203" s="210">
        <f t="shared" si="46"/>
        <v>23325.543896545882</v>
      </c>
      <c r="AD203" s="410"/>
      <c r="AE203" s="410"/>
      <c r="AF203" s="101"/>
      <c r="AG203" s="104" t="s">
        <v>290</v>
      </c>
      <c r="AH203" s="206" t="s">
        <v>172</v>
      </c>
      <c r="AI203" s="412">
        <f>+AJ203/AJ208</f>
        <v>8.4039963165758902E-2</v>
      </c>
      <c r="AJ203" s="2">
        <v>92172.76</v>
      </c>
      <c r="AK203" s="2"/>
      <c r="AL203" s="2"/>
    </row>
    <row r="204" spans="1:38" ht="12.75">
      <c r="A204" s="112" t="s">
        <v>381</v>
      </c>
      <c r="B204" s="426">
        <f>(B202*$F$192*$F$193*$C$209)+((B202*$F$192*$F$193*$B$194)*$C$210)</f>
        <v>0</v>
      </c>
      <c r="C204" s="426">
        <f>$C$203*$C$213</f>
        <v>26532.800000000003</v>
      </c>
      <c r="D204" s="427"/>
      <c r="E204" s="428"/>
      <c r="J204" s="25"/>
      <c r="K204" s="30"/>
      <c r="AC204" s="210">
        <f t="shared" si="46"/>
        <v>17649.865247481437</v>
      </c>
      <c r="AD204" s="410"/>
      <c r="AE204" s="410"/>
      <c r="AF204" s="101"/>
      <c r="AG204" s="104" t="s">
        <v>291</v>
      </c>
      <c r="AH204" s="206" t="s">
        <v>173</v>
      </c>
      <c r="AI204" s="412">
        <f>+AJ204/AJ208</f>
        <v>6.3590972706046911E-2</v>
      </c>
      <c r="AJ204" s="2">
        <v>69744.86</v>
      </c>
      <c r="AK204" s="2"/>
      <c r="AL204" s="2"/>
    </row>
    <row r="205" spans="1:38" ht="12.75">
      <c r="A205" s="112" t="s">
        <v>382</v>
      </c>
      <c r="B205" s="426">
        <f>B204*F195</f>
        <v>0</v>
      </c>
      <c r="C205" s="426">
        <f>$C$203*$I$213</f>
        <v>12265.593737373738</v>
      </c>
      <c r="D205" s="427"/>
      <c r="E205" s="1"/>
      <c r="J205" s="25"/>
      <c r="K205" s="30"/>
      <c r="AC205" s="210">
        <f t="shared" si="46"/>
        <v>129740.64290188516</v>
      </c>
      <c r="AD205" s="410"/>
      <c r="AE205" s="410"/>
      <c r="AF205" s="101"/>
      <c r="AG205" s="104" t="s">
        <v>292</v>
      </c>
      <c r="AH205" s="206" t="s">
        <v>174</v>
      </c>
      <c r="AI205" s="412">
        <f>+AJ205/AJ208</f>
        <v>0.46744457059331068</v>
      </c>
      <c r="AJ205" s="2">
        <v>512680.57</v>
      </c>
      <c r="AK205" s="2"/>
      <c r="AL205" s="2"/>
    </row>
    <row r="206" spans="1:38" ht="12.75">
      <c r="A206" s="30"/>
      <c r="B206" s="429"/>
      <c r="C206" s="70"/>
      <c r="D206" s="70"/>
      <c r="E206" s="1"/>
      <c r="J206" s="25"/>
      <c r="K206" s="30"/>
      <c r="R206" s="430"/>
      <c r="S206" s="430"/>
      <c r="T206" s="430"/>
      <c r="U206" s="430"/>
      <c r="V206" s="430"/>
      <c r="W206" s="430"/>
      <c r="X206" s="430"/>
      <c r="Y206" s="430"/>
      <c r="AC206" s="210">
        <f t="shared" si="46"/>
        <v>56593.537878882991</v>
      </c>
      <c r="AD206" s="410"/>
      <c r="AE206" s="410"/>
      <c r="AF206" s="101"/>
      <c r="AG206" s="104" t="s">
        <v>293</v>
      </c>
      <c r="AH206" s="206" t="s">
        <v>175</v>
      </c>
      <c r="AI206" s="412">
        <f>+AJ206/AJ208</f>
        <v>0.2039017336468458</v>
      </c>
      <c r="AJ206" s="2">
        <v>223633.91</v>
      </c>
      <c r="AK206" s="2"/>
      <c r="AL206" s="2"/>
    </row>
    <row r="207" spans="1:38">
      <c r="A207" s="30"/>
      <c r="B207" s="849" t="s">
        <v>14</v>
      </c>
      <c r="C207" s="849"/>
      <c r="D207" s="849"/>
      <c r="E207" s="850" t="s">
        <v>294</v>
      </c>
      <c r="F207" s="849"/>
      <c r="G207" s="851"/>
      <c r="H207" s="849" t="str">
        <f>CONCATENATE("Indirect Payroll Cost (IPC) at ",F195*100,"%")</f>
        <v>Indirect Payroll Cost (IPC) at 40%</v>
      </c>
      <c r="I207" s="849"/>
      <c r="J207" s="851"/>
      <c r="K207" s="30"/>
      <c r="AC207" s="413">
        <f t="shared" si="46"/>
        <v>6790.8350304165506</v>
      </c>
      <c r="AD207" s="410"/>
      <c r="AE207" s="410"/>
      <c r="AF207" s="101"/>
      <c r="AG207" s="104" t="s">
        <v>295</v>
      </c>
      <c r="AH207" s="206" t="s">
        <v>176</v>
      </c>
      <c r="AI207" s="412">
        <f>+AJ207/AJ208</f>
        <v>2.4466804647820597E-2</v>
      </c>
      <c r="AJ207" s="83">
        <v>26834.53</v>
      </c>
      <c r="AK207" s="2"/>
      <c r="AL207" s="2"/>
    </row>
    <row r="208" spans="1:38">
      <c r="A208" s="431" t="s">
        <v>296</v>
      </c>
      <c r="B208" s="432" t="s">
        <v>289</v>
      </c>
      <c r="C208" s="432" t="s">
        <v>297</v>
      </c>
      <c r="D208" s="433" t="s">
        <v>48</v>
      </c>
      <c r="E208" s="434" t="s">
        <v>289</v>
      </c>
      <c r="F208" s="432" t="s">
        <v>297</v>
      </c>
      <c r="G208" s="435" t="s">
        <v>48</v>
      </c>
      <c r="H208" s="432" t="s">
        <v>289</v>
      </c>
      <c r="I208" s="432" t="s">
        <v>297</v>
      </c>
      <c r="J208" s="435" t="s">
        <v>48</v>
      </c>
      <c r="K208" s="30"/>
      <c r="Q208" s="430"/>
      <c r="R208" s="29"/>
      <c r="S208" s="29"/>
      <c r="T208" s="29"/>
      <c r="U208" s="29"/>
      <c r="V208" s="29"/>
      <c r="W208" s="29"/>
      <c r="X208" s="29"/>
      <c r="Y208" s="29"/>
      <c r="AC208" s="102">
        <f>SUM(AC202:AC207)</f>
        <v>277553.00000000006</v>
      </c>
      <c r="AD208" s="414"/>
      <c r="AE208" s="414"/>
      <c r="AF208" s="411" t="s">
        <v>95</v>
      </c>
      <c r="AG208" s="211" t="s">
        <v>97</v>
      </c>
      <c r="AH208" s="208" t="s">
        <v>229</v>
      </c>
      <c r="AJ208" s="2">
        <f>SUM(AJ202:AJ207)</f>
        <v>1096772.97</v>
      </c>
      <c r="AK208" s="2"/>
      <c r="AL208" s="2"/>
    </row>
    <row r="209" spans="1:38" ht="12.75">
      <c r="A209" s="436" t="s">
        <v>49</v>
      </c>
      <c r="B209" s="65">
        <f>$F$192*$F$193*B$192</f>
        <v>14000</v>
      </c>
      <c r="C209" s="53">
        <f>B193</f>
        <v>29.004799999999999</v>
      </c>
      <c r="D209" s="437">
        <f>B209*C209</f>
        <v>406067.20000000001</v>
      </c>
      <c r="E209" s="454">
        <f>$F$192*$F$193*C$192</f>
        <v>4000</v>
      </c>
      <c r="F209" s="53">
        <f>C$193</f>
        <v>30.900000000000002</v>
      </c>
      <c r="G209" s="438">
        <f>E209*F209</f>
        <v>123600.00000000001</v>
      </c>
      <c r="J209" s="25"/>
      <c r="K209" s="30"/>
      <c r="R209" s="29"/>
      <c r="S209" s="29"/>
      <c r="T209" s="29"/>
      <c r="U209" s="29"/>
      <c r="V209" s="29"/>
      <c r="W209" s="29"/>
      <c r="X209" s="29"/>
      <c r="Y209" s="29"/>
      <c r="AE209" s="6"/>
      <c r="AK209" s="2"/>
      <c r="AL209" s="2"/>
    </row>
    <row r="210" spans="1:38">
      <c r="A210" s="436" t="s">
        <v>50</v>
      </c>
      <c r="B210" s="356">
        <f>$F$192*$F$193*B$194*B$192</f>
        <v>1400</v>
      </c>
      <c r="C210" s="439">
        <f>B$193*$F$194</f>
        <v>43.507199999999997</v>
      </c>
      <c r="D210" s="440">
        <f>B210*C210</f>
        <v>60910.079999999994</v>
      </c>
      <c r="E210" s="409">
        <f>$F$192*$F$193*C$194*C$192</f>
        <v>400</v>
      </c>
      <c r="F210" s="441">
        <f>C$193*$F$194</f>
        <v>46.35</v>
      </c>
      <c r="G210" s="442">
        <f>E210*F210</f>
        <v>18540</v>
      </c>
      <c r="I210" s="29"/>
      <c r="J210" s="25"/>
      <c r="K210" s="30"/>
      <c r="Q210" s="29"/>
      <c r="R210" s="29"/>
      <c r="S210" s="29"/>
      <c r="T210" s="29"/>
      <c r="U210" s="29"/>
      <c r="V210" s="29"/>
      <c r="W210" s="29"/>
      <c r="X210" s="29"/>
      <c r="Y210" s="29"/>
      <c r="AA210" s="104" t="s">
        <v>95</v>
      </c>
      <c r="AB210" s="104" t="s">
        <v>94</v>
      </c>
      <c r="AE210" s="6"/>
      <c r="AF210" s="391">
        <f>$B$213/$B$29</f>
        <v>1.7701149425287357</v>
      </c>
      <c r="AK210" s="2"/>
      <c r="AL210" s="2"/>
    </row>
    <row r="211" spans="1:38" ht="12.75">
      <c r="A211" s="443" t="s">
        <v>138</v>
      </c>
      <c r="B211" s="65">
        <f>SUM(B209:B210)</f>
        <v>15400</v>
      </c>
      <c r="C211" s="53">
        <f>D211/B211</f>
        <v>30.323200000000003</v>
      </c>
      <c r="D211" s="444">
        <f>SUM(D209:D210)</f>
        <v>466977.28000000003</v>
      </c>
      <c r="E211" s="454">
        <f>SUM(E209:E210)</f>
        <v>4400</v>
      </c>
      <c r="F211" s="53">
        <f>IF(E211&lt;&gt;0,G211/E211,0)</f>
        <v>32.304545454545455</v>
      </c>
      <c r="G211" s="445">
        <f>SUM(G209:G210)</f>
        <v>142140</v>
      </c>
      <c r="H211" s="65">
        <f>B211+E211</f>
        <v>19800</v>
      </c>
      <c r="I211" s="53">
        <f>J211/H211</f>
        <v>14.017821414141414</v>
      </c>
      <c r="J211" s="446">
        <f>+(D211+G211+C242)*F195</f>
        <v>277552.864</v>
      </c>
      <c r="K211" s="30"/>
      <c r="Q211" s="29"/>
      <c r="AA211" s="104" t="s">
        <v>95</v>
      </c>
      <c r="AB211" s="104" t="s">
        <v>96</v>
      </c>
      <c r="AE211" s="6"/>
      <c r="AF211" s="391">
        <f>$E$213/$B$29</f>
        <v>0.50574712643678166</v>
      </c>
      <c r="AK211" s="2"/>
      <c r="AL211" s="2"/>
    </row>
    <row r="212" spans="1:38">
      <c r="A212" s="443" t="s">
        <v>298</v>
      </c>
      <c r="B212" s="356">
        <f>-B203</f>
        <v>0</v>
      </c>
      <c r="C212" s="447">
        <f>IF(B212&lt;&gt;0,D212/B212,0)</f>
        <v>0</v>
      </c>
      <c r="D212" s="440">
        <f>-B204</f>
        <v>0</v>
      </c>
      <c r="E212" s="483">
        <v>0</v>
      </c>
      <c r="F212" s="447">
        <f>IF(E212&lt;&gt;0,(G212/E212),0)</f>
        <v>0</v>
      </c>
      <c r="G212" s="448">
        <v>0</v>
      </c>
      <c r="H212" s="356">
        <f>-B203</f>
        <v>0</v>
      </c>
      <c r="I212" s="447">
        <f>IF(H212&lt;&gt;0,J212/H212,0)</f>
        <v>0</v>
      </c>
      <c r="J212" s="449">
        <f>-B205</f>
        <v>0</v>
      </c>
      <c r="K212" s="30"/>
      <c r="Q212" s="29"/>
      <c r="AA212" s="104" t="s">
        <v>95</v>
      </c>
      <c r="AB212" s="104" t="s">
        <v>97</v>
      </c>
      <c r="AE212" s="6"/>
      <c r="AF212" s="391">
        <f>$H$213/$B$29</f>
        <v>2.2758620689655173</v>
      </c>
      <c r="AK212" s="2"/>
      <c r="AL212" s="2"/>
    </row>
    <row r="213" spans="1:38" ht="12.75">
      <c r="A213" s="443" t="s">
        <v>386</v>
      </c>
      <c r="B213" s="342">
        <f>SUM(B211:B212)</f>
        <v>15400</v>
      </c>
      <c r="C213" s="179">
        <f>D213/B213</f>
        <v>30.323200000000003</v>
      </c>
      <c r="D213" s="534">
        <f>SUM(D211:D212)</f>
        <v>466977.28000000003</v>
      </c>
      <c r="E213" s="535">
        <f>SUM(E211:E212)</f>
        <v>4400</v>
      </c>
      <c r="F213" s="179">
        <f>IF(E213&lt;&gt;0,G213/E213,0)</f>
        <v>32.304545454545455</v>
      </c>
      <c r="G213" s="536">
        <f>SUM(G211:G212)</f>
        <v>142140</v>
      </c>
      <c r="H213" s="342">
        <f>SUM(H211:H212)</f>
        <v>19800</v>
      </c>
      <c r="I213" s="179">
        <f>J213/H213</f>
        <v>14.017821414141414</v>
      </c>
      <c r="J213" s="536">
        <f>SUM(J211:J212)</f>
        <v>277552.864</v>
      </c>
      <c r="K213" s="30"/>
      <c r="AK213" s="2"/>
      <c r="AL213" s="2"/>
    </row>
    <row r="214" spans="1:38">
      <c r="A214" s="443" t="s">
        <v>380</v>
      </c>
      <c r="B214" s="342">
        <f>C203</f>
        <v>875</v>
      </c>
      <c r="C214" s="450"/>
      <c r="D214" s="180">
        <f>B214*C213</f>
        <v>26532.800000000003</v>
      </c>
      <c r="E214" s="535">
        <v>0</v>
      </c>
      <c r="F214" s="450"/>
      <c r="G214" s="181">
        <f>E214*F213</f>
        <v>0</v>
      </c>
      <c r="H214" s="342">
        <f>B214+E214</f>
        <v>875</v>
      </c>
      <c r="I214" s="450"/>
      <c r="J214" s="536">
        <f>H214*I213</f>
        <v>12265.593737373738</v>
      </c>
      <c r="K214" s="30"/>
      <c r="AK214" s="2"/>
      <c r="AL214" s="2"/>
    </row>
    <row r="215" spans="1:38">
      <c r="A215" s="443" t="s">
        <v>379</v>
      </c>
      <c r="B215" s="342">
        <f>B213-B214</f>
        <v>14525</v>
      </c>
      <c r="C215" s="450"/>
      <c r="D215" s="180">
        <f>B215*C213</f>
        <v>440444.48000000004</v>
      </c>
      <c r="E215" s="535">
        <f>E213-E214</f>
        <v>4400</v>
      </c>
      <c r="F215" s="450"/>
      <c r="G215" s="536">
        <f>E215*F213</f>
        <v>142140</v>
      </c>
      <c r="H215" s="342">
        <f>H213-H214</f>
        <v>18925</v>
      </c>
      <c r="I215" s="450"/>
      <c r="J215" s="536">
        <f>H215*I213</f>
        <v>265287.27026262629</v>
      </c>
      <c r="K215" s="30"/>
      <c r="AK215" s="2"/>
      <c r="AL215" s="2"/>
    </row>
    <row r="216" spans="1:38" ht="12.75">
      <c r="A216" s="451"/>
      <c r="B216" s="342"/>
      <c r="C216" s="179"/>
      <c r="D216" s="176"/>
      <c r="E216" s="30"/>
      <c r="F216" s="342"/>
      <c r="G216" s="452"/>
      <c r="H216" s="176"/>
      <c r="J216" s="25"/>
      <c r="K216" s="30"/>
      <c r="AK216" s="2"/>
      <c r="AL216" s="2"/>
    </row>
    <row r="217" spans="1:38" ht="12.75">
      <c r="A217" s="23" t="s">
        <v>299</v>
      </c>
      <c r="E217" s="33"/>
      <c r="F217" s="1"/>
      <c r="G217" s="38"/>
      <c r="H217" s="453"/>
      <c r="J217" s="25"/>
      <c r="AE217" s="6"/>
      <c r="AK217" s="2"/>
      <c r="AL217" s="2"/>
    </row>
    <row r="218" spans="1:38" ht="12.75">
      <c r="A218" s="112" t="s">
        <v>327</v>
      </c>
      <c r="B218" s="65">
        <f>ROUND($B$215*$E78,0)+1</f>
        <v>4176</v>
      </c>
      <c r="C218" s="53"/>
      <c r="D218" s="52">
        <f>ROUND($D$215*$E78,0)+1</f>
        <v>126607</v>
      </c>
      <c r="E218" s="454">
        <f>ROUND($E$215*$E78,0)-1</f>
        <v>1264</v>
      </c>
      <c r="F218" s="1"/>
      <c r="G218" s="54">
        <f>ROUND($G$215*$E78,0)</f>
        <v>40858</v>
      </c>
      <c r="H218" s="65">
        <f>ROUND($H$215*$E78,0)+1</f>
        <v>5441</v>
      </c>
      <c r="J218" s="54">
        <f>ROUND($J$215*$E78,0)</f>
        <v>76257</v>
      </c>
      <c r="AE218" s="6"/>
      <c r="AK218" s="2"/>
      <c r="AL218" s="2"/>
    </row>
    <row r="219" spans="1:38" ht="12.75">
      <c r="A219" s="112" t="s">
        <v>328</v>
      </c>
      <c r="B219" s="65">
        <f t="shared" ref="B219:B229" si="47">ROUND($B$215*$E79,0)</f>
        <v>528</v>
      </c>
      <c r="C219" s="53"/>
      <c r="D219" s="52">
        <f t="shared" ref="D219:D229" si="48">ROUND($D$215*$E79,0)</f>
        <v>16008</v>
      </c>
      <c r="E219" s="454">
        <f t="shared" ref="E219:E229" si="49">ROUND($E$215*$E79,0)</f>
        <v>160</v>
      </c>
      <c r="F219" s="1"/>
      <c r="G219" s="54">
        <f t="shared" ref="G219:G229" si="50">ROUND($G$215*$E79,0)</f>
        <v>5166</v>
      </c>
      <c r="H219" s="65">
        <f t="shared" ref="H219:H229" si="51">ROUND($H$215*$E79,0)</f>
        <v>688</v>
      </c>
      <c r="J219" s="54">
        <f t="shared" ref="J219:J229" si="52">ROUND($J$215*$E79,0)</f>
        <v>9642</v>
      </c>
      <c r="AE219" s="6"/>
      <c r="AK219" s="2"/>
      <c r="AL219" s="2"/>
    </row>
    <row r="220" spans="1:38" ht="12.75">
      <c r="A220" s="112" t="s">
        <v>329</v>
      </c>
      <c r="B220" s="65">
        <f t="shared" si="47"/>
        <v>288</v>
      </c>
      <c r="C220" s="53"/>
      <c r="D220" s="52">
        <f t="shared" si="48"/>
        <v>8731</v>
      </c>
      <c r="E220" s="454">
        <f t="shared" si="49"/>
        <v>87</v>
      </c>
      <c r="F220" s="1"/>
      <c r="G220" s="54">
        <f t="shared" si="50"/>
        <v>2818</v>
      </c>
      <c r="H220" s="65">
        <f t="shared" si="51"/>
        <v>375</v>
      </c>
      <c r="J220" s="54">
        <f t="shared" si="52"/>
        <v>5259</v>
      </c>
      <c r="AE220" s="6"/>
      <c r="AK220" s="2"/>
      <c r="AL220" s="2"/>
    </row>
    <row r="221" spans="1:38" ht="12.75">
      <c r="A221" s="112" t="s">
        <v>330</v>
      </c>
      <c r="B221" s="65">
        <f t="shared" si="47"/>
        <v>1278</v>
      </c>
      <c r="C221" s="53"/>
      <c r="D221" s="52">
        <f t="shared" si="48"/>
        <v>38768</v>
      </c>
      <c r="E221" s="454">
        <f t="shared" si="49"/>
        <v>387</v>
      </c>
      <c r="F221" s="1"/>
      <c r="G221" s="54">
        <f t="shared" si="50"/>
        <v>12511</v>
      </c>
      <c r="H221" s="65">
        <f t="shared" si="51"/>
        <v>1666</v>
      </c>
      <c r="J221" s="54">
        <f t="shared" si="52"/>
        <v>23350</v>
      </c>
      <c r="AE221" s="6"/>
      <c r="AK221" s="2"/>
      <c r="AL221" s="2"/>
    </row>
    <row r="222" spans="1:38" ht="12.75">
      <c r="A222" s="112" t="s">
        <v>331</v>
      </c>
      <c r="B222" s="65">
        <f t="shared" si="47"/>
        <v>0</v>
      </c>
      <c r="C222" s="53"/>
      <c r="D222" s="52">
        <f t="shared" si="48"/>
        <v>0</v>
      </c>
      <c r="E222" s="454">
        <f t="shared" si="49"/>
        <v>0</v>
      </c>
      <c r="F222" s="1"/>
      <c r="G222" s="54">
        <f t="shared" si="50"/>
        <v>0</v>
      </c>
      <c r="H222" s="65">
        <f t="shared" si="51"/>
        <v>0</v>
      </c>
      <c r="J222" s="54">
        <f t="shared" si="52"/>
        <v>0</v>
      </c>
      <c r="AE222" s="6"/>
      <c r="AK222" s="2"/>
      <c r="AL222" s="2"/>
    </row>
    <row r="223" spans="1:38" ht="12.75">
      <c r="A223" s="112" t="s">
        <v>332</v>
      </c>
      <c r="B223" s="65">
        <f t="shared" si="47"/>
        <v>5280</v>
      </c>
      <c r="C223" s="53"/>
      <c r="D223" s="52">
        <f t="shared" si="48"/>
        <v>160106</v>
      </c>
      <c r="E223" s="454">
        <f t="shared" si="49"/>
        <v>1599</v>
      </c>
      <c r="F223" s="1"/>
      <c r="G223" s="54">
        <f t="shared" si="50"/>
        <v>51669</v>
      </c>
      <c r="H223" s="65">
        <f t="shared" si="51"/>
        <v>6879</v>
      </c>
      <c r="J223" s="54">
        <f t="shared" si="52"/>
        <v>96435</v>
      </c>
      <c r="AE223" s="6"/>
      <c r="AK223" s="2"/>
      <c r="AL223" s="2"/>
    </row>
    <row r="224" spans="1:38" ht="12.75">
      <c r="A224" s="112" t="s">
        <v>322</v>
      </c>
      <c r="B224" s="65">
        <f t="shared" si="47"/>
        <v>192</v>
      </c>
      <c r="C224" s="53"/>
      <c r="D224" s="52">
        <f t="shared" si="48"/>
        <v>5821</v>
      </c>
      <c r="E224" s="454">
        <f t="shared" si="49"/>
        <v>58</v>
      </c>
      <c r="F224" s="1"/>
      <c r="G224" s="54">
        <f t="shared" si="50"/>
        <v>1879</v>
      </c>
      <c r="H224" s="65">
        <f t="shared" si="51"/>
        <v>250</v>
      </c>
      <c r="J224" s="54">
        <f t="shared" si="52"/>
        <v>3506</v>
      </c>
      <c r="AE224" s="6"/>
      <c r="AK224" s="2"/>
      <c r="AL224" s="2"/>
    </row>
    <row r="225" spans="1:38" ht="12.75">
      <c r="A225" s="112" t="s">
        <v>333</v>
      </c>
      <c r="B225" s="65">
        <f t="shared" si="47"/>
        <v>2783</v>
      </c>
      <c r="C225" s="53"/>
      <c r="D225" s="52">
        <f t="shared" si="48"/>
        <v>84404</v>
      </c>
      <c r="E225" s="454">
        <f t="shared" si="49"/>
        <v>843</v>
      </c>
      <c r="F225" s="1"/>
      <c r="G225" s="54">
        <f t="shared" si="50"/>
        <v>27239</v>
      </c>
      <c r="H225" s="65">
        <f t="shared" si="51"/>
        <v>3627</v>
      </c>
      <c r="J225" s="54">
        <f t="shared" si="52"/>
        <v>50838</v>
      </c>
      <c r="AE225" s="6"/>
      <c r="AK225" s="2"/>
      <c r="AL225" s="2"/>
    </row>
    <row r="226" spans="1:38" ht="12.75">
      <c r="A226" s="112" t="s">
        <v>334</v>
      </c>
      <c r="B226" s="65">
        <f t="shared" si="47"/>
        <v>0</v>
      </c>
      <c r="C226" s="53"/>
      <c r="D226" s="52">
        <f t="shared" si="48"/>
        <v>0</v>
      </c>
      <c r="E226" s="454">
        <f t="shared" si="49"/>
        <v>0</v>
      </c>
      <c r="F226" s="1"/>
      <c r="G226" s="54">
        <f t="shared" si="50"/>
        <v>0</v>
      </c>
      <c r="H226" s="65">
        <f t="shared" si="51"/>
        <v>0</v>
      </c>
      <c r="J226" s="54">
        <f t="shared" si="52"/>
        <v>0</v>
      </c>
      <c r="AE226" s="6"/>
      <c r="AK226" s="2"/>
      <c r="AL226" s="2"/>
    </row>
    <row r="227" spans="1:38" ht="12.75">
      <c r="A227" s="112" t="s">
        <v>335</v>
      </c>
      <c r="B227" s="65">
        <f t="shared" si="47"/>
        <v>0</v>
      </c>
      <c r="C227" s="53"/>
      <c r="D227" s="52">
        <f t="shared" si="48"/>
        <v>0</v>
      </c>
      <c r="E227" s="454">
        <f t="shared" si="49"/>
        <v>0</v>
      </c>
      <c r="F227" s="1"/>
      <c r="G227" s="54">
        <f t="shared" si="50"/>
        <v>0</v>
      </c>
      <c r="H227" s="65">
        <f t="shared" si="51"/>
        <v>0</v>
      </c>
      <c r="J227" s="54">
        <f t="shared" si="52"/>
        <v>0</v>
      </c>
      <c r="AE227" s="6"/>
      <c r="AK227" s="2"/>
      <c r="AL227" s="2"/>
    </row>
    <row r="228" spans="1:38" ht="12.75">
      <c r="A228" s="112" t="s">
        <v>326</v>
      </c>
      <c r="B228" s="65">
        <f t="shared" si="47"/>
        <v>0</v>
      </c>
      <c r="C228" s="53"/>
      <c r="D228" s="52">
        <f t="shared" si="48"/>
        <v>0</v>
      </c>
      <c r="E228" s="454">
        <f t="shared" si="49"/>
        <v>0</v>
      </c>
      <c r="F228" s="1"/>
      <c r="G228" s="54">
        <f t="shared" si="50"/>
        <v>0</v>
      </c>
      <c r="H228" s="65">
        <f t="shared" si="51"/>
        <v>0</v>
      </c>
      <c r="J228" s="54">
        <f t="shared" si="52"/>
        <v>0</v>
      </c>
      <c r="AE228" s="6"/>
      <c r="AK228" s="2"/>
      <c r="AL228" s="2"/>
    </row>
    <row r="229" spans="1:38" ht="12.75">
      <c r="A229" s="112" t="s">
        <v>216</v>
      </c>
      <c r="B229" s="65">
        <f t="shared" si="47"/>
        <v>0</v>
      </c>
      <c r="C229" s="53"/>
      <c r="D229" s="52">
        <f t="shared" si="48"/>
        <v>0</v>
      </c>
      <c r="E229" s="454">
        <f t="shared" si="49"/>
        <v>0</v>
      </c>
      <c r="F229" s="1"/>
      <c r="G229" s="54">
        <f t="shared" si="50"/>
        <v>0</v>
      </c>
      <c r="H229" s="65">
        <f t="shared" si="51"/>
        <v>0</v>
      </c>
      <c r="J229" s="54">
        <f t="shared" si="52"/>
        <v>0</v>
      </c>
      <c r="AE229" s="6"/>
      <c r="AK229" s="2"/>
      <c r="AL229" s="2"/>
    </row>
    <row r="230" spans="1:38">
      <c r="A230" s="112" t="s">
        <v>376</v>
      </c>
      <c r="B230" s="356">
        <f>B214</f>
        <v>875</v>
      </c>
      <c r="C230" s="53"/>
      <c r="D230" s="455">
        <f>D214</f>
        <v>26532.800000000003</v>
      </c>
      <c r="E230" s="409">
        <f>E214</f>
        <v>0</v>
      </c>
      <c r="F230" s="1"/>
      <c r="G230" s="456">
        <f>G214</f>
        <v>0</v>
      </c>
      <c r="H230" s="356">
        <f>H214</f>
        <v>875</v>
      </c>
      <c r="J230" s="456">
        <f>J214</f>
        <v>12265.593737373738</v>
      </c>
      <c r="AE230" s="6"/>
      <c r="AK230" s="2"/>
      <c r="AL230" s="2"/>
    </row>
    <row r="231" spans="1:38">
      <c r="A231" s="353" t="s">
        <v>229</v>
      </c>
      <c r="B231" s="457">
        <f>SUM(B218:B230)</f>
        <v>15400</v>
      </c>
      <c r="C231" s="53"/>
      <c r="D231" s="458">
        <f>SUM(D218:D230)</f>
        <v>466977.8</v>
      </c>
      <c r="E231" s="459">
        <f>SUM(E218:E230)</f>
        <v>4398</v>
      </c>
      <c r="F231" s="1"/>
      <c r="G231" s="460">
        <f>SUM(G218:G230)</f>
        <v>142140</v>
      </c>
      <c r="H231" s="457">
        <f>SUM(H218:H230)</f>
        <v>19801</v>
      </c>
      <c r="J231" s="460">
        <f>SUM(J218:J230)</f>
        <v>277552.59373737371</v>
      </c>
      <c r="AK231" s="2"/>
      <c r="AL231" s="2"/>
    </row>
    <row r="232" spans="1:38" ht="12.75">
      <c r="A232" s="84"/>
      <c r="B232" s="85"/>
      <c r="C232" s="85"/>
      <c r="D232" s="85"/>
      <c r="E232" s="85"/>
      <c r="F232" s="85"/>
      <c r="G232" s="85"/>
      <c r="H232" s="85"/>
      <c r="I232" s="85"/>
      <c r="J232" s="87"/>
      <c r="AK232" s="2"/>
      <c r="AL232" s="2"/>
    </row>
    <row r="233" spans="1:38" ht="16.5">
      <c r="A233" s="1"/>
      <c r="B233" s="1"/>
      <c r="C233" s="1"/>
      <c r="D233" s="1"/>
      <c r="E233" s="1"/>
      <c r="F233" s="1"/>
      <c r="G233" s="1"/>
      <c r="H233" s="1"/>
      <c r="AC233" s="413">
        <f>$AC$21*$AI233</f>
        <v>39000.439247559356</v>
      </c>
      <c r="AD233" s="1"/>
      <c r="AE233" s="1"/>
      <c r="AF233" s="399"/>
      <c r="AG233" s="104" t="s">
        <v>300</v>
      </c>
      <c r="AH233" s="206">
        <v>630040</v>
      </c>
      <c r="AI233" s="400">
        <f>+AJ233/AJ234</f>
        <v>7.0909889541017013E-2</v>
      </c>
      <c r="AJ233" s="83">
        <v>518630.63</v>
      </c>
      <c r="AK233" s="2"/>
      <c r="AL233" s="2"/>
    </row>
    <row r="234" spans="1:38">
      <c r="A234" s="1"/>
      <c r="B234" s="1"/>
      <c r="C234" s="1"/>
      <c r="D234" s="1"/>
      <c r="E234" s="1"/>
      <c r="F234" s="1"/>
      <c r="G234" s="1"/>
      <c r="H234" s="1"/>
      <c r="AC234" s="461">
        <f>SUM(AC183:AC233)</f>
        <v>1879778.7891907766</v>
      </c>
      <c r="AD234" s="1"/>
      <c r="AE234" s="1"/>
      <c r="AF234" s="411" t="s">
        <v>91</v>
      </c>
      <c r="AG234" s="211" t="s">
        <v>99</v>
      </c>
      <c r="AH234" s="208" t="s">
        <v>229</v>
      </c>
      <c r="AI234" s="400">
        <f>SUM(AI183:AI233)</f>
        <v>3.1935250712559577</v>
      </c>
      <c r="AJ234" s="2">
        <f>SUM(AJ183:AJ233)</f>
        <v>7313939.3300000001</v>
      </c>
      <c r="AK234" s="2"/>
      <c r="AL234" s="2"/>
    </row>
    <row r="235" spans="1:38" ht="12.75">
      <c r="A235" s="1"/>
      <c r="B235" s="1"/>
      <c r="C235" s="1"/>
      <c r="D235" s="1"/>
      <c r="E235" s="1"/>
      <c r="F235" s="1"/>
      <c r="G235" s="1"/>
      <c r="H235" s="1"/>
      <c r="AK235" s="2"/>
      <c r="AL235" s="2"/>
    </row>
    <row r="236" spans="1:38" ht="12.75">
      <c r="A236" s="385" t="s">
        <v>301</v>
      </c>
      <c r="B236" s="406"/>
      <c r="C236" s="406"/>
      <c r="D236" s="406"/>
      <c r="E236" s="406"/>
      <c r="F236" s="406"/>
      <c r="G236" s="406"/>
      <c r="H236" s="407"/>
      <c r="AK236" s="2"/>
      <c r="AL236" s="2"/>
    </row>
    <row r="237" spans="1:38">
      <c r="A237" s="33"/>
      <c r="C237" s="345" t="s">
        <v>302</v>
      </c>
      <c r="H237" s="25"/>
      <c r="AK237" s="2"/>
      <c r="AL237" s="2"/>
    </row>
    <row r="238" spans="1:38" ht="12.75">
      <c r="A238" s="33"/>
      <c r="B238" s="2" t="s">
        <v>303</v>
      </c>
      <c r="C238" s="268">
        <f>B90</f>
        <v>30266</v>
      </c>
      <c r="E238" s="844" t="s">
        <v>304</v>
      </c>
      <c r="F238" s="844"/>
      <c r="G238" s="462">
        <f>C238/C239</f>
        <v>7.5664999999999996E-2</v>
      </c>
      <c r="H238" s="25"/>
      <c r="AK238" s="2"/>
      <c r="AL238" s="2"/>
    </row>
    <row r="239" spans="1:38">
      <c r="A239" s="33"/>
      <c r="B239" s="2" t="s">
        <v>305</v>
      </c>
      <c r="C239" s="268">
        <v>400000</v>
      </c>
      <c r="H239" s="45"/>
      <c r="AJ239" s="398" t="s">
        <v>257</v>
      </c>
      <c r="AK239" s="2"/>
      <c r="AL239" s="2"/>
    </row>
    <row r="240" spans="1:38">
      <c r="A240" s="33"/>
      <c r="B240" s="1"/>
      <c r="C240" s="1"/>
      <c r="D240" s="463"/>
      <c r="E240" s="1"/>
      <c r="F240" s="65"/>
      <c r="G240" s="65"/>
      <c r="H240" s="464"/>
      <c r="AC240" s="210">
        <f t="shared" ref="AC240:AC246" si="53">ROUND($AC$20*$AI240,0)</f>
        <v>92573</v>
      </c>
      <c r="AF240" s="399"/>
      <c r="AG240" s="104" t="s">
        <v>306</v>
      </c>
      <c r="AH240" s="206" t="s">
        <v>166</v>
      </c>
      <c r="AI240" s="400">
        <f>+AJ240/AJ247</f>
        <v>4.2021334633311848E-2</v>
      </c>
      <c r="AJ240" s="2">
        <v>522288.57</v>
      </c>
      <c r="AK240" s="2"/>
      <c r="AL240" s="2"/>
    </row>
    <row r="241" spans="1:38" ht="26.25">
      <c r="A241" s="30"/>
      <c r="B241" s="465" t="s">
        <v>135</v>
      </c>
      <c r="C241" s="465" t="s">
        <v>136</v>
      </c>
      <c r="D241" s="465" t="s">
        <v>307</v>
      </c>
      <c r="E241" s="465" t="s">
        <v>308</v>
      </c>
      <c r="F241" s="285"/>
      <c r="G241" s="285"/>
      <c r="H241" s="38"/>
      <c r="AC241" s="210">
        <f>ROUND($AC$20*$AI241,0)</f>
        <v>121064</v>
      </c>
      <c r="AD241" s="1"/>
      <c r="AE241" s="1"/>
      <c r="AF241" s="399"/>
      <c r="AG241" s="104" t="s">
        <v>309</v>
      </c>
      <c r="AH241" s="206">
        <v>640010</v>
      </c>
      <c r="AI241" s="400">
        <f>+AJ241/AJ247</f>
        <v>5.4954149621374702E-2</v>
      </c>
      <c r="AJ241" s="2">
        <v>683032.19</v>
      </c>
      <c r="AK241" s="2"/>
      <c r="AL241" s="2"/>
    </row>
    <row r="242" spans="1:38">
      <c r="A242" s="30" t="s">
        <v>17</v>
      </c>
      <c r="B242" s="401">
        <f>6858*1.03</f>
        <v>7063.74</v>
      </c>
      <c r="C242" s="2">
        <f>B242*12</f>
        <v>84764.88</v>
      </c>
      <c r="D242" s="65">
        <f>$B$64</f>
        <v>30266</v>
      </c>
      <c r="E242" s="282">
        <f>C242/D242/1000</f>
        <v>2.8006634507368004E-3</v>
      </c>
      <c r="F242" s="282"/>
      <c r="G242" s="282"/>
      <c r="H242" s="38"/>
      <c r="AC242" s="210">
        <f t="shared" si="53"/>
        <v>7018</v>
      </c>
      <c r="AD242" s="1"/>
      <c r="AE242" s="1"/>
      <c r="AF242" s="399"/>
      <c r="AG242" s="104" t="s">
        <v>306</v>
      </c>
      <c r="AH242" s="206" t="s">
        <v>310</v>
      </c>
      <c r="AI242" s="400">
        <f>+AJ242/AJ247</f>
        <v>3.1855773186930309E-3</v>
      </c>
      <c r="AJ242" s="2">
        <v>39593.949999999997</v>
      </c>
      <c r="AK242" s="2"/>
      <c r="AL242" s="2"/>
    </row>
    <row r="243" spans="1:38">
      <c r="A243" s="30" t="s">
        <v>19</v>
      </c>
      <c r="B243" s="466">
        <f>C243/12</f>
        <v>183583.33333333334</v>
      </c>
      <c r="C243" s="467">
        <v>2203000</v>
      </c>
      <c r="D243" s="65">
        <f>$B$64</f>
        <v>30266</v>
      </c>
      <c r="E243" s="282">
        <f>C243/D243/1000</f>
        <v>7.2787946871076453E-2</v>
      </c>
      <c r="F243" s="282"/>
      <c r="G243" s="282"/>
      <c r="H243" s="38"/>
      <c r="AC243" s="210">
        <f t="shared" si="53"/>
        <v>1979190</v>
      </c>
      <c r="AD243" s="1"/>
      <c r="AE243" s="1"/>
      <c r="AF243" s="399"/>
      <c r="AG243" s="104" t="s">
        <v>311</v>
      </c>
      <c r="AH243" s="206">
        <v>640020</v>
      </c>
      <c r="AI243" s="400">
        <f>+AJ243/AJ247</f>
        <v>0.89840664573382345</v>
      </c>
      <c r="AJ243" s="2">
        <v>11166411.689999999</v>
      </c>
      <c r="AK243" s="2"/>
      <c r="AL243" s="2"/>
    </row>
    <row r="244" spans="1:38" ht="16.5">
      <c r="A244" s="30" t="s">
        <v>18</v>
      </c>
      <c r="B244" s="401">
        <f>550000/12</f>
        <v>45833.333333333336</v>
      </c>
      <c r="C244" s="268">
        <f>B244*12</f>
        <v>550000</v>
      </c>
      <c r="D244" s="65">
        <f>$B$64</f>
        <v>30266</v>
      </c>
      <c r="E244" s="468">
        <f t="shared" ref="E244" si="54">C244/D244/1000</f>
        <v>1.8172206436265118E-2</v>
      </c>
      <c r="F244" s="282"/>
      <c r="G244" s="282"/>
      <c r="H244" s="38"/>
      <c r="AC244" s="210">
        <f t="shared" si="53"/>
        <v>112</v>
      </c>
      <c r="AD244" s="1"/>
      <c r="AE244" s="1"/>
      <c r="AF244" s="399"/>
      <c r="AG244" s="104" t="s">
        <v>312</v>
      </c>
      <c r="AH244" s="206" t="s">
        <v>313</v>
      </c>
      <c r="AI244" s="400">
        <f>+AJ244/AJ247</f>
        <v>5.0902201023578603E-5</v>
      </c>
      <c r="AJ244" s="2">
        <v>632.66999999999996</v>
      </c>
      <c r="AK244" s="2"/>
      <c r="AL244" s="2"/>
    </row>
    <row r="245" spans="1:38" ht="16.5">
      <c r="A245" s="30" t="s">
        <v>72</v>
      </c>
      <c r="B245" s="63"/>
      <c r="C245" s="1"/>
      <c r="D245" s="63"/>
      <c r="E245" s="469">
        <f>SUM(E242:E244)</f>
        <v>9.3760816758078375E-2</v>
      </c>
      <c r="F245" s="282"/>
      <c r="G245" s="282"/>
      <c r="H245" s="38"/>
      <c r="AC245" s="210">
        <f t="shared" si="53"/>
        <v>1552</v>
      </c>
      <c r="AD245" s="1"/>
      <c r="AE245" s="1"/>
      <c r="AF245" s="399"/>
      <c r="AG245" s="104" t="s">
        <v>314</v>
      </c>
      <c r="AH245" s="206">
        <v>640070</v>
      </c>
      <c r="AI245" s="400">
        <f>+AJ245/AJ247</f>
        <v>7.0436555264367267E-4</v>
      </c>
      <c r="AJ245" s="2">
        <v>8754.65</v>
      </c>
      <c r="AK245" s="2"/>
      <c r="AL245" s="2"/>
    </row>
    <row r="246" spans="1:38" ht="16.5">
      <c r="A246" s="59"/>
      <c r="B246" s="41"/>
      <c r="C246" s="41"/>
      <c r="D246" s="41"/>
      <c r="E246" s="41"/>
      <c r="F246" s="41"/>
      <c r="G246" s="41"/>
      <c r="H246" s="42"/>
      <c r="AC246" s="413">
        <f t="shared" si="53"/>
        <v>1491</v>
      </c>
      <c r="AD246" s="1"/>
      <c r="AE246" s="1"/>
      <c r="AF246" s="399"/>
      <c r="AG246" s="104" t="s">
        <v>315</v>
      </c>
      <c r="AH246" s="206">
        <v>640080</v>
      </c>
      <c r="AI246" s="400">
        <f>+AJ246/AJ247</f>
        <v>6.7702493912978319E-4</v>
      </c>
      <c r="AJ246" s="83">
        <v>8414.83</v>
      </c>
      <c r="AK246" s="2"/>
      <c r="AL246" s="2"/>
    </row>
    <row r="247" spans="1:38">
      <c r="AC247" s="461">
        <f>SUM(AC240:AC246)</f>
        <v>2203000</v>
      </c>
      <c r="AD247" s="1"/>
      <c r="AE247" s="1"/>
      <c r="AF247" s="411" t="s">
        <v>91</v>
      </c>
      <c r="AG247" s="211" t="s">
        <v>100</v>
      </c>
      <c r="AH247" s="208" t="s">
        <v>229</v>
      </c>
      <c r="AI247" s="400">
        <f>SUM(AI240:AI246)</f>
        <v>1</v>
      </c>
      <c r="AJ247" s="2">
        <f>SUM(AJ240:AJ246)</f>
        <v>12429128.549999999</v>
      </c>
      <c r="AK247" s="2"/>
      <c r="AL247" s="2"/>
    </row>
    <row r="248" spans="1:38" ht="12.75">
      <c r="AK248" s="2"/>
      <c r="AL248" s="2"/>
    </row>
    <row r="249" spans="1:38" ht="12.75">
      <c r="AC249" s="2" t="s">
        <v>7</v>
      </c>
      <c r="AK249" s="2"/>
      <c r="AL249" s="2"/>
    </row>
    <row r="250" spans="1:38" ht="12.75">
      <c r="AC250" s="2" t="s">
        <v>7</v>
      </c>
      <c r="AK250" s="2"/>
      <c r="AL250" s="2"/>
    </row>
    <row r="251" spans="1:38" ht="12.75">
      <c r="H251" s="262"/>
      <c r="AK251" s="2"/>
      <c r="AL251" s="2"/>
    </row>
    <row r="252" spans="1:38" ht="12.75">
      <c r="H252" s="271"/>
      <c r="AK252" s="2"/>
      <c r="AL252" s="2"/>
    </row>
    <row r="253" spans="1:38" ht="12.75">
      <c r="A253" s="1"/>
      <c r="B253" s="1"/>
      <c r="C253" s="1"/>
      <c r="D253" s="470"/>
      <c r="E253" s="1"/>
      <c r="F253" s="1"/>
      <c r="G253" s="1"/>
      <c r="H253" s="39"/>
      <c r="AK253" s="2"/>
      <c r="AL253" s="2"/>
    </row>
    <row r="254" spans="1:38" ht="12.75">
      <c r="A254" s="1"/>
      <c r="B254" s="1"/>
      <c r="C254" s="1"/>
      <c r="D254" s="1"/>
      <c r="E254" s="1"/>
      <c r="F254" s="1"/>
      <c r="G254" s="1"/>
      <c r="H254" s="1"/>
      <c r="AK254" s="2"/>
      <c r="AL254" s="2"/>
    </row>
    <row r="255" spans="1:38" ht="12.75">
      <c r="A255" s="1"/>
      <c r="B255" s="845"/>
      <c r="C255" s="845"/>
      <c r="D255" s="845"/>
      <c r="E255" s="1"/>
      <c r="F255" s="845"/>
      <c r="G255" s="845"/>
      <c r="H255" s="845"/>
      <c r="AK255" s="2"/>
      <c r="AL255" s="2"/>
    </row>
    <row r="256" spans="1:38" ht="12.75">
      <c r="A256" s="1"/>
      <c r="B256" s="471"/>
      <c r="C256" s="471"/>
      <c r="D256" s="472"/>
      <c r="E256" s="5"/>
      <c r="F256" s="471"/>
      <c r="G256" s="471"/>
      <c r="H256" s="472"/>
      <c r="AK256" s="2"/>
      <c r="AL256" s="2"/>
    </row>
    <row r="257" spans="1:38" ht="12.75">
      <c r="A257" s="1"/>
      <c r="B257" s="1"/>
      <c r="C257" s="473"/>
      <c r="D257" s="474"/>
      <c r="E257" s="1"/>
      <c r="F257" s="1"/>
      <c r="G257" s="473"/>
      <c r="H257" s="474"/>
      <c r="AK257" s="2"/>
      <c r="AL257" s="2"/>
    </row>
    <row r="258" spans="1:38" ht="12.75">
      <c r="A258" s="1"/>
      <c r="B258" s="1"/>
      <c r="C258" s="473"/>
      <c r="D258" s="463"/>
      <c r="E258" s="1"/>
      <c r="F258" s="1"/>
      <c r="G258" s="473"/>
      <c r="H258" s="463"/>
      <c r="AK258" s="2"/>
      <c r="AL258" s="2"/>
    </row>
    <row r="259" spans="1:38" ht="12.75">
      <c r="A259" s="1"/>
      <c r="B259" s="1"/>
      <c r="C259" s="475"/>
      <c r="D259" s="463"/>
      <c r="E259" s="1"/>
      <c r="F259" s="1"/>
      <c r="G259" s="475"/>
      <c r="H259" s="463"/>
      <c r="AK259" s="2"/>
      <c r="AL259" s="2"/>
    </row>
    <row r="260" spans="1:38" ht="12.75">
      <c r="A260" s="1"/>
      <c r="B260" s="1"/>
      <c r="C260" s="476"/>
      <c r="D260" s="463"/>
      <c r="E260" s="1"/>
      <c r="F260" s="1"/>
      <c r="G260" s="476"/>
      <c r="H260" s="463"/>
      <c r="AK260" s="2"/>
      <c r="AL260" s="2"/>
    </row>
    <row r="261" spans="1:38" ht="12.75">
      <c r="A261" s="1"/>
      <c r="B261" s="1"/>
      <c r="C261" s="477"/>
      <c r="D261" s="463"/>
      <c r="E261" s="1"/>
      <c r="F261" s="1"/>
      <c r="G261" s="477"/>
      <c r="H261" s="463"/>
      <c r="AK261" s="2"/>
      <c r="AL261" s="2"/>
    </row>
    <row r="262" spans="1:38" ht="12.75">
      <c r="A262" s="1"/>
      <c r="B262" s="1"/>
      <c r="C262" s="475"/>
      <c r="D262" s="463"/>
      <c r="E262" s="1"/>
      <c r="F262" s="1"/>
      <c r="G262" s="475"/>
      <c r="H262" s="463"/>
      <c r="AK262" s="2"/>
      <c r="AL262" s="2"/>
    </row>
    <row r="263" spans="1:38">
      <c r="A263" s="1"/>
      <c r="B263" s="1"/>
      <c r="C263" s="478"/>
      <c r="D263" s="479"/>
      <c r="E263" s="1"/>
      <c r="F263" s="1"/>
      <c r="G263" s="478"/>
      <c r="H263" s="479"/>
      <c r="AK263" s="2"/>
      <c r="AL263" s="2"/>
    </row>
    <row r="264" spans="1:38">
      <c r="A264" s="1"/>
      <c r="B264" s="1"/>
      <c r="C264" s="1"/>
      <c r="D264" s="480"/>
      <c r="E264" s="1"/>
      <c r="F264" s="1"/>
      <c r="G264" s="1"/>
      <c r="H264" s="480"/>
      <c r="AK264" s="2"/>
      <c r="AL264" s="2"/>
    </row>
    <row r="265" spans="1:38" ht="12.75">
      <c r="A265" s="1"/>
      <c r="B265" s="1"/>
      <c r="C265" s="1"/>
      <c r="D265" s="1"/>
      <c r="E265" s="1"/>
      <c r="F265" s="1"/>
      <c r="G265" s="1"/>
      <c r="H265" s="1"/>
      <c r="AK265" s="2"/>
      <c r="AL265" s="2"/>
    </row>
    <row r="266" spans="1:38" ht="12.75">
      <c r="A266" s="1"/>
      <c r="B266" s="1"/>
      <c r="C266" s="1"/>
      <c r="D266" s="1"/>
      <c r="E266" s="1"/>
      <c r="F266" s="1"/>
      <c r="G266" s="1"/>
      <c r="H266" s="1"/>
      <c r="AK266" s="2"/>
      <c r="AL266" s="2"/>
    </row>
    <row r="267" spans="1:38" ht="12.75">
      <c r="A267" s="1"/>
      <c r="B267" s="1"/>
      <c r="C267" s="1"/>
      <c r="D267" s="1"/>
      <c r="E267" s="1"/>
      <c r="F267" s="1"/>
      <c r="G267" s="1"/>
      <c r="H267" s="1"/>
      <c r="AK267" s="2"/>
      <c r="AL267" s="2"/>
    </row>
    <row r="268" spans="1:38" ht="12.75">
      <c r="A268" s="1"/>
      <c r="B268" s="1"/>
      <c r="C268" s="1"/>
      <c r="D268" s="1"/>
      <c r="E268" s="1"/>
      <c r="F268" s="1"/>
      <c r="G268" s="1"/>
      <c r="H268" s="1"/>
      <c r="AK268" s="2"/>
      <c r="AL268" s="2"/>
    </row>
    <row r="269" spans="1:38">
      <c r="A269" s="1"/>
      <c r="B269" s="481"/>
      <c r="C269" s="481"/>
      <c r="D269" s="1"/>
      <c r="E269" s="1"/>
      <c r="F269" s="1"/>
      <c r="G269" s="1"/>
      <c r="H269" s="1"/>
      <c r="AK269" s="2"/>
      <c r="AL269" s="2"/>
    </row>
    <row r="270" spans="1:38" ht="12.75">
      <c r="A270" s="1"/>
      <c r="B270" s="70"/>
      <c r="C270" s="70"/>
      <c r="D270" s="1"/>
      <c r="E270" s="1"/>
      <c r="F270" s="1"/>
      <c r="G270" s="1"/>
      <c r="H270" s="1"/>
      <c r="AK270" s="2"/>
      <c r="AL270" s="2"/>
    </row>
    <row r="271" spans="1:38" ht="12.75">
      <c r="A271" s="1"/>
      <c r="B271" s="70"/>
      <c r="C271" s="482"/>
      <c r="D271" s="1"/>
      <c r="E271" s="1"/>
      <c r="F271" s="1"/>
      <c r="G271" s="1"/>
      <c r="H271" s="1"/>
      <c r="AK271" s="2"/>
      <c r="AL271" s="2"/>
    </row>
    <row r="272" spans="1:38" ht="12.75">
      <c r="A272" s="1"/>
      <c r="B272" s="70"/>
      <c r="C272" s="70"/>
      <c r="D272" s="1"/>
      <c r="E272" s="1"/>
      <c r="F272" s="1"/>
      <c r="G272" s="1"/>
      <c r="H272" s="1"/>
      <c r="AK272" s="2"/>
      <c r="AL272" s="2"/>
    </row>
    <row r="273" spans="1:38" ht="12.75">
      <c r="A273" s="1"/>
      <c r="B273" s="70"/>
      <c r="C273" s="70"/>
      <c r="D273" s="1"/>
      <c r="E273" s="1"/>
      <c r="F273" s="1"/>
      <c r="G273" s="1"/>
      <c r="H273" s="1"/>
      <c r="AK273" s="2"/>
      <c r="AL273" s="2"/>
    </row>
  </sheetData>
  <sheetProtection formatCells="0" formatColumns="0" formatRows="0"/>
  <mergeCells count="66">
    <mergeCell ref="Q3:S3"/>
    <mergeCell ref="B3:D3"/>
    <mergeCell ref="E3:G3"/>
    <mergeCell ref="H3:J3"/>
    <mergeCell ref="K3:M3"/>
    <mergeCell ref="N3:P3"/>
    <mergeCell ref="AA23:AB23"/>
    <mergeCell ref="AA24:AB24"/>
    <mergeCell ref="AA27:AB27"/>
    <mergeCell ref="AA28:AB28"/>
    <mergeCell ref="AA29:AB29"/>
    <mergeCell ref="Q34:S34"/>
    <mergeCell ref="B68:D68"/>
    <mergeCell ref="D95:E95"/>
    <mergeCell ref="F95:G95"/>
    <mergeCell ref="H95:I95"/>
    <mergeCell ref="J95:K95"/>
    <mergeCell ref="L95:M95"/>
    <mergeCell ref="N95:O95"/>
    <mergeCell ref="B34:D34"/>
    <mergeCell ref="E34:G34"/>
    <mergeCell ref="H34:J34"/>
    <mergeCell ref="K34:M34"/>
    <mergeCell ref="N34:P34"/>
    <mergeCell ref="H125:I125"/>
    <mergeCell ref="J125:K125"/>
    <mergeCell ref="L125:M125"/>
    <mergeCell ref="R159:S159"/>
    <mergeCell ref="D160:E160"/>
    <mergeCell ref="F160:G160"/>
    <mergeCell ref="H160:I160"/>
    <mergeCell ref="J160:K160"/>
    <mergeCell ref="L160:M160"/>
    <mergeCell ref="N160:O160"/>
    <mergeCell ref="R160:S160"/>
    <mergeCell ref="N125:O125"/>
    <mergeCell ref="D125:E125"/>
    <mergeCell ref="F125:G125"/>
    <mergeCell ref="R173:S173"/>
    <mergeCell ref="R174:S174"/>
    <mergeCell ref="R175:S175"/>
    <mergeCell ref="R176:S176"/>
    <mergeCell ref="R161:S161"/>
    <mergeCell ref="R162:S162"/>
    <mergeCell ref="R163:S163"/>
    <mergeCell ref="R165:S165"/>
    <mergeCell ref="R166:S166"/>
    <mergeCell ref="R172:S172"/>
    <mergeCell ref="D167:E167"/>
    <mergeCell ref="F167:G167"/>
    <mergeCell ref="H167:I167"/>
    <mergeCell ref="J167:K167"/>
    <mergeCell ref="L167:M167"/>
    <mergeCell ref="N167:O167"/>
    <mergeCell ref="R167:S167"/>
    <mergeCell ref="R168:S168"/>
    <mergeCell ref="R169:S169"/>
    <mergeCell ref="R170:S170"/>
    <mergeCell ref="B255:D255"/>
    <mergeCell ref="F255:H255"/>
    <mergeCell ref="R177:S177"/>
    <mergeCell ref="B207:D207"/>
    <mergeCell ref="E207:G207"/>
    <mergeCell ref="H207:J207"/>
    <mergeCell ref="E238:F238"/>
    <mergeCell ref="E191:F191"/>
  </mergeCells>
  <printOptions horizontalCentered="1"/>
  <pageMargins left="0.25" right="0.25" top="0.25" bottom="0.25" header="0" footer="0"/>
  <pageSetup scale="90" fitToHeight="0" orientation="landscape" r:id="rId1"/>
  <headerFooter alignWithMargins="0">
    <oddHeader>&amp;R&amp;D  &amp;T</oddHeader>
  </headerFooter>
  <rowBreaks count="3" manualBreakCount="3">
    <brk id="92" max="10" man="1"/>
    <brk id="187" max="10" man="1"/>
    <brk id="175" max="10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D107"/>
  <sheetViews>
    <sheetView zoomScale="110" zoomScaleNormal="110" workbookViewId="0">
      <pane xSplit="1" ySplit="2" topLeftCell="B78" activePane="bottomRight" state="frozenSplit"/>
      <selection activeCell="C29" sqref="C29"/>
      <selection pane="topRight" activeCell="C29" sqref="C29"/>
      <selection pane="bottomLeft" activeCell="C29" sqref="C29"/>
      <selection pane="bottomRight" activeCell="B75" sqref="B75"/>
    </sheetView>
  </sheetViews>
  <sheetFormatPr defaultColWidth="10.7109375" defaultRowHeight="12.75"/>
  <cols>
    <col min="1" max="1" width="35.42578125" style="1" customWidth="1"/>
    <col min="2" max="2" width="15.7109375" style="1" bestFit="1" customWidth="1"/>
    <col min="3" max="3" width="11.5703125" style="1" bestFit="1" customWidth="1"/>
    <col min="4" max="4" width="12.5703125" style="1" bestFit="1" customWidth="1"/>
    <col min="5" max="5" width="14.42578125" style="1" customWidth="1"/>
    <col min="6" max="6" width="14.5703125" style="1" customWidth="1"/>
    <col min="7" max="7" width="13" style="1" customWidth="1"/>
    <col min="8" max="8" width="13.5703125" style="1" customWidth="1"/>
    <col min="9" max="9" width="4.28515625" style="1" customWidth="1"/>
    <col min="10" max="10" width="14" style="1" customWidth="1"/>
    <col min="11" max="11" width="14.5703125" style="1" customWidth="1"/>
    <col min="12" max="12" width="12.5703125" style="1" customWidth="1"/>
    <col min="13" max="13" width="11.7109375" style="1" bestFit="1" customWidth="1"/>
    <col min="14" max="14" width="14.5703125" style="1" customWidth="1"/>
    <col min="15" max="15" width="12.28515625" style="1" bestFit="1" customWidth="1"/>
    <col min="16" max="16" width="12.7109375" style="1" bestFit="1" customWidth="1"/>
    <col min="17" max="17" width="11.28515625" style="1" bestFit="1" customWidth="1"/>
    <col min="18" max="18" width="9" style="1" bestFit="1" customWidth="1"/>
    <col min="19" max="19" width="9.7109375" style="1" bestFit="1" customWidth="1"/>
    <col min="20" max="20" width="12" style="1" bestFit="1" customWidth="1"/>
    <col min="21" max="21" width="13" style="1" customWidth="1"/>
    <col min="22" max="22" width="11.42578125" style="1" bestFit="1" customWidth="1"/>
    <col min="23" max="23" width="10.7109375" style="1" bestFit="1" customWidth="1"/>
    <col min="24" max="214" width="8.7109375" style="1" customWidth="1"/>
    <col min="215" max="16384" width="10.7109375" style="1"/>
  </cols>
  <sheetData>
    <row r="1" spans="1:30" ht="18.75" customHeight="1">
      <c r="A1" s="890" t="s">
        <v>0</v>
      </c>
      <c r="B1" s="890"/>
      <c r="C1" s="890"/>
      <c r="D1" s="890"/>
      <c r="E1" s="890"/>
      <c r="F1" s="890"/>
      <c r="G1" s="890"/>
      <c r="H1" s="890"/>
      <c r="I1" s="239"/>
      <c r="J1" s="239"/>
      <c r="K1" s="239"/>
      <c r="L1" s="239"/>
      <c r="M1" s="239"/>
      <c r="N1" s="239"/>
      <c r="S1" s="892" t="s">
        <v>78</v>
      </c>
      <c r="T1" s="892"/>
      <c r="U1" s="93"/>
      <c r="V1" s="94"/>
      <c r="W1" s="95" t="s">
        <v>79</v>
      </c>
      <c r="X1" s="95" t="s">
        <v>80</v>
      </c>
      <c r="Y1" s="206" t="s">
        <v>84</v>
      </c>
      <c r="Z1" s="206" t="s">
        <v>177</v>
      </c>
      <c r="AA1" s="233">
        <v>10001005</v>
      </c>
      <c r="AB1" s="234" t="s">
        <v>184</v>
      </c>
      <c r="AC1" s="233">
        <v>10001005</v>
      </c>
      <c r="AD1" s="234" t="s">
        <v>186</v>
      </c>
    </row>
    <row r="2" spans="1:30" ht="18.75" customHeight="1">
      <c r="A2" s="891"/>
      <c r="B2" s="891"/>
      <c r="C2" s="891"/>
      <c r="D2" s="891"/>
      <c r="E2" s="891"/>
      <c r="F2" s="891"/>
      <c r="G2" s="891"/>
      <c r="H2" s="891"/>
      <c r="I2" s="240"/>
      <c r="J2" s="240"/>
      <c r="K2" s="240"/>
      <c r="L2" s="240"/>
      <c r="M2" s="240"/>
      <c r="N2" s="240"/>
      <c r="S2" s="96" t="s">
        <v>64</v>
      </c>
      <c r="T2" s="97" t="s">
        <v>81</v>
      </c>
      <c r="U2" s="98" t="s">
        <v>82</v>
      </c>
      <c r="V2" s="98" t="s">
        <v>83</v>
      </c>
      <c r="W2" s="97" t="s">
        <v>84</v>
      </c>
      <c r="X2" s="97" t="s">
        <v>85</v>
      </c>
      <c r="Y2" s="207" t="s">
        <v>153</v>
      </c>
      <c r="Z2" s="207" t="s">
        <v>153</v>
      </c>
      <c r="AA2" s="235" t="s">
        <v>181</v>
      </c>
      <c r="AB2" s="96" t="s">
        <v>57</v>
      </c>
      <c r="AC2" s="236" t="s">
        <v>185</v>
      </c>
      <c r="AD2" s="96" t="s">
        <v>187</v>
      </c>
    </row>
    <row r="3" spans="1:30" ht="18.75" customHeight="1">
      <c r="A3" s="240"/>
      <c r="B3" s="891" t="s">
        <v>195</v>
      </c>
      <c r="C3" s="891"/>
      <c r="D3" s="891"/>
      <c r="E3" s="891"/>
      <c r="F3" s="891"/>
      <c r="G3" s="891"/>
      <c r="H3" s="891"/>
      <c r="I3" s="288"/>
      <c r="J3" s="240"/>
      <c r="K3" s="891" t="s">
        <v>194</v>
      </c>
      <c r="L3" s="891"/>
      <c r="M3" s="891"/>
      <c r="N3" s="891"/>
      <c r="S3" s="96"/>
      <c r="T3" s="97"/>
      <c r="U3" s="98"/>
      <c r="V3" s="98"/>
      <c r="W3" s="97"/>
      <c r="X3" s="97"/>
      <c r="Y3" s="207"/>
      <c r="Z3" s="207"/>
      <c r="AA3" s="235"/>
      <c r="AB3" s="96"/>
      <c r="AC3" s="236"/>
      <c r="AD3" s="96"/>
    </row>
    <row r="4" spans="1:30" ht="15.75" customHeight="1">
      <c r="A4" s="2"/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/>
      <c r="J4" s="3" t="s">
        <v>1</v>
      </c>
      <c r="K4" s="3" t="s">
        <v>1</v>
      </c>
      <c r="L4" s="3" t="s">
        <v>1</v>
      </c>
      <c r="M4" s="3" t="s">
        <v>1</v>
      </c>
      <c r="N4" s="242" t="s">
        <v>76</v>
      </c>
      <c r="O4" s="242" t="s">
        <v>76</v>
      </c>
      <c r="P4" s="3" t="s">
        <v>182</v>
      </c>
      <c r="Q4" s="3" t="s">
        <v>183</v>
      </c>
      <c r="S4" s="99"/>
      <c r="T4" s="99"/>
      <c r="U4" s="99"/>
      <c r="V4" s="99"/>
      <c r="W4" s="99"/>
      <c r="X4" s="99"/>
      <c r="Y4" s="208"/>
      <c r="Z4" s="216"/>
      <c r="AA4" s="99"/>
      <c r="AB4" s="99"/>
      <c r="AC4" s="99"/>
      <c r="AD4" s="99"/>
    </row>
    <row r="5" spans="1:30" s="5" customFormat="1" ht="15">
      <c r="A5" s="4"/>
      <c r="B5" s="4" t="s">
        <v>2</v>
      </c>
      <c r="C5" s="4" t="s">
        <v>189</v>
      </c>
      <c r="D5" s="4" t="s">
        <v>202</v>
      </c>
      <c r="E5" s="111" t="s">
        <v>203</v>
      </c>
      <c r="F5" s="111" t="s">
        <v>204</v>
      </c>
      <c r="G5" s="111" t="s">
        <v>196</v>
      </c>
      <c r="H5" s="111" t="s">
        <v>197</v>
      </c>
      <c r="I5" s="111"/>
      <c r="J5" s="111" t="s">
        <v>2</v>
      </c>
      <c r="K5" s="4" t="s">
        <v>189</v>
      </c>
      <c r="L5" s="4" t="s">
        <v>180</v>
      </c>
      <c r="M5" s="111" t="s">
        <v>179</v>
      </c>
      <c r="N5" s="243" t="s">
        <v>3</v>
      </c>
      <c r="O5" s="243" t="s">
        <v>4</v>
      </c>
      <c r="P5" s="4"/>
      <c r="Q5" s="4"/>
      <c r="S5" s="100"/>
      <c r="T5" s="100"/>
      <c r="U5" s="101"/>
      <c r="V5" s="100"/>
      <c r="W5" s="100"/>
      <c r="X5" s="100"/>
      <c r="Y5" s="208"/>
      <c r="Z5" s="216"/>
      <c r="AA5" s="100"/>
      <c r="AB5" s="100"/>
      <c r="AC5" s="100"/>
      <c r="AD5" s="100"/>
    </row>
    <row r="6" spans="1:30" s="5" customFormat="1" ht="15">
      <c r="A6" s="6" t="s">
        <v>5</v>
      </c>
      <c r="B6" s="7">
        <v>0</v>
      </c>
      <c r="C6" s="7">
        <f>+B46</f>
        <v>0.14384</v>
      </c>
      <c r="D6" s="287">
        <f>F45</f>
        <v>0.22461710526315792</v>
      </c>
      <c r="E6" s="7">
        <f>F47</f>
        <v>0.36631399999999997</v>
      </c>
      <c r="F6" s="7">
        <f>+F48</f>
        <v>1.8001243523316064</v>
      </c>
      <c r="G6" s="287">
        <f>B45</f>
        <v>0.22170000000000001</v>
      </c>
      <c r="H6" s="7">
        <f>+F49</f>
        <v>0.17580420000000002</v>
      </c>
      <c r="I6" s="287"/>
      <c r="J6" s="7">
        <v>0</v>
      </c>
      <c r="K6" s="7">
        <v>0.158</v>
      </c>
      <c r="L6" s="7">
        <v>0.14741447368421054</v>
      </c>
      <c r="M6" s="7">
        <v>0.34610000000000002</v>
      </c>
      <c r="N6" s="244">
        <v>0.1913</v>
      </c>
      <c r="O6" s="245">
        <v>5.4600000000000003E-2</v>
      </c>
      <c r="P6" s="7"/>
      <c r="Q6" s="7"/>
      <c r="S6" s="100"/>
      <c r="T6" s="100"/>
      <c r="U6" s="101"/>
      <c r="V6" s="100"/>
      <c r="W6" s="100"/>
      <c r="X6" s="100"/>
      <c r="Y6" s="209"/>
      <c r="Z6" s="216"/>
      <c r="AA6" s="100"/>
      <c r="AB6" s="100"/>
      <c r="AC6" s="100"/>
      <c r="AD6" s="100"/>
    </row>
    <row r="7" spans="1:30" s="5" customFormat="1" ht="15">
      <c r="A7" s="6" t="s">
        <v>6</v>
      </c>
      <c r="B7" s="7">
        <f t="shared" ref="B7:B12" si="0">D7</f>
        <v>4.1844903000000003E-2</v>
      </c>
      <c r="C7" s="7">
        <f>F42</f>
        <v>0.1009647</v>
      </c>
      <c r="D7" s="7">
        <f>F41</f>
        <v>4.1844903000000003E-2</v>
      </c>
      <c r="E7" s="7">
        <f>D7</f>
        <v>4.1844903000000003E-2</v>
      </c>
      <c r="F7" s="7">
        <f>+D7</f>
        <v>4.1844903000000003E-2</v>
      </c>
      <c r="G7" s="7">
        <f>F38+F39+F40+F43</f>
        <v>6.61075E-2</v>
      </c>
      <c r="H7" s="7">
        <f>+D7</f>
        <v>4.1844903000000003E-2</v>
      </c>
      <c r="I7" s="7"/>
      <c r="J7" s="7">
        <v>3.6160022024999995E-2</v>
      </c>
      <c r="K7" s="7">
        <v>0.10549100000000002</v>
      </c>
      <c r="L7" s="7">
        <v>3.6160022024999995E-2</v>
      </c>
      <c r="M7" s="7">
        <v>3.6160022024999995E-2</v>
      </c>
      <c r="N7" s="245">
        <v>5.8700000000000002E-2</v>
      </c>
      <c r="O7" s="245">
        <v>4.53E-2</v>
      </c>
      <c r="P7" s="7">
        <f>B7</f>
        <v>4.1844903000000003E-2</v>
      </c>
      <c r="Q7" s="7">
        <f t="shared" ref="Q7:Q12" si="1">IF($B$23&lt;$P$23,E7,IF($B$13&lt;$P$13,E7,IF(AND($B$13&gt;$P$13,$B$21&lt;$P$21),($P$13+($P$21-$B$21))/$B$13*E7,P7)))</f>
        <v>4.1844903000000003E-2</v>
      </c>
      <c r="R7" s="8" t="s">
        <v>7</v>
      </c>
      <c r="S7" s="100"/>
      <c r="T7" s="100"/>
      <c r="U7" s="101"/>
      <c r="V7" s="100"/>
      <c r="W7" s="100"/>
      <c r="X7" s="100"/>
      <c r="Y7" s="209"/>
      <c r="Z7" s="216"/>
      <c r="AA7" s="100"/>
      <c r="AB7" s="100"/>
      <c r="AC7" s="100"/>
      <c r="AD7" s="100"/>
    </row>
    <row r="8" spans="1:30" ht="15">
      <c r="A8" s="6" t="s">
        <v>8</v>
      </c>
      <c r="B8" s="9">
        <f t="shared" si="0"/>
        <v>5.3970000000000008E-3</v>
      </c>
      <c r="C8" s="9">
        <f>D76</f>
        <v>5.3970000000000008E-3</v>
      </c>
      <c r="D8" s="9">
        <f>D76</f>
        <v>5.3970000000000008E-3</v>
      </c>
      <c r="E8" s="9">
        <f>+D8</f>
        <v>5.3970000000000008E-3</v>
      </c>
      <c r="F8" s="7">
        <f t="shared" ref="F8:F12" si="2">+D8</f>
        <v>5.3970000000000008E-3</v>
      </c>
      <c r="G8" s="7">
        <f t="shared" ref="G8:G12" si="3">+D8</f>
        <v>5.3970000000000008E-3</v>
      </c>
      <c r="H8" s="7">
        <f t="shared" ref="H8:H12" si="4">+D8</f>
        <v>5.3970000000000008E-3</v>
      </c>
      <c r="I8" s="9"/>
      <c r="J8" s="9">
        <v>4.1895000000000005E-3</v>
      </c>
      <c r="K8" s="9">
        <v>4.1895000000000005E-3</v>
      </c>
      <c r="L8" s="9">
        <v>4.1895000000000005E-3</v>
      </c>
      <c r="M8" s="9">
        <v>4.1895000000000005E-3</v>
      </c>
      <c r="N8" s="246">
        <v>3.3999999999999998E-3</v>
      </c>
      <c r="O8" s="245">
        <v>2.5000000000000001E-3</v>
      </c>
      <c r="P8" s="9">
        <v>3.469842857142857E-3</v>
      </c>
      <c r="Q8" s="9">
        <f t="shared" si="1"/>
        <v>3.469842857142857E-3</v>
      </c>
      <c r="R8" s="1" t="s">
        <v>7</v>
      </c>
      <c r="S8" s="102">
        <f>ROUND(B$25*C76*1000*B76,0)</f>
        <v>143021</v>
      </c>
      <c r="T8" s="103">
        <f>ROUND(B76*B$25*1000,0)</f>
        <v>927500</v>
      </c>
      <c r="U8" s="104" t="s">
        <v>86</v>
      </c>
      <c r="V8" s="103" t="s">
        <v>87</v>
      </c>
      <c r="W8" s="105">
        <f>S8/T8</f>
        <v>0.15420053908355796</v>
      </c>
      <c r="X8" s="106">
        <f>ROUND(T8/$B$25,5)</f>
        <v>35</v>
      </c>
      <c r="Y8" s="209">
        <v>630010</v>
      </c>
      <c r="Z8" s="216">
        <v>1</v>
      </c>
      <c r="AA8" s="237">
        <f>ROUND(Q8*$B$25*1000,0)</f>
        <v>91951</v>
      </c>
      <c r="AB8" s="105">
        <f>IF(T8&lt;&gt;0,AA8/T8,0)</f>
        <v>9.9138544474393533E-2</v>
      </c>
      <c r="AC8" s="102">
        <f>S8-AA8</f>
        <v>51070</v>
      </c>
      <c r="AD8" s="241">
        <f>AB8*10000</f>
        <v>991.3854447439353</v>
      </c>
    </row>
    <row r="9" spans="1:30" ht="15">
      <c r="A9" s="6" t="s">
        <v>9</v>
      </c>
      <c r="B9" s="9">
        <f t="shared" si="0"/>
        <v>1.0323999999999999E-3</v>
      </c>
      <c r="C9" s="9">
        <f>D75</f>
        <v>1.0323999999999999E-3</v>
      </c>
      <c r="D9" s="9">
        <f>D75</f>
        <v>1.0323999999999999E-3</v>
      </c>
      <c r="E9" s="9">
        <f>+D9</f>
        <v>1.0323999999999999E-3</v>
      </c>
      <c r="F9" s="7">
        <f t="shared" si="2"/>
        <v>1.0323999999999999E-3</v>
      </c>
      <c r="G9" s="7">
        <f t="shared" si="3"/>
        <v>1.0323999999999999E-3</v>
      </c>
      <c r="H9" s="7">
        <f t="shared" si="4"/>
        <v>1.0323999999999999E-3</v>
      </c>
      <c r="I9" s="9"/>
      <c r="J9" s="9">
        <v>1.0904E-3</v>
      </c>
      <c r="K9" s="9">
        <v>1.0904E-3</v>
      </c>
      <c r="L9" s="9">
        <v>1.0904E-3</v>
      </c>
      <c r="M9" s="9">
        <v>1.0904E-3</v>
      </c>
      <c r="N9" s="246">
        <v>1E-3</v>
      </c>
      <c r="O9" s="245">
        <v>1.1000000000000001E-3</v>
      </c>
      <c r="P9" s="9">
        <v>1.1049380952380952E-3</v>
      </c>
      <c r="Q9" s="9">
        <f t="shared" si="1"/>
        <v>1.1049380952380952E-3</v>
      </c>
      <c r="S9" s="102">
        <f>ROUND(B$25*C75*1000*B75,0)</f>
        <v>27359</v>
      </c>
      <c r="T9" s="103">
        <f>ROUND(B75*1000*1000*B$25,0)</f>
        <v>7685000</v>
      </c>
      <c r="U9" s="104" t="s">
        <v>88</v>
      </c>
      <c r="V9" s="103" t="s">
        <v>89</v>
      </c>
      <c r="W9" s="105">
        <f>S9/T9</f>
        <v>3.5600520494469745E-3</v>
      </c>
      <c r="X9" s="106">
        <f>ROUND(T9/$B$25,5)</f>
        <v>290</v>
      </c>
      <c r="Y9" s="209" t="s">
        <v>154</v>
      </c>
      <c r="Z9" s="216">
        <v>1</v>
      </c>
      <c r="AA9" s="102">
        <f t="shared" ref="AA9:AA12" si="5">ROUND(Q9*$B$25*1000,0)</f>
        <v>29281</v>
      </c>
      <c r="AB9" s="105">
        <f t="shared" ref="AB9:AB12" si="6">IF(T9&lt;&gt;0,AA9/T9,0)</f>
        <v>3.8101496421600522E-3</v>
      </c>
      <c r="AC9" s="102">
        <f t="shared" ref="AC9:AC12" si="7">S9-AA9</f>
        <v>-1922</v>
      </c>
      <c r="AD9" s="241">
        <f t="shared" ref="AD9:AD12" si="8">AB9*10000</f>
        <v>38.101496421600523</v>
      </c>
    </row>
    <row r="10" spans="1:30" ht="15">
      <c r="A10" s="6" t="s">
        <v>10</v>
      </c>
      <c r="B10" s="10">
        <f t="shared" si="0"/>
        <v>9.8128301886792439E-3</v>
      </c>
      <c r="C10" s="10">
        <f>H84</f>
        <v>9.8128301886792439E-3</v>
      </c>
      <c r="D10" s="10">
        <f>H84</f>
        <v>9.8128301886792439E-3</v>
      </c>
      <c r="E10" s="10">
        <f>+D10</f>
        <v>9.8128301886792439E-3</v>
      </c>
      <c r="F10" s="7">
        <f t="shared" si="2"/>
        <v>9.8128301886792439E-3</v>
      </c>
      <c r="G10" s="7">
        <f t="shared" si="3"/>
        <v>9.8128301886792439E-3</v>
      </c>
      <c r="H10" s="7">
        <f t="shared" si="4"/>
        <v>9.8128301886792439E-3</v>
      </c>
      <c r="I10" s="10"/>
      <c r="J10" s="10">
        <v>2.7322404371584699E-3</v>
      </c>
      <c r="K10" s="10">
        <v>2.7322404371584699E-3</v>
      </c>
      <c r="L10" s="10">
        <v>2.7322404371584699E-3</v>
      </c>
      <c r="M10" s="10">
        <v>2.7322404371584699E-3</v>
      </c>
      <c r="N10" s="246">
        <v>4.8999999999999998E-3</v>
      </c>
      <c r="O10" s="245">
        <v>4.7999999999999996E-3</v>
      </c>
      <c r="P10" s="10">
        <v>5.0636660476190481E-3</v>
      </c>
      <c r="Q10" s="10">
        <f t="shared" si="1"/>
        <v>5.0636660476190481E-3</v>
      </c>
      <c r="S10" s="102">
        <f>ROUND(G84,0)</f>
        <v>260040</v>
      </c>
      <c r="T10" s="103">
        <f>B$25*1000</f>
        <v>26500000</v>
      </c>
      <c r="U10" s="104" t="s">
        <v>90</v>
      </c>
      <c r="V10" s="103" t="s">
        <v>91</v>
      </c>
      <c r="W10" s="105">
        <f>S10/T10</f>
        <v>9.8128301886792457E-3</v>
      </c>
      <c r="X10" s="106">
        <f>ROUND(T10/$B$25,5)</f>
        <v>1000</v>
      </c>
      <c r="Y10" s="209" t="s">
        <v>155</v>
      </c>
      <c r="Z10" s="216">
        <v>1</v>
      </c>
      <c r="AA10" s="102">
        <f t="shared" si="5"/>
        <v>134187</v>
      </c>
      <c r="AB10" s="105">
        <f t="shared" si="6"/>
        <v>5.0636603773584902E-3</v>
      </c>
      <c r="AC10" s="102">
        <f t="shared" si="7"/>
        <v>125853</v>
      </c>
      <c r="AD10" s="241">
        <f t="shared" si="8"/>
        <v>50.636603773584902</v>
      </c>
    </row>
    <row r="11" spans="1:30" ht="15">
      <c r="A11" s="6" t="s">
        <v>11</v>
      </c>
      <c r="B11" s="10">
        <f t="shared" si="0"/>
        <v>1.8867924528301887E-3</v>
      </c>
      <c r="C11" s="10">
        <f>H86</f>
        <v>1.8867924528301887E-3</v>
      </c>
      <c r="D11" s="10">
        <f>H86</f>
        <v>1.8867924528301887E-3</v>
      </c>
      <c r="E11" s="10">
        <f>+D11</f>
        <v>1.8867924528301887E-3</v>
      </c>
      <c r="F11" s="7">
        <f t="shared" si="2"/>
        <v>1.8867924528301887E-3</v>
      </c>
      <c r="G11" s="7">
        <f t="shared" si="3"/>
        <v>1.8867924528301887E-3</v>
      </c>
      <c r="H11" s="7">
        <f t="shared" si="4"/>
        <v>1.8867924528301887E-3</v>
      </c>
      <c r="I11" s="10"/>
      <c r="J11" s="10">
        <v>9.1074681238615665E-4</v>
      </c>
      <c r="K11" s="10">
        <v>9.1074681238615665E-4</v>
      </c>
      <c r="L11" s="10">
        <v>9.1074681238615665E-4</v>
      </c>
      <c r="M11" s="10">
        <v>9.1074681238615665E-4</v>
      </c>
      <c r="N11" s="246">
        <v>5.0000000000000001E-4</v>
      </c>
      <c r="O11" s="245">
        <v>4.0000000000000002E-4</v>
      </c>
      <c r="P11" s="10">
        <v>4.5512295238095239E-4</v>
      </c>
      <c r="Q11" s="10">
        <f t="shared" si="1"/>
        <v>4.5512295238095239E-4</v>
      </c>
      <c r="S11" s="102">
        <f>ROUND(G86,0)</f>
        <v>50000</v>
      </c>
      <c r="T11" s="103">
        <f>B$25*1000</f>
        <v>26500000</v>
      </c>
      <c r="U11" s="104" t="s">
        <v>92</v>
      </c>
      <c r="V11" s="103" t="s">
        <v>91</v>
      </c>
      <c r="W11" s="105">
        <f>S11/T11</f>
        <v>1.8867924528301887E-3</v>
      </c>
      <c r="X11" s="106">
        <f>ROUND(T11/$B$25,5)</f>
        <v>1000</v>
      </c>
      <c r="Y11" s="209" t="s">
        <v>156</v>
      </c>
      <c r="Z11" s="216">
        <v>1</v>
      </c>
      <c r="AA11" s="102">
        <f t="shared" si="5"/>
        <v>12061</v>
      </c>
      <c r="AB11" s="105">
        <f t="shared" si="6"/>
        <v>4.5513207547169814E-4</v>
      </c>
      <c r="AC11" s="102">
        <f t="shared" si="7"/>
        <v>37939</v>
      </c>
      <c r="AD11" s="241">
        <f t="shared" si="8"/>
        <v>4.5513207547169809</v>
      </c>
    </row>
    <row r="12" spans="1:30" ht="16.5">
      <c r="A12" s="6" t="s">
        <v>12</v>
      </c>
      <c r="B12" s="11">
        <f t="shared" si="0"/>
        <v>7.0188679245283018E-3</v>
      </c>
      <c r="C12" s="11">
        <f>H88</f>
        <v>7.0188679245283018E-3</v>
      </c>
      <c r="D12" s="11">
        <f>H88</f>
        <v>7.0188679245283018E-3</v>
      </c>
      <c r="E12" s="11">
        <f>+D12</f>
        <v>7.0188679245283018E-3</v>
      </c>
      <c r="F12" s="293">
        <f t="shared" si="2"/>
        <v>7.0188679245283018E-3</v>
      </c>
      <c r="G12" s="293">
        <f t="shared" si="3"/>
        <v>7.0188679245283018E-3</v>
      </c>
      <c r="H12" s="293">
        <f t="shared" si="4"/>
        <v>7.0188679245283018E-3</v>
      </c>
      <c r="I12" s="11"/>
      <c r="J12" s="11">
        <v>3.6429872495446266E-3</v>
      </c>
      <c r="K12" s="11">
        <v>3.6429872495446266E-3</v>
      </c>
      <c r="L12" s="11">
        <v>3.6429872495446266E-3</v>
      </c>
      <c r="M12" s="11">
        <v>3.6429872495446266E-3</v>
      </c>
      <c r="N12" s="247">
        <v>5.3E-3</v>
      </c>
      <c r="O12" s="248">
        <v>5.3E-3</v>
      </c>
      <c r="P12" s="11">
        <v>5.384995238095238E-3</v>
      </c>
      <c r="Q12" s="11">
        <f t="shared" si="1"/>
        <v>5.384995238095238E-3</v>
      </c>
      <c r="S12" s="108">
        <f>ROUND(G88,0)</f>
        <v>186000</v>
      </c>
      <c r="T12" s="103">
        <f>B$25*1000</f>
        <v>26500000</v>
      </c>
      <c r="U12" s="104" t="s">
        <v>93</v>
      </c>
      <c r="V12" s="103" t="s">
        <v>91</v>
      </c>
      <c r="W12" s="105">
        <f>S12/T12</f>
        <v>7.0188679245283018E-3</v>
      </c>
      <c r="X12" s="106">
        <f>ROUND(T12/$B$25,5)</f>
        <v>1000</v>
      </c>
      <c r="Y12" s="209" t="s">
        <v>157</v>
      </c>
      <c r="Z12" s="216" t="s">
        <v>157</v>
      </c>
      <c r="AA12" s="108">
        <f t="shared" si="5"/>
        <v>142702</v>
      </c>
      <c r="AB12" s="105">
        <f t="shared" si="6"/>
        <v>5.3849811320754717E-3</v>
      </c>
      <c r="AC12" s="108">
        <f t="shared" si="7"/>
        <v>43298</v>
      </c>
      <c r="AD12" s="241">
        <f t="shared" si="8"/>
        <v>53.849811320754718</v>
      </c>
    </row>
    <row r="13" spans="1:30" ht="15">
      <c r="A13" s="6" t="s">
        <v>13</v>
      </c>
      <c r="B13" s="10">
        <f t="shared" ref="B13:Q13" si="9">SUM(B6:B12)</f>
        <v>6.6992793566037739E-2</v>
      </c>
      <c r="C13" s="10">
        <f t="shared" si="9"/>
        <v>0.26995259056603771</v>
      </c>
      <c r="D13" s="10">
        <f t="shared" si="9"/>
        <v>0.29160989882919564</v>
      </c>
      <c r="E13" s="10">
        <f t="shared" si="9"/>
        <v>0.43330679356603768</v>
      </c>
      <c r="F13" s="10">
        <f t="shared" si="9"/>
        <v>1.8671171458976443</v>
      </c>
      <c r="G13" s="10">
        <f t="shared" si="9"/>
        <v>0.31295539056603772</v>
      </c>
      <c r="H13" s="10">
        <f t="shared" si="9"/>
        <v>0.24279699356603773</v>
      </c>
      <c r="I13" s="10"/>
      <c r="J13" s="10">
        <f t="shared" si="9"/>
        <v>4.8725896524089249E-2</v>
      </c>
      <c r="K13" s="10">
        <f t="shared" si="9"/>
        <v>0.27605687449908933</v>
      </c>
      <c r="L13" s="10">
        <f t="shared" si="9"/>
        <v>0.19614037020829977</v>
      </c>
      <c r="M13" s="10">
        <f t="shared" si="9"/>
        <v>0.39482589652408934</v>
      </c>
      <c r="N13" s="249">
        <f t="shared" si="9"/>
        <v>0.26510000000000006</v>
      </c>
      <c r="O13" s="249">
        <f t="shared" si="9"/>
        <v>0.114</v>
      </c>
      <c r="P13" s="10">
        <f t="shared" si="9"/>
        <v>5.7323468190476193E-2</v>
      </c>
      <c r="Q13" s="10">
        <f t="shared" si="9"/>
        <v>5.7323468190476193E-2</v>
      </c>
      <c r="S13" s="102">
        <f>SUM(S8:S12)</f>
        <v>666420</v>
      </c>
      <c r="T13" s="103"/>
      <c r="U13" s="107"/>
      <c r="V13" s="107"/>
      <c r="W13" s="103"/>
      <c r="X13" s="103"/>
      <c r="Y13" s="209"/>
      <c r="Z13" s="216"/>
      <c r="AA13" s="102">
        <f>SUM(AA8:AA12)</f>
        <v>410182</v>
      </c>
      <c r="AB13" s="103"/>
      <c r="AC13" s="102">
        <f>SUM(AC8:AC12)</f>
        <v>256238</v>
      </c>
      <c r="AD13" s="241"/>
    </row>
    <row r="14" spans="1:30" ht="15">
      <c r="A14" s="6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249"/>
      <c r="O14" s="249"/>
      <c r="P14" s="10"/>
      <c r="Q14" s="10"/>
      <c r="S14" s="103"/>
      <c r="T14" s="103"/>
      <c r="U14" s="107"/>
      <c r="V14" s="107"/>
      <c r="W14" s="103"/>
      <c r="X14" s="103"/>
      <c r="Y14" s="209"/>
      <c r="Z14" s="216"/>
      <c r="AA14" s="103"/>
      <c r="AB14" s="103"/>
      <c r="AC14" s="103"/>
      <c r="AD14" s="241"/>
    </row>
    <row r="15" spans="1:30">
      <c r="A15" s="6" t="s">
        <v>14</v>
      </c>
      <c r="B15" s="10">
        <f>D62/(B25*1000)</f>
        <v>1.4529056603773585E-2</v>
      </c>
      <c r="C15" s="10">
        <f>((D62)*(C25/$B$25))/(C25*1000)</f>
        <v>1.4529056603773585E-2</v>
      </c>
      <c r="D15" s="10">
        <f>((D62)*(D25/B25))/(D25*1000)</f>
        <v>1.4529056603773585E-2</v>
      </c>
      <c r="E15" s="10">
        <f>(($D$62)*(E25/$B$25))/(E25*1000)</f>
        <v>1.4529056603773585E-2</v>
      </c>
      <c r="F15" s="10">
        <f>(($D$62)*(F25/$B$25))/(F25*1000)</f>
        <v>1.4529056603773585E-2</v>
      </c>
      <c r="G15" s="10">
        <f>(($D$62)*(G25/$B$25))/(G25*1000)</f>
        <v>1.4529056603773585E-2</v>
      </c>
      <c r="H15" s="10">
        <f>(($D$62)*(H25/$B$25))/(H25*1000)</f>
        <v>1.4529056603773585E-2</v>
      </c>
      <c r="I15" s="10"/>
      <c r="J15" s="10">
        <v>1.5730491803278689E-2</v>
      </c>
      <c r="K15" s="10">
        <v>1.5730491803278686E-2</v>
      </c>
      <c r="L15" s="10">
        <v>1.5730491803278689E-2</v>
      </c>
      <c r="M15" s="10">
        <v>1.5730491803278686E-2</v>
      </c>
      <c r="N15" s="249">
        <v>8.3999999999999995E-3</v>
      </c>
      <c r="O15" s="245">
        <v>7.3000000000000001E-3</v>
      </c>
      <c r="P15" s="10">
        <v>9.5462656666666663E-3</v>
      </c>
      <c r="Q15" s="10">
        <f t="shared" ref="Q15:Q20" si="10">IF($B$23&lt;$P$23,B15,IF($B$21&lt;$P$21,B15,IF(AND($B$21&gt;$P$21,$B$13&lt;$P$13),($P$21+($P$13-$B$13))/$B$21*B15,P15)))</f>
        <v>9.5462656666666663E-3</v>
      </c>
      <c r="S15" s="102">
        <f>ROUND(D62,0)</f>
        <v>385020</v>
      </c>
      <c r="T15" s="103">
        <f>B62</f>
        <v>13200</v>
      </c>
      <c r="U15" s="104" t="s">
        <v>94</v>
      </c>
      <c r="V15" s="103" t="s">
        <v>95</v>
      </c>
      <c r="W15" s="105">
        <f t="shared" ref="W15:W20" si="11">S15/T15</f>
        <v>29.168181818181818</v>
      </c>
      <c r="X15" s="106">
        <f t="shared" ref="X15:X20" si="12">ROUND(T15/$B$25,5)</f>
        <v>0.49811</v>
      </c>
      <c r="Y15" s="209" t="s">
        <v>157</v>
      </c>
      <c r="Z15" s="209" t="s">
        <v>157</v>
      </c>
      <c r="AA15" s="102">
        <f t="shared" ref="AA15:AA20" si="13">ROUND(Q15*$B$25*1000,0)</f>
        <v>252976</v>
      </c>
      <c r="AB15" s="105">
        <f t="shared" ref="AB15:AB20" si="14">IF(T15&lt;&gt;0,AA15/T15,0)</f>
        <v>19.164848484848484</v>
      </c>
      <c r="AC15" s="102">
        <f t="shared" ref="AC15:AC20" si="15">S15-AA15</f>
        <v>132044</v>
      </c>
      <c r="AD15" s="241">
        <f t="shared" ref="AD15:AD20" si="16">AB15*10000</f>
        <v>191648.48484848483</v>
      </c>
    </row>
    <row r="16" spans="1:30">
      <c r="A16" s="6" t="s">
        <v>15</v>
      </c>
      <c r="B16" s="10">
        <f>H62/(B25*1000)</f>
        <v>2.5169811320754718E-3</v>
      </c>
      <c r="C16" s="10">
        <f>((H62)*($C$25/$B$25))/($C$25*1000)</f>
        <v>2.5169811320754718E-3</v>
      </c>
      <c r="D16" s="10">
        <f>((H62)*(D25/B25))/(D25*1000)</f>
        <v>2.5169811320754714E-3</v>
      </c>
      <c r="E16" s="10">
        <f>(($H$62)*(E25/$B$25))/(E25*1000)</f>
        <v>2.5169811320754714E-3</v>
      </c>
      <c r="F16" s="10">
        <f>(($H$62)*(F25/$B$25))/(F25*1000)</f>
        <v>2.5169811320754718E-3</v>
      </c>
      <c r="G16" s="10">
        <f>(($H$62)*(G25/$B$25))/(G25*1000)</f>
        <v>2.5169811320754718E-3</v>
      </c>
      <c r="H16" s="10">
        <f>(($H$62)*(H25/$B$25))/(H25*1000)</f>
        <v>2.5169811320754718E-3</v>
      </c>
      <c r="I16" s="10"/>
      <c r="J16" s="10">
        <v>6.7889799635701261E-3</v>
      </c>
      <c r="K16" s="10">
        <v>6.7889799635701261E-3</v>
      </c>
      <c r="L16" s="10">
        <v>6.788979963570127E-3</v>
      </c>
      <c r="M16" s="10">
        <v>6.7889799635701261E-3</v>
      </c>
      <c r="N16" s="249">
        <v>2.7000000000000001E-3</v>
      </c>
      <c r="O16" s="245">
        <v>2.5999999999999999E-3</v>
      </c>
      <c r="P16" s="10">
        <v>2.9053904761904763E-3</v>
      </c>
      <c r="Q16" s="10">
        <f t="shared" si="10"/>
        <v>2.9053904761904763E-3</v>
      </c>
      <c r="S16" s="102">
        <f>ROUND(H62,0)</f>
        <v>66700</v>
      </c>
      <c r="T16" s="103">
        <f>F62</f>
        <v>2200</v>
      </c>
      <c r="U16" s="104" t="s">
        <v>96</v>
      </c>
      <c r="V16" s="103" t="s">
        <v>95</v>
      </c>
      <c r="W16" s="105">
        <f t="shared" si="11"/>
        <v>30.318181818181817</v>
      </c>
      <c r="X16" s="106">
        <f t="shared" si="12"/>
        <v>8.3019999999999997E-2</v>
      </c>
      <c r="Y16" s="209" t="s">
        <v>157</v>
      </c>
      <c r="Z16" s="209" t="s">
        <v>157</v>
      </c>
      <c r="AA16" s="102">
        <f t="shared" si="13"/>
        <v>76993</v>
      </c>
      <c r="AB16" s="105">
        <f t="shared" si="14"/>
        <v>34.996818181818185</v>
      </c>
      <c r="AC16" s="102">
        <f t="shared" si="15"/>
        <v>-10293</v>
      </c>
      <c r="AD16" s="241">
        <f t="shared" si="16"/>
        <v>349968.18181818182</v>
      </c>
    </row>
    <row r="17" spans="1:30">
      <c r="A17" s="6" t="s">
        <v>16</v>
      </c>
      <c r="B17" s="10">
        <f>D65/(B25*1000)</f>
        <v>7.6707169811320751E-3</v>
      </c>
      <c r="C17" s="10">
        <f>((D65)*($C$25/$B$25))/($C$25*1000)</f>
        <v>7.6707169811320759E-3</v>
      </c>
      <c r="D17" s="10">
        <f>((D65)*(D25/B25))/(D25*1000)</f>
        <v>7.6707169811320751E-3</v>
      </c>
      <c r="E17" s="10">
        <f>(($D$65)*(E25/$B$25)/(E25*1000))</f>
        <v>7.6707169811320751E-3</v>
      </c>
      <c r="F17" s="10">
        <f>(($D$65)*(F25/$B$25)/(F25*1000))</f>
        <v>7.6707169811320751E-3</v>
      </c>
      <c r="G17" s="10">
        <f>(($D$65)*(G25/$B$25)/(G25*1000))</f>
        <v>7.6707169811320751E-3</v>
      </c>
      <c r="H17" s="10">
        <f>(($D$65)*(H25/$B$25)/(H25*1000))</f>
        <v>7.6707169811320751E-3</v>
      </c>
      <c r="I17" s="10"/>
      <c r="J17" s="10">
        <v>1.0133762295081969E-2</v>
      </c>
      <c r="K17" s="10">
        <v>1.0133762295081967E-2</v>
      </c>
      <c r="L17" s="10">
        <v>1.0133762295081969E-2</v>
      </c>
      <c r="M17" s="10">
        <v>1.0133762295081967E-2</v>
      </c>
      <c r="N17" s="249">
        <v>4.4000000000000003E-3</v>
      </c>
      <c r="O17" s="245">
        <v>4.1999999999999997E-3</v>
      </c>
      <c r="P17" s="10">
        <v>5.3845362857142861E-3</v>
      </c>
      <c r="Q17" s="10">
        <f t="shared" si="10"/>
        <v>5.3845362857142861E-3</v>
      </c>
      <c r="S17" s="102">
        <f>ROUND(D65,0)</f>
        <v>203274</v>
      </c>
      <c r="T17" s="103">
        <f>B65</f>
        <v>13200</v>
      </c>
      <c r="U17" s="104" t="s">
        <v>97</v>
      </c>
      <c r="V17" s="103" t="s">
        <v>95</v>
      </c>
      <c r="W17" s="105">
        <f t="shared" si="11"/>
        <v>15.399545454545455</v>
      </c>
      <c r="X17" s="106">
        <f t="shared" si="12"/>
        <v>0.49811</v>
      </c>
      <c r="Y17" s="209" t="s">
        <v>157</v>
      </c>
      <c r="Z17" s="209" t="s">
        <v>157</v>
      </c>
      <c r="AA17" s="102">
        <f t="shared" si="13"/>
        <v>142690</v>
      </c>
      <c r="AB17" s="105">
        <f t="shared" si="14"/>
        <v>10.809848484848485</v>
      </c>
      <c r="AC17" s="102">
        <f t="shared" si="15"/>
        <v>60584</v>
      </c>
      <c r="AD17" s="241">
        <f t="shared" si="16"/>
        <v>108098.48484848485</v>
      </c>
    </row>
    <row r="18" spans="1:30" ht="15">
      <c r="A18" s="6" t="s">
        <v>17</v>
      </c>
      <c r="B18" s="10">
        <f>D18</f>
        <v>4.0754716981132076E-3</v>
      </c>
      <c r="C18" s="10">
        <f>+D95</f>
        <v>4.0754716981132076E-3</v>
      </c>
      <c r="D18" s="10">
        <f>D95</f>
        <v>4.0754716981132076E-3</v>
      </c>
      <c r="E18" s="10">
        <f t="shared" ref="E18:H20" si="17">+D18</f>
        <v>4.0754716981132076E-3</v>
      </c>
      <c r="F18" s="10">
        <f t="shared" si="17"/>
        <v>4.0754716981132076E-3</v>
      </c>
      <c r="G18" s="10">
        <f t="shared" si="17"/>
        <v>4.0754716981132076E-3</v>
      </c>
      <c r="H18" s="10">
        <f t="shared" si="17"/>
        <v>4.0754716981132076E-3</v>
      </c>
      <c r="I18" s="10"/>
      <c r="J18" s="10">
        <v>1.3114754098360656E-3</v>
      </c>
      <c r="K18" s="10">
        <v>1.3114754098360656E-3</v>
      </c>
      <c r="L18" s="10">
        <v>1.3114754098360656E-3</v>
      </c>
      <c r="M18" s="10">
        <v>1.3114754098360656E-3</v>
      </c>
      <c r="N18" s="249">
        <v>1.2999999999999999E-3</v>
      </c>
      <c r="O18" s="245">
        <v>1.1999999999999999E-3</v>
      </c>
      <c r="P18" s="10">
        <v>1.5262571428571428E-3</v>
      </c>
      <c r="Q18" s="10">
        <f t="shared" si="10"/>
        <v>1.5262571428571428E-3</v>
      </c>
      <c r="R18" s="12"/>
      <c r="S18" s="102">
        <f>ROUND(C95,0)</f>
        <v>108000</v>
      </c>
      <c r="T18" s="103">
        <f>B$25*1000</f>
        <v>26500000</v>
      </c>
      <c r="U18" s="104" t="s">
        <v>98</v>
      </c>
      <c r="V18" s="103" t="s">
        <v>91</v>
      </c>
      <c r="W18" s="105">
        <f t="shared" si="11"/>
        <v>4.0754716981132076E-3</v>
      </c>
      <c r="X18" s="106">
        <f t="shared" si="12"/>
        <v>1000</v>
      </c>
      <c r="Y18" s="209" t="s">
        <v>163</v>
      </c>
      <c r="Z18" s="216">
        <v>1</v>
      </c>
      <c r="AA18" s="102">
        <f t="shared" si="13"/>
        <v>40446</v>
      </c>
      <c r="AB18" s="105">
        <f t="shared" si="14"/>
        <v>1.5262641509433963E-3</v>
      </c>
      <c r="AC18" s="102">
        <f t="shared" si="15"/>
        <v>67554</v>
      </c>
      <c r="AD18" s="241">
        <f t="shared" si="16"/>
        <v>15.262641509433962</v>
      </c>
    </row>
    <row r="19" spans="1:30">
      <c r="A19" s="2" t="s">
        <v>18</v>
      </c>
      <c r="B19" s="10">
        <f>D19</f>
        <v>2.1645283018867926E-2</v>
      </c>
      <c r="C19" s="10">
        <f>+D96</f>
        <v>2.1645283018867926E-2</v>
      </c>
      <c r="D19" s="10">
        <f>D96</f>
        <v>2.1645283018867926E-2</v>
      </c>
      <c r="E19" s="10">
        <f t="shared" si="17"/>
        <v>2.1645283018867926E-2</v>
      </c>
      <c r="F19" s="10">
        <f t="shared" si="17"/>
        <v>2.1645283018867926E-2</v>
      </c>
      <c r="G19" s="10">
        <f t="shared" si="17"/>
        <v>2.1645283018867926E-2</v>
      </c>
      <c r="H19" s="10">
        <f t="shared" si="17"/>
        <v>2.1645283018867926E-2</v>
      </c>
      <c r="I19" s="10"/>
      <c r="J19" s="10">
        <v>3.9344262295081967E-3</v>
      </c>
      <c r="K19" s="10">
        <v>3.9344262295081967E-3</v>
      </c>
      <c r="L19" s="10">
        <v>3.9344262295081967E-3</v>
      </c>
      <c r="M19" s="10">
        <v>3.9344262295081967E-3</v>
      </c>
      <c r="N19" s="249">
        <v>3.3E-3</v>
      </c>
      <c r="O19" s="245">
        <v>3.2000000000000002E-3</v>
      </c>
      <c r="P19" s="10">
        <v>3.1023095238095237E-3</v>
      </c>
      <c r="Q19" s="10">
        <f t="shared" si="10"/>
        <v>3.1023095238095237E-3</v>
      </c>
      <c r="S19" s="102">
        <f>ROUND(C96,0)</f>
        <v>573600</v>
      </c>
      <c r="T19" s="103">
        <f>B$25*1000</f>
        <v>26500000</v>
      </c>
      <c r="U19" s="104" t="s">
        <v>99</v>
      </c>
      <c r="V19" s="103" t="s">
        <v>91</v>
      </c>
      <c r="W19" s="105">
        <f t="shared" si="11"/>
        <v>2.1645283018867926E-2</v>
      </c>
      <c r="X19" s="106">
        <f t="shared" si="12"/>
        <v>1000</v>
      </c>
      <c r="Y19" s="209" t="s">
        <v>157</v>
      </c>
      <c r="Z19" s="209" t="s">
        <v>157</v>
      </c>
      <c r="AA19" s="102">
        <f t="shared" si="13"/>
        <v>82211</v>
      </c>
      <c r="AB19" s="105">
        <f t="shared" si="14"/>
        <v>3.1023018867924529E-3</v>
      </c>
      <c r="AC19" s="102">
        <f t="shared" si="15"/>
        <v>491389</v>
      </c>
      <c r="AD19" s="241">
        <f t="shared" si="16"/>
        <v>31.023018867924527</v>
      </c>
    </row>
    <row r="20" spans="1:30" ht="15">
      <c r="A20" s="2" t="s">
        <v>19</v>
      </c>
      <c r="B20" s="14">
        <f>D20</f>
        <v>8.4316981132075475E-2</v>
      </c>
      <c r="C20" s="14">
        <f>+D97</f>
        <v>8.4316981132075475E-2</v>
      </c>
      <c r="D20" s="14">
        <f>D97</f>
        <v>8.4316981132075475E-2</v>
      </c>
      <c r="E20" s="14">
        <f t="shared" si="17"/>
        <v>8.4316981132075475E-2</v>
      </c>
      <c r="F20" s="14">
        <f t="shared" si="17"/>
        <v>8.4316981132075475E-2</v>
      </c>
      <c r="G20" s="14">
        <f t="shared" si="17"/>
        <v>8.4316981132075475E-2</v>
      </c>
      <c r="H20" s="14">
        <f t="shared" si="17"/>
        <v>8.4316981132075475E-2</v>
      </c>
      <c r="I20" s="14"/>
      <c r="J20" s="14">
        <v>4.3281311475409839E-2</v>
      </c>
      <c r="K20" s="14">
        <v>4.3281311475409839E-2</v>
      </c>
      <c r="L20" s="14">
        <v>4.3281311475409839E-2</v>
      </c>
      <c r="M20" s="14">
        <v>4.3281311475409839E-2</v>
      </c>
      <c r="N20" s="250">
        <v>1.0999999999999999E-2</v>
      </c>
      <c r="O20" s="248">
        <v>9.2999999999999992E-3</v>
      </c>
      <c r="P20" s="14">
        <v>1.1808828238095238E-2</v>
      </c>
      <c r="Q20" s="14">
        <f t="shared" si="10"/>
        <v>1.1808828238095238E-2</v>
      </c>
      <c r="S20" s="108">
        <f>ROUND(C97,0)</f>
        <v>2234400</v>
      </c>
      <c r="T20" s="103">
        <f>B$25*1000</f>
        <v>26500000</v>
      </c>
      <c r="U20" s="104" t="s">
        <v>100</v>
      </c>
      <c r="V20" s="103" t="s">
        <v>91</v>
      </c>
      <c r="W20" s="105">
        <f t="shared" si="11"/>
        <v>8.4316981132075475E-2</v>
      </c>
      <c r="X20" s="106">
        <f t="shared" si="12"/>
        <v>1000</v>
      </c>
      <c r="Y20" s="209" t="s">
        <v>157</v>
      </c>
      <c r="Z20" s="209" t="s">
        <v>157</v>
      </c>
      <c r="AA20" s="108">
        <f t="shared" si="13"/>
        <v>312934</v>
      </c>
      <c r="AB20" s="105">
        <f t="shared" si="14"/>
        <v>1.1808830188679245E-2</v>
      </c>
      <c r="AC20" s="108">
        <f t="shared" si="15"/>
        <v>1921466</v>
      </c>
      <c r="AD20" s="241">
        <f t="shared" si="16"/>
        <v>118.08830188679245</v>
      </c>
    </row>
    <row r="21" spans="1:30" ht="16.5">
      <c r="A21" s="6" t="s">
        <v>20</v>
      </c>
      <c r="B21" s="10">
        <f t="shared" ref="B21:Q21" si="18">SUM(B15:B20)</f>
        <v>0.13475449056603772</v>
      </c>
      <c r="C21" s="10">
        <f t="shared" si="18"/>
        <v>0.13475449056603772</v>
      </c>
      <c r="D21" s="10">
        <f t="shared" si="18"/>
        <v>0.13475449056603772</v>
      </c>
      <c r="E21" s="10">
        <f t="shared" si="18"/>
        <v>0.13475449056603772</v>
      </c>
      <c r="F21" s="10">
        <f t="shared" ref="F21:G21" si="19">SUM(F15:F20)</f>
        <v>0.13475449056603772</v>
      </c>
      <c r="G21" s="10">
        <f t="shared" si="19"/>
        <v>0.13475449056603772</v>
      </c>
      <c r="H21" s="10">
        <f t="shared" ref="H21" si="20">SUM(H15:H20)</f>
        <v>0.13475449056603772</v>
      </c>
      <c r="I21" s="10"/>
      <c r="J21" s="10">
        <f t="shared" si="18"/>
        <v>8.1180447176684878E-2</v>
      </c>
      <c r="K21" s="10">
        <f t="shared" si="18"/>
        <v>8.1180447176684878E-2</v>
      </c>
      <c r="L21" s="10">
        <f t="shared" si="18"/>
        <v>8.1180447176684878E-2</v>
      </c>
      <c r="M21" s="10">
        <f t="shared" si="18"/>
        <v>8.1180447176684878E-2</v>
      </c>
      <c r="N21" s="249">
        <f t="shared" si="18"/>
        <v>3.1099999999999999E-2</v>
      </c>
      <c r="O21" s="249">
        <f t="shared" si="18"/>
        <v>2.7799999999999998E-2</v>
      </c>
      <c r="P21" s="10">
        <f t="shared" si="18"/>
        <v>3.4273587333333334E-2</v>
      </c>
      <c r="Q21" s="10">
        <f t="shared" si="18"/>
        <v>3.4273587333333334E-2</v>
      </c>
      <c r="S21" s="108">
        <f>SUM(S15:S20)</f>
        <v>3570994</v>
      </c>
      <c r="T21" s="103"/>
      <c r="U21" s="103"/>
      <c r="V21" s="103"/>
      <c r="W21" s="103"/>
      <c r="X21" s="103"/>
      <c r="Y21" s="209"/>
      <c r="Z21" s="216"/>
      <c r="AA21" s="108">
        <f>SUM(AA15:AA20)</f>
        <v>908250</v>
      </c>
      <c r="AB21" s="103"/>
      <c r="AC21" s="108">
        <f>SUM(AC15:AC20)</f>
        <v>2662744</v>
      </c>
      <c r="AD21" s="103"/>
    </row>
    <row r="22" spans="1:30" ht="15">
      <c r="A22" s="9"/>
      <c r="B22" s="2"/>
      <c r="C22" s="2"/>
      <c r="D22" s="2"/>
      <c r="E22" s="85"/>
      <c r="F22" s="85"/>
      <c r="G22" s="85"/>
      <c r="H22" s="85"/>
      <c r="I22" s="2"/>
      <c r="J22" s="2"/>
      <c r="K22" s="2"/>
      <c r="L22" s="2"/>
      <c r="M22" s="2"/>
      <c r="N22" s="246"/>
      <c r="O22" s="251"/>
      <c r="P22" s="2"/>
      <c r="Q22" s="2"/>
      <c r="S22" s="109">
        <f>S13+S21</f>
        <v>4237414</v>
      </c>
      <c r="T22" s="103"/>
      <c r="U22" s="103"/>
      <c r="V22" s="103"/>
      <c r="W22" s="103"/>
      <c r="X22" s="103"/>
      <c r="Y22" s="209"/>
      <c r="Z22" s="216"/>
      <c r="AA22" s="109">
        <f>AA13+AA21</f>
        <v>1318432</v>
      </c>
      <c r="AB22" s="103"/>
      <c r="AC22" s="238">
        <f>AC13+AC21</f>
        <v>2918982</v>
      </c>
      <c r="AD22" s="103"/>
    </row>
    <row r="23" spans="1:30" ht="15">
      <c r="A23" s="6" t="s">
        <v>21</v>
      </c>
      <c r="B23" s="15">
        <f t="shared" ref="B23:Q23" si="21">B13+B21</f>
        <v>0.20174728413207546</v>
      </c>
      <c r="C23" s="231">
        <f t="shared" ref="C23" si="22">C13+C21</f>
        <v>0.40470708113207543</v>
      </c>
      <c r="D23" s="231">
        <f t="shared" si="21"/>
        <v>0.42636438939523336</v>
      </c>
      <c r="E23" s="231">
        <f t="shared" si="21"/>
        <v>0.56806128413207535</v>
      </c>
      <c r="F23" s="231">
        <f t="shared" ref="F23:G23" si="23">F13+F21</f>
        <v>2.0018716364636822</v>
      </c>
      <c r="G23" s="231">
        <f t="shared" si="23"/>
        <v>0.44770988113207544</v>
      </c>
      <c r="H23" s="231">
        <f t="shared" ref="H23" si="24">H13+H21</f>
        <v>0.37755148413207545</v>
      </c>
      <c r="I23" s="159"/>
      <c r="J23" s="231">
        <f t="shared" si="21"/>
        <v>0.12990634370077414</v>
      </c>
      <c r="K23" s="231">
        <f t="shared" si="21"/>
        <v>0.35723732167577421</v>
      </c>
      <c r="L23" s="231">
        <f t="shared" si="21"/>
        <v>0.27732081738498465</v>
      </c>
      <c r="M23" s="232">
        <f t="shared" si="21"/>
        <v>0.47600634370077421</v>
      </c>
      <c r="N23" s="252">
        <f t="shared" si="21"/>
        <v>0.29620000000000007</v>
      </c>
      <c r="O23" s="252">
        <f t="shared" si="21"/>
        <v>0.14180000000000001</v>
      </c>
      <c r="P23" s="232">
        <f t="shared" si="21"/>
        <v>9.1597055523809534E-2</v>
      </c>
      <c r="Q23" s="232">
        <f t="shared" si="21"/>
        <v>9.1597055523809534E-2</v>
      </c>
      <c r="S23" s="110">
        <f>ROUND(S22/B25/1000,5)</f>
        <v>0.15989999999999999</v>
      </c>
      <c r="T23" s="103"/>
      <c r="U23" s="103"/>
      <c r="V23" s="103"/>
      <c r="W23" s="103"/>
      <c r="X23" s="103"/>
      <c r="Y23" s="209"/>
      <c r="Z23" s="216"/>
      <c r="AA23" s="110">
        <f>ROUND(AA22/$B$25/1000,5)</f>
        <v>4.9750000000000003E-2</v>
      </c>
      <c r="AB23" s="103"/>
      <c r="AC23" s="110">
        <f>ROUND(AC22/$B$25/1000,5)</f>
        <v>0.11015</v>
      </c>
      <c r="AD23" s="103"/>
    </row>
    <row r="24" spans="1:30" ht="15">
      <c r="A24" s="2"/>
      <c r="B24" s="8"/>
      <c r="C24" s="16"/>
      <c r="D24" s="295"/>
      <c r="E24" s="8"/>
      <c r="F24" s="8"/>
      <c r="G24" s="8"/>
      <c r="H24" s="8"/>
      <c r="I24" s="8"/>
      <c r="J24" s="8"/>
      <c r="K24" s="8"/>
      <c r="L24" s="8"/>
      <c r="M24" s="8"/>
      <c r="N24" s="251"/>
      <c r="O24" s="253"/>
      <c r="P24" s="8"/>
      <c r="Q24" s="8"/>
      <c r="S24" s="110">
        <f>ROUND(S23+B7,5)</f>
        <v>0.20174</v>
      </c>
      <c r="T24" s="103"/>
      <c r="U24" s="103"/>
      <c r="V24" s="103"/>
      <c r="W24" s="103"/>
      <c r="X24" s="103"/>
      <c r="Y24" s="209"/>
      <c r="Z24" s="216"/>
      <c r="AA24" s="110">
        <f>ROUND(AA23+$Q$7,5)</f>
        <v>9.1590000000000005E-2</v>
      </c>
      <c r="AB24" s="103"/>
      <c r="AC24" s="110"/>
      <c r="AD24" s="103"/>
    </row>
    <row r="25" spans="1:30">
      <c r="A25" s="2" t="s">
        <v>22</v>
      </c>
      <c r="B25" s="17">
        <f>SUM(C25:H25)</f>
        <v>26500</v>
      </c>
      <c r="C25" s="17">
        <v>6000</v>
      </c>
      <c r="D25" s="17">
        <v>8000</v>
      </c>
      <c r="E25" s="17">
        <v>9000</v>
      </c>
      <c r="F25" s="17">
        <v>1600</v>
      </c>
      <c r="G25" s="17">
        <v>1700</v>
      </c>
      <c r="H25" s="17">
        <v>200</v>
      </c>
      <c r="I25" s="17"/>
      <c r="J25" s="17">
        <v>54900</v>
      </c>
      <c r="K25" s="17">
        <v>18000</v>
      </c>
      <c r="L25" s="17">
        <v>22000</v>
      </c>
      <c r="M25" s="17">
        <f>14900</f>
        <v>14900</v>
      </c>
      <c r="N25" s="254">
        <v>52030</v>
      </c>
      <c r="O25" s="255">
        <v>143202</v>
      </c>
      <c r="P25" s="17"/>
      <c r="Q25" s="17"/>
    </row>
    <row r="26" spans="1:30">
      <c r="A26" s="2"/>
      <c r="C26" s="5"/>
      <c r="D26" s="4"/>
    </row>
    <row r="27" spans="1:30">
      <c r="A27" s="2"/>
      <c r="C27" s="5"/>
      <c r="D27" s="4"/>
    </row>
    <row r="28" spans="1:30">
      <c r="A28" s="274" t="s">
        <v>23</v>
      </c>
      <c r="C28" s="12"/>
    </row>
    <row r="29" spans="1:30">
      <c r="A29" s="182" t="s">
        <v>140</v>
      </c>
      <c r="B29" s="18"/>
      <c r="C29" s="19"/>
      <c r="D29" s="19"/>
      <c r="E29" s="187" t="s">
        <v>146</v>
      </c>
      <c r="F29" s="20"/>
      <c r="G29" s="21"/>
      <c r="H29" s="22"/>
      <c r="I29" s="276"/>
      <c r="J29" s="276"/>
    </row>
    <row r="30" spans="1:30">
      <c r="A30" s="23"/>
      <c r="B30" s="2"/>
      <c r="D30" s="193" t="s">
        <v>147</v>
      </c>
      <c r="E30" s="24">
        <v>0</v>
      </c>
      <c r="F30" s="195" t="s">
        <v>24</v>
      </c>
      <c r="G30" s="24">
        <v>1</v>
      </c>
      <c r="H30" s="25"/>
      <c r="I30" s="2"/>
      <c r="J30" s="2"/>
    </row>
    <row r="31" spans="1:30" ht="15">
      <c r="A31" s="23"/>
      <c r="B31" s="26" t="s">
        <v>25</v>
      </c>
      <c r="D31" s="194" t="s">
        <v>148</v>
      </c>
      <c r="E31" s="24">
        <v>0.05</v>
      </c>
      <c r="F31" s="2" t="s">
        <v>7</v>
      </c>
      <c r="G31" s="27" t="s">
        <v>7</v>
      </c>
      <c r="H31" s="28"/>
      <c r="I31" s="277"/>
      <c r="J31" s="277"/>
      <c r="L31" s="29"/>
    </row>
    <row r="32" spans="1:30">
      <c r="A32" s="30" t="s">
        <v>26</v>
      </c>
      <c r="B32" s="2">
        <f>+B25</f>
        <v>26500</v>
      </c>
      <c r="C32" s="31"/>
      <c r="D32" s="4" t="s">
        <v>151</v>
      </c>
      <c r="E32" s="24">
        <v>3.5000000000000003E-2</v>
      </c>
      <c r="H32" s="32"/>
      <c r="I32" s="278"/>
      <c r="J32" s="278"/>
    </row>
    <row r="33" spans="1:17" ht="15">
      <c r="A33" s="33"/>
      <c r="B33" s="34"/>
      <c r="C33" s="34"/>
      <c r="D33" s="34"/>
      <c r="E33" s="34"/>
      <c r="F33" s="111" t="s">
        <v>36</v>
      </c>
      <c r="G33" s="218"/>
      <c r="H33" s="219" t="s">
        <v>77</v>
      </c>
      <c r="I33" s="111"/>
      <c r="J33" s="111"/>
    </row>
    <row r="34" spans="1:17" ht="15">
      <c r="A34" s="33"/>
      <c r="B34" s="26" t="s">
        <v>27</v>
      </c>
      <c r="C34" s="26" t="s">
        <v>28</v>
      </c>
      <c r="D34" s="26" t="s">
        <v>29</v>
      </c>
      <c r="E34" s="185" t="s">
        <v>32</v>
      </c>
      <c r="F34" s="192" t="s">
        <v>39</v>
      </c>
      <c r="G34" s="218"/>
      <c r="H34" s="220">
        <v>0.43780000000000002</v>
      </c>
      <c r="I34" s="277"/>
      <c r="J34" s="277"/>
      <c r="L34" s="1" t="s">
        <v>7</v>
      </c>
      <c r="M34" s="1" t="s">
        <v>7</v>
      </c>
      <c r="N34" s="1" t="s">
        <v>7</v>
      </c>
      <c r="O34" s="1" t="s">
        <v>7</v>
      </c>
    </row>
    <row r="35" spans="1:17" ht="15">
      <c r="A35" s="30" t="s">
        <v>30</v>
      </c>
      <c r="E35" s="188"/>
      <c r="G35" s="221" t="s">
        <v>32</v>
      </c>
      <c r="H35" s="222">
        <v>1</v>
      </c>
      <c r="I35" s="289"/>
      <c r="J35" s="289"/>
      <c r="K35" s="1" t="s">
        <v>7</v>
      </c>
      <c r="L35" s="1" t="s">
        <v>7</v>
      </c>
      <c r="M35" s="1" t="s">
        <v>7</v>
      </c>
      <c r="N35" s="1" t="s">
        <v>7</v>
      </c>
      <c r="O35" s="1" t="s">
        <v>7</v>
      </c>
    </row>
    <row r="36" spans="1:17">
      <c r="A36" s="35" t="s">
        <v>207</v>
      </c>
      <c r="B36" s="31">
        <f>1114.15/1000</f>
        <v>1.1141500000000002</v>
      </c>
      <c r="C36" s="36">
        <v>0.87519999999999998</v>
      </c>
      <c r="D36" s="183">
        <f>(C36*$D$41)</f>
        <v>3.2819999999999995E-2</v>
      </c>
      <c r="E36" s="186">
        <f>D36/(1-$E$30)</f>
        <v>3.2819999999999995E-2</v>
      </c>
      <c r="F36" s="190">
        <f>E36*B36</f>
        <v>3.6566403000000004E-2</v>
      </c>
      <c r="G36" s="223"/>
      <c r="H36" s="220">
        <f>H34*H35</f>
        <v>0.43780000000000002</v>
      </c>
      <c r="I36" s="277"/>
      <c r="J36" s="277"/>
      <c r="L36" s="1" t="s">
        <v>7</v>
      </c>
      <c r="M36" s="1" t="s">
        <v>7</v>
      </c>
      <c r="N36" s="104" t="s">
        <v>141</v>
      </c>
      <c r="O36" s="1" t="s">
        <v>7</v>
      </c>
      <c r="P36" s="37">
        <f>B36*1000</f>
        <v>1114.1500000000001</v>
      </c>
      <c r="Q36" s="106">
        <f>E36*1000</f>
        <v>32.819999999999993</v>
      </c>
    </row>
    <row r="37" spans="1:17">
      <c r="A37" s="217"/>
      <c r="B37" s="31">
        <v>0</v>
      </c>
      <c r="C37" s="36">
        <v>0</v>
      </c>
      <c r="D37" s="183">
        <f>(C37*$D$41)</f>
        <v>0</v>
      </c>
      <c r="E37" s="186">
        <f>D37/(1-$E$30)*1000</f>
        <v>0</v>
      </c>
      <c r="F37" s="10">
        <f>E37*B37/1000</f>
        <v>0</v>
      </c>
      <c r="G37" s="224"/>
      <c r="H37" s="225"/>
      <c r="K37" s="37"/>
      <c r="L37" s="1" t="s">
        <v>7</v>
      </c>
      <c r="M37" s="1" t="s">
        <v>7</v>
      </c>
      <c r="N37" s="104" t="s">
        <v>142</v>
      </c>
      <c r="O37" s="1" t="s">
        <v>7</v>
      </c>
      <c r="P37" s="37">
        <f t="shared" ref="P37:P40" si="25">B37*1000</f>
        <v>0</v>
      </c>
      <c r="Q37" s="106">
        <f t="shared" ref="Q37:Q40" si="26">E37*1000</f>
        <v>0</v>
      </c>
    </row>
    <row r="38" spans="1:17">
      <c r="A38" s="35" t="s">
        <v>208</v>
      </c>
      <c r="B38" s="31">
        <f>1022.96/1000</f>
        <v>1.0229600000000001</v>
      </c>
      <c r="C38" s="36">
        <v>0.1125</v>
      </c>
      <c r="D38" s="183">
        <f>(C38*$D$41)</f>
        <v>4.2187500000000003E-3</v>
      </c>
      <c r="E38" s="186">
        <f>D38/(1-$E$30)</f>
        <v>4.2187500000000003E-3</v>
      </c>
      <c r="F38" s="10">
        <f>E38*B38</f>
        <v>4.3156125000000005E-3</v>
      </c>
      <c r="G38" s="226"/>
      <c r="H38" s="227" t="s">
        <v>37</v>
      </c>
      <c r="I38" s="2"/>
      <c r="J38" s="2"/>
      <c r="L38" s="1" t="s">
        <v>7</v>
      </c>
      <c r="M38" s="1" t="s">
        <v>7</v>
      </c>
      <c r="N38" s="104" t="s">
        <v>143</v>
      </c>
      <c r="O38" s="1" t="s">
        <v>7</v>
      </c>
      <c r="P38" s="37">
        <f t="shared" si="25"/>
        <v>1022.96</v>
      </c>
      <c r="Q38" s="106">
        <f t="shared" si="26"/>
        <v>4.21875</v>
      </c>
    </row>
    <row r="39" spans="1:17">
      <c r="A39" s="35" t="s">
        <v>206</v>
      </c>
      <c r="B39" s="31">
        <f>2430/1000</f>
        <v>2.4300000000000002</v>
      </c>
      <c r="C39" s="36">
        <v>7.3000000000000001E-3</v>
      </c>
      <c r="D39" s="183">
        <f>(C39*$D$41)</f>
        <v>2.7375000000000001E-4</v>
      </c>
      <c r="E39" s="186">
        <f>D39/(1-$E$30)</f>
        <v>2.7375000000000001E-4</v>
      </c>
      <c r="F39" s="10">
        <f>E39*B39</f>
        <v>6.6521250000000005E-4</v>
      </c>
      <c r="G39" s="224"/>
      <c r="H39" s="228">
        <v>0.12</v>
      </c>
      <c r="I39" s="194"/>
      <c r="J39" s="194"/>
      <c r="K39" s="292"/>
      <c r="L39" s="29" t="s">
        <v>7</v>
      </c>
      <c r="M39" s="29" t="s">
        <v>7</v>
      </c>
      <c r="N39" s="104" t="s">
        <v>144</v>
      </c>
      <c r="O39" s="29" t="s">
        <v>7</v>
      </c>
      <c r="P39" s="37">
        <f t="shared" si="25"/>
        <v>2430</v>
      </c>
      <c r="Q39" s="106">
        <f t="shared" si="26"/>
        <v>0.27374999999999999</v>
      </c>
    </row>
    <row r="40" spans="1:17" ht="15">
      <c r="A40" s="35" t="s">
        <v>205</v>
      </c>
      <c r="B40" s="266">
        <f>1620/1000</f>
        <v>1.62</v>
      </c>
      <c r="C40" s="261">
        <v>4.8999999999999998E-3</v>
      </c>
      <c r="D40" s="184">
        <f>(C40*$D$41)</f>
        <v>1.8374999999999999E-4</v>
      </c>
      <c r="E40" s="189">
        <f>D40/(1-$E$30)</f>
        <v>1.8374999999999999E-4</v>
      </c>
      <c r="F40" s="14">
        <f>E40*B40</f>
        <v>2.9767500000000001E-4</v>
      </c>
      <c r="G40" s="221" t="s">
        <v>32</v>
      </c>
      <c r="H40" s="229">
        <f>H39*0.05</f>
        <v>6.0000000000000001E-3</v>
      </c>
      <c r="I40" s="290"/>
      <c r="J40" s="290"/>
      <c r="K40" s="1" t="s">
        <v>7</v>
      </c>
      <c r="L40" s="1" t="s">
        <v>7</v>
      </c>
      <c r="M40" s="1" t="s">
        <v>7</v>
      </c>
      <c r="N40" s="104" t="s">
        <v>145</v>
      </c>
      <c r="O40" s="1" t="s">
        <v>7</v>
      </c>
      <c r="P40" s="37">
        <f t="shared" si="25"/>
        <v>1620</v>
      </c>
      <c r="Q40" s="106">
        <f t="shared" si="26"/>
        <v>0.18375</v>
      </c>
    </row>
    <row r="41" spans="1:17" ht="15">
      <c r="A41" s="30" t="s">
        <v>40</v>
      </c>
      <c r="B41" s="31">
        <f>B36*C36+B37*C37+B38*C38+B40*C40+B39*C39</f>
        <v>1.1158640800000001</v>
      </c>
      <c r="C41" s="36">
        <f>SUM(C36:C40)</f>
        <v>0.99990000000000001</v>
      </c>
      <c r="D41" s="262">
        <v>3.7499999999999999E-2</v>
      </c>
      <c r="E41" s="186">
        <f>SUM(E36:E40)</f>
        <v>3.7496250000000002E-2</v>
      </c>
      <c r="F41" s="191">
        <f>SUM(F36:F40)</f>
        <v>4.1844903000000003E-2</v>
      </c>
      <c r="G41" s="230"/>
      <c r="H41" s="228">
        <f>H39+H40</f>
        <v>0.126</v>
      </c>
      <c r="I41" s="194"/>
      <c r="J41" s="194"/>
      <c r="K41" s="1" t="s">
        <v>7</v>
      </c>
      <c r="N41" s="1" t="s">
        <v>7</v>
      </c>
      <c r="P41" s="12" t="s">
        <v>7</v>
      </c>
    </row>
    <row r="42" spans="1:17" ht="15">
      <c r="A42" s="257" t="s">
        <v>191</v>
      </c>
      <c r="B42" s="31">
        <f>10096.47/1000</f>
        <v>10.09647</v>
      </c>
      <c r="C42" s="36">
        <v>1</v>
      </c>
      <c r="D42" s="262">
        <v>0.01</v>
      </c>
      <c r="E42" s="186">
        <f>D42/(1-$E$30)</f>
        <v>0.01</v>
      </c>
      <c r="F42" s="259">
        <f>E42*B42</f>
        <v>0.1009647</v>
      </c>
      <c r="G42" s="230"/>
      <c r="H42" s="228"/>
      <c r="I42" s="194"/>
      <c r="J42" s="194"/>
      <c r="P42" s="12"/>
    </row>
    <row r="43" spans="1:17" ht="15">
      <c r="A43" s="257" t="s">
        <v>209</v>
      </c>
      <c r="B43" s="31">
        <f>6082.9/1000</f>
        <v>6.0828999999999995</v>
      </c>
      <c r="C43" s="36">
        <v>1</v>
      </c>
      <c r="D43" s="262">
        <v>0.01</v>
      </c>
      <c r="E43" s="186">
        <f>D43/(1-$E$30)</f>
        <v>0.01</v>
      </c>
      <c r="F43" s="259">
        <f>E43*B43</f>
        <v>6.0828999999999994E-2</v>
      </c>
      <c r="G43" s="230"/>
      <c r="H43" s="228"/>
      <c r="I43" s="194"/>
      <c r="J43" s="194"/>
      <c r="P43" s="12"/>
    </row>
    <row r="44" spans="1:17">
      <c r="A44" s="112" t="s">
        <v>5</v>
      </c>
      <c r="E44" s="2"/>
      <c r="F44" s="40"/>
      <c r="G44" s="196"/>
      <c r="H44" s="197"/>
      <c r="I44" s="279"/>
      <c r="J44" s="194"/>
      <c r="N44" s="1" t="s">
        <v>7</v>
      </c>
      <c r="P44" s="1" t="s">
        <v>7</v>
      </c>
    </row>
    <row r="45" spans="1:17">
      <c r="A45" s="198" t="s">
        <v>200</v>
      </c>
      <c r="B45" s="296">
        <v>0.22170000000000001</v>
      </c>
      <c r="C45" s="36">
        <v>1</v>
      </c>
      <c r="D45" s="183">
        <f>1-D41</f>
        <v>0.96250000000000002</v>
      </c>
      <c r="E45" s="186">
        <f>(D45/(1-E31))</f>
        <v>1.0131578947368423</v>
      </c>
      <c r="F45" s="191">
        <f>E45*B45</f>
        <v>0.22461710526315792</v>
      </c>
      <c r="G45" s="196"/>
      <c r="H45" s="199"/>
      <c r="I45" s="280"/>
      <c r="J45" s="280"/>
      <c r="N45" s="104" t="s">
        <v>150</v>
      </c>
      <c r="O45" s="2"/>
      <c r="P45" s="2"/>
      <c r="Q45" s="106">
        <f t="shared" ref="Q45:Q48" si="27">E45*1000</f>
        <v>1013.1578947368423</v>
      </c>
    </row>
    <row r="46" spans="1:17">
      <c r="A46" s="198" t="s">
        <v>199</v>
      </c>
      <c r="B46" s="273">
        <f>+(143.81+0.03)/1000</f>
        <v>0.14384</v>
      </c>
      <c r="C46" s="36">
        <v>1</v>
      </c>
      <c r="D46" s="183">
        <v>0.96499999999999997</v>
      </c>
      <c r="E46" s="186">
        <f>(D46/(1-E32))</f>
        <v>1</v>
      </c>
      <c r="F46" s="191">
        <f>E46*B46</f>
        <v>0.14384</v>
      </c>
      <c r="G46" s="196"/>
      <c r="H46" s="199"/>
      <c r="I46" s="280"/>
      <c r="J46" s="280"/>
      <c r="N46" s="104"/>
      <c r="O46" s="2"/>
      <c r="P46" s="2"/>
      <c r="Q46" s="106"/>
    </row>
    <row r="47" spans="1:17">
      <c r="A47" s="198" t="s">
        <v>178</v>
      </c>
      <c r="B47" s="273">
        <v>0.37959999999999999</v>
      </c>
      <c r="C47" s="36">
        <v>1</v>
      </c>
      <c r="D47" s="183">
        <v>0.96499999999999997</v>
      </c>
      <c r="E47" s="186">
        <f>(D47/(1-E33))</f>
        <v>0.96499999999999997</v>
      </c>
      <c r="F47" s="191">
        <f>E47*B47</f>
        <v>0.36631399999999997</v>
      </c>
      <c r="G47" s="196"/>
      <c r="H47" s="199"/>
      <c r="I47" s="280"/>
      <c r="J47" s="280"/>
      <c r="N47" s="104"/>
      <c r="O47" s="2"/>
      <c r="P47" s="2"/>
      <c r="Q47" s="106"/>
    </row>
    <row r="48" spans="1:17">
      <c r="A48" s="198" t="s">
        <v>198</v>
      </c>
      <c r="B48" s="273">
        <v>1.8048</v>
      </c>
      <c r="C48" s="36">
        <v>1</v>
      </c>
      <c r="D48" s="183">
        <f>1-D41</f>
        <v>0.96250000000000002</v>
      </c>
      <c r="E48" s="186">
        <f>(D48/(1-E32))</f>
        <v>0.99740932642487057</v>
      </c>
      <c r="F48" s="191">
        <f>E48*B48</f>
        <v>1.8001243523316064</v>
      </c>
      <c r="G48" s="196"/>
      <c r="H48" s="294"/>
      <c r="I48" s="281"/>
      <c r="J48" s="281"/>
      <c r="N48" s="104" t="s">
        <v>150</v>
      </c>
      <c r="Q48" s="106">
        <f t="shared" si="27"/>
        <v>997.40932642487053</v>
      </c>
    </row>
    <row r="49" spans="1:20">
      <c r="A49" s="200" t="s">
        <v>201</v>
      </c>
      <c r="B49" s="265">
        <f>177.58/1000</f>
        <v>0.17758000000000002</v>
      </c>
      <c r="C49" s="201">
        <v>1</v>
      </c>
      <c r="D49" s="264">
        <f>1-D42</f>
        <v>0.99</v>
      </c>
      <c r="E49" s="202">
        <f>(D49/(1-E33))</f>
        <v>0.99</v>
      </c>
      <c r="F49" s="191">
        <f>E49*B49</f>
        <v>0.17580420000000002</v>
      </c>
      <c r="G49" s="203"/>
      <c r="H49" s="204"/>
      <c r="I49" s="281"/>
      <c r="J49" s="281"/>
      <c r="N49" s="104"/>
      <c r="Q49" s="106"/>
    </row>
    <row r="50" spans="1:20">
      <c r="A50" s="8"/>
      <c r="E50" s="39"/>
      <c r="F50" s="43"/>
    </row>
    <row r="51" spans="1:20">
      <c r="F51" s="8"/>
      <c r="G51" s="8"/>
    </row>
    <row r="52" spans="1:20">
      <c r="A52" s="885" t="s">
        <v>41</v>
      </c>
      <c r="B52" s="886"/>
      <c r="C52" s="886"/>
      <c r="D52" s="886"/>
      <c r="E52" s="886"/>
      <c r="F52" s="886"/>
      <c r="G52" s="886"/>
      <c r="H52" s="887"/>
      <c r="I52" s="2"/>
      <c r="J52" s="2"/>
    </row>
    <row r="53" spans="1:20">
      <c r="A53" s="30"/>
      <c r="B53" s="2"/>
      <c r="C53" s="2"/>
      <c r="D53" s="2"/>
      <c r="E53" s="2"/>
      <c r="F53" s="6"/>
      <c r="G53" s="6"/>
      <c r="H53" s="25"/>
      <c r="I53" s="2"/>
      <c r="J53" s="2"/>
    </row>
    <row r="54" spans="1:20" ht="14.65" customHeight="1">
      <c r="A54" s="30" t="s">
        <v>42</v>
      </c>
      <c r="B54" s="893" t="s">
        <v>14</v>
      </c>
      <c r="C54" s="893"/>
      <c r="D54" s="893"/>
      <c r="E54" s="2"/>
      <c r="F54" s="6"/>
      <c r="G54" s="6"/>
      <c r="H54" s="25"/>
      <c r="I54" s="2"/>
      <c r="J54" s="2"/>
    </row>
    <row r="55" spans="1:20" ht="15">
      <c r="A55" s="291" t="s">
        <v>193</v>
      </c>
      <c r="B55" s="893"/>
      <c r="C55" s="893"/>
      <c r="D55" s="893"/>
      <c r="E55" s="2"/>
      <c r="F55" s="893" t="s">
        <v>43</v>
      </c>
      <c r="G55" s="893"/>
      <c r="H55" s="894"/>
      <c r="I55" s="266"/>
      <c r="J55" s="266"/>
    </row>
    <row r="56" spans="1:20" ht="15">
      <c r="A56" s="30"/>
      <c r="B56" s="884" t="s">
        <v>44</v>
      </c>
      <c r="C56" s="884"/>
      <c r="D56" s="268">
        <v>6</v>
      </c>
      <c r="E56" s="2"/>
      <c r="F56" s="884" t="s">
        <v>44</v>
      </c>
      <c r="G56" s="884"/>
      <c r="H56" s="269">
        <v>1</v>
      </c>
      <c r="I56" s="268"/>
      <c r="J56" s="268"/>
      <c r="L56" s="210">
        <f>$S$15*S56</f>
        <v>346518</v>
      </c>
      <c r="N56" s="211" t="s">
        <v>94</v>
      </c>
      <c r="R56" s="206" t="s">
        <v>167</v>
      </c>
      <c r="S56" s="214">
        <f>100%-D57</f>
        <v>0.9</v>
      </c>
    </row>
    <row r="57" spans="1:20" ht="15">
      <c r="A57" s="30"/>
      <c r="B57" s="884" t="s">
        <v>45</v>
      </c>
      <c r="C57" s="884"/>
      <c r="D57" s="27">
        <v>0.1</v>
      </c>
      <c r="E57" s="2"/>
      <c r="F57" s="884" t="s">
        <v>45</v>
      </c>
      <c r="G57" s="884"/>
      <c r="H57" s="45">
        <f>D57</f>
        <v>0.1</v>
      </c>
      <c r="I57" s="27"/>
      <c r="J57" s="27"/>
      <c r="L57" s="210">
        <f>$S$15*S57</f>
        <v>38502</v>
      </c>
      <c r="N57" s="211" t="s">
        <v>94</v>
      </c>
      <c r="R57" s="206" t="s">
        <v>168</v>
      </c>
      <c r="S57" s="214">
        <f>D57</f>
        <v>0.1</v>
      </c>
    </row>
    <row r="58" spans="1:20" ht="15">
      <c r="A58" s="30"/>
      <c r="B58" s="2"/>
      <c r="C58" s="2"/>
      <c r="D58" s="46"/>
      <c r="E58" s="2"/>
      <c r="F58" s="2"/>
      <c r="G58" s="2"/>
      <c r="H58" s="47"/>
      <c r="I58" s="46"/>
      <c r="J58" s="46"/>
      <c r="N58" s="213"/>
      <c r="R58" s="215"/>
      <c r="S58" s="213"/>
    </row>
    <row r="59" spans="1:20" ht="16.5">
      <c r="A59" s="30"/>
      <c r="B59" s="48" t="s">
        <v>46</v>
      </c>
      <c r="C59" s="48" t="s">
        <v>47</v>
      </c>
      <c r="D59" s="49" t="s">
        <v>48</v>
      </c>
      <c r="E59" s="3"/>
      <c r="F59" s="48" t="s">
        <v>46</v>
      </c>
      <c r="G59" s="48" t="s">
        <v>47</v>
      </c>
      <c r="H59" s="50" t="s">
        <v>48</v>
      </c>
      <c r="I59" s="49"/>
      <c r="J59" s="49"/>
      <c r="L59" s="210">
        <f>$S$16*S59</f>
        <v>60030</v>
      </c>
      <c r="N59" s="211" t="s">
        <v>96</v>
      </c>
      <c r="R59" s="206" t="s">
        <v>169</v>
      </c>
      <c r="S59" s="214">
        <f>100%-H57</f>
        <v>0.9</v>
      </c>
    </row>
    <row r="60" spans="1:20" ht="15">
      <c r="A60" s="30" t="s">
        <v>49</v>
      </c>
      <c r="B60" s="2">
        <f>D56*B103*B104</f>
        <v>12000</v>
      </c>
      <c r="C60" s="51">
        <v>27.9</v>
      </c>
      <c r="D60" s="52">
        <f>B60*C60</f>
        <v>334800</v>
      </c>
      <c r="E60" s="2"/>
      <c r="F60" s="2">
        <f>H56*B103*B104</f>
        <v>2000</v>
      </c>
      <c r="G60" s="53">
        <v>29</v>
      </c>
      <c r="H60" s="54">
        <f>F60*G60</f>
        <v>58000</v>
      </c>
      <c r="I60" s="52"/>
      <c r="J60" s="52"/>
      <c r="L60" s="210">
        <f>$S$16*S60</f>
        <v>6670</v>
      </c>
      <c r="N60" s="211" t="s">
        <v>96</v>
      </c>
      <c r="R60" s="206" t="s">
        <v>170</v>
      </c>
      <c r="S60" s="214">
        <f>H57</f>
        <v>0.1</v>
      </c>
    </row>
    <row r="61" spans="1:20" ht="16.5">
      <c r="A61" s="30" t="s">
        <v>50</v>
      </c>
      <c r="B61" s="83">
        <f>B60*D57</f>
        <v>1200</v>
      </c>
      <c r="C61" s="55">
        <f>C60*1.5</f>
        <v>41.849999999999994</v>
      </c>
      <c r="D61" s="56">
        <f>+B61*C61</f>
        <v>50219.999999999993</v>
      </c>
      <c r="E61" s="2"/>
      <c r="F61" s="2">
        <f>F60*H57</f>
        <v>200</v>
      </c>
      <c r="G61" s="55">
        <f>G60*1.5</f>
        <v>43.5</v>
      </c>
      <c r="H61" s="57">
        <f>+F61*G61</f>
        <v>8700</v>
      </c>
      <c r="I61" s="56"/>
      <c r="J61" s="56"/>
      <c r="N61" s="213"/>
      <c r="R61" s="215"/>
      <c r="S61" s="213"/>
    </row>
    <row r="62" spans="1:20" ht="15">
      <c r="A62" s="173" t="s">
        <v>138</v>
      </c>
      <c r="B62" s="176">
        <f>SUM(B60:B61)</f>
        <v>13200</v>
      </c>
      <c r="C62" s="179">
        <f>D62/B62</f>
        <v>29.168181818181818</v>
      </c>
      <c r="D62" s="180">
        <f>SUM(D60:D61)</f>
        <v>385020</v>
      </c>
      <c r="E62" s="2"/>
      <c r="F62" s="176">
        <f>SUM(F60:F61)</f>
        <v>2200</v>
      </c>
      <c r="G62" s="179">
        <f>H62/F62</f>
        <v>30.318181818181817</v>
      </c>
      <c r="H62" s="181">
        <f>SUM(H60:H61)</f>
        <v>66700</v>
      </c>
      <c r="I62" s="180"/>
      <c r="J62" s="180"/>
      <c r="L62" s="210">
        <f t="shared" ref="L62:L67" si="28">$S$17*S62</f>
        <v>15399.884861089129</v>
      </c>
      <c r="N62" s="211" t="s">
        <v>97</v>
      </c>
      <c r="R62" s="206" t="s">
        <v>171</v>
      </c>
      <c r="S62" s="214">
        <f>T62/$T$68</f>
        <v>7.5759245457309485E-2</v>
      </c>
      <c r="T62" s="2">
        <v>78673.990000000005</v>
      </c>
    </row>
    <row r="63" spans="1:20" ht="15">
      <c r="A63" s="173" t="s">
        <v>139</v>
      </c>
      <c r="B63" s="177">
        <f>$B$62/$B$25</f>
        <v>0.49811320754716981</v>
      </c>
      <c r="C63" s="2"/>
      <c r="D63" s="65"/>
      <c r="E63" s="2"/>
      <c r="F63" s="177">
        <f>$F$62/$B$25</f>
        <v>8.3018867924528297E-2</v>
      </c>
      <c r="G63" s="6"/>
      <c r="H63" s="92"/>
      <c r="I63" s="65"/>
      <c r="J63" s="65"/>
      <c r="L63" s="210">
        <f t="shared" si="28"/>
        <v>17091.343411231817</v>
      </c>
      <c r="N63" s="211" t="s">
        <v>97</v>
      </c>
      <c r="R63" s="206" t="s">
        <v>172</v>
      </c>
      <c r="S63" s="214">
        <f t="shared" ref="S63:S67" si="29">T63/$T$68</f>
        <v>8.4080322182039105E-2</v>
      </c>
      <c r="T63" s="2">
        <v>87315.21</v>
      </c>
    </row>
    <row r="64" spans="1:20" ht="15">
      <c r="A64" s="30"/>
      <c r="B64" s="2"/>
      <c r="C64" s="2"/>
      <c r="D64" s="2"/>
      <c r="E64" s="2"/>
      <c r="F64" s="6"/>
      <c r="G64" s="6"/>
      <c r="H64" s="25"/>
      <c r="I64" s="2"/>
      <c r="J64" s="2"/>
      <c r="L64" s="210">
        <f t="shared" si="28"/>
        <v>14253.175237125388</v>
      </c>
      <c r="N64" s="211" t="s">
        <v>97</v>
      </c>
      <c r="R64" s="206" t="s">
        <v>173</v>
      </c>
      <c r="S64" s="214">
        <f t="shared" si="29"/>
        <v>7.0118043808482092E-2</v>
      </c>
      <c r="T64" s="2">
        <v>72815.75</v>
      </c>
    </row>
    <row r="65" spans="1:20" ht="15">
      <c r="A65" s="174" t="str">
        <f>CONCATENATE("Indirect Payroll Cost (IPC) at ",B106*100,"%")</f>
        <v>Indirect Payroll Cost (IPC) at 45%</v>
      </c>
      <c r="B65" s="176">
        <f>B62</f>
        <v>13200</v>
      </c>
      <c r="C65" s="179">
        <f>D65/B65</f>
        <v>15.399545454545455</v>
      </c>
      <c r="D65" s="180">
        <f>(D62+H62)*B106</f>
        <v>203274</v>
      </c>
      <c r="E65" s="2"/>
      <c r="F65" s="2"/>
      <c r="G65" s="2"/>
      <c r="H65" s="58"/>
      <c r="I65" s="282"/>
      <c r="J65" s="282"/>
      <c r="L65" s="210">
        <f t="shared" si="28"/>
        <v>106489.07029592985</v>
      </c>
      <c r="N65" s="211" t="s">
        <v>97</v>
      </c>
      <c r="R65" s="206" t="s">
        <v>174</v>
      </c>
      <c r="S65" s="214">
        <f t="shared" si="29"/>
        <v>0.52386960602895527</v>
      </c>
      <c r="T65" s="2">
        <v>544024.85</v>
      </c>
    </row>
    <row r="66" spans="1:20" ht="15">
      <c r="A66" s="175" t="s">
        <v>139</v>
      </c>
      <c r="B66" s="178">
        <f>$B$65/$B$25</f>
        <v>0.49811320754716981</v>
      </c>
      <c r="C66" s="41"/>
      <c r="D66" s="60"/>
      <c r="E66" s="41"/>
      <c r="F66" s="41"/>
      <c r="G66" s="41"/>
      <c r="H66" s="61"/>
      <c r="I66" s="62"/>
      <c r="J66" s="62"/>
      <c r="L66" s="210">
        <f t="shared" si="28"/>
        <v>46530.158852754088</v>
      </c>
      <c r="N66" s="211" t="s">
        <v>97</v>
      </c>
      <c r="R66" s="206" t="s">
        <v>175</v>
      </c>
      <c r="S66" s="214">
        <f t="shared" si="29"/>
        <v>0.22890364164996058</v>
      </c>
      <c r="T66" s="2">
        <v>237710.43</v>
      </c>
    </row>
    <row r="67" spans="1:20" ht="15">
      <c r="D67" s="62"/>
      <c r="H67" s="62"/>
      <c r="I67" s="62"/>
      <c r="J67" s="62"/>
      <c r="L67" s="210">
        <f t="shared" si="28"/>
        <v>3510.367341869719</v>
      </c>
      <c r="N67" s="211" t="s">
        <v>97</v>
      </c>
      <c r="R67" s="206" t="s">
        <v>176</v>
      </c>
      <c r="S67" s="214">
        <f t="shared" si="29"/>
        <v>1.7269140873253437E-2</v>
      </c>
      <c r="T67" s="2">
        <v>17933.55</v>
      </c>
    </row>
    <row r="68" spans="1:20">
      <c r="T68" s="176">
        <f>SUM(T62:T67)</f>
        <v>1038473.78</v>
      </c>
    </row>
    <row r="69" spans="1:20">
      <c r="A69" s="885" t="s">
        <v>51</v>
      </c>
      <c r="B69" s="886"/>
      <c r="C69" s="886"/>
      <c r="D69" s="886"/>
      <c r="E69" s="886"/>
      <c r="F69" s="886"/>
      <c r="G69" s="886"/>
      <c r="H69" s="887"/>
      <c r="I69" s="2"/>
      <c r="J69" s="2"/>
    </row>
    <row r="70" spans="1:20">
      <c r="A70" s="33"/>
      <c r="B70" s="884" t="s">
        <v>52</v>
      </c>
      <c r="C70" s="884"/>
      <c r="D70" s="53">
        <v>3.56</v>
      </c>
      <c r="E70" s="2"/>
      <c r="F70" s="884" t="s">
        <v>53</v>
      </c>
      <c r="G70" s="884"/>
      <c r="H70" s="275">
        <v>0.1542</v>
      </c>
      <c r="I70" s="2"/>
      <c r="J70" s="2"/>
    </row>
    <row r="71" spans="1:20">
      <c r="A71" s="33"/>
      <c r="B71" s="884" t="s">
        <v>54</v>
      </c>
      <c r="C71" s="884"/>
      <c r="D71" s="64"/>
      <c r="E71" s="65"/>
      <c r="F71" s="884" t="s">
        <v>55</v>
      </c>
      <c r="G71" s="884"/>
      <c r="H71" s="66"/>
      <c r="I71" s="2"/>
      <c r="J71" s="2"/>
    </row>
    <row r="72" spans="1:20">
      <c r="A72" s="33"/>
      <c r="B72" s="884" t="s">
        <v>56</v>
      </c>
      <c r="C72" s="884"/>
      <c r="D72" s="67"/>
      <c r="E72" s="65"/>
      <c r="F72" s="884"/>
      <c r="G72" s="884"/>
      <c r="H72" s="71"/>
      <c r="I72" s="2"/>
      <c r="J72" s="2"/>
    </row>
    <row r="73" spans="1:20">
      <c r="A73" s="33"/>
      <c r="D73" s="69"/>
      <c r="E73" s="70"/>
      <c r="F73" s="70"/>
      <c r="G73" s="70"/>
      <c r="H73" s="71"/>
      <c r="I73" s="2"/>
      <c r="J73" s="2"/>
    </row>
    <row r="74" spans="1:20" ht="30">
      <c r="A74" s="30"/>
      <c r="B74" s="72" t="s">
        <v>133</v>
      </c>
      <c r="C74" s="72" t="s">
        <v>57</v>
      </c>
      <c r="D74" s="72" t="s">
        <v>134</v>
      </c>
      <c r="F74" s="72" t="s">
        <v>59</v>
      </c>
      <c r="H74" s="73"/>
      <c r="I74" s="5"/>
      <c r="J74" s="5"/>
    </row>
    <row r="75" spans="1:20">
      <c r="A75" s="30" t="s">
        <v>60</v>
      </c>
      <c r="B75" s="270">
        <v>2.9E-4</v>
      </c>
      <c r="C75" s="74">
        <f>D70</f>
        <v>3.56</v>
      </c>
      <c r="D75" s="13">
        <f>B75*C75</f>
        <v>1.0323999999999999E-3</v>
      </c>
      <c r="F75" s="9">
        <f>4.86*0.00022</f>
        <v>1.0692000000000002E-3</v>
      </c>
      <c r="G75" s="75"/>
      <c r="H75" s="76"/>
      <c r="I75" s="283"/>
      <c r="J75" s="283"/>
      <c r="K75" s="1" t="s">
        <v>7</v>
      </c>
      <c r="Q75" s="205">
        <f>B75*1000*1000</f>
        <v>290</v>
      </c>
    </row>
    <row r="76" spans="1:20" ht="18.75" customHeight="1">
      <c r="A76" s="30" t="s">
        <v>61</v>
      </c>
      <c r="B76" s="270">
        <v>3.5000000000000003E-2</v>
      </c>
      <c r="C76" s="77">
        <f>H70</f>
        <v>0.1542</v>
      </c>
      <c r="D76" s="13">
        <f>B76*C76</f>
        <v>5.3970000000000008E-3</v>
      </c>
      <c r="F76" s="9">
        <f>0.095*0.05</f>
        <v>4.7500000000000007E-3</v>
      </c>
      <c r="G76" s="78"/>
      <c r="H76" s="79"/>
      <c r="I76" s="284"/>
      <c r="J76" s="284"/>
      <c r="Q76" s="205">
        <f>B76*1000</f>
        <v>35</v>
      </c>
    </row>
    <row r="77" spans="1:20">
      <c r="A77" s="59"/>
      <c r="B77" s="41"/>
      <c r="C77" s="41"/>
      <c r="D77" s="41"/>
      <c r="E77" s="41"/>
      <c r="F77" s="41"/>
      <c r="G77" s="41"/>
      <c r="H77" s="42"/>
    </row>
    <row r="80" spans="1:20">
      <c r="A80" s="885" t="s">
        <v>62</v>
      </c>
      <c r="B80" s="886"/>
      <c r="C80" s="886"/>
      <c r="D80" s="886"/>
      <c r="E80" s="886"/>
      <c r="F80" s="886"/>
      <c r="G80" s="886"/>
      <c r="H80" s="887"/>
      <c r="I80" s="2"/>
      <c r="J80" s="2"/>
    </row>
    <row r="81" spans="1:20" ht="25.5">
      <c r="A81" s="30" t="s">
        <v>63</v>
      </c>
      <c r="B81" s="52">
        <v>27000000</v>
      </c>
      <c r="C81" s="2"/>
      <c r="D81" s="2"/>
      <c r="E81" s="2"/>
      <c r="F81" s="2"/>
      <c r="G81" s="80" t="s">
        <v>64</v>
      </c>
      <c r="H81" s="81" t="s">
        <v>58</v>
      </c>
      <c r="I81" s="285"/>
      <c r="J81" s="285"/>
    </row>
    <row r="82" spans="1:20">
      <c r="A82" s="30" t="s">
        <v>65</v>
      </c>
      <c r="B82" s="36">
        <f>G84/B81</f>
        <v>9.6311111111111111E-3</v>
      </c>
      <c r="C82" s="2"/>
      <c r="D82" s="2"/>
      <c r="E82" s="2"/>
      <c r="F82" s="2"/>
      <c r="G82" s="2"/>
      <c r="H82" s="25"/>
      <c r="I82" s="2"/>
      <c r="J82" s="2"/>
    </row>
    <row r="83" spans="1:20">
      <c r="A83" s="30"/>
      <c r="B83" s="2"/>
      <c r="C83" s="2"/>
      <c r="D83" s="36"/>
      <c r="E83" s="2"/>
      <c r="F83" s="2"/>
      <c r="G83" s="2"/>
      <c r="H83" s="25"/>
      <c r="I83" s="2"/>
      <c r="J83" s="2"/>
    </row>
    <row r="84" spans="1:20" ht="15">
      <c r="A84" s="30" t="s">
        <v>66</v>
      </c>
      <c r="B84" s="52"/>
      <c r="C84" s="2"/>
      <c r="D84" s="2"/>
      <c r="E84" s="2"/>
      <c r="F84" s="2"/>
      <c r="G84" s="271">
        <f>216700/10*12</f>
        <v>260040</v>
      </c>
      <c r="H84" s="82">
        <f>G84/B32/1000</f>
        <v>9.8128301886792439E-3</v>
      </c>
      <c r="I84" s="286"/>
      <c r="J84" s="286"/>
    </row>
    <row r="85" spans="1:20">
      <c r="A85" s="30"/>
      <c r="B85" s="2"/>
      <c r="C85" s="2"/>
      <c r="D85" s="2"/>
      <c r="E85" s="2"/>
      <c r="F85" s="2"/>
      <c r="G85" s="2"/>
      <c r="H85" s="25"/>
      <c r="I85" s="2"/>
      <c r="J85" s="2"/>
    </row>
    <row r="86" spans="1:20" ht="15">
      <c r="A86" s="30" t="s">
        <v>67</v>
      </c>
      <c r="B86" s="31"/>
      <c r="C86" s="2"/>
      <c r="D86" s="65"/>
      <c r="E86" s="2"/>
      <c r="F86" s="2"/>
      <c r="G86" s="271">
        <v>50000</v>
      </c>
      <c r="H86" s="82">
        <f>G86/B32/1000</f>
        <v>1.8867924528301887E-3</v>
      </c>
      <c r="I86" s="286"/>
      <c r="J86" s="286"/>
      <c r="S86" s="2" t="s">
        <v>162</v>
      </c>
      <c r="T86" s="176" t="s">
        <v>160</v>
      </c>
    </row>
    <row r="87" spans="1:20">
      <c r="A87" s="30"/>
      <c r="B87" s="31"/>
      <c r="C87" s="2"/>
      <c r="D87" s="65"/>
      <c r="E87" s="2"/>
      <c r="F87" s="2"/>
      <c r="G87" s="2"/>
      <c r="H87" s="25"/>
      <c r="I87" s="2"/>
      <c r="J87" s="2"/>
      <c r="L87" s="210">
        <f t="shared" ref="L87:L92" si="30">$S$12*$S87</f>
        <v>7128.7500887960141</v>
      </c>
      <c r="N87" s="211" t="s">
        <v>93</v>
      </c>
      <c r="R87" s="206" t="s">
        <v>159</v>
      </c>
      <c r="S87" s="212">
        <f t="shared" ref="S87:S92" si="31">T87/$T$93</f>
        <v>3.8326613380623729E-2</v>
      </c>
      <c r="T87" s="2">
        <v>22870.75</v>
      </c>
    </row>
    <row r="88" spans="1:20" ht="15">
      <c r="A88" s="30" t="s">
        <v>68</v>
      </c>
      <c r="B88" s="2"/>
      <c r="C88" s="2"/>
      <c r="D88" s="83"/>
      <c r="E88" s="2"/>
      <c r="F88" s="2"/>
      <c r="G88" s="271">
        <f>155000/10*12</f>
        <v>186000</v>
      </c>
      <c r="H88" s="82">
        <f>G88/B32/1000</f>
        <v>7.0188679245283018E-3</v>
      </c>
      <c r="I88" s="286"/>
      <c r="J88" s="286"/>
      <c r="L88" s="210">
        <f t="shared" si="30"/>
        <v>1887.0183236261144</v>
      </c>
      <c r="N88" s="211" t="s">
        <v>93</v>
      </c>
      <c r="R88" s="206">
        <v>631060</v>
      </c>
      <c r="S88" s="212">
        <f t="shared" si="31"/>
        <v>1.0145259804441475E-2</v>
      </c>
      <c r="T88" s="2">
        <v>6054.01</v>
      </c>
    </row>
    <row r="89" spans="1:20">
      <c r="A89" s="84"/>
      <c r="B89" s="85"/>
      <c r="C89" s="86"/>
      <c r="D89" s="85"/>
      <c r="E89" s="85"/>
      <c r="F89" s="85"/>
      <c r="G89" s="85"/>
      <c r="H89" s="87"/>
      <c r="I89" s="2"/>
      <c r="J89" s="2"/>
      <c r="L89" s="210">
        <f t="shared" si="30"/>
        <v>2944.2985435007126</v>
      </c>
      <c r="N89" s="211" t="s">
        <v>93</v>
      </c>
      <c r="R89" s="206" t="s">
        <v>158</v>
      </c>
      <c r="S89" s="212">
        <f t="shared" si="31"/>
        <v>1.5829562061831788E-2</v>
      </c>
      <c r="T89" s="2">
        <v>9446.02</v>
      </c>
    </row>
    <row r="90" spans="1:20">
      <c r="C90" s="88"/>
      <c r="L90" s="210">
        <f t="shared" si="30"/>
        <v>106618.52858884749</v>
      </c>
      <c r="N90" s="211" t="s">
        <v>93</v>
      </c>
      <c r="R90" s="206" t="s">
        <v>161</v>
      </c>
      <c r="S90" s="212">
        <f t="shared" si="31"/>
        <v>0.57321789563896497</v>
      </c>
      <c r="T90" s="2">
        <v>342057.96</v>
      </c>
    </row>
    <row r="91" spans="1:20">
      <c r="L91" s="210">
        <f t="shared" si="30"/>
        <v>52883.451551780614</v>
      </c>
      <c r="N91" s="211" t="s">
        <v>93</v>
      </c>
      <c r="R91" s="206">
        <v>633000</v>
      </c>
      <c r="S91" s="212">
        <f t="shared" si="31"/>
        <v>0.28431963199882049</v>
      </c>
      <c r="T91" s="2">
        <v>169662.87</v>
      </c>
    </row>
    <row r="92" spans="1:20">
      <c r="A92" s="44" t="s">
        <v>69</v>
      </c>
      <c r="B92" s="888" t="s">
        <v>70</v>
      </c>
      <c r="C92" s="888"/>
      <c r="D92" s="888"/>
      <c r="E92" s="888"/>
      <c r="F92" s="888"/>
      <c r="G92" s="888"/>
      <c r="H92" s="889"/>
      <c r="I92" s="2"/>
      <c r="J92" s="2"/>
      <c r="L92" s="210">
        <f t="shared" si="30"/>
        <v>14537.952903449077</v>
      </c>
      <c r="N92" s="211" t="s">
        <v>93</v>
      </c>
      <c r="R92" s="206">
        <v>633020</v>
      </c>
      <c r="S92" s="212">
        <f t="shared" si="31"/>
        <v>7.8161037115317619E-2</v>
      </c>
      <c r="T92" s="2">
        <v>46641.26</v>
      </c>
    </row>
    <row r="93" spans="1:20">
      <c r="A93" s="33"/>
      <c r="H93" s="38"/>
      <c r="T93" s="176">
        <f>SUM(T87:T92)</f>
        <v>596732.87</v>
      </c>
    </row>
    <row r="94" spans="1:20" ht="25.5">
      <c r="A94" s="30"/>
      <c r="B94" s="172" t="s">
        <v>135</v>
      </c>
      <c r="C94" s="172" t="s">
        <v>136</v>
      </c>
      <c r="D94" s="172" t="s">
        <v>137</v>
      </c>
      <c r="H94" s="38"/>
    </row>
    <row r="95" spans="1:20">
      <c r="A95" s="30" t="s">
        <v>17</v>
      </c>
      <c r="B95" s="52">
        <v>9000</v>
      </c>
      <c r="C95" s="272">
        <f>B95*12</f>
        <v>108000</v>
      </c>
      <c r="D95" s="63">
        <f>C95/B$32/1000</f>
        <v>4.0754716981132076E-3</v>
      </c>
      <c r="H95" s="38"/>
    </row>
    <row r="96" spans="1:20">
      <c r="A96" s="30" t="s">
        <v>18</v>
      </c>
      <c r="B96" s="2">
        <v>47800</v>
      </c>
      <c r="C96" s="67">
        <f>B96*12</f>
        <v>573600</v>
      </c>
      <c r="D96" s="89">
        <f>C96/B$32/1000</f>
        <v>2.1645283018867926E-2</v>
      </c>
      <c r="H96" s="38"/>
      <c r="L96" s="210">
        <f>$S$19*$S96</f>
        <v>446522.73061196291</v>
      </c>
      <c r="N96" s="211" t="s">
        <v>99</v>
      </c>
      <c r="R96" s="206" t="s">
        <v>164</v>
      </c>
      <c r="S96" s="212">
        <f>T96/$T$98</f>
        <v>0.77845664332629516</v>
      </c>
      <c r="T96" s="2">
        <v>596246.93999999994</v>
      </c>
    </row>
    <row r="97" spans="1:20">
      <c r="A97" s="30" t="s">
        <v>71</v>
      </c>
      <c r="B97" s="2">
        <v>186200</v>
      </c>
      <c r="C97" s="67">
        <f>+B97*12</f>
        <v>2234400</v>
      </c>
      <c r="D97" s="90">
        <f>C97/B$32/1000</f>
        <v>8.4316981132075475E-2</v>
      </c>
      <c r="H97" s="38"/>
      <c r="L97" s="210">
        <f>$S$19*$S97</f>
        <v>127077.26938803711</v>
      </c>
      <c r="N97" s="211" t="s">
        <v>99</v>
      </c>
      <c r="R97" s="206" t="s">
        <v>165</v>
      </c>
      <c r="S97" s="212">
        <f>T97/$T$98</f>
        <v>0.22154335667370487</v>
      </c>
      <c r="T97" s="2">
        <v>169687.74</v>
      </c>
    </row>
    <row r="98" spans="1:20">
      <c r="A98" s="30" t="s">
        <v>72</v>
      </c>
      <c r="B98" s="2"/>
      <c r="C98" s="2"/>
      <c r="D98" s="63">
        <f>SUM(D95:D97)</f>
        <v>0.1100377358490566</v>
      </c>
      <c r="H98" s="38"/>
      <c r="T98" s="176">
        <f>SUM(T96:T97)</f>
        <v>765934.67999999993</v>
      </c>
    </row>
    <row r="99" spans="1:20">
      <c r="A99" s="59"/>
      <c r="B99" s="41"/>
      <c r="C99" s="41"/>
      <c r="D99" s="41"/>
      <c r="E99" s="41"/>
      <c r="F99" s="41"/>
      <c r="G99" s="41"/>
      <c r="H99" s="42"/>
      <c r="L99" s="210">
        <f t="shared" ref="L99:L106" si="32">$S$20*$S99</f>
        <v>4944.738203700731</v>
      </c>
      <c r="N99" s="211" t="s">
        <v>100</v>
      </c>
      <c r="R99" s="206" t="s">
        <v>166</v>
      </c>
      <c r="S99" s="212">
        <f t="shared" ref="S99:S106" si="33">T99/$T$107</f>
        <v>2.213004924678093E-3</v>
      </c>
      <c r="T99" s="2">
        <v>5033.5200000000004</v>
      </c>
    </row>
    <row r="100" spans="1:20">
      <c r="L100" s="210">
        <f t="shared" si="32"/>
        <v>167876.05857681835</v>
      </c>
      <c r="N100" s="211" t="s">
        <v>100</v>
      </c>
      <c r="R100" s="206">
        <v>640010</v>
      </c>
      <c r="S100" s="212">
        <f t="shared" si="33"/>
        <v>7.5132500258153573E-2</v>
      </c>
      <c r="T100" s="2">
        <v>170890.23999999999</v>
      </c>
    </row>
    <row r="101" spans="1:20">
      <c r="L101" s="210">
        <f t="shared" si="32"/>
        <v>1935540.66032472</v>
      </c>
      <c r="N101" s="211" t="s">
        <v>100</v>
      </c>
      <c r="R101" s="206">
        <v>640020</v>
      </c>
      <c r="S101" s="212">
        <f t="shared" si="33"/>
        <v>0.86624626759967771</v>
      </c>
      <c r="T101" s="2">
        <v>1970292.91</v>
      </c>
    </row>
    <row r="102" spans="1:20">
      <c r="A102" s="885" t="s">
        <v>102</v>
      </c>
      <c r="B102" s="886"/>
      <c r="C102" s="886"/>
      <c r="D102" s="886"/>
      <c r="E102" s="886"/>
      <c r="F102" s="886"/>
      <c r="G102" s="886"/>
      <c r="H102" s="887"/>
      <c r="I102" s="2"/>
      <c r="J102" s="2"/>
      <c r="L102" s="210">
        <f t="shared" si="32"/>
        <v>10284.40553307331</v>
      </c>
      <c r="N102" s="211" t="s">
        <v>100</v>
      </c>
      <c r="R102" s="206">
        <v>640040</v>
      </c>
      <c r="S102" s="212">
        <f t="shared" si="33"/>
        <v>4.6027593685433717E-3</v>
      </c>
      <c r="T102" s="2">
        <v>10469.06</v>
      </c>
    </row>
    <row r="103" spans="1:20">
      <c r="A103" s="112" t="s">
        <v>73</v>
      </c>
      <c r="B103" s="2">
        <v>50</v>
      </c>
      <c r="D103" s="2"/>
      <c r="E103" s="2"/>
      <c r="F103" s="2"/>
      <c r="G103" s="2"/>
      <c r="H103" s="25"/>
      <c r="I103" s="2"/>
      <c r="J103" s="2"/>
      <c r="L103" s="210">
        <f t="shared" si="32"/>
        <v>1394.4626981025579</v>
      </c>
      <c r="N103" s="211" t="s">
        <v>100</v>
      </c>
      <c r="R103" s="206">
        <v>640050</v>
      </c>
      <c r="S103" s="212">
        <f t="shared" si="33"/>
        <v>6.2408821075123425E-4</v>
      </c>
      <c r="T103" s="2">
        <v>1419.5</v>
      </c>
    </row>
    <row r="104" spans="1:20">
      <c r="A104" s="112" t="s">
        <v>74</v>
      </c>
      <c r="B104" s="2">
        <v>40</v>
      </c>
      <c r="D104" s="2"/>
      <c r="E104" s="2"/>
      <c r="F104" s="2"/>
      <c r="G104" s="2"/>
      <c r="H104" s="68"/>
      <c r="I104" s="67"/>
      <c r="J104" s="67"/>
      <c r="L104" s="210">
        <f t="shared" si="32"/>
        <v>1571.6807824545842</v>
      </c>
      <c r="N104" s="211" t="s">
        <v>100</v>
      </c>
      <c r="R104" s="206">
        <v>640060</v>
      </c>
      <c r="S104" s="212">
        <f t="shared" si="33"/>
        <v>7.0340171072976376E-4</v>
      </c>
      <c r="T104" s="2">
        <v>1599.9</v>
      </c>
    </row>
    <row r="105" spans="1:20">
      <c r="A105" s="112" t="s">
        <v>75</v>
      </c>
      <c r="B105" s="91">
        <v>1.5</v>
      </c>
      <c r="D105" s="2"/>
      <c r="E105" s="2"/>
      <c r="F105" s="2"/>
      <c r="G105" s="2"/>
      <c r="H105" s="92"/>
      <c r="I105" s="65"/>
      <c r="J105" s="65"/>
      <c r="L105" s="210">
        <f t="shared" si="32"/>
        <v>38623.227588931899</v>
      </c>
      <c r="N105" s="211" t="s">
        <v>100</v>
      </c>
      <c r="R105" s="206">
        <v>640070</v>
      </c>
      <c r="S105" s="212">
        <f t="shared" si="33"/>
        <v>1.7285726633070129E-2</v>
      </c>
      <c r="T105" s="2">
        <v>39316.699999999997</v>
      </c>
    </row>
    <row r="106" spans="1:20">
      <c r="A106" s="113" t="s">
        <v>101</v>
      </c>
      <c r="B106" s="114">
        <v>0.45</v>
      </c>
      <c r="C106" s="85"/>
      <c r="D106" s="85"/>
      <c r="E106" s="85"/>
      <c r="F106" s="85"/>
      <c r="G106" s="85"/>
      <c r="H106" s="87"/>
      <c r="I106" s="2"/>
      <c r="J106" s="2"/>
      <c r="L106" s="210">
        <f t="shared" si="32"/>
        <v>74164.766292198648</v>
      </c>
      <c r="N106" s="211" t="s">
        <v>100</v>
      </c>
      <c r="R106" s="206">
        <v>640080</v>
      </c>
      <c r="S106" s="212">
        <f t="shared" si="33"/>
        <v>3.3192251294396104E-2</v>
      </c>
      <c r="T106" s="2">
        <v>75496.38</v>
      </c>
    </row>
    <row r="107" spans="1:20">
      <c r="T107" s="176">
        <f>SUM(T99:T106)</f>
        <v>2274518.21</v>
      </c>
    </row>
  </sheetData>
  <mergeCells count="22">
    <mergeCell ref="B57:C57"/>
    <mergeCell ref="F56:G56"/>
    <mergeCell ref="F57:G57"/>
    <mergeCell ref="A69:H69"/>
    <mergeCell ref="B70:C70"/>
    <mergeCell ref="F70:G70"/>
    <mergeCell ref="A1:H1"/>
    <mergeCell ref="A2:H2"/>
    <mergeCell ref="S1:T1"/>
    <mergeCell ref="A52:H52"/>
    <mergeCell ref="B56:C56"/>
    <mergeCell ref="B54:D55"/>
    <mergeCell ref="F55:H55"/>
    <mergeCell ref="B3:H3"/>
    <mergeCell ref="K3:N3"/>
    <mergeCell ref="F71:G71"/>
    <mergeCell ref="F72:G72"/>
    <mergeCell ref="A80:H80"/>
    <mergeCell ref="B92:H92"/>
    <mergeCell ref="A102:H102"/>
    <mergeCell ref="B71:C71"/>
    <mergeCell ref="B72:C72"/>
  </mergeCells>
  <printOptions horizontalCentered="1"/>
  <pageMargins left="0.25" right="0.25" top="0.75" bottom="0.75" header="0.25" footer="0.5"/>
  <pageSetup fitToHeight="3" orientation="landscape" r:id="rId1"/>
  <headerFooter alignWithMargins="0">
    <oddHeader>&amp;F</oddHeader>
  </headerFooter>
  <rowBreaks count="1" manualBreakCount="1">
    <brk id="26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Y104"/>
  <sheetViews>
    <sheetView zoomScale="110" zoomScaleNormal="110" workbookViewId="0">
      <pane xSplit="1" ySplit="2" topLeftCell="B3" activePane="bottomRight" state="frozenSplit"/>
      <selection activeCell="C29" sqref="C29"/>
      <selection pane="topRight" activeCell="C29" sqref="C29"/>
      <selection pane="bottomLeft" activeCell="C29" sqref="C29"/>
      <selection pane="bottomRight" activeCell="B3" sqref="B3:E3"/>
    </sheetView>
  </sheetViews>
  <sheetFormatPr defaultColWidth="10.7109375" defaultRowHeight="12.75"/>
  <cols>
    <col min="1" max="1" width="32.42578125" style="1" customWidth="1"/>
    <col min="2" max="2" width="15.7109375" style="1" bestFit="1" customWidth="1"/>
    <col min="3" max="3" width="11.5703125" style="1" bestFit="1" customWidth="1"/>
    <col min="4" max="4" width="12.5703125" style="1" bestFit="1" customWidth="1"/>
    <col min="5" max="5" width="14.42578125" style="1" customWidth="1"/>
    <col min="6" max="6" width="14.28515625" style="1" bestFit="1" customWidth="1"/>
    <col min="7" max="7" width="15.42578125" style="1" bestFit="1" customWidth="1"/>
    <col min="8" max="8" width="16.28515625" style="1" customWidth="1"/>
    <col min="9" max="9" width="14.5703125" style="1" customWidth="1"/>
    <col min="10" max="10" width="12.5703125" style="1" customWidth="1"/>
    <col min="11" max="11" width="11.7109375" style="1" bestFit="1" customWidth="1"/>
    <col min="12" max="12" width="14.5703125" style="1" customWidth="1"/>
    <col min="13" max="13" width="12.28515625" style="1" bestFit="1" customWidth="1"/>
    <col min="14" max="14" width="12.7109375" style="1" bestFit="1" customWidth="1"/>
    <col min="15" max="15" width="11.28515625" style="1" bestFit="1" customWidth="1"/>
    <col min="16" max="16" width="9" style="1" bestFit="1" customWidth="1"/>
    <col min="17" max="17" width="9.7109375" style="1" bestFit="1" customWidth="1"/>
    <col min="18" max="18" width="12" style="1" bestFit="1" customWidth="1"/>
    <col min="19" max="19" width="13" style="1" customWidth="1"/>
    <col min="20" max="20" width="11.42578125" style="1" bestFit="1" customWidth="1"/>
    <col min="21" max="21" width="10.7109375" style="1" bestFit="1" customWidth="1"/>
    <col min="22" max="212" width="8.7109375" style="1" customWidth="1"/>
    <col min="213" max="16384" width="10.7109375" style="1"/>
  </cols>
  <sheetData>
    <row r="1" spans="1:25" ht="18.75" customHeight="1">
      <c r="A1" s="890" t="s">
        <v>0</v>
      </c>
      <c r="B1" s="890"/>
      <c r="C1" s="890"/>
      <c r="D1" s="890"/>
      <c r="E1" s="890"/>
      <c r="F1" s="890"/>
      <c r="G1" s="890"/>
      <c r="H1" s="890"/>
      <c r="I1" s="239"/>
      <c r="J1" s="239"/>
      <c r="K1" s="239"/>
      <c r="L1" s="239"/>
      <c r="N1" s="892" t="s">
        <v>78</v>
      </c>
      <c r="O1" s="892"/>
      <c r="P1" s="93"/>
      <c r="Q1" s="94"/>
      <c r="R1" s="95" t="s">
        <v>79</v>
      </c>
      <c r="S1" s="95" t="s">
        <v>80</v>
      </c>
      <c r="T1" s="206" t="s">
        <v>84</v>
      </c>
      <c r="U1" s="206" t="s">
        <v>177</v>
      </c>
      <c r="V1" s="233">
        <v>10001005</v>
      </c>
      <c r="W1" s="234" t="s">
        <v>184</v>
      </c>
      <c r="X1" s="233">
        <v>10001005</v>
      </c>
      <c r="Y1" s="234" t="s">
        <v>186</v>
      </c>
    </row>
    <row r="2" spans="1:25" ht="18.75" customHeight="1">
      <c r="A2" s="891"/>
      <c r="B2" s="891"/>
      <c r="C2" s="891"/>
      <c r="D2" s="891"/>
      <c r="E2" s="891"/>
      <c r="F2" s="891"/>
      <c r="G2" s="891"/>
      <c r="H2" s="891"/>
      <c r="I2" s="240"/>
      <c r="J2" s="240"/>
      <c r="K2" s="240"/>
      <c r="L2" s="240"/>
      <c r="N2" s="96" t="s">
        <v>64</v>
      </c>
      <c r="O2" s="97" t="s">
        <v>81</v>
      </c>
      <c r="P2" s="98" t="s">
        <v>82</v>
      </c>
      <c r="Q2" s="98" t="s">
        <v>83</v>
      </c>
      <c r="R2" s="97" t="s">
        <v>84</v>
      </c>
      <c r="S2" s="97" t="s">
        <v>85</v>
      </c>
      <c r="T2" s="207" t="s">
        <v>153</v>
      </c>
      <c r="U2" s="207" t="s">
        <v>153</v>
      </c>
      <c r="V2" s="235" t="s">
        <v>181</v>
      </c>
      <c r="W2" s="96" t="s">
        <v>57</v>
      </c>
      <c r="X2" s="236" t="s">
        <v>185</v>
      </c>
      <c r="Y2" s="96" t="s">
        <v>187</v>
      </c>
    </row>
    <row r="3" spans="1:25" ht="18.75" customHeight="1">
      <c r="A3" s="240"/>
      <c r="B3" s="891" t="s">
        <v>188</v>
      </c>
      <c r="C3" s="891"/>
      <c r="D3" s="891"/>
      <c r="E3" s="891"/>
      <c r="F3" s="891" t="s">
        <v>192</v>
      </c>
      <c r="G3" s="891"/>
      <c r="H3" s="891"/>
      <c r="N3" s="96"/>
      <c r="O3" s="97"/>
      <c r="P3" s="98"/>
      <c r="Q3" s="98"/>
      <c r="R3" s="97"/>
      <c r="S3" s="97"/>
      <c r="T3" s="207"/>
      <c r="U3" s="207"/>
      <c r="V3" s="235"/>
      <c r="W3" s="96"/>
      <c r="X3" s="236"/>
      <c r="Y3" s="96"/>
    </row>
    <row r="4" spans="1:25" ht="15.75" customHeight="1">
      <c r="A4" s="2"/>
      <c r="B4" s="3" t="s">
        <v>1</v>
      </c>
      <c r="C4" s="3" t="s">
        <v>1</v>
      </c>
      <c r="D4" s="3" t="s">
        <v>1</v>
      </c>
      <c r="E4" s="242" t="s">
        <v>1</v>
      </c>
      <c r="F4" s="3" t="s">
        <v>1</v>
      </c>
      <c r="G4" s="3" t="s">
        <v>1</v>
      </c>
      <c r="H4" s="3" t="s">
        <v>1</v>
      </c>
      <c r="I4" s="242" t="s">
        <v>76</v>
      </c>
      <c r="J4" s="242" t="s">
        <v>76</v>
      </c>
      <c r="K4" s="3" t="s">
        <v>182</v>
      </c>
      <c r="L4" s="3" t="s">
        <v>183</v>
      </c>
      <c r="N4" s="99"/>
      <c r="O4" s="99"/>
      <c r="P4" s="99"/>
      <c r="Q4" s="99"/>
      <c r="R4" s="99"/>
      <c r="S4" s="99"/>
      <c r="T4" s="208"/>
      <c r="U4" s="216"/>
      <c r="V4" s="99"/>
      <c r="W4" s="99"/>
      <c r="X4" s="99"/>
      <c r="Y4" s="99"/>
    </row>
    <row r="5" spans="1:25" s="5" customFormat="1" ht="15">
      <c r="A5" s="4"/>
      <c r="B5" s="4" t="s">
        <v>2</v>
      </c>
      <c r="C5" s="4" t="s">
        <v>189</v>
      </c>
      <c r="D5" s="4" t="s">
        <v>180</v>
      </c>
      <c r="E5" s="256" t="s">
        <v>179</v>
      </c>
      <c r="F5" s="111" t="s">
        <v>2</v>
      </c>
      <c r="G5" s="111" t="s">
        <v>180</v>
      </c>
      <c r="H5" s="111" t="s">
        <v>179</v>
      </c>
      <c r="I5" s="243" t="s">
        <v>3</v>
      </c>
      <c r="J5" s="243" t="s">
        <v>4</v>
      </c>
      <c r="K5" s="4"/>
      <c r="L5" s="4"/>
      <c r="N5" s="100"/>
      <c r="O5" s="100"/>
      <c r="P5" s="101"/>
      <c r="Q5" s="100"/>
      <c r="R5" s="100"/>
      <c r="S5" s="100"/>
      <c r="T5" s="208"/>
      <c r="U5" s="216"/>
      <c r="V5" s="100"/>
      <c r="W5" s="100"/>
      <c r="X5" s="100"/>
      <c r="Y5" s="100"/>
    </row>
    <row r="6" spans="1:25" s="5" customFormat="1" ht="15">
      <c r="A6" s="6" t="s">
        <v>5</v>
      </c>
      <c r="B6" s="7">
        <v>0</v>
      </c>
      <c r="C6" s="7">
        <f>+B45</f>
        <v>0.158</v>
      </c>
      <c r="D6" s="7">
        <f>F44</f>
        <v>0.14741447368421054</v>
      </c>
      <c r="E6" s="260">
        <v>0.34610000000000002</v>
      </c>
      <c r="F6" s="7">
        <v>0</v>
      </c>
      <c r="G6" s="7">
        <v>0.14779736842105262</v>
      </c>
      <c r="H6" s="7">
        <v>0.34920000000000001</v>
      </c>
      <c r="I6" s="244">
        <v>0.1913</v>
      </c>
      <c r="J6" s="245">
        <v>5.4600000000000003E-2</v>
      </c>
      <c r="K6" s="7"/>
      <c r="L6" s="7"/>
      <c r="N6" s="100"/>
      <c r="O6" s="100"/>
      <c r="P6" s="101"/>
      <c r="Q6" s="100"/>
      <c r="R6" s="100"/>
      <c r="S6" s="100"/>
      <c r="T6" s="209"/>
      <c r="U6" s="216"/>
      <c r="V6" s="100"/>
      <c r="W6" s="100"/>
      <c r="X6" s="100"/>
      <c r="Y6" s="100"/>
    </row>
    <row r="7" spans="1:25" s="5" customFormat="1" ht="15">
      <c r="A7" s="6" t="s">
        <v>6</v>
      </c>
      <c r="B7" s="7">
        <f t="shared" ref="B7:B12" si="0">D7</f>
        <v>3.6160022024999995E-2</v>
      </c>
      <c r="C7" s="7">
        <f>+F42</f>
        <v>0.10549100000000002</v>
      </c>
      <c r="D7" s="7">
        <f>F41</f>
        <v>3.6160022024999995E-2</v>
      </c>
      <c r="E7" s="245">
        <f>D7</f>
        <v>3.6160022024999995E-2</v>
      </c>
      <c r="F7" s="7">
        <v>4.9822500000000006E-2</v>
      </c>
      <c r="G7" s="7">
        <v>4.9822500000000006E-2</v>
      </c>
      <c r="H7" s="7">
        <v>4.9822500000000006E-2</v>
      </c>
      <c r="I7" s="245">
        <v>5.8700000000000002E-2</v>
      </c>
      <c r="J7" s="245">
        <v>4.53E-2</v>
      </c>
      <c r="K7" s="7">
        <f>B7</f>
        <v>3.6160022024999995E-2</v>
      </c>
      <c r="L7" s="7">
        <f t="shared" ref="L7:L12" si="1">IF($B$23&lt;$K$23,E7,IF($B$13&lt;$K$13,E7,IF(AND($B$13&gt;$K$13,$B$21&lt;$K$21),($K$13+($K$21-$B$21))/$B$13*E7,K7)))</f>
        <v>3.6160022024999995E-2</v>
      </c>
      <c r="M7" s="8" t="s">
        <v>7</v>
      </c>
      <c r="N7" s="100"/>
      <c r="O7" s="100"/>
      <c r="P7" s="101"/>
      <c r="Q7" s="100"/>
      <c r="R7" s="100"/>
      <c r="S7" s="100"/>
      <c r="T7" s="209"/>
      <c r="U7" s="216"/>
      <c r="V7" s="100"/>
      <c r="W7" s="100"/>
      <c r="X7" s="100"/>
      <c r="Y7" s="100"/>
    </row>
    <row r="8" spans="1:25" ht="15">
      <c r="A8" s="6" t="s">
        <v>8</v>
      </c>
      <c r="B8" s="9">
        <f t="shared" si="0"/>
        <v>4.1895000000000005E-3</v>
      </c>
      <c r="C8" s="9">
        <f>D73</f>
        <v>4.1895000000000005E-3</v>
      </c>
      <c r="D8" s="9">
        <f>D73</f>
        <v>4.1895000000000005E-3</v>
      </c>
      <c r="E8" s="246">
        <f t="shared" ref="E8:E12" si="2">+D8</f>
        <v>4.1895000000000005E-3</v>
      </c>
      <c r="F8" s="9">
        <v>2.6250000000000002E-3</v>
      </c>
      <c r="G8" s="9">
        <v>2.6250000000000002E-3</v>
      </c>
      <c r="H8" s="9">
        <v>2.6250000000000002E-3</v>
      </c>
      <c r="I8" s="246">
        <v>3.3999999999999998E-3</v>
      </c>
      <c r="J8" s="245">
        <v>2.5000000000000001E-3</v>
      </c>
      <c r="K8" s="9">
        <v>3.469842857142857E-3</v>
      </c>
      <c r="L8" s="9">
        <f t="shared" si="1"/>
        <v>4.1895000000000005E-3</v>
      </c>
      <c r="M8" s="1" t="s">
        <v>7</v>
      </c>
      <c r="N8" s="102">
        <f>ROUND(B$25*C73*1000*B73,0)</f>
        <v>230004</v>
      </c>
      <c r="O8" s="103">
        <f>ROUND(B73*B$25*1000,0)</f>
        <v>1921500</v>
      </c>
      <c r="P8" s="104" t="s">
        <v>86</v>
      </c>
      <c r="Q8" s="103" t="s">
        <v>87</v>
      </c>
      <c r="R8" s="105">
        <f>N8/O8</f>
        <v>0.11970023419203747</v>
      </c>
      <c r="S8" s="106">
        <f>ROUND(O8/$B$25,5)</f>
        <v>35</v>
      </c>
      <c r="T8" s="209">
        <v>630010</v>
      </c>
      <c r="U8" s="216">
        <v>1</v>
      </c>
      <c r="V8" s="237">
        <f>ROUND(L8*$B$25*1000,0)</f>
        <v>230004</v>
      </c>
      <c r="W8" s="105">
        <f>IF(O8&lt;&gt;0,V8/O8,0)</f>
        <v>0.11970023419203747</v>
      </c>
      <c r="X8" s="102">
        <f>N8-V8</f>
        <v>0</v>
      </c>
      <c r="Y8" s="241">
        <f>W8*10000</f>
        <v>1197.0023419203746</v>
      </c>
    </row>
    <row r="9" spans="1:25" ht="15">
      <c r="A9" s="6" t="s">
        <v>9</v>
      </c>
      <c r="B9" s="9">
        <f t="shared" si="0"/>
        <v>1.0904E-3</v>
      </c>
      <c r="C9" s="9">
        <f>D72</f>
        <v>1.0904E-3</v>
      </c>
      <c r="D9" s="9">
        <f>D72</f>
        <v>1.0904E-3</v>
      </c>
      <c r="E9" s="246">
        <f t="shared" si="2"/>
        <v>1.0904E-3</v>
      </c>
      <c r="F9" s="9">
        <v>9.4249999999999998E-4</v>
      </c>
      <c r="G9" s="9">
        <v>9.4249999999999998E-4</v>
      </c>
      <c r="H9" s="9">
        <v>9.4249999999999998E-4</v>
      </c>
      <c r="I9" s="246">
        <v>1E-3</v>
      </c>
      <c r="J9" s="245">
        <v>1.1000000000000001E-3</v>
      </c>
      <c r="K9" s="9">
        <v>1.1049380952380952E-3</v>
      </c>
      <c r="L9" s="9">
        <f t="shared" si="1"/>
        <v>1.0904E-3</v>
      </c>
      <c r="N9" s="102">
        <f>ROUND(B$25*C72*1000*B72,0)</f>
        <v>59863</v>
      </c>
      <c r="O9" s="103">
        <f>ROUND(B72*1000*1000*B$25,0)</f>
        <v>15921000</v>
      </c>
      <c r="P9" s="104" t="s">
        <v>88</v>
      </c>
      <c r="Q9" s="103" t="s">
        <v>89</v>
      </c>
      <c r="R9" s="105">
        <f>N9/O9</f>
        <v>3.7600025124049996E-3</v>
      </c>
      <c r="S9" s="106">
        <f>ROUND(O9/$B$25,5)</f>
        <v>290</v>
      </c>
      <c r="T9" s="209" t="s">
        <v>154</v>
      </c>
      <c r="U9" s="216">
        <v>1</v>
      </c>
      <c r="V9" s="102">
        <f t="shared" ref="V9:V12" si="3">ROUND(L9*$B$25*1000,0)</f>
        <v>59863</v>
      </c>
      <c r="W9" s="105">
        <f t="shared" ref="W9:W12" si="4">IF(O9&lt;&gt;0,V9/O9,0)</f>
        <v>3.7600025124049996E-3</v>
      </c>
      <c r="X9" s="102">
        <f t="shared" ref="X9:X12" si="5">N9-V9</f>
        <v>0</v>
      </c>
      <c r="Y9" s="241">
        <f t="shared" ref="Y9:Y12" si="6">W9*10000</f>
        <v>37.600025124049999</v>
      </c>
    </row>
    <row r="10" spans="1:25" ht="15">
      <c r="A10" s="6" t="s">
        <v>10</v>
      </c>
      <c r="B10" s="10">
        <f t="shared" si="0"/>
        <v>2.7322404371584699E-3</v>
      </c>
      <c r="C10" s="10">
        <f>H81</f>
        <v>2.7322404371584699E-3</v>
      </c>
      <c r="D10" s="10">
        <f>H81</f>
        <v>2.7322404371584699E-3</v>
      </c>
      <c r="E10" s="249">
        <f t="shared" si="2"/>
        <v>2.7322404371584699E-3</v>
      </c>
      <c r="F10" s="10">
        <v>2.3112480739599386E-3</v>
      </c>
      <c r="G10" s="10">
        <v>2.3112480739599386E-3</v>
      </c>
      <c r="H10" s="10">
        <v>2.3112480739599386E-3</v>
      </c>
      <c r="I10" s="246">
        <v>4.8999999999999998E-3</v>
      </c>
      <c r="J10" s="245">
        <v>4.7999999999999996E-3</v>
      </c>
      <c r="K10" s="10">
        <v>5.0636660476190481E-3</v>
      </c>
      <c r="L10" s="10">
        <f t="shared" si="1"/>
        <v>2.7322404371584699E-3</v>
      </c>
      <c r="N10" s="102">
        <f>ROUND(G81,0)</f>
        <v>150000</v>
      </c>
      <c r="O10" s="103">
        <f>B$25*1000</f>
        <v>54900000</v>
      </c>
      <c r="P10" s="104" t="s">
        <v>90</v>
      </c>
      <c r="Q10" s="103" t="s">
        <v>91</v>
      </c>
      <c r="R10" s="105">
        <f>N10/O10</f>
        <v>2.7322404371584699E-3</v>
      </c>
      <c r="S10" s="106">
        <f>ROUND(O10/$B$25,5)</f>
        <v>1000</v>
      </c>
      <c r="T10" s="209" t="s">
        <v>155</v>
      </c>
      <c r="U10" s="216">
        <v>1</v>
      </c>
      <c r="V10" s="102">
        <f t="shared" si="3"/>
        <v>150000</v>
      </c>
      <c r="W10" s="105">
        <f t="shared" si="4"/>
        <v>2.7322404371584699E-3</v>
      </c>
      <c r="X10" s="102">
        <f t="shared" si="5"/>
        <v>0</v>
      </c>
      <c r="Y10" s="241">
        <f t="shared" si="6"/>
        <v>27.3224043715847</v>
      </c>
    </row>
    <row r="11" spans="1:25" ht="15">
      <c r="A11" s="6" t="s">
        <v>11</v>
      </c>
      <c r="B11" s="10">
        <f t="shared" si="0"/>
        <v>9.1074681238615665E-4</v>
      </c>
      <c r="C11" s="10">
        <f>H83</f>
        <v>9.1074681238615665E-4</v>
      </c>
      <c r="D11" s="10">
        <f>H83</f>
        <v>9.1074681238615665E-4</v>
      </c>
      <c r="E11" s="249">
        <f t="shared" si="2"/>
        <v>9.1074681238615665E-4</v>
      </c>
      <c r="F11" s="10">
        <v>7.7041602465331282E-4</v>
      </c>
      <c r="G11" s="10">
        <v>7.7041602465331282E-4</v>
      </c>
      <c r="H11" s="10">
        <v>7.7041602465331282E-4</v>
      </c>
      <c r="I11" s="246">
        <v>5.0000000000000001E-4</v>
      </c>
      <c r="J11" s="245">
        <v>4.0000000000000002E-4</v>
      </c>
      <c r="K11" s="10">
        <v>4.5512295238095239E-4</v>
      </c>
      <c r="L11" s="10">
        <f t="shared" si="1"/>
        <v>9.1074681238615665E-4</v>
      </c>
      <c r="N11" s="102">
        <f>ROUND(G83,0)</f>
        <v>50000</v>
      </c>
      <c r="O11" s="103">
        <f>B$25*1000</f>
        <v>54900000</v>
      </c>
      <c r="P11" s="104" t="s">
        <v>92</v>
      </c>
      <c r="Q11" s="103" t="s">
        <v>91</v>
      </c>
      <c r="R11" s="105">
        <f>N11/O11</f>
        <v>9.1074681238615665E-4</v>
      </c>
      <c r="S11" s="106">
        <f>ROUND(O11/$B$25,5)</f>
        <v>1000</v>
      </c>
      <c r="T11" s="209" t="s">
        <v>156</v>
      </c>
      <c r="U11" s="216">
        <v>1</v>
      </c>
      <c r="V11" s="102">
        <f t="shared" si="3"/>
        <v>50000</v>
      </c>
      <c r="W11" s="105">
        <f t="shared" si="4"/>
        <v>9.1074681238615665E-4</v>
      </c>
      <c r="X11" s="102">
        <f t="shared" si="5"/>
        <v>0</v>
      </c>
      <c r="Y11" s="241">
        <f t="shared" si="6"/>
        <v>9.1074681238615671</v>
      </c>
    </row>
    <row r="12" spans="1:25" ht="16.5">
      <c r="A12" s="6" t="s">
        <v>12</v>
      </c>
      <c r="B12" s="11">
        <f t="shared" si="0"/>
        <v>3.6429872495446266E-3</v>
      </c>
      <c r="C12" s="11">
        <f>H85</f>
        <v>3.6429872495446266E-3</v>
      </c>
      <c r="D12" s="11">
        <f>H85</f>
        <v>3.6429872495446266E-3</v>
      </c>
      <c r="E12" s="247">
        <f t="shared" si="2"/>
        <v>3.6429872495446266E-3</v>
      </c>
      <c r="F12" s="11">
        <v>3.0816640986132513E-3</v>
      </c>
      <c r="G12" s="11">
        <v>3.0816640986132513E-3</v>
      </c>
      <c r="H12" s="11">
        <v>3.0816640986132513E-3</v>
      </c>
      <c r="I12" s="247">
        <v>5.3E-3</v>
      </c>
      <c r="J12" s="248">
        <v>5.3E-3</v>
      </c>
      <c r="K12" s="11">
        <v>5.384995238095238E-3</v>
      </c>
      <c r="L12" s="11">
        <f t="shared" si="1"/>
        <v>3.6429872495446266E-3</v>
      </c>
      <c r="N12" s="108">
        <f>ROUND(G85,0)</f>
        <v>200000</v>
      </c>
      <c r="O12" s="103">
        <f>B$25*1000</f>
        <v>54900000</v>
      </c>
      <c r="P12" s="104" t="s">
        <v>93</v>
      </c>
      <c r="Q12" s="103" t="s">
        <v>91</v>
      </c>
      <c r="R12" s="105">
        <f>N12/O12</f>
        <v>3.6429872495446266E-3</v>
      </c>
      <c r="S12" s="106">
        <f>ROUND(O12/$B$25,5)</f>
        <v>1000</v>
      </c>
      <c r="T12" s="209" t="s">
        <v>157</v>
      </c>
      <c r="U12" s="216" t="s">
        <v>157</v>
      </c>
      <c r="V12" s="108">
        <f t="shared" si="3"/>
        <v>200000</v>
      </c>
      <c r="W12" s="105">
        <f t="shared" si="4"/>
        <v>3.6429872495446266E-3</v>
      </c>
      <c r="X12" s="108">
        <f t="shared" si="5"/>
        <v>0</v>
      </c>
      <c r="Y12" s="241">
        <f t="shared" si="6"/>
        <v>36.429872495446268</v>
      </c>
    </row>
    <row r="13" spans="1:25" ht="15">
      <c r="A13" s="6" t="s">
        <v>13</v>
      </c>
      <c r="B13" s="10">
        <f t="shared" ref="B13:L13" si="7">SUM(B6:B12)</f>
        <v>4.8725896524089249E-2</v>
      </c>
      <c r="C13" s="10">
        <f t="shared" si="7"/>
        <v>0.27605687449908933</v>
      </c>
      <c r="D13" s="10">
        <f t="shared" si="7"/>
        <v>0.19614037020829977</v>
      </c>
      <c r="E13" s="249">
        <f t="shared" si="7"/>
        <v>0.39482589652408934</v>
      </c>
      <c r="F13" s="10">
        <v>5.9553328197226509E-2</v>
      </c>
      <c r="G13" s="10">
        <v>0.2073506966182791</v>
      </c>
      <c r="H13" s="10">
        <v>0.40875332819722654</v>
      </c>
      <c r="I13" s="249">
        <f t="shared" si="7"/>
        <v>0.26510000000000006</v>
      </c>
      <c r="J13" s="249">
        <f t="shared" si="7"/>
        <v>0.114</v>
      </c>
      <c r="K13" s="10">
        <f t="shared" si="7"/>
        <v>5.1638587215476192E-2</v>
      </c>
      <c r="L13" s="10">
        <f t="shared" si="7"/>
        <v>4.8725896524089249E-2</v>
      </c>
      <c r="N13" s="102">
        <f>SUM(N8:N12)</f>
        <v>689867</v>
      </c>
      <c r="O13" s="103"/>
      <c r="P13" s="107"/>
      <c r="Q13" s="107"/>
      <c r="R13" s="103"/>
      <c r="S13" s="103"/>
      <c r="T13" s="209"/>
      <c r="U13" s="216"/>
      <c r="V13" s="102">
        <f>SUM(V8:V12)</f>
        <v>689867</v>
      </c>
      <c r="W13" s="103"/>
      <c r="X13" s="102">
        <f>SUM(X8:X12)</f>
        <v>0</v>
      </c>
      <c r="Y13" s="241"/>
    </row>
    <row r="14" spans="1:25" ht="15">
      <c r="A14" s="6"/>
      <c r="B14" s="10"/>
      <c r="C14" s="10"/>
      <c r="D14" s="10"/>
      <c r="E14" s="249"/>
      <c r="F14" s="10"/>
      <c r="G14" s="10"/>
      <c r="H14" s="10"/>
      <c r="I14" s="249"/>
      <c r="J14" s="249"/>
      <c r="K14" s="10"/>
      <c r="L14" s="10"/>
      <c r="N14" s="103"/>
      <c r="O14" s="103"/>
      <c r="P14" s="107"/>
      <c r="Q14" s="107"/>
      <c r="R14" s="103"/>
      <c r="S14" s="103"/>
      <c r="T14" s="209"/>
      <c r="U14" s="216"/>
      <c r="V14" s="103"/>
      <c r="W14" s="103"/>
      <c r="X14" s="103"/>
      <c r="Y14" s="241"/>
    </row>
    <row r="15" spans="1:25">
      <c r="A15" s="6" t="s">
        <v>14</v>
      </c>
      <c r="B15" s="10">
        <f>D59/(B25*1000)</f>
        <v>1.5730491803278689E-2</v>
      </c>
      <c r="C15" s="10">
        <f>((D59)*(C25/$B$25))/(C25*1000)</f>
        <v>1.5730491803278686E-2</v>
      </c>
      <c r="D15" s="10">
        <f>((D59)*(D25/B25))/(D25*1000)</f>
        <v>1.5730491803278689E-2</v>
      </c>
      <c r="E15" s="249">
        <f>((D59)*(E25/B25))/(E25*1000)</f>
        <v>1.5730491803278686E-2</v>
      </c>
      <c r="F15" s="10">
        <v>1.3306687211093991E-2</v>
      </c>
      <c r="G15" s="10">
        <v>1.3306687211093991E-2</v>
      </c>
      <c r="H15" s="10">
        <v>1.3306687211093991E-2</v>
      </c>
      <c r="I15" s="249">
        <v>8.3999999999999995E-3</v>
      </c>
      <c r="J15" s="245">
        <v>7.3000000000000001E-3</v>
      </c>
      <c r="K15" s="10">
        <v>9.5462656666666663E-3</v>
      </c>
      <c r="L15" s="10">
        <f t="shared" ref="L15:L20" si="8">IF($B$23&lt;$K$23,B15,IF($B$21&lt;$K$21,B15,IF(AND($B$21&gt;$K$21,$B$13&lt;$K$13),($K$21+($K$13-$B$13))/$B$21*B15,K15)))</f>
        <v>7.2056568053779522E-3</v>
      </c>
      <c r="N15" s="102">
        <f>ROUND(D59,0)</f>
        <v>863604</v>
      </c>
      <c r="O15" s="103">
        <f>B59</f>
        <v>30800</v>
      </c>
      <c r="P15" s="104" t="s">
        <v>94</v>
      </c>
      <c r="Q15" s="103" t="s">
        <v>95</v>
      </c>
      <c r="R15" s="105">
        <f t="shared" ref="R15:R20" si="9">N15/O15</f>
        <v>28.039090909090909</v>
      </c>
      <c r="S15" s="106">
        <f t="shared" ref="S15:S20" si="10">ROUND(O15/$B$25,5)</f>
        <v>0.56101999999999996</v>
      </c>
      <c r="T15" s="209" t="s">
        <v>157</v>
      </c>
      <c r="U15" s="209" t="s">
        <v>157</v>
      </c>
      <c r="V15" s="102">
        <f t="shared" ref="V15:V20" si="11">ROUND(L15*$B$25*1000,0)</f>
        <v>395591</v>
      </c>
      <c r="W15" s="105">
        <f t="shared" ref="W15:W20" si="12">IF(O15&lt;&gt;0,V15/O15,0)</f>
        <v>12.843863636363636</v>
      </c>
      <c r="X15" s="102">
        <f t="shared" ref="X15:X20" si="13">N15-V15</f>
        <v>468013</v>
      </c>
      <c r="Y15" s="241">
        <f t="shared" ref="Y15:Y20" si="14">W15*10000</f>
        <v>128438.63636363637</v>
      </c>
    </row>
    <row r="16" spans="1:25">
      <c r="A16" s="6" t="s">
        <v>15</v>
      </c>
      <c r="B16" s="10">
        <f>H59/(B25*1000)</f>
        <v>6.7889799635701261E-3</v>
      </c>
      <c r="C16" s="10">
        <f>((H59)*($C$25/$B$25))/($C$25*1000)</f>
        <v>6.7889799635701261E-3</v>
      </c>
      <c r="D16" s="10">
        <f>((H59)*(D25/B25))/(D25*1000)</f>
        <v>6.788979963570127E-3</v>
      </c>
      <c r="E16" s="249">
        <f>((H59)*(E25/B25))/(E25*1000)</f>
        <v>6.7889799635701261E-3</v>
      </c>
      <c r="F16" s="10">
        <v>5.7429121725731886E-3</v>
      </c>
      <c r="G16" s="10">
        <v>5.7429121725731894E-3</v>
      </c>
      <c r="H16" s="10">
        <v>5.7429121725731886E-3</v>
      </c>
      <c r="I16" s="249">
        <v>2.7000000000000001E-3</v>
      </c>
      <c r="J16" s="245">
        <v>2.5999999999999999E-3</v>
      </c>
      <c r="K16" s="10">
        <v>2.9053904761904763E-3</v>
      </c>
      <c r="L16" s="10">
        <f t="shared" si="8"/>
        <v>3.1098239195469718E-3</v>
      </c>
      <c r="N16" s="102">
        <f>ROUND(H59,0)</f>
        <v>372715</v>
      </c>
      <c r="O16" s="103">
        <f>F59</f>
        <v>11000</v>
      </c>
      <c r="P16" s="104" t="s">
        <v>96</v>
      </c>
      <c r="Q16" s="103" t="s">
        <v>95</v>
      </c>
      <c r="R16" s="105">
        <f t="shared" si="9"/>
        <v>33.883181818181818</v>
      </c>
      <c r="S16" s="106">
        <f t="shared" si="10"/>
        <v>0.20036000000000001</v>
      </c>
      <c r="T16" s="209" t="s">
        <v>157</v>
      </c>
      <c r="U16" s="209" t="s">
        <v>157</v>
      </c>
      <c r="V16" s="102">
        <f t="shared" si="11"/>
        <v>170729</v>
      </c>
      <c r="W16" s="105">
        <f t="shared" si="12"/>
        <v>15.520818181818182</v>
      </c>
      <c r="X16" s="102">
        <f t="shared" si="13"/>
        <v>201986</v>
      </c>
      <c r="Y16" s="241">
        <f t="shared" si="14"/>
        <v>155208.18181818182</v>
      </c>
    </row>
    <row r="17" spans="1:25">
      <c r="A17" s="6" t="s">
        <v>16</v>
      </c>
      <c r="B17" s="10">
        <f>D62/(B25*1000)</f>
        <v>1.0133762295081969E-2</v>
      </c>
      <c r="C17" s="10">
        <f>((D62)*($C$25/$B$25))/($C$25*1000)</f>
        <v>1.0133762295081967E-2</v>
      </c>
      <c r="D17" s="10">
        <f>((D62)*(D25/B25))/(D25*1000)</f>
        <v>1.0133762295081969E-2</v>
      </c>
      <c r="E17" s="249">
        <f>((D62)*(E25/B25)/(E25*1000))</f>
        <v>1.0133762295081967E-2</v>
      </c>
      <c r="F17" s="10">
        <v>8.5723197226502314E-3</v>
      </c>
      <c r="G17" s="10">
        <v>8.5723197226502332E-3</v>
      </c>
      <c r="H17" s="10">
        <v>8.5723197226502314E-3</v>
      </c>
      <c r="I17" s="249">
        <v>4.4000000000000003E-3</v>
      </c>
      <c r="J17" s="245">
        <v>4.1999999999999997E-3</v>
      </c>
      <c r="K17" s="10">
        <v>5.3845362857142861E-3</v>
      </c>
      <c r="L17" s="10">
        <f t="shared" si="8"/>
        <v>4.6419663262162163E-3</v>
      </c>
      <c r="N17" s="102">
        <f>ROUND(D62,0)</f>
        <v>556344</v>
      </c>
      <c r="O17" s="103">
        <f>B62</f>
        <v>30800</v>
      </c>
      <c r="P17" s="104" t="s">
        <v>97</v>
      </c>
      <c r="Q17" s="103" t="s">
        <v>95</v>
      </c>
      <c r="R17" s="105">
        <f t="shared" si="9"/>
        <v>18.063116883116884</v>
      </c>
      <c r="S17" s="106">
        <f t="shared" si="10"/>
        <v>0.56101999999999996</v>
      </c>
      <c r="T17" s="209" t="s">
        <v>157</v>
      </c>
      <c r="U17" s="209" t="s">
        <v>157</v>
      </c>
      <c r="V17" s="102">
        <f t="shared" si="11"/>
        <v>254844</v>
      </c>
      <c r="W17" s="105">
        <f t="shared" si="12"/>
        <v>8.2741558441558443</v>
      </c>
      <c r="X17" s="102">
        <f t="shared" si="13"/>
        <v>301500</v>
      </c>
      <c r="Y17" s="241">
        <f t="shared" si="14"/>
        <v>82741.558441558445</v>
      </c>
    </row>
    <row r="18" spans="1:25" ht="15">
      <c r="A18" s="6" t="s">
        <v>17</v>
      </c>
      <c r="B18" s="10">
        <f>D18</f>
        <v>1.3114754098360656E-3</v>
      </c>
      <c r="C18" s="10">
        <f>+D92</f>
        <v>1.3114754098360656E-3</v>
      </c>
      <c r="D18" s="10">
        <f>D92</f>
        <v>1.3114754098360656E-3</v>
      </c>
      <c r="E18" s="249">
        <f>+D18</f>
        <v>1.3114754098360656E-3</v>
      </c>
      <c r="F18" s="10">
        <v>2.4743297380585517E-3</v>
      </c>
      <c r="G18" s="10">
        <v>2.4743297380585517E-3</v>
      </c>
      <c r="H18" s="10">
        <v>2.4743297380585517E-3</v>
      </c>
      <c r="I18" s="249">
        <v>1.2999999999999999E-3</v>
      </c>
      <c r="J18" s="245">
        <v>1.1999999999999999E-3</v>
      </c>
      <c r="K18" s="10">
        <v>1.5262571428571428E-3</v>
      </c>
      <c r="L18" s="10">
        <f t="shared" si="8"/>
        <v>6.0074674270523595E-4</v>
      </c>
      <c r="M18" s="12"/>
      <c r="N18" s="102">
        <f>ROUND(C92,0)</f>
        <v>72000</v>
      </c>
      <c r="O18" s="103">
        <f>B$25*1000</f>
        <v>54900000</v>
      </c>
      <c r="P18" s="104" t="s">
        <v>98</v>
      </c>
      <c r="Q18" s="103" t="s">
        <v>91</v>
      </c>
      <c r="R18" s="105">
        <f t="shared" si="9"/>
        <v>1.3114754098360656E-3</v>
      </c>
      <c r="S18" s="106">
        <f t="shared" si="10"/>
        <v>1000</v>
      </c>
      <c r="T18" s="209" t="s">
        <v>163</v>
      </c>
      <c r="U18" s="216">
        <v>1</v>
      </c>
      <c r="V18" s="102">
        <f t="shared" si="11"/>
        <v>32981</v>
      </c>
      <c r="W18" s="105">
        <f t="shared" si="12"/>
        <v>6.007468123861567E-4</v>
      </c>
      <c r="X18" s="102">
        <f t="shared" si="13"/>
        <v>39019</v>
      </c>
      <c r="Y18" s="241">
        <f t="shared" si="14"/>
        <v>6.0074681238615666</v>
      </c>
    </row>
    <row r="19" spans="1:25">
      <c r="A19" s="2" t="s">
        <v>18</v>
      </c>
      <c r="B19" s="10">
        <f>D19</f>
        <v>3.9344262295081967E-3</v>
      </c>
      <c r="C19" s="10">
        <f>+D93</f>
        <v>3.9344262295081967E-3</v>
      </c>
      <c r="D19" s="10">
        <f>D93</f>
        <v>3.9344262295081967E-3</v>
      </c>
      <c r="E19" s="249">
        <f>+D19</f>
        <v>3.9344262295081967E-3</v>
      </c>
      <c r="F19" s="10">
        <v>3.3281972265023115E-3</v>
      </c>
      <c r="G19" s="10">
        <v>3.3281972265023115E-3</v>
      </c>
      <c r="H19" s="10">
        <v>3.3281972265023115E-3</v>
      </c>
      <c r="I19" s="249">
        <v>3.3E-3</v>
      </c>
      <c r="J19" s="245">
        <v>3.2000000000000002E-3</v>
      </c>
      <c r="K19" s="10">
        <v>3.1023095238095237E-3</v>
      </c>
      <c r="L19" s="10">
        <f t="shared" si="8"/>
        <v>1.8022402281157076E-3</v>
      </c>
      <c r="N19" s="102">
        <f>ROUND(C93,0)</f>
        <v>216000</v>
      </c>
      <c r="O19" s="103">
        <f>B$25*1000</f>
        <v>54900000</v>
      </c>
      <c r="P19" s="104" t="s">
        <v>99</v>
      </c>
      <c r="Q19" s="103" t="s">
        <v>91</v>
      </c>
      <c r="R19" s="105">
        <f t="shared" si="9"/>
        <v>3.9344262295081967E-3</v>
      </c>
      <c r="S19" s="106">
        <f t="shared" si="10"/>
        <v>1000</v>
      </c>
      <c r="T19" s="209" t="s">
        <v>157</v>
      </c>
      <c r="U19" s="209" t="s">
        <v>157</v>
      </c>
      <c r="V19" s="102">
        <f t="shared" si="11"/>
        <v>98943</v>
      </c>
      <c r="W19" s="105">
        <f t="shared" si="12"/>
        <v>1.8022404371584699E-3</v>
      </c>
      <c r="X19" s="102">
        <f t="shared" si="13"/>
        <v>117057</v>
      </c>
      <c r="Y19" s="241">
        <f t="shared" si="14"/>
        <v>18.022404371584699</v>
      </c>
    </row>
    <row r="20" spans="1:25" ht="15">
      <c r="A20" s="2" t="s">
        <v>19</v>
      </c>
      <c r="B20" s="14">
        <f>D20</f>
        <v>4.3281311475409839E-2</v>
      </c>
      <c r="C20" s="14">
        <f>+D94</f>
        <v>4.3281311475409839E-2</v>
      </c>
      <c r="D20" s="14">
        <f>D94</f>
        <v>4.3281311475409839E-2</v>
      </c>
      <c r="E20" s="250">
        <f>+D20</f>
        <v>4.3281311475409839E-2</v>
      </c>
      <c r="F20" s="14">
        <v>3.6612388289676424E-2</v>
      </c>
      <c r="G20" s="14">
        <v>3.6612388289676424E-2</v>
      </c>
      <c r="H20" s="14">
        <v>3.6612388289676424E-2</v>
      </c>
      <c r="I20" s="250">
        <v>1.0999999999999999E-2</v>
      </c>
      <c r="J20" s="248">
        <v>9.2999999999999992E-3</v>
      </c>
      <c r="K20" s="14">
        <v>1.1808828238095238E-2</v>
      </c>
      <c r="L20" s="14">
        <f t="shared" si="8"/>
        <v>1.9825844002758199E-2</v>
      </c>
      <c r="N20" s="108">
        <f>ROUND(C94,0)</f>
        <v>2376144</v>
      </c>
      <c r="O20" s="103">
        <f>B$25*1000</f>
        <v>54900000</v>
      </c>
      <c r="P20" s="104" t="s">
        <v>100</v>
      </c>
      <c r="Q20" s="103" t="s">
        <v>91</v>
      </c>
      <c r="R20" s="105">
        <f t="shared" si="9"/>
        <v>4.3281311475409839E-2</v>
      </c>
      <c r="S20" s="106">
        <f t="shared" si="10"/>
        <v>1000</v>
      </c>
      <c r="T20" s="209" t="s">
        <v>157</v>
      </c>
      <c r="U20" s="209" t="s">
        <v>157</v>
      </c>
      <c r="V20" s="108">
        <f t="shared" si="11"/>
        <v>1088439</v>
      </c>
      <c r="W20" s="105">
        <f t="shared" si="12"/>
        <v>1.9825846994535518E-2</v>
      </c>
      <c r="X20" s="108">
        <f t="shared" si="13"/>
        <v>1287705</v>
      </c>
      <c r="Y20" s="241">
        <f t="shared" si="14"/>
        <v>198.25846994535519</v>
      </c>
    </row>
    <row r="21" spans="1:25" ht="16.5">
      <c r="A21" s="6" t="s">
        <v>20</v>
      </c>
      <c r="B21" s="10">
        <f t="shared" ref="B21:L21" si="15">SUM(B15:B20)</f>
        <v>8.1180447176684878E-2</v>
      </c>
      <c r="C21" s="10">
        <f t="shared" si="15"/>
        <v>8.1180447176684878E-2</v>
      </c>
      <c r="D21" s="10">
        <f t="shared" si="15"/>
        <v>8.1180447176684878E-2</v>
      </c>
      <c r="E21" s="249">
        <f t="shared" si="15"/>
        <v>8.1180447176684878E-2</v>
      </c>
      <c r="F21" s="10">
        <v>7.0036834360554689E-2</v>
      </c>
      <c r="G21" s="10">
        <v>7.0036834360554703E-2</v>
      </c>
      <c r="H21" s="10">
        <v>7.0036834360554689E-2</v>
      </c>
      <c r="I21" s="249">
        <f t="shared" si="15"/>
        <v>3.1099999999999999E-2</v>
      </c>
      <c r="J21" s="249">
        <f t="shared" si="15"/>
        <v>2.7799999999999998E-2</v>
      </c>
      <c r="K21" s="10">
        <f t="shared" si="15"/>
        <v>3.4273587333333334E-2</v>
      </c>
      <c r="L21" s="10">
        <f t="shared" si="15"/>
        <v>3.7186278024720285E-2</v>
      </c>
      <c r="N21" s="108">
        <f>SUM(N15:N20)</f>
        <v>4456807</v>
      </c>
      <c r="O21" s="103"/>
      <c r="P21" s="103"/>
      <c r="Q21" s="103"/>
      <c r="R21" s="103"/>
      <c r="S21" s="103"/>
      <c r="T21" s="209"/>
      <c r="U21" s="216"/>
      <c r="V21" s="108">
        <f>SUM(V15:V20)</f>
        <v>2041527</v>
      </c>
      <c r="W21" s="103"/>
      <c r="X21" s="108">
        <f>SUM(X15:X20)</f>
        <v>2415280</v>
      </c>
      <c r="Y21" s="103"/>
    </row>
    <row r="22" spans="1:25" ht="15">
      <c r="A22" s="9"/>
      <c r="B22" s="2"/>
      <c r="C22" s="2"/>
      <c r="D22" s="2"/>
      <c r="E22" s="251"/>
      <c r="F22" s="2"/>
      <c r="G22" s="2"/>
      <c r="H22" s="2"/>
      <c r="I22" s="246"/>
      <c r="J22" s="251"/>
      <c r="K22" s="2"/>
      <c r="L22" s="2"/>
      <c r="N22" s="109">
        <f>N13+N21</f>
        <v>5146674</v>
      </c>
      <c r="O22" s="103"/>
      <c r="P22" s="103"/>
      <c r="Q22" s="103"/>
      <c r="R22" s="103"/>
      <c r="S22" s="103"/>
      <c r="T22" s="209"/>
      <c r="U22" s="216"/>
      <c r="V22" s="109">
        <f>V13+V21</f>
        <v>2731394</v>
      </c>
      <c r="W22" s="103"/>
      <c r="X22" s="238">
        <f>X13+X21</f>
        <v>2415280</v>
      </c>
      <c r="Y22" s="103"/>
    </row>
    <row r="23" spans="1:25" ht="15">
      <c r="A23" s="6" t="s">
        <v>21</v>
      </c>
      <c r="B23" s="15">
        <f t="shared" ref="B23:L23" si="16">B13+B21</f>
        <v>0.12990634370077414</v>
      </c>
      <c r="C23" s="231">
        <f t="shared" si="16"/>
        <v>0.35723732167577421</v>
      </c>
      <c r="D23" s="231">
        <f t="shared" si="16"/>
        <v>0.27732081738498465</v>
      </c>
      <c r="E23" s="252">
        <f t="shared" si="16"/>
        <v>0.47600634370077421</v>
      </c>
      <c r="F23" s="232">
        <v>0.12959016255778119</v>
      </c>
      <c r="G23" s="232">
        <v>0.27738753097883379</v>
      </c>
      <c r="H23" s="232">
        <v>0.47879016255778123</v>
      </c>
      <c r="I23" s="252">
        <f t="shared" si="16"/>
        <v>0.29620000000000007</v>
      </c>
      <c r="J23" s="252">
        <f t="shared" si="16"/>
        <v>0.14180000000000001</v>
      </c>
      <c r="K23" s="232">
        <f t="shared" si="16"/>
        <v>8.5912174548809533E-2</v>
      </c>
      <c r="L23" s="232">
        <f t="shared" si="16"/>
        <v>8.5912174548809533E-2</v>
      </c>
      <c r="N23" s="110">
        <f>ROUND(N22/B25/1000,5)</f>
        <v>9.375E-2</v>
      </c>
      <c r="O23" s="103"/>
      <c r="P23" s="103"/>
      <c r="Q23" s="103"/>
      <c r="R23" s="103"/>
      <c r="S23" s="103"/>
      <c r="T23" s="209"/>
      <c r="U23" s="216"/>
      <c r="V23" s="110">
        <f>ROUND(V22/$B$25/1000,5)</f>
        <v>4.9750000000000003E-2</v>
      </c>
      <c r="W23" s="103"/>
      <c r="X23" s="110">
        <f>ROUND(X22/$B$25/1000,5)</f>
        <v>4.3990000000000001E-2</v>
      </c>
      <c r="Y23" s="103"/>
    </row>
    <row r="24" spans="1:25" ht="15">
      <c r="A24" s="2"/>
      <c r="B24" s="8"/>
      <c r="C24" s="16"/>
      <c r="D24" s="16"/>
      <c r="E24" s="253"/>
      <c r="F24" s="8"/>
      <c r="G24" s="8"/>
      <c r="H24" s="8"/>
      <c r="I24" s="251"/>
      <c r="J24" s="253"/>
      <c r="K24" s="8"/>
      <c r="L24" s="8"/>
      <c r="N24" s="110">
        <f>ROUND(N23+B7,5)</f>
        <v>0.12991</v>
      </c>
      <c r="O24" s="103"/>
      <c r="P24" s="103"/>
      <c r="Q24" s="103"/>
      <c r="R24" s="103"/>
      <c r="S24" s="103"/>
      <c r="T24" s="209"/>
      <c r="U24" s="216"/>
      <c r="V24" s="110">
        <f>ROUND(V23+$L$7,5)</f>
        <v>8.591E-2</v>
      </c>
      <c r="W24" s="103"/>
      <c r="X24" s="110"/>
      <c r="Y24" s="103"/>
    </row>
    <row r="25" spans="1:25">
      <c r="A25" s="2" t="s">
        <v>22</v>
      </c>
      <c r="B25" s="17">
        <v>54900</v>
      </c>
      <c r="C25" s="17">
        <v>18000</v>
      </c>
      <c r="D25" s="17">
        <v>22000</v>
      </c>
      <c r="E25" s="255">
        <f>14900</f>
        <v>14900</v>
      </c>
      <c r="F25" s="17">
        <v>64900</v>
      </c>
      <c r="G25" s="17">
        <v>50000</v>
      </c>
      <c r="H25" s="17">
        <v>14900</v>
      </c>
      <c r="I25" s="254">
        <v>52030</v>
      </c>
      <c r="J25" s="255">
        <v>143202</v>
      </c>
      <c r="K25" s="17"/>
      <c r="L25" s="17"/>
    </row>
    <row r="26" spans="1:25">
      <c r="A26" s="2"/>
      <c r="C26" s="5"/>
      <c r="D26" s="5"/>
    </row>
    <row r="27" spans="1:25">
      <c r="A27" s="2"/>
      <c r="C27" s="5"/>
      <c r="D27" s="5"/>
    </row>
    <row r="28" spans="1:25">
      <c r="A28" s="274" t="s">
        <v>23</v>
      </c>
      <c r="C28" s="12"/>
    </row>
    <row r="29" spans="1:25">
      <c r="A29" s="182" t="s">
        <v>140</v>
      </c>
      <c r="B29" s="18"/>
      <c r="C29" s="19"/>
      <c r="D29" s="19"/>
      <c r="E29" s="187" t="s">
        <v>146</v>
      </c>
      <c r="F29" s="20"/>
      <c r="G29" s="21"/>
      <c r="H29" s="22"/>
    </row>
    <row r="30" spans="1:25">
      <c r="A30" s="23"/>
      <c r="B30" s="2"/>
      <c r="D30" s="193" t="s">
        <v>147</v>
      </c>
      <c r="E30" s="24">
        <v>0</v>
      </c>
      <c r="F30" s="195" t="s">
        <v>24</v>
      </c>
      <c r="G30" s="24">
        <v>1</v>
      </c>
      <c r="H30" s="25"/>
    </row>
    <row r="31" spans="1:25" ht="15">
      <c r="A31" s="23"/>
      <c r="B31" s="26" t="s">
        <v>25</v>
      </c>
      <c r="D31" s="194" t="s">
        <v>148</v>
      </c>
      <c r="E31" s="24">
        <v>0.05</v>
      </c>
      <c r="F31" s="2" t="s">
        <v>7</v>
      </c>
      <c r="G31" s="27" t="s">
        <v>7</v>
      </c>
      <c r="H31" s="28"/>
      <c r="J31" s="29"/>
    </row>
    <row r="32" spans="1:25">
      <c r="A32" s="30" t="s">
        <v>26</v>
      </c>
      <c r="B32" s="2">
        <f>+B25</f>
        <v>54900</v>
      </c>
      <c r="C32" s="31"/>
      <c r="D32" s="4" t="s">
        <v>151</v>
      </c>
      <c r="E32" s="24">
        <v>3.5000000000000003E-2</v>
      </c>
      <c r="H32" s="32"/>
    </row>
    <row r="33" spans="1:15" ht="15">
      <c r="A33" s="33"/>
      <c r="B33" s="34"/>
      <c r="C33" s="34"/>
      <c r="D33" s="34"/>
      <c r="E33" s="34"/>
      <c r="F33" s="111" t="s">
        <v>36</v>
      </c>
      <c r="G33" s="218"/>
      <c r="H33" s="219" t="s">
        <v>77</v>
      </c>
    </row>
    <row r="34" spans="1:15" ht="15">
      <c r="A34" s="33"/>
      <c r="B34" s="26" t="s">
        <v>27</v>
      </c>
      <c r="C34" s="26" t="s">
        <v>28</v>
      </c>
      <c r="D34" s="26" t="s">
        <v>29</v>
      </c>
      <c r="E34" s="185" t="s">
        <v>32</v>
      </c>
      <c r="F34" s="192" t="s">
        <v>39</v>
      </c>
      <c r="G34" s="218"/>
      <c r="H34" s="220">
        <v>0.43780000000000002</v>
      </c>
      <c r="J34" s="1" t="s">
        <v>7</v>
      </c>
      <c r="K34" s="1" t="s">
        <v>7</v>
      </c>
      <c r="L34" s="1" t="s">
        <v>7</v>
      </c>
      <c r="M34" s="1" t="s">
        <v>7</v>
      </c>
    </row>
    <row r="35" spans="1:15" ht="15">
      <c r="A35" s="30" t="s">
        <v>30</v>
      </c>
      <c r="E35" s="188"/>
      <c r="G35" s="221" t="s">
        <v>32</v>
      </c>
      <c r="H35" s="222">
        <v>1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</row>
    <row r="36" spans="1:15">
      <c r="A36" s="35" t="s">
        <v>31</v>
      </c>
      <c r="B36" s="31">
        <f>968.97/1000</f>
        <v>0.96897</v>
      </c>
      <c r="C36" s="36">
        <v>0.87519999999999998</v>
      </c>
      <c r="D36" s="183">
        <f>(C36*$D$41)</f>
        <v>3.2819999999999995E-2</v>
      </c>
      <c r="E36" s="186">
        <f>D36/(1-$E$30)</f>
        <v>3.2819999999999995E-2</v>
      </c>
      <c r="F36" s="190">
        <f>E36*B36</f>
        <v>3.1801595399999993E-2</v>
      </c>
      <c r="G36" s="223"/>
      <c r="H36" s="220">
        <f>H34*H35</f>
        <v>0.43780000000000002</v>
      </c>
      <c r="I36" s="1" t="s">
        <v>7</v>
      </c>
      <c r="J36" s="1" t="s">
        <v>7</v>
      </c>
      <c r="K36" s="1" t="s">
        <v>7</v>
      </c>
      <c r="L36" s="104" t="s">
        <v>141</v>
      </c>
      <c r="M36" s="1" t="s">
        <v>7</v>
      </c>
      <c r="N36" s="37">
        <f>B36*1000</f>
        <v>968.97</v>
      </c>
      <c r="O36" s="106">
        <f>E36*1000</f>
        <v>32.819999999999993</v>
      </c>
    </row>
    <row r="37" spans="1:15">
      <c r="A37" s="217" t="s">
        <v>33</v>
      </c>
      <c r="B37" s="31">
        <v>1.5649999999999999</v>
      </c>
      <c r="C37" s="36">
        <v>0</v>
      </c>
      <c r="D37" s="183">
        <f>(C37*$D$41)</f>
        <v>0</v>
      </c>
      <c r="E37" s="186">
        <f>D37/(1-$E$30)*1000</f>
        <v>0</v>
      </c>
      <c r="F37" s="10">
        <f>E37*B37/1000</f>
        <v>0</v>
      </c>
      <c r="G37" s="224"/>
      <c r="H37" s="225"/>
      <c r="I37" s="37" t="s">
        <v>7</v>
      </c>
      <c r="J37" s="1" t="s">
        <v>7</v>
      </c>
      <c r="K37" s="1" t="s">
        <v>7</v>
      </c>
      <c r="L37" s="104" t="s">
        <v>142</v>
      </c>
      <c r="M37" s="1" t="s">
        <v>7</v>
      </c>
      <c r="N37" s="37">
        <f t="shared" ref="N37:N40" si="17">B37*1000</f>
        <v>1565</v>
      </c>
      <c r="O37" s="106">
        <f t="shared" ref="O37:O40" si="18">E37*1000</f>
        <v>0</v>
      </c>
    </row>
    <row r="38" spans="1:15">
      <c r="A38" s="35" t="s">
        <v>34</v>
      </c>
      <c r="B38" s="31">
        <f>802.42/1000</f>
        <v>0.80241999999999991</v>
      </c>
      <c r="C38" s="36">
        <v>0.1125</v>
      </c>
      <c r="D38" s="183">
        <f>(C38*$D$41)</f>
        <v>4.2187500000000003E-3</v>
      </c>
      <c r="E38" s="186">
        <f>D38/(1-$E$30)</f>
        <v>4.2187500000000003E-3</v>
      </c>
      <c r="F38" s="10">
        <f>E38*B38</f>
        <v>3.3852093749999999E-3</v>
      </c>
      <c r="G38" s="226"/>
      <c r="H38" s="227" t="s">
        <v>37</v>
      </c>
      <c r="I38" s="1" t="s">
        <v>7</v>
      </c>
      <c r="J38" s="1" t="s">
        <v>7</v>
      </c>
      <c r="K38" s="1" t="s">
        <v>7</v>
      </c>
      <c r="L38" s="104" t="s">
        <v>143</v>
      </c>
      <c r="M38" s="1" t="s">
        <v>7</v>
      </c>
      <c r="N38" s="37">
        <f t="shared" si="17"/>
        <v>802.42</v>
      </c>
      <c r="O38" s="106">
        <f t="shared" si="18"/>
        <v>4.21875</v>
      </c>
    </row>
    <row r="39" spans="1:15">
      <c r="A39" s="35" t="s">
        <v>35</v>
      </c>
      <c r="B39" s="31">
        <f>2350/1000</f>
        <v>2.35</v>
      </c>
      <c r="C39" s="36">
        <v>7.3000000000000001E-3</v>
      </c>
      <c r="D39" s="183">
        <f>(C39*$D$41)</f>
        <v>2.7375000000000001E-4</v>
      </c>
      <c r="E39" s="186">
        <f>D39/(1-$E$30)</f>
        <v>2.7375000000000001E-4</v>
      </c>
      <c r="F39" s="10">
        <f>E39*B39</f>
        <v>6.433125E-4</v>
      </c>
      <c r="G39" s="224"/>
      <c r="H39" s="228">
        <v>0.12</v>
      </c>
      <c r="I39" s="1" t="s">
        <v>7</v>
      </c>
      <c r="J39" s="29" t="s">
        <v>7</v>
      </c>
      <c r="K39" s="29" t="s">
        <v>7</v>
      </c>
      <c r="L39" s="104" t="s">
        <v>144</v>
      </c>
      <c r="M39" s="29" t="s">
        <v>7</v>
      </c>
      <c r="N39" s="37">
        <f t="shared" si="17"/>
        <v>2350</v>
      </c>
      <c r="O39" s="106">
        <f t="shared" si="18"/>
        <v>0.27374999999999999</v>
      </c>
    </row>
    <row r="40" spans="1:15" ht="15">
      <c r="A40" s="35" t="s">
        <v>38</v>
      </c>
      <c r="B40" s="266">
        <f>1795.4/1000</f>
        <v>1.7954000000000001</v>
      </c>
      <c r="C40" s="261">
        <v>4.8999999999999998E-3</v>
      </c>
      <c r="D40" s="184">
        <f>(C40*$D$41)</f>
        <v>1.8374999999999999E-4</v>
      </c>
      <c r="E40" s="189">
        <f>D40/(1-$E$30)</f>
        <v>1.8374999999999999E-4</v>
      </c>
      <c r="F40" s="14">
        <f>E40*B40</f>
        <v>3.2990474999999999E-4</v>
      </c>
      <c r="G40" s="221" t="s">
        <v>32</v>
      </c>
      <c r="H40" s="229">
        <f>H39*0.05</f>
        <v>6.0000000000000001E-3</v>
      </c>
      <c r="I40" s="1" t="s">
        <v>7</v>
      </c>
      <c r="J40" s="1" t="s">
        <v>7</v>
      </c>
      <c r="K40" s="1" t="s">
        <v>7</v>
      </c>
      <c r="L40" s="104" t="s">
        <v>145</v>
      </c>
      <c r="M40" s="1" t="s">
        <v>7</v>
      </c>
      <c r="N40" s="37">
        <f t="shared" si="17"/>
        <v>1795.4</v>
      </c>
      <c r="O40" s="106">
        <f t="shared" si="18"/>
        <v>0.18375</v>
      </c>
    </row>
    <row r="41" spans="1:15" ht="15">
      <c r="A41" s="30" t="s">
        <v>40</v>
      </c>
      <c r="B41" s="31">
        <f>B36*C36+B37*C37+B38*C38+B40*C40+B39*C39</f>
        <v>0.96426725400000013</v>
      </c>
      <c r="C41" s="36">
        <f>SUM(C36:C40)</f>
        <v>0.99990000000000001</v>
      </c>
      <c r="D41" s="262">
        <v>3.7499999999999999E-2</v>
      </c>
      <c r="E41" s="186">
        <f>SUM(E36:E40)</f>
        <v>3.7496250000000002E-2</v>
      </c>
      <c r="F41" s="191">
        <f>SUM(F36:F40)</f>
        <v>3.6160022024999995E-2</v>
      </c>
      <c r="G41" s="230"/>
      <c r="H41" s="228">
        <f>H39+H40</f>
        <v>0.126</v>
      </c>
      <c r="I41" s="1" t="s">
        <v>7</v>
      </c>
      <c r="L41" s="1" t="s">
        <v>7</v>
      </c>
      <c r="N41" s="12" t="s">
        <v>7</v>
      </c>
    </row>
    <row r="42" spans="1:15" ht="15">
      <c r="A42" s="257" t="s">
        <v>191</v>
      </c>
      <c r="B42" s="31">
        <f>10549.1/1000</f>
        <v>10.549100000000001</v>
      </c>
      <c r="C42" s="36">
        <v>1</v>
      </c>
      <c r="D42" s="263">
        <v>0.01</v>
      </c>
      <c r="E42" s="186">
        <f>D42/(1-$E$30)</f>
        <v>0.01</v>
      </c>
      <c r="F42" s="259">
        <f>E42*B42</f>
        <v>0.10549100000000002</v>
      </c>
      <c r="G42" s="230"/>
      <c r="H42" s="228"/>
      <c r="N42" s="12"/>
    </row>
    <row r="43" spans="1:15">
      <c r="A43" s="112" t="s">
        <v>5</v>
      </c>
      <c r="E43" s="2"/>
      <c r="F43" s="40"/>
      <c r="G43" s="196"/>
      <c r="H43" s="197"/>
      <c r="L43" s="1" t="s">
        <v>7</v>
      </c>
      <c r="N43" s="1" t="s">
        <v>7</v>
      </c>
    </row>
    <row r="44" spans="1:15">
      <c r="A44" s="198" t="s">
        <v>149</v>
      </c>
      <c r="B44" s="258">
        <v>0.14549999999999999</v>
      </c>
      <c r="C44" s="36">
        <v>1</v>
      </c>
      <c r="D44" s="183">
        <f>1-D41</f>
        <v>0.96250000000000002</v>
      </c>
      <c r="E44" s="186">
        <f>(D44/(1-E31))</f>
        <v>1.0131578947368423</v>
      </c>
      <c r="F44" s="191">
        <f>E44*B44</f>
        <v>0.14741447368421054</v>
      </c>
      <c r="G44" s="196"/>
      <c r="H44" s="199"/>
      <c r="L44" s="104" t="s">
        <v>150</v>
      </c>
      <c r="M44" s="2"/>
      <c r="N44" s="2"/>
      <c r="O44" s="106">
        <f t="shared" ref="O44:O46" si="19">E44*1000</f>
        <v>1013.1578947368423</v>
      </c>
    </row>
    <row r="45" spans="1:15">
      <c r="A45" s="198" t="s">
        <v>190</v>
      </c>
      <c r="B45" s="273">
        <v>0.158</v>
      </c>
      <c r="C45" s="36">
        <v>1</v>
      </c>
      <c r="D45" s="183">
        <v>0.96499999999999997</v>
      </c>
      <c r="E45" s="186">
        <f>(D45/(1-E32))</f>
        <v>1</v>
      </c>
      <c r="F45" s="191">
        <f>E45*B45</f>
        <v>0.158</v>
      </c>
      <c r="G45" s="196"/>
      <c r="H45" s="199"/>
      <c r="L45" s="104"/>
      <c r="M45" s="2"/>
      <c r="N45" s="2"/>
      <c r="O45" s="106"/>
    </row>
    <row r="46" spans="1:15">
      <c r="A46" s="200" t="s">
        <v>178</v>
      </c>
      <c r="B46" s="265">
        <f>+E6</f>
        <v>0.34610000000000002</v>
      </c>
      <c r="C46" s="201">
        <v>1</v>
      </c>
      <c r="D46" s="264">
        <f>1-D41</f>
        <v>0.96250000000000002</v>
      </c>
      <c r="E46" s="202">
        <f>(D46/(1-E32))</f>
        <v>0.99740932642487057</v>
      </c>
      <c r="F46" s="191">
        <f>E46*B46</f>
        <v>0.3452033678756477</v>
      </c>
      <c r="G46" s="203"/>
      <c r="H46" s="204"/>
      <c r="L46" s="104" t="s">
        <v>150</v>
      </c>
      <c r="O46" s="106">
        <f t="shared" si="19"/>
        <v>997.40932642487053</v>
      </c>
    </row>
    <row r="47" spans="1:15">
      <c r="A47" s="8"/>
      <c r="E47" s="39"/>
      <c r="F47" s="43"/>
    </row>
    <row r="48" spans="1:15">
      <c r="F48" s="8"/>
      <c r="G48" s="8"/>
    </row>
    <row r="49" spans="1:18">
      <c r="A49" s="885" t="s">
        <v>41</v>
      </c>
      <c r="B49" s="886"/>
      <c r="C49" s="886"/>
      <c r="D49" s="886"/>
      <c r="E49" s="886"/>
      <c r="F49" s="886"/>
      <c r="G49" s="886"/>
      <c r="H49" s="887"/>
    </row>
    <row r="50" spans="1:18">
      <c r="A50" s="30"/>
      <c r="B50" s="2"/>
      <c r="C50" s="2"/>
      <c r="D50" s="2"/>
      <c r="E50" s="2"/>
      <c r="F50" s="6"/>
      <c r="G50" s="6"/>
      <c r="H50" s="25"/>
    </row>
    <row r="51" spans="1:18" ht="14.65" customHeight="1">
      <c r="A51" s="30" t="s">
        <v>42</v>
      </c>
      <c r="B51" s="893" t="s">
        <v>14</v>
      </c>
      <c r="C51" s="893"/>
      <c r="D51" s="893"/>
      <c r="E51" s="2"/>
      <c r="F51" s="6"/>
      <c r="G51" s="6"/>
      <c r="H51" s="25"/>
    </row>
    <row r="52" spans="1:18" ht="15">
      <c r="A52" s="267" t="s">
        <v>193</v>
      </c>
      <c r="B52" s="893"/>
      <c r="C52" s="893"/>
      <c r="D52" s="893"/>
      <c r="E52" s="2"/>
      <c r="F52" s="893" t="s">
        <v>43</v>
      </c>
      <c r="G52" s="893"/>
      <c r="H52" s="894"/>
    </row>
    <row r="53" spans="1:18" ht="15">
      <c r="A53" s="30"/>
      <c r="B53" s="884" t="s">
        <v>44</v>
      </c>
      <c r="C53" s="884"/>
      <c r="D53" s="268">
        <v>14</v>
      </c>
      <c r="E53" s="2"/>
      <c r="F53" s="884" t="s">
        <v>44</v>
      </c>
      <c r="G53" s="884"/>
      <c r="H53" s="269">
        <v>5</v>
      </c>
      <c r="J53" s="210">
        <f>$N$15*Q53</f>
        <v>777243.6</v>
      </c>
      <c r="L53" s="211" t="s">
        <v>94</v>
      </c>
      <c r="P53" s="206" t="s">
        <v>167</v>
      </c>
      <c r="Q53" s="214">
        <f>100%-D54</f>
        <v>0.9</v>
      </c>
    </row>
    <row r="54" spans="1:18" ht="15">
      <c r="A54" s="30"/>
      <c r="B54" s="884" t="s">
        <v>45</v>
      </c>
      <c r="C54" s="884"/>
      <c r="D54" s="27">
        <v>0.1</v>
      </c>
      <c r="E54" s="2"/>
      <c r="F54" s="884" t="s">
        <v>45</v>
      </c>
      <c r="G54" s="884"/>
      <c r="H54" s="45">
        <f>D54</f>
        <v>0.1</v>
      </c>
      <c r="J54" s="210">
        <f>$N$15*Q54</f>
        <v>86360.400000000009</v>
      </c>
      <c r="L54" s="211" t="s">
        <v>94</v>
      </c>
      <c r="P54" s="206" t="s">
        <v>168</v>
      </c>
      <c r="Q54" s="214">
        <f>D54</f>
        <v>0.1</v>
      </c>
    </row>
    <row r="55" spans="1:18" ht="15">
      <c r="A55" s="30"/>
      <c r="B55" s="2"/>
      <c r="C55" s="2"/>
      <c r="D55" s="46"/>
      <c r="E55" s="2"/>
      <c r="F55" s="2"/>
      <c r="G55" s="2"/>
      <c r="H55" s="47"/>
      <c r="L55" s="213"/>
      <c r="P55" s="215"/>
      <c r="Q55" s="213"/>
    </row>
    <row r="56" spans="1:18" ht="16.5">
      <c r="A56" s="30"/>
      <c r="B56" s="48" t="s">
        <v>46</v>
      </c>
      <c r="C56" s="48" t="s">
        <v>47</v>
      </c>
      <c r="D56" s="49" t="s">
        <v>48</v>
      </c>
      <c r="E56" s="3"/>
      <c r="F56" s="48" t="s">
        <v>46</v>
      </c>
      <c r="G56" s="48" t="s">
        <v>47</v>
      </c>
      <c r="H56" s="50" t="s">
        <v>48</v>
      </c>
      <c r="J56" s="210">
        <f>$N$16*Q56</f>
        <v>335443.5</v>
      </c>
      <c r="L56" s="211" t="s">
        <v>96</v>
      </c>
      <c r="P56" s="206" t="s">
        <v>169</v>
      </c>
      <c r="Q56" s="214">
        <f>100%-H54</f>
        <v>0.9</v>
      </c>
    </row>
    <row r="57" spans="1:18" ht="15">
      <c r="A57" s="30" t="s">
        <v>49</v>
      </c>
      <c r="B57" s="2">
        <f>D53*B100*B101</f>
        <v>28000</v>
      </c>
      <c r="C57" s="51">
        <v>26.82</v>
      </c>
      <c r="D57" s="52">
        <f>B57*C57</f>
        <v>750960</v>
      </c>
      <c r="E57" s="2"/>
      <c r="F57" s="2">
        <f>H53*B100*B101</f>
        <v>10000</v>
      </c>
      <c r="G57" s="53">
        <v>32.409999999999997</v>
      </c>
      <c r="H57" s="54">
        <f>F57*G57</f>
        <v>324099.99999999994</v>
      </c>
      <c r="J57" s="210">
        <f>$N$16*Q57</f>
        <v>37271.5</v>
      </c>
      <c r="L57" s="211" t="s">
        <v>96</v>
      </c>
      <c r="P57" s="206" t="s">
        <v>170</v>
      </c>
      <c r="Q57" s="214">
        <f>H54</f>
        <v>0.1</v>
      </c>
    </row>
    <row r="58" spans="1:18" ht="16.5">
      <c r="A58" s="30" t="s">
        <v>50</v>
      </c>
      <c r="B58" s="83">
        <f>B57*D54</f>
        <v>2800</v>
      </c>
      <c r="C58" s="55">
        <f>C57*1.5</f>
        <v>40.230000000000004</v>
      </c>
      <c r="D58" s="56">
        <f>+B58*C58</f>
        <v>112644.00000000001</v>
      </c>
      <c r="E58" s="2"/>
      <c r="F58" s="2">
        <f>F57*H54</f>
        <v>1000</v>
      </c>
      <c r="G58" s="55">
        <f>G57*1.5</f>
        <v>48.614999999999995</v>
      </c>
      <c r="H58" s="57">
        <f>+F58*G58</f>
        <v>48614.999999999993</v>
      </c>
      <c r="L58" s="213"/>
      <c r="P58" s="215"/>
      <c r="Q58" s="213"/>
    </row>
    <row r="59" spans="1:18" ht="15">
      <c r="A59" s="173" t="s">
        <v>138</v>
      </c>
      <c r="B59" s="176">
        <f>SUM(B57:B58)</f>
        <v>30800</v>
      </c>
      <c r="C59" s="179">
        <f>D59/B59</f>
        <v>28.039090909090909</v>
      </c>
      <c r="D59" s="180">
        <f>SUM(D57:D58)</f>
        <v>863604</v>
      </c>
      <c r="E59" s="2"/>
      <c r="F59" s="176">
        <f>SUM(F57:F58)</f>
        <v>11000</v>
      </c>
      <c r="G59" s="179">
        <f>H59/F59</f>
        <v>33.883181818181811</v>
      </c>
      <c r="H59" s="181">
        <f>SUM(H57:H58)</f>
        <v>372714.99999999994</v>
      </c>
      <c r="J59" s="210">
        <f t="shared" ref="J59:J64" si="20">$N$17*Q59</f>
        <v>42148.201654701385</v>
      </c>
      <c r="L59" s="211" t="s">
        <v>97</v>
      </c>
      <c r="P59" s="206" t="s">
        <v>171</v>
      </c>
      <c r="Q59" s="214">
        <f>R59/$R$65</f>
        <v>7.5759245457309485E-2</v>
      </c>
      <c r="R59" s="2">
        <v>78673.990000000005</v>
      </c>
    </row>
    <row r="60" spans="1:18" ht="15">
      <c r="A60" s="173" t="s">
        <v>139</v>
      </c>
      <c r="B60" s="177">
        <f>$B$59/$B$25</f>
        <v>0.56102003642987253</v>
      </c>
      <c r="C60" s="2"/>
      <c r="D60" s="65"/>
      <c r="E60" s="2"/>
      <c r="F60" s="177">
        <f>$F$59/$B$25</f>
        <v>0.20036429872495445</v>
      </c>
      <c r="G60" s="6"/>
      <c r="H60" s="92"/>
      <c r="J60" s="210">
        <f t="shared" si="20"/>
        <v>46777.58276404436</v>
      </c>
      <c r="L60" s="211" t="s">
        <v>97</v>
      </c>
      <c r="P60" s="206" t="s">
        <v>172</v>
      </c>
      <c r="Q60" s="214">
        <f t="shared" ref="Q60:Q64" si="21">R60/$R$65</f>
        <v>8.4080322182039105E-2</v>
      </c>
      <c r="R60" s="2">
        <v>87315.21</v>
      </c>
    </row>
    <row r="61" spans="1:18" ht="15">
      <c r="A61" s="30"/>
      <c r="B61" s="2"/>
      <c r="C61" s="2"/>
      <c r="D61" s="2"/>
      <c r="E61" s="2"/>
      <c r="F61" s="6"/>
      <c r="G61" s="6"/>
      <c r="H61" s="25"/>
      <c r="J61" s="210">
        <f t="shared" si="20"/>
        <v>39009.752964586158</v>
      </c>
      <c r="L61" s="211" t="s">
        <v>97</v>
      </c>
      <c r="P61" s="206" t="s">
        <v>173</v>
      </c>
      <c r="Q61" s="214">
        <f t="shared" si="21"/>
        <v>7.0118043808482092E-2</v>
      </c>
      <c r="R61" s="2">
        <v>72815.75</v>
      </c>
    </row>
    <row r="62" spans="1:18" ht="15">
      <c r="A62" s="174" t="str">
        <f>CONCATENATE("Indirect Payroll Cost (IPC) at ",B103*100,"%")</f>
        <v>Indirect Payroll Cost (IPC) at 45%</v>
      </c>
      <c r="B62" s="176">
        <f>B59</f>
        <v>30800</v>
      </c>
      <c r="C62" s="179">
        <f>D62/B62</f>
        <v>18.063102272727274</v>
      </c>
      <c r="D62" s="180">
        <f>(D59+H59)*B103</f>
        <v>556343.55000000005</v>
      </c>
      <c r="E62" s="2"/>
      <c r="F62" s="2"/>
      <c r="G62" s="2"/>
      <c r="H62" s="58"/>
      <c r="J62" s="210">
        <f t="shared" si="20"/>
        <v>291451.71209657309</v>
      </c>
      <c r="L62" s="211" t="s">
        <v>97</v>
      </c>
      <c r="P62" s="206" t="s">
        <v>174</v>
      </c>
      <c r="Q62" s="214">
        <f t="shared" si="21"/>
        <v>0.52386960602895527</v>
      </c>
      <c r="R62" s="2">
        <v>544024.85</v>
      </c>
    </row>
    <row r="63" spans="1:18" ht="15">
      <c r="A63" s="175" t="s">
        <v>139</v>
      </c>
      <c r="B63" s="178">
        <f>$B$62/$B$25</f>
        <v>0.56102003642987253</v>
      </c>
      <c r="C63" s="41"/>
      <c r="D63" s="60"/>
      <c r="E63" s="41"/>
      <c r="F63" s="41"/>
      <c r="G63" s="41"/>
      <c r="H63" s="61"/>
      <c r="J63" s="210">
        <f t="shared" si="20"/>
        <v>127349.16761010567</v>
      </c>
      <c r="L63" s="211" t="s">
        <v>97</v>
      </c>
      <c r="P63" s="206" t="s">
        <v>175</v>
      </c>
      <c r="Q63" s="214">
        <f t="shared" si="21"/>
        <v>0.22890364164996058</v>
      </c>
      <c r="R63" s="2">
        <v>237710.43</v>
      </c>
    </row>
    <row r="64" spans="1:18" ht="15">
      <c r="D64" s="62"/>
      <c r="H64" s="62"/>
      <c r="J64" s="210">
        <f t="shared" si="20"/>
        <v>9607.5829099893108</v>
      </c>
      <c r="L64" s="211" t="s">
        <v>97</v>
      </c>
      <c r="P64" s="206" t="s">
        <v>176</v>
      </c>
      <c r="Q64" s="214">
        <f t="shared" si="21"/>
        <v>1.7269140873253437E-2</v>
      </c>
      <c r="R64" s="2">
        <v>17933.55</v>
      </c>
    </row>
    <row r="65" spans="1:18">
      <c r="R65" s="176">
        <f>SUM(R59:R64)</f>
        <v>1038473.78</v>
      </c>
    </row>
    <row r="66" spans="1:18">
      <c r="A66" s="885" t="s">
        <v>51</v>
      </c>
      <c r="B66" s="886"/>
      <c r="C66" s="886"/>
      <c r="D66" s="886"/>
      <c r="E66" s="886"/>
      <c r="F66" s="886"/>
      <c r="G66" s="886"/>
      <c r="H66" s="887"/>
    </row>
    <row r="67" spans="1:18">
      <c r="A67" s="33"/>
      <c r="B67" s="884" t="s">
        <v>52</v>
      </c>
      <c r="C67" s="884"/>
      <c r="D67" s="53">
        <v>3.76</v>
      </c>
      <c r="E67" s="2"/>
      <c r="F67" s="884" t="s">
        <v>53</v>
      </c>
      <c r="G67" s="884"/>
      <c r="H67" s="275">
        <v>0.1197</v>
      </c>
      <c r="I67" s="33"/>
    </row>
    <row r="68" spans="1:18">
      <c r="A68" s="33"/>
      <c r="B68" s="884" t="s">
        <v>54</v>
      </c>
      <c r="C68" s="884"/>
      <c r="D68" s="64"/>
      <c r="E68" s="65"/>
      <c r="F68" s="884" t="s">
        <v>55</v>
      </c>
      <c r="G68" s="884"/>
      <c r="H68" s="66"/>
    </row>
    <row r="69" spans="1:18">
      <c r="A69" s="33"/>
      <c r="B69" s="884" t="s">
        <v>56</v>
      </c>
      <c r="C69" s="884"/>
      <c r="D69" s="67"/>
      <c r="E69" s="65"/>
      <c r="F69" s="884"/>
      <c r="G69" s="884"/>
      <c r="H69" s="68"/>
    </row>
    <row r="70" spans="1:18">
      <c r="A70" s="33"/>
      <c r="D70" s="69"/>
      <c r="E70" s="70"/>
      <c r="F70" s="70"/>
      <c r="G70" s="70"/>
      <c r="H70" s="71"/>
    </row>
    <row r="71" spans="1:18" ht="30">
      <c r="A71" s="30"/>
      <c r="B71" s="72" t="s">
        <v>133</v>
      </c>
      <c r="C71" s="72" t="s">
        <v>57</v>
      </c>
      <c r="D71" s="72" t="s">
        <v>134</v>
      </c>
      <c r="F71" s="72" t="s">
        <v>59</v>
      </c>
      <c r="H71" s="73"/>
    </row>
    <row r="72" spans="1:18">
      <c r="A72" s="30" t="s">
        <v>60</v>
      </c>
      <c r="B72" s="270">
        <v>2.9E-4</v>
      </c>
      <c r="C72" s="74">
        <f>D67</f>
        <v>3.76</v>
      </c>
      <c r="D72" s="13">
        <f>B72*C72</f>
        <v>1.0904E-3</v>
      </c>
      <c r="F72" s="9">
        <f>4.86*0.00022</f>
        <v>1.0692000000000002E-3</v>
      </c>
      <c r="G72" s="75"/>
      <c r="H72" s="76"/>
      <c r="I72" s="1" t="s">
        <v>7</v>
      </c>
      <c r="O72" s="205">
        <f>B72*1000*1000</f>
        <v>290</v>
      </c>
    </row>
    <row r="73" spans="1:18" ht="18.75" customHeight="1">
      <c r="A73" s="30" t="s">
        <v>61</v>
      </c>
      <c r="B73" s="270">
        <v>3.5000000000000003E-2</v>
      </c>
      <c r="C73" s="77">
        <f>H67</f>
        <v>0.1197</v>
      </c>
      <c r="D73" s="13">
        <f>B73*C73</f>
        <v>4.1895000000000005E-3</v>
      </c>
      <c r="F73" s="9">
        <f>0.095*0.05</f>
        <v>4.7500000000000007E-3</v>
      </c>
      <c r="G73" s="78"/>
      <c r="H73" s="79"/>
      <c r="O73" s="205">
        <f>B73*1000</f>
        <v>35</v>
      </c>
    </row>
    <row r="74" spans="1:18">
      <c r="A74" s="59"/>
      <c r="B74" s="41"/>
      <c r="C74" s="41"/>
      <c r="D74" s="41"/>
      <c r="E74" s="41"/>
      <c r="F74" s="41"/>
      <c r="G74" s="41"/>
      <c r="H74" s="42"/>
    </row>
    <row r="77" spans="1:18">
      <c r="A77" s="885" t="s">
        <v>62</v>
      </c>
      <c r="B77" s="886"/>
      <c r="C77" s="886"/>
      <c r="D77" s="886"/>
      <c r="E77" s="886"/>
      <c r="F77" s="886"/>
      <c r="G77" s="886"/>
      <c r="H77" s="887"/>
    </row>
    <row r="78" spans="1:18" ht="25.5">
      <c r="A78" s="30" t="s">
        <v>63</v>
      </c>
      <c r="B78" s="52">
        <v>27000000</v>
      </c>
      <c r="C78" s="2"/>
      <c r="D78" s="2"/>
      <c r="E78" s="2"/>
      <c r="F78" s="2"/>
      <c r="G78" s="80" t="s">
        <v>64</v>
      </c>
      <c r="H78" s="81" t="s">
        <v>58</v>
      </c>
    </row>
    <row r="79" spans="1:18">
      <c r="A79" s="30" t="s">
        <v>65</v>
      </c>
      <c r="B79" s="36">
        <f>+G81/B78</f>
        <v>5.5555555555555558E-3</v>
      </c>
      <c r="C79" s="2"/>
      <c r="D79" s="2"/>
      <c r="E79" s="2"/>
      <c r="F79" s="2"/>
      <c r="G79" s="2"/>
      <c r="H79" s="25"/>
    </row>
    <row r="80" spans="1:18">
      <c r="A80" s="30"/>
      <c r="B80" s="2"/>
      <c r="C80" s="2"/>
      <c r="D80" s="36"/>
      <c r="E80" s="2"/>
      <c r="F80" s="2"/>
      <c r="G80" s="2"/>
      <c r="H80" s="25"/>
    </row>
    <row r="81" spans="1:18" ht="15">
      <c r="A81" s="30" t="s">
        <v>66</v>
      </c>
      <c r="B81" s="52"/>
      <c r="C81" s="2"/>
      <c r="D81" s="2"/>
      <c r="E81" s="2"/>
      <c r="F81" s="2"/>
      <c r="G81" s="271">
        <v>150000</v>
      </c>
      <c r="H81" s="82">
        <f>G81/B32/1000</f>
        <v>2.7322404371584699E-3</v>
      </c>
    </row>
    <row r="82" spans="1:18">
      <c r="A82" s="30"/>
      <c r="B82" s="2"/>
      <c r="C82" s="2"/>
      <c r="D82" s="2"/>
      <c r="E82" s="2"/>
      <c r="F82" s="2"/>
      <c r="G82" s="2"/>
      <c r="H82" s="25"/>
    </row>
    <row r="83" spans="1:18" ht="15">
      <c r="A83" s="30" t="s">
        <v>67</v>
      </c>
      <c r="B83" s="31"/>
      <c r="C83" s="2"/>
      <c r="D83" s="65"/>
      <c r="E83" s="2"/>
      <c r="F83" s="2"/>
      <c r="G83" s="271">
        <v>50000</v>
      </c>
      <c r="H83" s="82">
        <f>G83/B32/1000</f>
        <v>9.1074681238615665E-4</v>
      </c>
      <c r="Q83" s="2" t="s">
        <v>162</v>
      </c>
      <c r="R83" s="176" t="s">
        <v>160</v>
      </c>
    </row>
    <row r="84" spans="1:18">
      <c r="A84" s="30"/>
      <c r="B84" s="31"/>
      <c r="C84" s="2"/>
      <c r="D84" s="65"/>
      <c r="E84" s="2"/>
      <c r="F84" s="2"/>
      <c r="G84" s="2"/>
      <c r="H84" s="25"/>
      <c r="J84" s="210">
        <f t="shared" ref="J84:J89" si="22">$N$12*$Q84</f>
        <v>7665.3226761247461</v>
      </c>
      <c r="L84" s="211" t="s">
        <v>93</v>
      </c>
      <c r="P84" s="206" t="s">
        <v>159</v>
      </c>
      <c r="Q84" s="212">
        <f t="shared" ref="Q84:Q89" si="23">R84/$R$90</f>
        <v>3.8326613380623729E-2</v>
      </c>
      <c r="R84" s="2">
        <v>22870.75</v>
      </c>
    </row>
    <row r="85" spans="1:18" ht="15">
      <c r="A85" s="30" t="s">
        <v>68</v>
      </c>
      <c r="B85" s="2"/>
      <c r="C85" s="2"/>
      <c r="D85" s="83"/>
      <c r="E85" s="2"/>
      <c r="F85" s="2"/>
      <c r="G85" s="271">
        <v>200000</v>
      </c>
      <c r="H85" s="82">
        <f>G85/B32/1000</f>
        <v>3.6429872495446266E-3</v>
      </c>
      <c r="J85" s="210">
        <f t="shared" si="22"/>
        <v>2029.0519608882951</v>
      </c>
      <c r="L85" s="211" t="s">
        <v>93</v>
      </c>
      <c r="P85" s="206">
        <v>631060</v>
      </c>
      <c r="Q85" s="212">
        <f t="shared" si="23"/>
        <v>1.0145259804441475E-2</v>
      </c>
      <c r="R85" s="2">
        <v>6054.01</v>
      </c>
    </row>
    <row r="86" spans="1:18">
      <c r="A86" s="84"/>
      <c r="B86" s="85"/>
      <c r="C86" s="86"/>
      <c r="D86" s="85"/>
      <c r="E86" s="85"/>
      <c r="F86" s="85"/>
      <c r="G86" s="85"/>
      <c r="H86" s="87"/>
      <c r="J86" s="210">
        <f t="shared" si="22"/>
        <v>3165.9124123663578</v>
      </c>
      <c r="L86" s="211" t="s">
        <v>93</v>
      </c>
      <c r="P86" s="206" t="s">
        <v>158</v>
      </c>
      <c r="Q86" s="212">
        <f t="shared" si="23"/>
        <v>1.5829562061831788E-2</v>
      </c>
      <c r="R86" s="2">
        <v>9446.02</v>
      </c>
    </row>
    <row r="87" spans="1:18">
      <c r="C87" s="88"/>
      <c r="J87" s="210">
        <f t="shared" si="22"/>
        <v>114643.579127793</v>
      </c>
      <c r="L87" s="211" t="s">
        <v>93</v>
      </c>
      <c r="P87" s="206" t="s">
        <v>161</v>
      </c>
      <c r="Q87" s="212">
        <f t="shared" si="23"/>
        <v>0.57321789563896497</v>
      </c>
      <c r="R87" s="2">
        <v>342057.96</v>
      </c>
    </row>
    <row r="88" spans="1:18">
      <c r="J88" s="210">
        <f t="shared" si="22"/>
        <v>56863.926399764096</v>
      </c>
      <c r="L88" s="211" t="s">
        <v>93</v>
      </c>
      <c r="P88" s="206">
        <v>633000</v>
      </c>
      <c r="Q88" s="212">
        <f t="shared" si="23"/>
        <v>0.28431963199882049</v>
      </c>
      <c r="R88" s="2">
        <v>169662.87</v>
      </c>
    </row>
    <row r="89" spans="1:18">
      <c r="A89" s="44" t="s">
        <v>69</v>
      </c>
      <c r="B89" s="888" t="s">
        <v>70</v>
      </c>
      <c r="C89" s="888"/>
      <c r="D89" s="888"/>
      <c r="E89" s="888"/>
      <c r="F89" s="888"/>
      <c r="G89" s="888"/>
      <c r="H89" s="889"/>
      <c r="J89" s="210">
        <f t="shared" si="22"/>
        <v>15632.207423063524</v>
      </c>
      <c r="L89" s="211" t="s">
        <v>93</v>
      </c>
      <c r="P89" s="206">
        <v>633020</v>
      </c>
      <c r="Q89" s="212">
        <f t="shared" si="23"/>
        <v>7.8161037115317619E-2</v>
      </c>
      <c r="R89" s="2">
        <v>46641.26</v>
      </c>
    </row>
    <row r="90" spans="1:18">
      <c r="A90" s="33"/>
      <c r="H90" s="38"/>
      <c r="R90" s="176">
        <f>SUM(R84:R89)</f>
        <v>596732.87</v>
      </c>
    </row>
    <row r="91" spans="1:18" ht="25.5">
      <c r="A91" s="30"/>
      <c r="B91" s="172" t="s">
        <v>135</v>
      </c>
      <c r="C91" s="172" t="s">
        <v>136</v>
      </c>
      <c r="D91" s="172" t="s">
        <v>137</v>
      </c>
      <c r="H91" s="38"/>
    </row>
    <row r="92" spans="1:18">
      <c r="A92" s="30" t="s">
        <v>17</v>
      </c>
      <c r="B92" s="52">
        <f>72000/12</f>
        <v>6000</v>
      </c>
      <c r="C92" s="272">
        <f>B92*12</f>
        <v>72000</v>
      </c>
      <c r="D92" s="63">
        <f>C92/B$32/1000</f>
        <v>1.3114754098360656E-3</v>
      </c>
      <c r="H92" s="38"/>
    </row>
    <row r="93" spans="1:18">
      <c r="A93" s="30" t="s">
        <v>18</v>
      </c>
      <c r="B93" s="2">
        <v>18000</v>
      </c>
      <c r="C93" s="67">
        <f>B93*12</f>
        <v>216000</v>
      </c>
      <c r="D93" s="89">
        <f>C93/B$32/1000</f>
        <v>3.9344262295081967E-3</v>
      </c>
      <c r="H93" s="38"/>
      <c r="J93" s="210">
        <f>$N$19*$Q93</f>
        <v>168146.63495847976</v>
      </c>
      <c r="L93" s="211" t="s">
        <v>99</v>
      </c>
      <c r="P93" s="206" t="s">
        <v>164</v>
      </c>
      <c r="Q93" s="212">
        <f>R93/$R$95</f>
        <v>0.77845664332629516</v>
      </c>
      <c r="R93" s="2">
        <v>596246.93999999994</v>
      </c>
    </row>
    <row r="94" spans="1:18">
      <c r="A94" s="30" t="s">
        <v>71</v>
      </c>
      <c r="B94" s="2">
        <v>198012</v>
      </c>
      <c r="C94" s="67">
        <f>B94*12</f>
        <v>2376144</v>
      </c>
      <c r="D94" s="90">
        <f>C94/B$32/1000</f>
        <v>4.3281311475409839E-2</v>
      </c>
      <c r="H94" s="38"/>
      <c r="J94" s="210">
        <f>$N$19*$Q94</f>
        <v>47853.36504152025</v>
      </c>
      <c r="L94" s="211" t="s">
        <v>99</v>
      </c>
      <c r="P94" s="206" t="s">
        <v>165</v>
      </c>
      <c r="Q94" s="212">
        <f>R94/$R$95</f>
        <v>0.22154335667370487</v>
      </c>
      <c r="R94" s="2">
        <v>169687.74</v>
      </c>
    </row>
    <row r="95" spans="1:18">
      <c r="A95" s="30" t="s">
        <v>72</v>
      </c>
      <c r="B95" s="2"/>
      <c r="C95" s="2"/>
      <c r="D95" s="63">
        <f>SUM(D92:D94)</f>
        <v>4.8527213114754102E-2</v>
      </c>
      <c r="H95" s="38"/>
      <c r="R95" s="176">
        <f>SUM(R93:R94)</f>
        <v>765934.67999999993</v>
      </c>
    </row>
    <row r="96" spans="1:18">
      <c r="A96" s="59"/>
      <c r="B96" s="41"/>
      <c r="C96" s="41"/>
      <c r="D96" s="41"/>
      <c r="E96" s="41"/>
      <c r="F96" s="41"/>
      <c r="G96" s="41"/>
      <c r="H96" s="42"/>
      <c r="J96" s="210">
        <f t="shared" ref="J96:J103" si="24">$N$20*$Q96</f>
        <v>5258.4183737443027</v>
      </c>
      <c r="L96" s="211" t="s">
        <v>100</v>
      </c>
      <c r="P96" s="206" t="s">
        <v>166</v>
      </c>
      <c r="Q96" s="212">
        <f t="shared" ref="Q96:Q103" si="25">R96/$R$104</f>
        <v>2.213004924678093E-3</v>
      </c>
      <c r="R96" s="2">
        <v>5033.5200000000004</v>
      </c>
    </row>
    <row r="97" spans="1:18">
      <c r="J97" s="210">
        <f t="shared" si="24"/>
        <v>178525.63969341008</v>
      </c>
      <c r="L97" s="211" t="s">
        <v>100</v>
      </c>
      <c r="P97" s="206">
        <v>640010</v>
      </c>
      <c r="Q97" s="212">
        <f t="shared" si="25"/>
        <v>7.5132500258153573E-2</v>
      </c>
      <c r="R97" s="2">
        <v>170890.23999999999</v>
      </c>
    </row>
    <row r="98" spans="1:18">
      <c r="J98" s="210">
        <f t="shared" si="24"/>
        <v>2058325.8712793686</v>
      </c>
      <c r="L98" s="211" t="s">
        <v>100</v>
      </c>
      <c r="P98" s="206">
        <v>640020</v>
      </c>
      <c r="Q98" s="212">
        <f t="shared" si="25"/>
        <v>0.86624626759967771</v>
      </c>
      <c r="R98" s="2">
        <v>1970292.91</v>
      </c>
    </row>
    <row r="99" spans="1:18">
      <c r="A99" s="885" t="s">
        <v>102</v>
      </c>
      <c r="B99" s="886"/>
      <c r="C99" s="886"/>
      <c r="D99" s="886"/>
      <c r="E99" s="886"/>
      <c r="F99" s="886"/>
      <c r="G99" s="886"/>
      <c r="H99" s="887"/>
      <c r="J99" s="210">
        <f t="shared" si="24"/>
        <v>10936.819057008121</v>
      </c>
      <c r="L99" s="211" t="s">
        <v>100</v>
      </c>
      <c r="P99" s="206">
        <v>640040</v>
      </c>
      <c r="Q99" s="212">
        <f t="shared" si="25"/>
        <v>4.6027593685433717E-3</v>
      </c>
      <c r="R99" s="2">
        <v>10469.06</v>
      </c>
    </row>
    <row r="100" spans="1:18">
      <c r="A100" s="112" t="s">
        <v>73</v>
      </c>
      <c r="B100" s="2">
        <v>50</v>
      </c>
      <c r="D100" s="2"/>
      <c r="E100" s="2"/>
      <c r="F100" s="2"/>
      <c r="G100" s="2"/>
      <c r="H100" s="25"/>
      <c r="J100" s="210">
        <f t="shared" si="24"/>
        <v>1482.9234574472807</v>
      </c>
      <c r="L100" s="211" t="s">
        <v>100</v>
      </c>
      <c r="P100" s="206">
        <v>640050</v>
      </c>
      <c r="Q100" s="212">
        <f t="shared" si="25"/>
        <v>6.2408821075123425E-4</v>
      </c>
      <c r="R100" s="2">
        <v>1419.5</v>
      </c>
    </row>
    <row r="101" spans="1:18">
      <c r="A101" s="112" t="s">
        <v>74</v>
      </c>
      <c r="B101" s="2">
        <v>40</v>
      </c>
      <c r="D101" s="2"/>
      <c r="E101" s="2"/>
      <c r="F101" s="2"/>
      <c r="G101" s="2"/>
      <c r="H101" s="68"/>
      <c r="J101" s="210">
        <f t="shared" si="24"/>
        <v>1671.3837545402637</v>
      </c>
      <c r="L101" s="211" t="s">
        <v>100</v>
      </c>
      <c r="P101" s="206">
        <v>640060</v>
      </c>
      <c r="Q101" s="212">
        <f t="shared" si="25"/>
        <v>7.0340171072976376E-4</v>
      </c>
      <c r="R101" s="2">
        <v>1599.9</v>
      </c>
    </row>
    <row r="102" spans="1:18">
      <c r="A102" s="112" t="s">
        <v>75</v>
      </c>
      <c r="B102" s="91">
        <v>1.5</v>
      </c>
      <c r="D102" s="2"/>
      <c r="E102" s="2"/>
      <c r="F102" s="2"/>
      <c r="G102" s="2"/>
      <c r="H102" s="92"/>
      <c r="J102" s="210">
        <f t="shared" si="24"/>
        <v>41073.375624809785</v>
      </c>
      <c r="L102" s="211" t="s">
        <v>100</v>
      </c>
      <c r="P102" s="206">
        <v>640070</v>
      </c>
      <c r="Q102" s="212">
        <f t="shared" si="25"/>
        <v>1.7285726633070129E-2</v>
      </c>
      <c r="R102" s="2">
        <v>39316.699999999997</v>
      </c>
    </row>
    <row r="103" spans="1:18">
      <c r="A103" s="113" t="s">
        <v>101</v>
      </c>
      <c r="B103" s="114">
        <v>0.45</v>
      </c>
      <c r="C103" s="85"/>
      <c r="D103" s="85"/>
      <c r="E103" s="85"/>
      <c r="F103" s="85"/>
      <c r="G103" s="85"/>
      <c r="H103" s="87"/>
      <c r="J103" s="210">
        <f t="shared" si="24"/>
        <v>78869.568759671529</v>
      </c>
      <c r="L103" s="211" t="s">
        <v>100</v>
      </c>
      <c r="P103" s="206">
        <v>640080</v>
      </c>
      <c r="Q103" s="212">
        <f t="shared" si="25"/>
        <v>3.3192251294396104E-2</v>
      </c>
      <c r="R103" s="2">
        <v>75496.38</v>
      </c>
    </row>
    <row r="104" spans="1:18">
      <c r="R104" s="176">
        <f>SUM(R96:R103)</f>
        <v>2274518.21</v>
      </c>
    </row>
  </sheetData>
  <mergeCells count="22">
    <mergeCell ref="A49:H49"/>
    <mergeCell ref="A1:H1"/>
    <mergeCell ref="N1:O1"/>
    <mergeCell ref="A2:H2"/>
    <mergeCell ref="B3:E3"/>
    <mergeCell ref="F3:H3"/>
    <mergeCell ref="B51:D52"/>
    <mergeCell ref="F52:H52"/>
    <mergeCell ref="B53:C53"/>
    <mergeCell ref="F53:G53"/>
    <mergeCell ref="B54:C54"/>
    <mergeCell ref="F54:G54"/>
    <mergeCell ref="A77:H77"/>
    <mergeCell ref="B89:H89"/>
    <mergeCell ref="A99:H99"/>
    <mergeCell ref="A66:H66"/>
    <mergeCell ref="B67:C67"/>
    <mergeCell ref="F67:G67"/>
    <mergeCell ref="B68:C68"/>
    <mergeCell ref="F68:G68"/>
    <mergeCell ref="B69:C69"/>
    <mergeCell ref="F69:G69"/>
  </mergeCells>
  <printOptions horizontalCentered="1"/>
  <pageMargins left="0.25" right="0.25" top="1" bottom="1" header="0.25" footer="0.5"/>
  <pageSetup scale="96" fitToHeight="3" orientation="landscape" r:id="rId1"/>
  <headerFooter alignWithMargins="0">
    <oddHeader>&amp;F</oddHeader>
  </headerFooter>
  <rowBreaks count="1" manualBreakCount="1">
    <brk id="52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31"/>
  <sheetViews>
    <sheetView zoomScale="115" zoomScaleNormal="115" workbookViewId="0">
      <pane xSplit="2" ySplit="2" topLeftCell="C3" activePane="bottomRight" state="frozenSplit"/>
      <selection activeCell="C29" sqref="C29"/>
      <selection pane="topRight" activeCell="C29" sqref="C29"/>
      <selection pane="bottomLeft" activeCell="C29" sqref="C29"/>
      <selection pane="bottomRight" activeCell="C29" sqref="C29"/>
    </sheetView>
  </sheetViews>
  <sheetFormatPr defaultRowHeight="12.75"/>
  <cols>
    <col min="1" max="1" width="13.28515625" style="169" bestFit="1" customWidth="1"/>
    <col min="2" max="2" width="20.28515625" style="115" bestFit="1" customWidth="1"/>
    <col min="3" max="3" width="10.28515625" style="170" bestFit="1" customWidth="1"/>
    <col min="4" max="4" width="8.28515625" style="170" bestFit="1" customWidth="1"/>
    <col min="5" max="5" width="9.28515625" style="171" bestFit="1" customWidth="1"/>
    <col min="6" max="6" width="9.7109375" style="171" bestFit="1" customWidth="1"/>
    <col min="7" max="8" width="9.28515625" style="171" bestFit="1" customWidth="1"/>
    <col min="9" max="9" width="9.28515625" style="115" bestFit="1" customWidth="1"/>
    <col min="10" max="10" width="9.28515625" style="171" customWidth="1"/>
    <col min="11" max="11" width="8.7109375" style="115" bestFit="1" customWidth="1"/>
    <col min="12" max="12" width="9.28515625" style="115" bestFit="1" customWidth="1"/>
    <col min="13" max="13" width="8.7109375" style="115"/>
    <col min="14" max="14" width="11.5703125" style="115" bestFit="1" customWidth="1"/>
    <col min="15" max="15" width="10.42578125" style="115" bestFit="1" customWidth="1"/>
    <col min="16" max="16" width="9.28515625" style="115" bestFit="1" customWidth="1"/>
    <col min="17" max="249" width="8.7109375" style="115"/>
    <col min="250" max="250" width="13.28515625" style="115" bestFit="1" customWidth="1"/>
    <col min="251" max="251" width="20.28515625" style="115" bestFit="1" customWidth="1"/>
    <col min="252" max="252" width="10.28515625" style="115" bestFit="1" customWidth="1"/>
    <col min="253" max="253" width="8.28515625" style="115" bestFit="1" customWidth="1"/>
    <col min="254" max="254" width="9.28515625" style="115" bestFit="1" customWidth="1"/>
    <col min="255" max="255" width="9.7109375" style="115" bestFit="1" customWidth="1"/>
    <col min="256" max="258" width="9.28515625" style="115" bestFit="1" customWidth="1"/>
    <col min="259" max="259" width="9.28515625" style="115" customWidth="1"/>
    <col min="260" max="260" width="8.7109375" style="115" bestFit="1" customWidth="1"/>
    <col min="261" max="261" width="9.28515625" style="115" bestFit="1" customWidth="1"/>
    <col min="262" max="262" width="8.7109375" style="115"/>
    <col min="263" max="263" width="11.5703125" style="115" bestFit="1" customWidth="1"/>
    <col min="264" max="265" width="9.28515625" style="115" bestFit="1" customWidth="1"/>
    <col min="266" max="266" width="8.7109375" style="115"/>
    <col min="267" max="267" width="9.7109375" style="115" bestFit="1" customWidth="1"/>
    <col min="268" max="269" width="9.28515625" style="115" bestFit="1" customWidth="1"/>
    <col min="270" max="270" width="8.7109375" style="115"/>
    <col min="271" max="271" width="9.28515625" style="115" bestFit="1" customWidth="1"/>
    <col min="272" max="272" width="10.28515625" style="115" bestFit="1" customWidth="1"/>
    <col min="273" max="505" width="8.7109375" style="115"/>
    <col min="506" max="506" width="13.28515625" style="115" bestFit="1" customWidth="1"/>
    <col min="507" max="507" width="20.28515625" style="115" bestFit="1" customWidth="1"/>
    <col min="508" max="508" width="10.28515625" style="115" bestFit="1" customWidth="1"/>
    <col min="509" max="509" width="8.28515625" style="115" bestFit="1" customWidth="1"/>
    <col min="510" max="510" width="9.28515625" style="115" bestFit="1" customWidth="1"/>
    <col min="511" max="511" width="9.7109375" style="115" bestFit="1" customWidth="1"/>
    <col min="512" max="514" width="9.28515625" style="115" bestFit="1" customWidth="1"/>
    <col min="515" max="515" width="9.28515625" style="115" customWidth="1"/>
    <col min="516" max="516" width="8.7109375" style="115" bestFit="1" customWidth="1"/>
    <col min="517" max="517" width="9.28515625" style="115" bestFit="1" customWidth="1"/>
    <col min="518" max="518" width="8.7109375" style="115"/>
    <col min="519" max="519" width="11.5703125" style="115" bestFit="1" customWidth="1"/>
    <col min="520" max="521" width="9.28515625" style="115" bestFit="1" customWidth="1"/>
    <col min="522" max="522" width="8.7109375" style="115"/>
    <col min="523" max="523" width="9.7109375" style="115" bestFit="1" customWidth="1"/>
    <col min="524" max="525" width="9.28515625" style="115" bestFit="1" customWidth="1"/>
    <col min="526" max="526" width="8.7109375" style="115"/>
    <col min="527" max="527" width="9.28515625" style="115" bestFit="1" customWidth="1"/>
    <col min="528" max="528" width="10.28515625" style="115" bestFit="1" customWidth="1"/>
    <col min="529" max="761" width="8.7109375" style="115"/>
    <col min="762" max="762" width="13.28515625" style="115" bestFit="1" customWidth="1"/>
    <col min="763" max="763" width="20.28515625" style="115" bestFit="1" customWidth="1"/>
    <col min="764" max="764" width="10.28515625" style="115" bestFit="1" customWidth="1"/>
    <col min="765" max="765" width="8.28515625" style="115" bestFit="1" customWidth="1"/>
    <col min="766" max="766" width="9.28515625" style="115" bestFit="1" customWidth="1"/>
    <col min="767" max="767" width="9.7109375" style="115" bestFit="1" customWidth="1"/>
    <col min="768" max="770" width="9.28515625" style="115" bestFit="1" customWidth="1"/>
    <col min="771" max="771" width="9.28515625" style="115" customWidth="1"/>
    <col min="772" max="772" width="8.7109375" style="115" bestFit="1" customWidth="1"/>
    <col min="773" max="773" width="9.28515625" style="115" bestFit="1" customWidth="1"/>
    <col min="774" max="774" width="8.7109375" style="115"/>
    <col min="775" max="775" width="11.5703125" style="115" bestFit="1" customWidth="1"/>
    <col min="776" max="777" width="9.28515625" style="115" bestFit="1" customWidth="1"/>
    <col min="778" max="778" width="8.7109375" style="115"/>
    <col min="779" max="779" width="9.7109375" style="115" bestFit="1" customWidth="1"/>
    <col min="780" max="781" width="9.28515625" style="115" bestFit="1" customWidth="1"/>
    <col min="782" max="782" width="8.7109375" style="115"/>
    <col min="783" max="783" width="9.28515625" style="115" bestFit="1" customWidth="1"/>
    <col min="784" max="784" width="10.28515625" style="115" bestFit="1" customWidth="1"/>
    <col min="785" max="1017" width="8.7109375" style="115"/>
    <col min="1018" max="1018" width="13.28515625" style="115" bestFit="1" customWidth="1"/>
    <col min="1019" max="1019" width="20.28515625" style="115" bestFit="1" customWidth="1"/>
    <col min="1020" max="1020" width="10.28515625" style="115" bestFit="1" customWidth="1"/>
    <col min="1021" max="1021" width="8.28515625" style="115" bestFit="1" customWidth="1"/>
    <col min="1022" max="1022" width="9.28515625" style="115" bestFit="1" customWidth="1"/>
    <col min="1023" max="1023" width="9.7109375" style="115" bestFit="1" customWidth="1"/>
    <col min="1024" max="1026" width="9.28515625" style="115" bestFit="1" customWidth="1"/>
    <col min="1027" max="1027" width="9.28515625" style="115" customWidth="1"/>
    <col min="1028" max="1028" width="8.7109375" style="115" bestFit="1" customWidth="1"/>
    <col min="1029" max="1029" width="9.28515625" style="115" bestFit="1" customWidth="1"/>
    <col min="1030" max="1030" width="8.7109375" style="115"/>
    <col min="1031" max="1031" width="11.5703125" style="115" bestFit="1" customWidth="1"/>
    <col min="1032" max="1033" width="9.28515625" style="115" bestFit="1" customWidth="1"/>
    <col min="1034" max="1034" width="8.7109375" style="115"/>
    <col min="1035" max="1035" width="9.7109375" style="115" bestFit="1" customWidth="1"/>
    <col min="1036" max="1037" width="9.28515625" style="115" bestFit="1" customWidth="1"/>
    <col min="1038" max="1038" width="8.7109375" style="115"/>
    <col min="1039" max="1039" width="9.28515625" style="115" bestFit="1" customWidth="1"/>
    <col min="1040" max="1040" width="10.28515625" style="115" bestFit="1" customWidth="1"/>
    <col min="1041" max="1273" width="8.7109375" style="115"/>
    <col min="1274" max="1274" width="13.28515625" style="115" bestFit="1" customWidth="1"/>
    <col min="1275" max="1275" width="20.28515625" style="115" bestFit="1" customWidth="1"/>
    <col min="1276" max="1276" width="10.28515625" style="115" bestFit="1" customWidth="1"/>
    <col min="1277" max="1277" width="8.28515625" style="115" bestFit="1" customWidth="1"/>
    <col min="1278" max="1278" width="9.28515625" style="115" bestFit="1" customWidth="1"/>
    <col min="1279" max="1279" width="9.7109375" style="115" bestFit="1" customWidth="1"/>
    <col min="1280" max="1282" width="9.28515625" style="115" bestFit="1" customWidth="1"/>
    <col min="1283" max="1283" width="9.28515625" style="115" customWidth="1"/>
    <col min="1284" max="1284" width="8.7109375" style="115" bestFit="1" customWidth="1"/>
    <col min="1285" max="1285" width="9.28515625" style="115" bestFit="1" customWidth="1"/>
    <col min="1286" max="1286" width="8.7109375" style="115"/>
    <col min="1287" max="1287" width="11.5703125" style="115" bestFit="1" customWidth="1"/>
    <col min="1288" max="1289" width="9.28515625" style="115" bestFit="1" customWidth="1"/>
    <col min="1290" max="1290" width="8.7109375" style="115"/>
    <col min="1291" max="1291" width="9.7109375" style="115" bestFit="1" customWidth="1"/>
    <col min="1292" max="1293" width="9.28515625" style="115" bestFit="1" customWidth="1"/>
    <col min="1294" max="1294" width="8.7109375" style="115"/>
    <col min="1295" max="1295" width="9.28515625" style="115" bestFit="1" customWidth="1"/>
    <col min="1296" max="1296" width="10.28515625" style="115" bestFit="1" customWidth="1"/>
    <col min="1297" max="1529" width="8.7109375" style="115"/>
    <col min="1530" max="1530" width="13.28515625" style="115" bestFit="1" customWidth="1"/>
    <col min="1531" max="1531" width="20.28515625" style="115" bestFit="1" customWidth="1"/>
    <col min="1532" max="1532" width="10.28515625" style="115" bestFit="1" customWidth="1"/>
    <col min="1533" max="1533" width="8.28515625" style="115" bestFit="1" customWidth="1"/>
    <col min="1534" max="1534" width="9.28515625" style="115" bestFit="1" customWidth="1"/>
    <col min="1535" max="1535" width="9.7109375" style="115" bestFit="1" customWidth="1"/>
    <col min="1536" max="1538" width="9.28515625" style="115" bestFit="1" customWidth="1"/>
    <col min="1539" max="1539" width="9.28515625" style="115" customWidth="1"/>
    <col min="1540" max="1540" width="8.7109375" style="115" bestFit="1" customWidth="1"/>
    <col min="1541" max="1541" width="9.28515625" style="115" bestFit="1" customWidth="1"/>
    <col min="1542" max="1542" width="8.7109375" style="115"/>
    <col min="1543" max="1543" width="11.5703125" style="115" bestFit="1" customWidth="1"/>
    <col min="1544" max="1545" width="9.28515625" style="115" bestFit="1" customWidth="1"/>
    <col min="1546" max="1546" width="8.7109375" style="115"/>
    <col min="1547" max="1547" width="9.7109375" style="115" bestFit="1" customWidth="1"/>
    <col min="1548" max="1549" width="9.28515625" style="115" bestFit="1" customWidth="1"/>
    <col min="1550" max="1550" width="8.7109375" style="115"/>
    <col min="1551" max="1551" width="9.28515625" style="115" bestFit="1" customWidth="1"/>
    <col min="1552" max="1552" width="10.28515625" style="115" bestFit="1" customWidth="1"/>
    <col min="1553" max="1785" width="8.7109375" style="115"/>
    <col min="1786" max="1786" width="13.28515625" style="115" bestFit="1" customWidth="1"/>
    <col min="1787" max="1787" width="20.28515625" style="115" bestFit="1" customWidth="1"/>
    <col min="1788" max="1788" width="10.28515625" style="115" bestFit="1" customWidth="1"/>
    <col min="1789" max="1789" width="8.28515625" style="115" bestFit="1" customWidth="1"/>
    <col min="1790" max="1790" width="9.28515625" style="115" bestFit="1" customWidth="1"/>
    <col min="1791" max="1791" width="9.7109375" style="115" bestFit="1" customWidth="1"/>
    <col min="1792" max="1794" width="9.28515625" style="115" bestFit="1" customWidth="1"/>
    <col min="1795" max="1795" width="9.28515625" style="115" customWidth="1"/>
    <col min="1796" max="1796" width="8.7109375" style="115" bestFit="1" customWidth="1"/>
    <col min="1797" max="1797" width="9.28515625" style="115" bestFit="1" customWidth="1"/>
    <col min="1798" max="1798" width="8.7109375" style="115"/>
    <col min="1799" max="1799" width="11.5703125" style="115" bestFit="1" customWidth="1"/>
    <col min="1800" max="1801" width="9.28515625" style="115" bestFit="1" customWidth="1"/>
    <col min="1802" max="1802" width="8.7109375" style="115"/>
    <col min="1803" max="1803" width="9.7109375" style="115" bestFit="1" customWidth="1"/>
    <col min="1804" max="1805" width="9.28515625" style="115" bestFit="1" customWidth="1"/>
    <col min="1806" max="1806" width="8.7109375" style="115"/>
    <col min="1807" max="1807" width="9.28515625" style="115" bestFit="1" customWidth="1"/>
    <col min="1808" max="1808" width="10.28515625" style="115" bestFit="1" customWidth="1"/>
    <col min="1809" max="2041" width="8.7109375" style="115"/>
    <col min="2042" max="2042" width="13.28515625" style="115" bestFit="1" customWidth="1"/>
    <col min="2043" max="2043" width="20.28515625" style="115" bestFit="1" customWidth="1"/>
    <col min="2044" max="2044" width="10.28515625" style="115" bestFit="1" customWidth="1"/>
    <col min="2045" max="2045" width="8.28515625" style="115" bestFit="1" customWidth="1"/>
    <col min="2046" max="2046" width="9.28515625" style="115" bestFit="1" customWidth="1"/>
    <col min="2047" max="2047" width="9.7109375" style="115" bestFit="1" customWidth="1"/>
    <col min="2048" max="2050" width="9.28515625" style="115" bestFit="1" customWidth="1"/>
    <col min="2051" max="2051" width="9.28515625" style="115" customWidth="1"/>
    <col min="2052" max="2052" width="8.7109375" style="115" bestFit="1" customWidth="1"/>
    <col min="2053" max="2053" width="9.28515625" style="115" bestFit="1" customWidth="1"/>
    <col min="2054" max="2054" width="8.7109375" style="115"/>
    <col min="2055" max="2055" width="11.5703125" style="115" bestFit="1" customWidth="1"/>
    <col min="2056" max="2057" width="9.28515625" style="115" bestFit="1" customWidth="1"/>
    <col min="2058" max="2058" width="8.7109375" style="115"/>
    <col min="2059" max="2059" width="9.7109375" style="115" bestFit="1" customWidth="1"/>
    <col min="2060" max="2061" width="9.28515625" style="115" bestFit="1" customWidth="1"/>
    <col min="2062" max="2062" width="8.7109375" style="115"/>
    <col min="2063" max="2063" width="9.28515625" style="115" bestFit="1" customWidth="1"/>
    <col min="2064" max="2064" width="10.28515625" style="115" bestFit="1" customWidth="1"/>
    <col min="2065" max="2297" width="8.7109375" style="115"/>
    <col min="2298" max="2298" width="13.28515625" style="115" bestFit="1" customWidth="1"/>
    <col min="2299" max="2299" width="20.28515625" style="115" bestFit="1" customWidth="1"/>
    <col min="2300" max="2300" width="10.28515625" style="115" bestFit="1" customWidth="1"/>
    <col min="2301" max="2301" width="8.28515625" style="115" bestFit="1" customWidth="1"/>
    <col min="2302" max="2302" width="9.28515625" style="115" bestFit="1" customWidth="1"/>
    <col min="2303" max="2303" width="9.7109375" style="115" bestFit="1" customWidth="1"/>
    <col min="2304" max="2306" width="9.28515625" style="115" bestFit="1" customWidth="1"/>
    <col min="2307" max="2307" width="9.28515625" style="115" customWidth="1"/>
    <col min="2308" max="2308" width="8.7109375" style="115" bestFit="1" customWidth="1"/>
    <col min="2309" max="2309" width="9.28515625" style="115" bestFit="1" customWidth="1"/>
    <col min="2310" max="2310" width="8.7109375" style="115"/>
    <col min="2311" max="2311" width="11.5703125" style="115" bestFit="1" customWidth="1"/>
    <col min="2312" max="2313" width="9.28515625" style="115" bestFit="1" customWidth="1"/>
    <col min="2314" max="2314" width="8.7109375" style="115"/>
    <col min="2315" max="2315" width="9.7109375" style="115" bestFit="1" customWidth="1"/>
    <col min="2316" max="2317" width="9.28515625" style="115" bestFit="1" customWidth="1"/>
    <col min="2318" max="2318" width="8.7109375" style="115"/>
    <col min="2319" max="2319" width="9.28515625" style="115" bestFit="1" customWidth="1"/>
    <col min="2320" max="2320" width="10.28515625" style="115" bestFit="1" customWidth="1"/>
    <col min="2321" max="2553" width="8.7109375" style="115"/>
    <col min="2554" max="2554" width="13.28515625" style="115" bestFit="1" customWidth="1"/>
    <col min="2555" max="2555" width="20.28515625" style="115" bestFit="1" customWidth="1"/>
    <col min="2556" max="2556" width="10.28515625" style="115" bestFit="1" customWidth="1"/>
    <col min="2557" max="2557" width="8.28515625" style="115" bestFit="1" customWidth="1"/>
    <col min="2558" max="2558" width="9.28515625" style="115" bestFit="1" customWidth="1"/>
    <col min="2559" max="2559" width="9.7109375" style="115" bestFit="1" customWidth="1"/>
    <col min="2560" max="2562" width="9.28515625" style="115" bestFit="1" customWidth="1"/>
    <col min="2563" max="2563" width="9.28515625" style="115" customWidth="1"/>
    <col min="2564" max="2564" width="8.7109375" style="115" bestFit="1" customWidth="1"/>
    <col min="2565" max="2565" width="9.28515625" style="115" bestFit="1" customWidth="1"/>
    <col min="2566" max="2566" width="8.7109375" style="115"/>
    <col min="2567" max="2567" width="11.5703125" style="115" bestFit="1" customWidth="1"/>
    <col min="2568" max="2569" width="9.28515625" style="115" bestFit="1" customWidth="1"/>
    <col min="2570" max="2570" width="8.7109375" style="115"/>
    <col min="2571" max="2571" width="9.7109375" style="115" bestFit="1" customWidth="1"/>
    <col min="2572" max="2573" width="9.28515625" style="115" bestFit="1" customWidth="1"/>
    <col min="2574" max="2574" width="8.7109375" style="115"/>
    <col min="2575" max="2575" width="9.28515625" style="115" bestFit="1" customWidth="1"/>
    <col min="2576" max="2576" width="10.28515625" style="115" bestFit="1" customWidth="1"/>
    <col min="2577" max="2809" width="8.7109375" style="115"/>
    <col min="2810" max="2810" width="13.28515625" style="115" bestFit="1" customWidth="1"/>
    <col min="2811" max="2811" width="20.28515625" style="115" bestFit="1" customWidth="1"/>
    <col min="2812" max="2812" width="10.28515625" style="115" bestFit="1" customWidth="1"/>
    <col min="2813" max="2813" width="8.28515625" style="115" bestFit="1" customWidth="1"/>
    <col min="2814" max="2814" width="9.28515625" style="115" bestFit="1" customWidth="1"/>
    <col min="2815" max="2815" width="9.7109375" style="115" bestFit="1" customWidth="1"/>
    <col min="2816" max="2818" width="9.28515625" style="115" bestFit="1" customWidth="1"/>
    <col min="2819" max="2819" width="9.28515625" style="115" customWidth="1"/>
    <col min="2820" max="2820" width="8.7109375" style="115" bestFit="1" customWidth="1"/>
    <col min="2821" max="2821" width="9.28515625" style="115" bestFit="1" customWidth="1"/>
    <col min="2822" max="2822" width="8.7109375" style="115"/>
    <col min="2823" max="2823" width="11.5703125" style="115" bestFit="1" customWidth="1"/>
    <col min="2824" max="2825" width="9.28515625" style="115" bestFit="1" customWidth="1"/>
    <col min="2826" max="2826" width="8.7109375" style="115"/>
    <col min="2827" max="2827" width="9.7109375" style="115" bestFit="1" customWidth="1"/>
    <col min="2828" max="2829" width="9.28515625" style="115" bestFit="1" customWidth="1"/>
    <col min="2830" max="2830" width="8.7109375" style="115"/>
    <col min="2831" max="2831" width="9.28515625" style="115" bestFit="1" customWidth="1"/>
    <col min="2832" max="2832" width="10.28515625" style="115" bestFit="1" customWidth="1"/>
    <col min="2833" max="3065" width="8.7109375" style="115"/>
    <col min="3066" max="3066" width="13.28515625" style="115" bestFit="1" customWidth="1"/>
    <col min="3067" max="3067" width="20.28515625" style="115" bestFit="1" customWidth="1"/>
    <col min="3068" max="3068" width="10.28515625" style="115" bestFit="1" customWidth="1"/>
    <col min="3069" max="3069" width="8.28515625" style="115" bestFit="1" customWidth="1"/>
    <col min="3070" max="3070" width="9.28515625" style="115" bestFit="1" customWidth="1"/>
    <col min="3071" max="3071" width="9.7109375" style="115" bestFit="1" customWidth="1"/>
    <col min="3072" max="3074" width="9.28515625" style="115" bestFit="1" customWidth="1"/>
    <col min="3075" max="3075" width="9.28515625" style="115" customWidth="1"/>
    <col min="3076" max="3076" width="8.7109375" style="115" bestFit="1" customWidth="1"/>
    <col min="3077" max="3077" width="9.28515625" style="115" bestFit="1" customWidth="1"/>
    <col min="3078" max="3078" width="8.7109375" style="115"/>
    <col min="3079" max="3079" width="11.5703125" style="115" bestFit="1" customWidth="1"/>
    <col min="3080" max="3081" width="9.28515625" style="115" bestFit="1" customWidth="1"/>
    <col min="3082" max="3082" width="8.7109375" style="115"/>
    <col min="3083" max="3083" width="9.7109375" style="115" bestFit="1" customWidth="1"/>
    <col min="3084" max="3085" width="9.28515625" style="115" bestFit="1" customWidth="1"/>
    <col min="3086" max="3086" width="8.7109375" style="115"/>
    <col min="3087" max="3087" width="9.28515625" style="115" bestFit="1" customWidth="1"/>
    <col min="3088" max="3088" width="10.28515625" style="115" bestFit="1" customWidth="1"/>
    <col min="3089" max="3321" width="8.7109375" style="115"/>
    <col min="3322" max="3322" width="13.28515625" style="115" bestFit="1" customWidth="1"/>
    <col min="3323" max="3323" width="20.28515625" style="115" bestFit="1" customWidth="1"/>
    <col min="3324" max="3324" width="10.28515625" style="115" bestFit="1" customWidth="1"/>
    <col min="3325" max="3325" width="8.28515625" style="115" bestFit="1" customWidth="1"/>
    <col min="3326" max="3326" width="9.28515625" style="115" bestFit="1" customWidth="1"/>
    <col min="3327" max="3327" width="9.7109375" style="115" bestFit="1" customWidth="1"/>
    <col min="3328" max="3330" width="9.28515625" style="115" bestFit="1" customWidth="1"/>
    <col min="3331" max="3331" width="9.28515625" style="115" customWidth="1"/>
    <col min="3332" max="3332" width="8.7109375" style="115" bestFit="1" customWidth="1"/>
    <col min="3333" max="3333" width="9.28515625" style="115" bestFit="1" customWidth="1"/>
    <col min="3334" max="3334" width="8.7109375" style="115"/>
    <col min="3335" max="3335" width="11.5703125" style="115" bestFit="1" customWidth="1"/>
    <col min="3336" max="3337" width="9.28515625" style="115" bestFit="1" customWidth="1"/>
    <col min="3338" max="3338" width="8.7109375" style="115"/>
    <col min="3339" max="3339" width="9.7109375" style="115" bestFit="1" customWidth="1"/>
    <col min="3340" max="3341" width="9.28515625" style="115" bestFit="1" customWidth="1"/>
    <col min="3342" max="3342" width="8.7109375" style="115"/>
    <col min="3343" max="3343" width="9.28515625" style="115" bestFit="1" customWidth="1"/>
    <col min="3344" max="3344" width="10.28515625" style="115" bestFit="1" customWidth="1"/>
    <col min="3345" max="3577" width="8.7109375" style="115"/>
    <col min="3578" max="3578" width="13.28515625" style="115" bestFit="1" customWidth="1"/>
    <col min="3579" max="3579" width="20.28515625" style="115" bestFit="1" customWidth="1"/>
    <col min="3580" max="3580" width="10.28515625" style="115" bestFit="1" customWidth="1"/>
    <col min="3581" max="3581" width="8.28515625" style="115" bestFit="1" customWidth="1"/>
    <col min="3582" max="3582" width="9.28515625" style="115" bestFit="1" customWidth="1"/>
    <col min="3583" max="3583" width="9.7109375" style="115" bestFit="1" customWidth="1"/>
    <col min="3584" max="3586" width="9.28515625" style="115" bestFit="1" customWidth="1"/>
    <col min="3587" max="3587" width="9.28515625" style="115" customWidth="1"/>
    <col min="3588" max="3588" width="8.7109375" style="115" bestFit="1" customWidth="1"/>
    <col min="3589" max="3589" width="9.28515625" style="115" bestFit="1" customWidth="1"/>
    <col min="3590" max="3590" width="8.7109375" style="115"/>
    <col min="3591" max="3591" width="11.5703125" style="115" bestFit="1" customWidth="1"/>
    <col min="3592" max="3593" width="9.28515625" style="115" bestFit="1" customWidth="1"/>
    <col min="3594" max="3594" width="8.7109375" style="115"/>
    <col min="3595" max="3595" width="9.7109375" style="115" bestFit="1" customWidth="1"/>
    <col min="3596" max="3597" width="9.28515625" style="115" bestFit="1" customWidth="1"/>
    <col min="3598" max="3598" width="8.7109375" style="115"/>
    <col min="3599" max="3599" width="9.28515625" style="115" bestFit="1" customWidth="1"/>
    <col min="3600" max="3600" width="10.28515625" style="115" bestFit="1" customWidth="1"/>
    <col min="3601" max="3833" width="8.7109375" style="115"/>
    <col min="3834" max="3834" width="13.28515625" style="115" bestFit="1" customWidth="1"/>
    <col min="3835" max="3835" width="20.28515625" style="115" bestFit="1" customWidth="1"/>
    <col min="3836" max="3836" width="10.28515625" style="115" bestFit="1" customWidth="1"/>
    <col min="3837" max="3837" width="8.28515625" style="115" bestFit="1" customWidth="1"/>
    <col min="3838" max="3838" width="9.28515625" style="115" bestFit="1" customWidth="1"/>
    <col min="3839" max="3839" width="9.7109375" style="115" bestFit="1" customWidth="1"/>
    <col min="3840" max="3842" width="9.28515625" style="115" bestFit="1" customWidth="1"/>
    <col min="3843" max="3843" width="9.28515625" style="115" customWidth="1"/>
    <col min="3844" max="3844" width="8.7109375" style="115" bestFit="1" customWidth="1"/>
    <col min="3845" max="3845" width="9.28515625" style="115" bestFit="1" customWidth="1"/>
    <col min="3846" max="3846" width="8.7109375" style="115"/>
    <col min="3847" max="3847" width="11.5703125" style="115" bestFit="1" customWidth="1"/>
    <col min="3848" max="3849" width="9.28515625" style="115" bestFit="1" customWidth="1"/>
    <col min="3850" max="3850" width="8.7109375" style="115"/>
    <col min="3851" max="3851" width="9.7109375" style="115" bestFit="1" customWidth="1"/>
    <col min="3852" max="3853" width="9.28515625" style="115" bestFit="1" customWidth="1"/>
    <col min="3854" max="3854" width="8.7109375" style="115"/>
    <col min="3855" max="3855" width="9.28515625" style="115" bestFit="1" customWidth="1"/>
    <col min="3856" max="3856" width="10.28515625" style="115" bestFit="1" customWidth="1"/>
    <col min="3857" max="4089" width="8.7109375" style="115"/>
    <col min="4090" max="4090" width="13.28515625" style="115" bestFit="1" customWidth="1"/>
    <col min="4091" max="4091" width="20.28515625" style="115" bestFit="1" customWidth="1"/>
    <col min="4092" max="4092" width="10.28515625" style="115" bestFit="1" customWidth="1"/>
    <col min="4093" max="4093" width="8.28515625" style="115" bestFit="1" customWidth="1"/>
    <col min="4094" max="4094" width="9.28515625" style="115" bestFit="1" customWidth="1"/>
    <col min="4095" max="4095" width="9.7109375" style="115" bestFit="1" customWidth="1"/>
    <col min="4096" max="4098" width="9.28515625" style="115" bestFit="1" customWidth="1"/>
    <col min="4099" max="4099" width="9.28515625" style="115" customWidth="1"/>
    <col min="4100" max="4100" width="8.7109375" style="115" bestFit="1" customWidth="1"/>
    <col min="4101" max="4101" width="9.28515625" style="115" bestFit="1" customWidth="1"/>
    <col min="4102" max="4102" width="8.7109375" style="115"/>
    <col min="4103" max="4103" width="11.5703125" style="115" bestFit="1" customWidth="1"/>
    <col min="4104" max="4105" width="9.28515625" style="115" bestFit="1" customWidth="1"/>
    <col min="4106" max="4106" width="8.7109375" style="115"/>
    <col min="4107" max="4107" width="9.7109375" style="115" bestFit="1" customWidth="1"/>
    <col min="4108" max="4109" width="9.28515625" style="115" bestFit="1" customWidth="1"/>
    <col min="4110" max="4110" width="8.7109375" style="115"/>
    <col min="4111" max="4111" width="9.28515625" style="115" bestFit="1" customWidth="1"/>
    <col min="4112" max="4112" width="10.28515625" style="115" bestFit="1" customWidth="1"/>
    <col min="4113" max="4345" width="8.7109375" style="115"/>
    <col min="4346" max="4346" width="13.28515625" style="115" bestFit="1" customWidth="1"/>
    <col min="4347" max="4347" width="20.28515625" style="115" bestFit="1" customWidth="1"/>
    <col min="4348" max="4348" width="10.28515625" style="115" bestFit="1" customWidth="1"/>
    <col min="4349" max="4349" width="8.28515625" style="115" bestFit="1" customWidth="1"/>
    <col min="4350" max="4350" width="9.28515625" style="115" bestFit="1" customWidth="1"/>
    <col min="4351" max="4351" width="9.7109375" style="115" bestFit="1" customWidth="1"/>
    <col min="4352" max="4354" width="9.28515625" style="115" bestFit="1" customWidth="1"/>
    <col min="4355" max="4355" width="9.28515625" style="115" customWidth="1"/>
    <col min="4356" max="4356" width="8.7109375" style="115" bestFit="1" customWidth="1"/>
    <col min="4357" max="4357" width="9.28515625" style="115" bestFit="1" customWidth="1"/>
    <col min="4358" max="4358" width="8.7109375" style="115"/>
    <col min="4359" max="4359" width="11.5703125" style="115" bestFit="1" customWidth="1"/>
    <col min="4360" max="4361" width="9.28515625" style="115" bestFit="1" customWidth="1"/>
    <col min="4362" max="4362" width="8.7109375" style="115"/>
    <col min="4363" max="4363" width="9.7109375" style="115" bestFit="1" customWidth="1"/>
    <col min="4364" max="4365" width="9.28515625" style="115" bestFit="1" customWidth="1"/>
    <col min="4366" max="4366" width="8.7109375" style="115"/>
    <col min="4367" max="4367" width="9.28515625" style="115" bestFit="1" customWidth="1"/>
    <col min="4368" max="4368" width="10.28515625" style="115" bestFit="1" customWidth="1"/>
    <col min="4369" max="4601" width="8.7109375" style="115"/>
    <col min="4602" max="4602" width="13.28515625" style="115" bestFit="1" customWidth="1"/>
    <col min="4603" max="4603" width="20.28515625" style="115" bestFit="1" customWidth="1"/>
    <col min="4604" max="4604" width="10.28515625" style="115" bestFit="1" customWidth="1"/>
    <col min="4605" max="4605" width="8.28515625" style="115" bestFit="1" customWidth="1"/>
    <col min="4606" max="4606" width="9.28515625" style="115" bestFit="1" customWidth="1"/>
    <col min="4607" max="4607" width="9.7109375" style="115" bestFit="1" customWidth="1"/>
    <col min="4608" max="4610" width="9.28515625" style="115" bestFit="1" customWidth="1"/>
    <col min="4611" max="4611" width="9.28515625" style="115" customWidth="1"/>
    <col min="4612" max="4612" width="8.7109375" style="115" bestFit="1" customWidth="1"/>
    <col min="4613" max="4613" width="9.28515625" style="115" bestFit="1" customWidth="1"/>
    <col min="4614" max="4614" width="8.7109375" style="115"/>
    <col min="4615" max="4615" width="11.5703125" style="115" bestFit="1" customWidth="1"/>
    <col min="4616" max="4617" width="9.28515625" style="115" bestFit="1" customWidth="1"/>
    <col min="4618" max="4618" width="8.7109375" style="115"/>
    <col min="4619" max="4619" width="9.7109375" style="115" bestFit="1" customWidth="1"/>
    <col min="4620" max="4621" width="9.28515625" style="115" bestFit="1" customWidth="1"/>
    <col min="4622" max="4622" width="8.7109375" style="115"/>
    <col min="4623" max="4623" width="9.28515625" style="115" bestFit="1" customWidth="1"/>
    <col min="4624" max="4624" width="10.28515625" style="115" bestFit="1" customWidth="1"/>
    <col min="4625" max="4857" width="8.7109375" style="115"/>
    <col min="4858" max="4858" width="13.28515625" style="115" bestFit="1" customWidth="1"/>
    <col min="4859" max="4859" width="20.28515625" style="115" bestFit="1" customWidth="1"/>
    <col min="4860" max="4860" width="10.28515625" style="115" bestFit="1" customWidth="1"/>
    <col min="4861" max="4861" width="8.28515625" style="115" bestFit="1" customWidth="1"/>
    <col min="4862" max="4862" width="9.28515625" style="115" bestFit="1" customWidth="1"/>
    <col min="4863" max="4863" width="9.7109375" style="115" bestFit="1" customWidth="1"/>
    <col min="4864" max="4866" width="9.28515625" style="115" bestFit="1" customWidth="1"/>
    <col min="4867" max="4867" width="9.28515625" style="115" customWidth="1"/>
    <col min="4868" max="4868" width="8.7109375" style="115" bestFit="1" customWidth="1"/>
    <col min="4869" max="4869" width="9.28515625" style="115" bestFit="1" customWidth="1"/>
    <col min="4870" max="4870" width="8.7109375" style="115"/>
    <col min="4871" max="4871" width="11.5703125" style="115" bestFit="1" customWidth="1"/>
    <col min="4872" max="4873" width="9.28515625" style="115" bestFit="1" customWidth="1"/>
    <col min="4874" max="4874" width="8.7109375" style="115"/>
    <col min="4875" max="4875" width="9.7109375" style="115" bestFit="1" customWidth="1"/>
    <col min="4876" max="4877" width="9.28515625" style="115" bestFit="1" customWidth="1"/>
    <col min="4878" max="4878" width="8.7109375" style="115"/>
    <col min="4879" max="4879" width="9.28515625" style="115" bestFit="1" customWidth="1"/>
    <col min="4880" max="4880" width="10.28515625" style="115" bestFit="1" customWidth="1"/>
    <col min="4881" max="5113" width="8.7109375" style="115"/>
    <col min="5114" max="5114" width="13.28515625" style="115" bestFit="1" customWidth="1"/>
    <col min="5115" max="5115" width="20.28515625" style="115" bestFit="1" customWidth="1"/>
    <col min="5116" max="5116" width="10.28515625" style="115" bestFit="1" customWidth="1"/>
    <col min="5117" max="5117" width="8.28515625" style="115" bestFit="1" customWidth="1"/>
    <col min="5118" max="5118" width="9.28515625" style="115" bestFit="1" customWidth="1"/>
    <col min="5119" max="5119" width="9.7109375" style="115" bestFit="1" customWidth="1"/>
    <col min="5120" max="5122" width="9.28515625" style="115" bestFit="1" customWidth="1"/>
    <col min="5123" max="5123" width="9.28515625" style="115" customWidth="1"/>
    <col min="5124" max="5124" width="8.7109375" style="115" bestFit="1" customWidth="1"/>
    <col min="5125" max="5125" width="9.28515625" style="115" bestFit="1" customWidth="1"/>
    <col min="5126" max="5126" width="8.7109375" style="115"/>
    <col min="5127" max="5127" width="11.5703125" style="115" bestFit="1" customWidth="1"/>
    <col min="5128" max="5129" width="9.28515625" style="115" bestFit="1" customWidth="1"/>
    <col min="5130" max="5130" width="8.7109375" style="115"/>
    <col min="5131" max="5131" width="9.7109375" style="115" bestFit="1" customWidth="1"/>
    <col min="5132" max="5133" width="9.28515625" style="115" bestFit="1" customWidth="1"/>
    <col min="5134" max="5134" width="8.7109375" style="115"/>
    <col min="5135" max="5135" width="9.28515625" style="115" bestFit="1" customWidth="1"/>
    <col min="5136" max="5136" width="10.28515625" style="115" bestFit="1" customWidth="1"/>
    <col min="5137" max="5369" width="8.7109375" style="115"/>
    <col min="5370" max="5370" width="13.28515625" style="115" bestFit="1" customWidth="1"/>
    <col min="5371" max="5371" width="20.28515625" style="115" bestFit="1" customWidth="1"/>
    <col min="5372" max="5372" width="10.28515625" style="115" bestFit="1" customWidth="1"/>
    <col min="5373" max="5373" width="8.28515625" style="115" bestFit="1" customWidth="1"/>
    <col min="5374" max="5374" width="9.28515625" style="115" bestFit="1" customWidth="1"/>
    <col min="5375" max="5375" width="9.7109375" style="115" bestFit="1" customWidth="1"/>
    <col min="5376" max="5378" width="9.28515625" style="115" bestFit="1" customWidth="1"/>
    <col min="5379" max="5379" width="9.28515625" style="115" customWidth="1"/>
    <col min="5380" max="5380" width="8.7109375" style="115" bestFit="1" customWidth="1"/>
    <col min="5381" max="5381" width="9.28515625" style="115" bestFit="1" customWidth="1"/>
    <col min="5382" max="5382" width="8.7109375" style="115"/>
    <col min="5383" max="5383" width="11.5703125" style="115" bestFit="1" customWidth="1"/>
    <col min="5384" max="5385" width="9.28515625" style="115" bestFit="1" customWidth="1"/>
    <col min="5386" max="5386" width="8.7109375" style="115"/>
    <col min="5387" max="5387" width="9.7109375" style="115" bestFit="1" customWidth="1"/>
    <col min="5388" max="5389" width="9.28515625" style="115" bestFit="1" customWidth="1"/>
    <col min="5390" max="5390" width="8.7109375" style="115"/>
    <col min="5391" max="5391" width="9.28515625" style="115" bestFit="1" customWidth="1"/>
    <col min="5392" max="5392" width="10.28515625" style="115" bestFit="1" customWidth="1"/>
    <col min="5393" max="5625" width="8.7109375" style="115"/>
    <col min="5626" max="5626" width="13.28515625" style="115" bestFit="1" customWidth="1"/>
    <col min="5627" max="5627" width="20.28515625" style="115" bestFit="1" customWidth="1"/>
    <col min="5628" max="5628" width="10.28515625" style="115" bestFit="1" customWidth="1"/>
    <col min="5629" max="5629" width="8.28515625" style="115" bestFit="1" customWidth="1"/>
    <col min="5630" max="5630" width="9.28515625" style="115" bestFit="1" customWidth="1"/>
    <col min="5631" max="5631" width="9.7109375" style="115" bestFit="1" customWidth="1"/>
    <col min="5632" max="5634" width="9.28515625" style="115" bestFit="1" customWidth="1"/>
    <col min="5635" max="5635" width="9.28515625" style="115" customWidth="1"/>
    <col min="5636" max="5636" width="8.7109375" style="115" bestFit="1" customWidth="1"/>
    <col min="5637" max="5637" width="9.28515625" style="115" bestFit="1" customWidth="1"/>
    <col min="5638" max="5638" width="8.7109375" style="115"/>
    <col min="5639" max="5639" width="11.5703125" style="115" bestFit="1" customWidth="1"/>
    <col min="5640" max="5641" width="9.28515625" style="115" bestFit="1" customWidth="1"/>
    <col min="5642" max="5642" width="8.7109375" style="115"/>
    <col min="5643" max="5643" width="9.7109375" style="115" bestFit="1" customWidth="1"/>
    <col min="5644" max="5645" width="9.28515625" style="115" bestFit="1" customWidth="1"/>
    <col min="5646" max="5646" width="8.7109375" style="115"/>
    <col min="5647" max="5647" width="9.28515625" style="115" bestFit="1" customWidth="1"/>
    <col min="5648" max="5648" width="10.28515625" style="115" bestFit="1" customWidth="1"/>
    <col min="5649" max="5881" width="8.7109375" style="115"/>
    <col min="5882" max="5882" width="13.28515625" style="115" bestFit="1" customWidth="1"/>
    <col min="5883" max="5883" width="20.28515625" style="115" bestFit="1" customWidth="1"/>
    <col min="5884" max="5884" width="10.28515625" style="115" bestFit="1" customWidth="1"/>
    <col min="5885" max="5885" width="8.28515625" style="115" bestFit="1" customWidth="1"/>
    <col min="5886" max="5886" width="9.28515625" style="115" bestFit="1" customWidth="1"/>
    <col min="5887" max="5887" width="9.7109375" style="115" bestFit="1" customWidth="1"/>
    <col min="5888" max="5890" width="9.28515625" style="115" bestFit="1" customWidth="1"/>
    <col min="5891" max="5891" width="9.28515625" style="115" customWidth="1"/>
    <col min="5892" max="5892" width="8.7109375" style="115" bestFit="1" customWidth="1"/>
    <col min="5893" max="5893" width="9.28515625" style="115" bestFit="1" customWidth="1"/>
    <col min="5894" max="5894" width="8.7109375" style="115"/>
    <col min="5895" max="5895" width="11.5703125" style="115" bestFit="1" customWidth="1"/>
    <col min="5896" max="5897" width="9.28515625" style="115" bestFit="1" customWidth="1"/>
    <col min="5898" max="5898" width="8.7109375" style="115"/>
    <col min="5899" max="5899" width="9.7109375" style="115" bestFit="1" customWidth="1"/>
    <col min="5900" max="5901" width="9.28515625" style="115" bestFit="1" customWidth="1"/>
    <col min="5902" max="5902" width="8.7109375" style="115"/>
    <col min="5903" max="5903" width="9.28515625" style="115" bestFit="1" customWidth="1"/>
    <col min="5904" max="5904" width="10.28515625" style="115" bestFit="1" customWidth="1"/>
    <col min="5905" max="6137" width="8.7109375" style="115"/>
    <col min="6138" max="6138" width="13.28515625" style="115" bestFit="1" customWidth="1"/>
    <col min="6139" max="6139" width="20.28515625" style="115" bestFit="1" customWidth="1"/>
    <col min="6140" max="6140" width="10.28515625" style="115" bestFit="1" customWidth="1"/>
    <col min="6141" max="6141" width="8.28515625" style="115" bestFit="1" customWidth="1"/>
    <col min="6142" max="6142" width="9.28515625" style="115" bestFit="1" customWidth="1"/>
    <col min="6143" max="6143" width="9.7109375" style="115" bestFit="1" customWidth="1"/>
    <col min="6144" max="6146" width="9.28515625" style="115" bestFit="1" customWidth="1"/>
    <col min="6147" max="6147" width="9.28515625" style="115" customWidth="1"/>
    <col min="6148" max="6148" width="8.7109375" style="115" bestFit="1" customWidth="1"/>
    <col min="6149" max="6149" width="9.28515625" style="115" bestFit="1" customWidth="1"/>
    <col min="6150" max="6150" width="8.7109375" style="115"/>
    <col min="6151" max="6151" width="11.5703125" style="115" bestFit="1" customWidth="1"/>
    <col min="6152" max="6153" width="9.28515625" style="115" bestFit="1" customWidth="1"/>
    <col min="6154" max="6154" width="8.7109375" style="115"/>
    <col min="6155" max="6155" width="9.7109375" style="115" bestFit="1" customWidth="1"/>
    <col min="6156" max="6157" width="9.28515625" style="115" bestFit="1" customWidth="1"/>
    <col min="6158" max="6158" width="8.7109375" style="115"/>
    <col min="6159" max="6159" width="9.28515625" style="115" bestFit="1" customWidth="1"/>
    <col min="6160" max="6160" width="10.28515625" style="115" bestFit="1" customWidth="1"/>
    <col min="6161" max="6393" width="8.7109375" style="115"/>
    <col min="6394" max="6394" width="13.28515625" style="115" bestFit="1" customWidth="1"/>
    <col min="6395" max="6395" width="20.28515625" style="115" bestFit="1" customWidth="1"/>
    <col min="6396" max="6396" width="10.28515625" style="115" bestFit="1" customWidth="1"/>
    <col min="6397" max="6397" width="8.28515625" style="115" bestFit="1" customWidth="1"/>
    <col min="6398" max="6398" width="9.28515625" style="115" bestFit="1" customWidth="1"/>
    <col min="6399" max="6399" width="9.7109375" style="115" bestFit="1" customWidth="1"/>
    <col min="6400" max="6402" width="9.28515625" style="115" bestFit="1" customWidth="1"/>
    <col min="6403" max="6403" width="9.28515625" style="115" customWidth="1"/>
    <col min="6404" max="6404" width="8.7109375" style="115" bestFit="1" customWidth="1"/>
    <col min="6405" max="6405" width="9.28515625" style="115" bestFit="1" customWidth="1"/>
    <col min="6406" max="6406" width="8.7109375" style="115"/>
    <col min="6407" max="6407" width="11.5703125" style="115" bestFit="1" customWidth="1"/>
    <col min="6408" max="6409" width="9.28515625" style="115" bestFit="1" customWidth="1"/>
    <col min="6410" max="6410" width="8.7109375" style="115"/>
    <col min="6411" max="6411" width="9.7109375" style="115" bestFit="1" customWidth="1"/>
    <col min="6412" max="6413" width="9.28515625" style="115" bestFit="1" customWidth="1"/>
    <col min="6414" max="6414" width="8.7109375" style="115"/>
    <col min="6415" max="6415" width="9.28515625" style="115" bestFit="1" customWidth="1"/>
    <col min="6416" max="6416" width="10.28515625" style="115" bestFit="1" customWidth="1"/>
    <col min="6417" max="6649" width="8.7109375" style="115"/>
    <col min="6650" max="6650" width="13.28515625" style="115" bestFit="1" customWidth="1"/>
    <col min="6651" max="6651" width="20.28515625" style="115" bestFit="1" customWidth="1"/>
    <col min="6652" max="6652" width="10.28515625" style="115" bestFit="1" customWidth="1"/>
    <col min="6653" max="6653" width="8.28515625" style="115" bestFit="1" customWidth="1"/>
    <col min="6654" max="6654" width="9.28515625" style="115" bestFit="1" customWidth="1"/>
    <col min="6655" max="6655" width="9.7109375" style="115" bestFit="1" customWidth="1"/>
    <col min="6656" max="6658" width="9.28515625" style="115" bestFit="1" customWidth="1"/>
    <col min="6659" max="6659" width="9.28515625" style="115" customWidth="1"/>
    <col min="6660" max="6660" width="8.7109375" style="115" bestFit="1" customWidth="1"/>
    <col min="6661" max="6661" width="9.28515625" style="115" bestFit="1" customWidth="1"/>
    <col min="6662" max="6662" width="8.7109375" style="115"/>
    <col min="6663" max="6663" width="11.5703125" style="115" bestFit="1" customWidth="1"/>
    <col min="6664" max="6665" width="9.28515625" style="115" bestFit="1" customWidth="1"/>
    <col min="6666" max="6666" width="8.7109375" style="115"/>
    <col min="6667" max="6667" width="9.7109375" style="115" bestFit="1" customWidth="1"/>
    <col min="6668" max="6669" width="9.28515625" style="115" bestFit="1" customWidth="1"/>
    <col min="6670" max="6670" width="8.7109375" style="115"/>
    <col min="6671" max="6671" width="9.28515625" style="115" bestFit="1" customWidth="1"/>
    <col min="6672" max="6672" width="10.28515625" style="115" bestFit="1" customWidth="1"/>
    <col min="6673" max="6905" width="8.7109375" style="115"/>
    <col min="6906" max="6906" width="13.28515625" style="115" bestFit="1" customWidth="1"/>
    <col min="6907" max="6907" width="20.28515625" style="115" bestFit="1" customWidth="1"/>
    <col min="6908" max="6908" width="10.28515625" style="115" bestFit="1" customWidth="1"/>
    <col min="6909" max="6909" width="8.28515625" style="115" bestFit="1" customWidth="1"/>
    <col min="6910" max="6910" width="9.28515625" style="115" bestFit="1" customWidth="1"/>
    <col min="6911" max="6911" width="9.7109375" style="115" bestFit="1" customWidth="1"/>
    <col min="6912" max="6914" width="9.28515625" style="115" bestFit="1" customWidth="1"/>
    <col min="6915" max="6915" width="9.28515625" style="115" customWidth="1"/>
    <col min="6916" max="6916" width="8.7109375" style="115" bestFit="1" customWidth="1"/>
    <col min="6917" max="6917" width="9.28515625" style="115" bestFit="1" customWidth="1"/>
    <col min="6918" max="6918" width="8.7109375" style="115"/>
    <col min="6919" max="6919" width="11.5703125" style="115" bestFit="1" customWidth="1"/>
    <col min="6920" max="6921" width="9.28515625" style="115" bestFit="1" customWidth="1"/>
    <col min="6922" max="6922" width="8.7109375" style="115"/>
    <col min="6923" max="6923" width="9.7109375" style="115" bestFit="1" customWidth="1"/>
    <col min="6924" max="6925" width="9.28515625" style="115" bestFit="1" customWidth="1"/>
    <col min="6926" max="6926" width="8.7109375" style="115"/>
    <col min="6927" max="6927" width="9.28515625" style="115" bestFit="1" customWidth="1"/>
    <col min="6928" max="6928" width="10.28515625" style="115" bestFit="1" customWidth="1"/>
    <col min="6929" max="7161" width="8.7109375" style="115"/>
    <col min="7162" max="7162" width="13.28515625" style="115" bestFit="1" customWidth="1"/>
    <col min="7163" max="7163" width="20.28515625" style="115" bestFit="1" customWidth="1"/>
    <col min="7164" max="7164" width="10.28515625" style="115" bestFit="1" customWidth="1"/>
    <col min="7165" max="7165" width="8.28515625" style="115" bestFit="1" customWidth="1"/>
    <col min="7166" max="7166" width="9.28515625" style="115" bestFit="1" customWidth="1"/>
    <col min="7167" max="7167" width="9.7109375" style="115" bestFit="1" customWidth="1"/>
    <col min="7168" max="7170" width="9.28515625" style="115" bestFit="1" customWidth="1"/>
    <col min="7171" max="7171" width="9.28515625" style="115" customWidth="1"/>
    <col min="7172" max="7172" width="8.7109375" style="115" bestFit="1" customWidth="1"/>
    <col min="7173" max="7173" width="9.28515625" style="115" bestFit="1" customWidth="1"/>
    <col min="7174" max="7174" width="8.7109375" style="115"/>
    <col min="7175" max="7175" width="11.5703125" style="115" bestFit="1" customWidth="1"/>
    <col min="7176" max="7177" width="9.28515625" style="115" bestFit="1" customWidth="1"/>
    <col min="7178" max="7178" width="8.7109375" style="115"/>
    <col min="7179" max="7179" width="9.7109375" style="115" bestFit="1" customWidth="1"/>
    <col min="7180" max="7181" width="9.28515625" style="115" bestFit="1" customWidth="1"/>
    <col min="7182" max="7182" width="8.7109375" style="115"/>
    <col min="7183" max="7183" width="9.28515625" style="115" bestFit="1" customWidth="1"/>
    <col min="7184" max="7184" width="10.28515625" style="115" bestFit="1" customWidth="1"/>
    <col min="7185" max="7417" width="8.7109375" style="115"/>
    <col min="7418" max="7418" width="13.28515625" style="115" bestFit="1" customWidth="1"/>
    <col min="7419" max="7419" width="20.28515625" style="115" bestFit="1" customWidth="1"/>
    <col min="7420" max="7420" width="10.28515625" style="115" bestFit="1" customWidth="1"/>
    <col min="7421" max="7421" width="8.28515625" style="115" bestFit="1" customWidth="1"/>
    <col min="7422" max="7422" width="9.28515625" style="115" bestFit="1" customWidth="1"/>
    <col min="7423" max="7423" width="9.7109375" style="115" bestFit="1" customWidth="1"/>
    <col min="7424" max="7426" width="9.28515625" style="115" bestFit="1" customWidth="1"/>
    <col min="7427" max="7427" width="9.28515625" style="115" customWidth="1"/>
    <col min="7428" max="7428" width="8.7109375" style="115" bestFit="1" customWidth="1"/>
    <col min="7429" max="7429" width="9.28515625" style="115" bestFit="1" customWidth="1"/>
    <col min="7430" max="7430" width="8.7109375" style="115"/>
    <col min="7431" max="7431" width="11.5703125" style="115" bestFit="1" customWidth="1"/>
    <col min="7432" max="7433" width="9.28515625" style="115" bestFit="1" customWidth="1"/>
    <col min="7434" max="7434" width="8.7109375" style="115"/>
    <col min="7435" max="7435" width="9.7109375" style="115" bestFit="1" customWidth="1"/>
    <col min="7436" max="7437" width="9.28515625" style="115" bestFit="1" customWidth="1"/>
    <col min="7438" max="7438" width="8.7109375" style="115"/>
    <col min="7439" max="7439" width="9.28515625" style="115" bestFit="1" customWidth="1"/>
    <col min="7440" max="7440" width="10.28515625" style="115" bestFit="1" customWidth="1"/>
    <col min="7441" max="7673" width="8.7109375" style="115"/>
    <col min="7674" max="7674" width="13.28515625" style="115" bestFit="1" customWidth="1"/>
    <col min="7675" max="7675" width="20.28515625" style="115" bestFit="1" customWidth="1"/>
    <col min="7676" max="7676" width="10.28515625" style="115" bestFit="1" customWidth="1"/>
    <col min="7677" max="7677" width="8.28515625" style="115" bestFit="1" customWidth="1"/>
    <col min="7678" max="7678" width="9.28515625" style="115" bestFit="1" customWidth="1"/>
    <col min="7679" max="7679" width="9.7109375" style="115" bestFit="1" customWidth="1"/>
    <col min="7680" max="7682" width="9.28515625" style="115" bestFit="1" customWidth="1"/>
    <col min="7683" max="7683" width="9.28515625" style="115" customWidth="1"/>
    <col min="7684" max="7684" width="8.7109375" style="115" bestFit="1" customWidth="1"/>
    <col min="7685" max="7685" width="9.28515625" style="115" bestFit="1" customWidth="1"/>
    <col min="7686" max="7686" width="8.7109375" style="115"/>
    <col min="7687" max="7687" width="11.5703125" style="115" bestFit="1" customWidth="1"/>
    <col min="7688" max="7689" width="9.28515625" style="115" bestFit="1" customWidth="1"/>
    <col min="7690" max="7690" width="8.7109375" style="115"/>
    <col min="7691" max="7691" width="9.7109375" style="115" bestFit="1" customWidth="1"/>
    <col min="7692" max="7693" width="9.28515625" style="115" bestFit="1" customWidth="1"/>
    <col min="7694" max="7694" width="8.7109375" style="115"/>
    <col min="7695" max="7695" width="9.28515625" style="115" bestFit="1" customWidth="1"/>
    <col min="7696" max="7696" width="10.28515625" style="115" bestFit="1" customWidth="1"/>
    <col min="7697" max="7929" width="8.7109375" style="115"/>
    <col min="7930" max="7930" width="13.28515625" style="115" bestFit="1" customWidth="1"/>
    <col min="7931" max="7931" width="20.28515625" style="115" bestFit="1" customWidth="1"/>
    <col min="7932" max="7932" width="10.28515625" style="115" bestFit="1" customWidth="1"/>
    <col min="7933" max="7933" width="8.28515625" style="115" bestFit="1" customWidth="1"/>
    <col min="7934" max="7934" width="9.28515625" style="115" bestFit="1" customWidth="1"/>
    <col min="7935" max="7935" width="9.7109375" style="115" bestFit="1" customWidth="1"/>
    <col min="7936" max="7938" width="9.28515625" style="115" bestFit="1" customWidth="1"/>
    <col min="7939" max="7939" width="9.28515625" style="115" customWidth="1"/>
    <col min="7940" max="7940" width="8.7109375" style="115" bestFit="1" customWidth="1"/>
    <col min="7941" max="7941" width="9.28515625" style="115" bestFit="1" customWidth="1"/>
    <col min="7942" max="7942" width="8.7109375" style="115"/>
    <col min="7943" max="7943" width="11.5703125" style="115" bestFit="1" customWidth="1"/>
    <col min="7944" max="7945" width="9.28515625" style="115" bestFit="1" customWidth="1"/>
    <col min="7946" max="7946" width="8.7109375" style="115"/>
    <col min="7947" max="7947" width="9.7109375" style="115" bestFit="1" customWidth="1"/>
    <col min="7948" max="7949" width="9.28515625" style="115" bestFit="1" customWidth="1"/>
    <col min="7950" max="7950" width="8.7109375" style="115"/>
    <col min="7951" max="7951" width="9.28515625" style="115" bestFit="1" customWidth="1"/>
    <col min="7952" max="7952" width="10.28515625" style="115" bestFit="1" customWidth="1"/>
    <col min="7953" max="8185" width="8.7109375" style="115"/>
    <col min="8186" max="8186" width="13.28515625" style="115" bestFit="1" customWidth="1"/>
    <col min="8187" max="8187" width="20.28515625" style="115" bestFit="1" customWidth="1"/>
    <col min="8188" max="8188" width="10.28515625" style="115" bestFit="1" customWidth="1"/>
    <col min="8189" max="8189" width="8.28515625" style="115" bestFit="1" customWidth="1"/>
    <col min="8190" max="8190" width="9.28515625" style="115" bestFit="1" customWidth="1"/>
    <col min="8191" max="8191" width="9.7109375" style="115" bestFit="1" customWidth="1"/>
    <col min="8192" max="8194" width="9.28515625" style="115" bestFit="1" customWidth="1"/>
    <col min="8195" max="8195" width="9.28515625" style="115" customWidth="1"/>
    <col min="8196" max="8196" width="8.7109375" style="115" bestFit="1" customWidth="1"/>
    <col min="8197" max="8197" width="9.28515625" style="115" bestFit="1" customWidth="1"/>
    <col min="8198" max="8198" width="8.7109375" style="115"/>
    <col min="8199" max="8199" width="11.5703125" style="115" bestFit="1" customWidth="1"/>
    <col min="8200" max="8201" width="9.28515625" style="115" bestFit="1" customWidth="1"/>
    <col min="8202" max="8202" width="8.7109375" style="115"/>
    <col min="8203" max="8203" width="9.7109375" style="115" bestFit="1" customWidth="1"/>
    <col min="8204" max="8205" width="9.28515625" style="115" bestFit="1" customWidth="1"/>
    <col min="8206" max="8206" width="8.7109375" style="115"/>
    <col min="8207" max="8207" width="9.28515625" style="115" bestFit="1" customWidth="1"/>
    <col min="8208" max="8208" width="10.28515625" style="115" bestFit="1" customWidth="1"/>
    <col min="8209" max="8441" width="8.7109375" style="115"/>
    <col min="8442" max="8442" width="13.28515625" style="115" bestFit="1" customWidth="1"/>
    <col min="8443" max="8443" width="20.28515625" style="115" bestFit="1" customWidth="1"/>
    <col min="8444" max="8444" width="10.28515625" style="115" bestFit="1" customWidth="1"/>
    <col min="8445" max="8445" width="8.28515625" style="115" bestFit="1" customWidth="1"/>
    <col min="8446" max="8446" width="9.28515625" style="115" bestFit="1" customWidth="1"/>
    <col min="8447" max="8447" width="9.7109375" style="115" bestFit="1" customWidth="1"/>
    <col min="8448" max="8450" width="9.28515625" style="115" bestFit="1" customWidth="1"/>
    <col min="8451" max="8451" width="9.28515625" style="115" customWidth="1"/>
    <col min="8452" max="8452" width="8.7109375" style="115" bestFit="1" customWidth="1"/>
    <col min="8453" max="8453" width="9.28515625" style="115" bestFit="1" customWidth="1"/>
    <col min="8454" max="8454" width="8.7109375" style="115"/>
    <col min="8455" max="8455" width="11.5703125" style="115" bestFit="1" customWidth="1"/>
    <col min="8456" max="8457" width="9.28515625" style="115" bestFit="1" customWidth="1"/>
    <col min="8458" max="8458" width="8.7109375" style="115"/>
    <col min="8459" max="8459" width="9.7109375" style="115" bestFit="1" customWidth="1"/>
    <col min="8460" max="8461" width="9.28515625" style="115" bestFit="1" customWidth="1"/>
    <col min="8462" max="8462" width="8.7109375" style="115"/>
    <col min="8463" max="8463" width="9.28515625" style="115" bestFit="1" customWidth="1"/>
    <col min="8464" max="8464" width="10.28515625" style="115" bestFit="1" customWidth="1"/>
    <col min="8465" max="8697" width="8.7109375" style="115"/>
    <col min="8698" max="8698" width="13.28515625" style="115" bestFit="1" customWidth="1"/>
    <col min="8699" max="8699" width="20.28515625" style="115" bestFit="1" customWidth="1"/>
    <col min="8700" max="8700" width="10.28515625" style="115" bestFit="1" customWidth="1"/>
    <col min="8701" max="8701" width="8.28515625" style="115" bestFit="1" customWidth="1"/>
    <col min="8702" max="8702" width="9.28515625" style="115" bestFit="1" customWidth="1"/>
    <col min="8703" max="8703" width="9.7109375" style="115" bestFit="1" customWidth="1"/>
    <col min="8704" max="8706" width="9.28515625" style="115" bestFit="1" customWidth="1"/>
    <col min="8707" max="8707" width="9.28515625" style="115" customWidth="1"/>
    <col min="8708" max="8708" width="8.7109375" style="115" bestFit="1" customWidth="1"/>
    <col min="8709" max="8709" width="9.28515625" style="115" bestFit="1" customWidth="1"/>
    <col min="8710" max="8710" width="8.7109375" style="115"/>
    <col min="8711" max="8711" width="11.5703125" style="115" bestFit="1" customWidth="1"/>
    <col min="8712" max="8713" width="9.28515625" style="115" bestFit="1" customWidth="1"/>
    <col min="8714" max="8714" width="8.7109375" style="115"/>
    <col min="8715" max="8715" width="9.7109375" style="115" bestFit="1" customWidth="1"/>
    <col min="8716" max="8717" width="9.28515625" style="115" bestFit="1" customWidth="1"/>
    <col min="8718" max="8718" width="8.7109375" style="115"/>
    <col min="8719" max="8719" width="9.28515625" style="115" bestFit="1" customWidth="1"/>
    <col min="8720" max="8720" width="10.28515625" style="115" bestFit="1" customWidth="1"/>
    <col min="8721" max="8953" width="8.7109375" style="115"/>
    <col min="8954" max="8954" width="13.28515625" style="115" bestFit="1" customWidth="1"/>
    <col min="8955" max="8955" width="20.28515625" style="115" bestFit="1" customWidth="1"/>
    <col min="8956" max="8956" width="10.28515625" style="115" bestFit="1" customWidth="1"/>
    <col min="8957" max="8957" width="8.28515625" style="115" bestFit="1" customWidth="1"/>
    <col min="8958" max="8958" width="9.28515625" style="115" bestFit="1" customWidth="1"/>
    <col min="8959" max="8959" width="9.7109375" style="115" bestFit="1" customWidth="1"/>
    <col min="8960" max="8962" width="9.28515625" style="115" bestFit="1" customWidth="1"/>
    <col min="8963" max="8963" width="9.28515625" style="115" customWidth="1"/>
    <col min="8964" max="8964" width="8.7109375" style="115" bestFit="1" customWidth="1"/>
    <col min="8965" max="8965" width="9.28515625" style="115" bestFit="1" customWidth="1"/>
    <col min="8966" max="8966" width="8.7109375" style="115"/>
    <col min="8967" max="8967" width="11.5703125" style="115" bestFit="1" customWidth="1"/>
    <col min="8968" max="8969" width="9.28515625" style="115" bestFit="1" customWidth="1"/>
    <col min="8970" max="8970" width="8.7109375" style="115"/>
    <col min="8971" max="8971" width="9.7109375" style="115" bestFit="1" customWidth="1"/>
    <col min="8972" max="8973" width="9.28515625" style="115" bestFit="1" customWidth="1"/>
    <col min="8974" max="8974" width="8.7109375" style="115"/>
    <col min="8975" max="8975" width="9.28515625" style="115" bestFit="1" customWidth="1"/>
    <col min="8976" max="8976" width="10.28515625" style="115" bestFit="1" customWidth="1"/>
    <col min="8977" max="9209" width="8.7109375" style="115"/>
    <col min="9210" max="9210" width="13.28515625" style="115" bestFit="1" customWidth="1"/>
    <col min="9211" max="9211" width="20.28515625" style="115" bestFit="1" customWidth="1"/>
    <col min="9212" max="9212" width="10.28515625" style="115" bestFit="1" customWidth="1"/>
    <col min="9213" max="9213" width="8.28515625" style="115" bestFit="1" customWidth="1"/>
    <col min="9214" max="9214" width="9.28515625" style="115" bestFit="1" customWidth="1"/>
    <col min="9215" max="9215" width="9.7109375" style="115" bestFit="1" customWidth="1"/>
    <col min="9216" max="9218" width="9.28515625" style="115" bestFit="1" customWidth="1"/>
    <col min="9219" max="9219" width="9.28515625" style="115" customWidth="1"/>
    <col min="9220" max="9220" width="8.7109375" style="115" bestFit="1" customWidth="1"/>
    <col min="9221" max="9221" width="9.28515625" style="115" bestFit="1" customWidth="1"/>
    <col min="9222" max="9222" width="8.7109375" style="115"/>
    <col min="9223" max="9223" width="11.5703125" style="115" bestFit="1" customWidth="1"/>
    <col min="9224" max="9225" width="9.28515625" style="115" bestFit="1" customWidth="1"/>
    <col min="9226" max="9226" width="8.7109375" style="115"/>
    <col min="9227" max="9227" width="9.7109375" style="115" bestFit="1" customWidth="1"/>
    <col min="9228" max="9229" width="9.28515625" style="115" bestFit="1" customWidth="1"/>
    <col min="9230" max="9230" width="8.7109375" style="115"/>
    <col min="9231" max="9231" width="9.28515625" style="115" bestFit="1" customWidth="1"/>
    <col min="9232" max="9232" width="10.28515625" style="115" bestFit="1" customWidth="1"/>
    <col min="9233" max="9465" width="8.7109375" style="115"/>
    <col min="9466" max="9466" width="13.28515625" style="115" bestFit="1" customWidth="1"/>
    <col min="9467" max="9467" width="20.28515625" style="115" bestFit="1" customWidth="1"/>
    <col min="9468" max="9468" width="10.28515625" style="115" bestFit="1" customWidth="1"/>
    <col min="9469" max="9469" width="8.28515625" style="115" bestFit="1" customWidth="1"/>
    <col min="9470" max="9470" width="9.28515625" style="115" bestFit="1" customWidth="1"/>
    <col min="9471" max="9471" width="9.7109375" style="115" bestFit="1" customWidth="1"/>
    <col min="9472" max="9474" width="9.28515625" style="115" bestFit="1" customWidth="1"/>
    <col min="9475" max="9475" width="9.28515625" style="115" customWidth="1"/>
    <col min="9476" max="9476" width="8.7109375" style="115" bestFit="1" customWidth="1"/>
    <col min="9477" max="9477" width="9.28515625" style="115" bestFit="1" customWidth="1"/>
    <col min="9478" max="9478" width="8.7109375" style="115"/>
    <col min="9479" max="9479" width="11.5703125" style="115" bestFit="1" customWidth="1"/>
    <col min="9480" max="9481" width="9.28515625" style="115" bestFit="1" customWidth="1"/>
    <col min="9482" max="9482" width="8.7109375" style="115"/>
    <col min="9483" max="9483" width="9.7109375" style="115" bestFit="1" customWidth="1"/>
    <col min="9484" max="9485" width="9.28515625" style="115" bestFit="1" customWidth="1"/>
    <col min="9486" max="9486" width="8.7109375" style="115"/>
    <col min="9487" max="9487" width="9.28515625" style="115" bestFit="1" customWidth="1"/>
    <col min="9488" max="9488" width="10.28515625" style="115" bestFit="1" customWidth="1"/>
    <col min="9489" max="9721" width="8.7109375" style="115"/>
    <col min="9722" max="9722" width="13.28515625" style="115" bestFit="1" customWidth="1"/>
    <col min="9723" max="9723" width="20.28515625" style="115" bestFit="1" customWidth="1"/>
    <col min="9724" max="9724" width="10.28515625" style="115" bestFit="1" customWidth="1"/>
    <col min="9725" max="9725" width="8.28515625" style="115" bestFit="1" customWidth="1"/>
    <col min="9726" max="9726" width="9.28515625" style="115" bestFit="1" customWidth="1"/>
    <col min="9727" max="9727" width="9.7109375" style="115" bestFit="1" customWidth="1"/>
    <col min="9728" max="9730" width="9.28515625" style="115" bestFit="1" customWidth="1"/>
    <col min="9731" max="9731" width="9.28515625" style="115" customWidth="1"/>
    <col min="9732" max="9732" width="8.7109375" style="115" bestFit="1" customWidth="1"/>
    <col min="9733" max="9733" width="9.28515625" style="115" bestFit="1" customWidth="1"/>
    <col min="9734" max="9734" width="8.7109375" style="115"/>
    <col min="9735" max="9735" width="11.5703125" style="115" bestFit="1" customWidth="1"/>
    <col min="9736" max="9737" width="9.28515625" style="115" bestFit="1" customWidth="1"/>
    <col min="9738" max="9738" width="8.7109375" style="115"/>
    <col min="9739" max="9739" width="9.7109375" style="115" bestFit="1" customWidth="1"/>
    <col min="9740" max="9741" width="9.28515625" style="115" bestFit="1" customWidth="1"/>
    <col min="9742" max="9742" width="8.7109375" style="115"/>
    <col min="9743" max="9743" width="9.28515625" style="115" bestFit="1" customWidth="1"/>
    <col min="9744" max="9744" width="10.28515625" style="115" bestFit="1" customWidth="1"/>
    <col min="9745" max="9977" width="8.7109375" style="115"/>
    <col min="9978" max="9978" width="13.28515625" style="115" bestFit="1" customWidth="1"/>
    <col min="9979" max="9979" width="20.28515625" style="115" bestFit="1" customWidth="1"/>
    <col min="9980" max="9980" width="10.28515625" style="115" bestFit="1" customWidth="1"/>
    <col min="9981" max="9981" width="8.28515625" style="115" bestFit="1" customWidth="1"/>
    <col min="9982" max="9982" width="9.28515625" style="115" bestFit="1" customWidth="1"/>
    <col min="9983" max="9983" width="9.7109375" style="115" bestFit="1" customWidth="1"/>
    <col min="9984" max="9986" width="9.28515625" style="115" bestFit="1" customWidth="1"/>
    <col min="9987" max="9987" width="9.28515625" style="115" customWidth="1"/>
    <col min="9988" max="9988" width="8.7109375" style="115" bestFit="1" customWidth="1"/>
    <col min="9989" max="9989" width="9.28515625" style="115" bestFit="1" customWidth="1"/>
    <col min="9990" max="9990" width="8.7109375" style="115"/>
    <col min="9991" max="9991" width="11.5703125" style="115" bestFit="1" customWidth="1"/>
    <col min="9992" max="9993" width="9.28515625" style="115" bestFit="1" customWidth="1"/>
    <col min="9994" max="9994" width="8.7109375" style="115"/>
    <col min="9995" max="9995" width="9.7109375" style="115" bestFit="1" customWidth="1"/>
    <col min="9996" max="9997" width="9.28515625" style="115" bestFit="1" customWidth="1"/>
    <col min="9998" max="9998" width="8.7109375" style="115"/>
    <col min="9999" max="9999" width="9.28515625" style="115" bestFit="1" customWidth="1"/>
    <col min="10000" max="10000" width="10.28515625" style="115" bestFit="1" customWidth="1"/>
    <col min="10001" max="10233" width="8.7109375" style="115"/>
    <col min="10234" max="10234" width="13.28515625" style="115" bestFit="1" customWidth="1"/>
    <col min="10235" max="10235" width="20.28515625" style="115" bestFit="1" customWidth="1"/>
    <col min="10236" max="10236" width="10.28515625" style="115" bestFit="1" customWidth="1"/>
    <col min="10237" max="10237" width="8.28515625" style="115" bestFit="1" customWidth="1"/>
    <col min="10238" max="10238" width="9.28515625" style="115" bestFit="1" customWidth="1"/>
    <col min="10239" max="10239" width="9.7109375" style="115" bestFit="1" customWidth="1"/>
    <col min="10240" max="10242" width="9.28515625" style="115" bestFit="1" customWidth="1"/>
    <col min="10243" max="10243" width="9.28515625" style="115" customWidth="1"/>
    <col min="10244" max="10244" width="8.7109375" style="115" bestFit="1" customWidth="1"/>
    <col min="10245" max="10245" width="9.28515625" style="115" bestFit="1" customWidth="1"/>
    <col min="10246" max="10246" width="8.7109375" style="115"/>
    <col min="10247" max="10247" width="11.5703125" style="115" bestFit="1" customWidth="1"/>
    <col min="10248" max="10249" width="9.28515625" style="115" bestFit="1" customWidth="1"/>
    <col min="10250" max="10250" width="8.7109375" style="115"/>
    <col min="10251" max="10251" width="9.7109375" style="115" bestFit="1" customWidth="1"/>
    <col min="10252" max="10253" width="9.28515625" style="115" bestFit="1" customWidth="1"/>
    <col min="10254" max="10254" width="8.7109375" style="115"/>
    <col min="10255" max="10255" width="9.28515625" style="115" bestFit="1" customWidth="1"/>
    <col min="10256" max="10256" width="10.28515625" style="115" bestFit="1" customWidth="1"/>
    <col min="10257" max="10489" width="8.7109375" style="115"/>
    <col min="10490" max="10490" width="13.28515625" style="115" bestFit="1" customWidth="1"/>
    <col min="10491" max="10491" width="20.28515625" style="115" bestFit="1" customWidth="1"/>
    <col min="10492" max="10492" width="10.28515625" style="115" bestFit="1" customWidth="1"/>
    <col min="10493" max="10493" width="8.28515625" style="115" bestFit="1" customWidth="1"/>
    <col min="10494" max="10494" width="9.28515625" style="115" bestFit="1" customWidth="1"/>
    <col min="10495" max="10495" width="9.7109375" style="115" bestFit="1" customWidth="1"/>
    <col min="10496" max="10498" width="9.28515625" style="115" bestFit="1" customWidth="1"/>
    <col min="10499" max="10499" width="9.28515625" style="115" customWidth="1"/>
    <col min="10500" max="10500" width="8.7109375" style="115" bestFit="1" customWidth="1"/>
    <col min="10501" max="10501" width="9.28515625" style="115" bestFit="1" customWidth="1"/>
    <col min="10502" max="10502" width="8.7109375" style="115"/>
    <col min="10503" max="10503" width="11.5703125" style="115" bestFit="1" customWidth="1"/>
    <col min="10504" max="10505" width="9.28515625" style="115" bestFit="1" customWidth="1"/>
    <col min="10506" max="10506" width="8.7109375" style="115"/>
    <col min="10507" max="10507" width="9.7109375" style="115" bestFit="1" customWidth="1"/>
    <col min="10508" max="10509" width="9.28515625" style="115" bestFit="1" customWidth="1"/>
    <col min="10510" max="10510" width="8.7109375" style="115"/>
    <col min="10511" max="10511" width="9.28515625" style="115" bestFit="1" customWidth="1"/>
    <col min="10512" max="10512" width="10.28515625" style="115" bestFit="1" customWidth="1"/>
    <col min="10513" max="10745" width="8.7109375" style="115"/>
    <col min="10746" max="10746" width="13.28515625" style="115" bestFit="1" customWidth="1"/>
    <col min="10747" max="10747" width="20.28515625" style="115" bestFit="1" customWidth="1"/>
    <col min="10748" max="10748" width="10.28515625" style="115" bestFit="1" customWidth="1"/>
    <col min="10749" max="10749" width="8.28515625" style="115" bestFit="1" customWidth="1"/>
    <col min="10750" max="10750" width="9.28515625" style="115" bestFit="1" customWidth="1"/>
    <col min="10751" max="10751" width="9.7109375" style="115" bestFit="1" customWidth="1"/>
    <col min="10752" max="10754" width="9.28515625" style="115" bestFit="1" customWidth="1"/>
    <col min="10755" max="10755" width="9.28515625" style="115" customWidth="1"/>
    <col min="10756" max="10756" width="8.7109375" style="115" bestFit="1" customWidth="1"/>
    <col min="10757" max="10757" width="9.28515625" style="115" bestFit="1" customWidth="1"/>
    <col min="10758" max="10758" width="8.7109375" style="115"/>
    <col min="10759" max="10759" width="11.5703125" style="115" bestFit="1" customWidth="1"/>
    <col min="10760" max="10761" width="9.28515625" style="115" bestFit="1" customWidth="1"/>
    <col min="10762" max="10762" width="8.7109375" style="115"/>
    <col min="10763" max="10763" width="9.7109375" style="115" bestFit="1" customWidth="1"/>
    <col min="10764" max="10765" width="9.28515625" style="115" bestFit="1" customWidth="1"/>
    <col min="10766" max="10766" width="8.7109375" style="115"/>
    <col min="10767" max="10767" width="9.28515625" style="115" bestFit="1" customWidth="1"/>
    <col min="10768" max="10768" width="10.28515625" style="115" bestFit="1" customWidth="1"/>
    <col min="10769" max="11001" width="8.7109375" style="115"/>
    <col min="11002" max="11002" width="13.28515625" style="115" bestFit="1" customWidth="1"/>
    <col min="11003" max="11003" width="20.28515625" style="115" bestFit="1" customWidth="1"/>
    <col min="11004" max="11004" width="10.28515625" style="115" bestFit="1" customWidth="1"/>
    <col min="11005" max="11005" width="8.28515625" style="115" bestFit="1" customWidth="1"/>
    <col min="11006" max="11006" width="9.28515625" style="115" bestFit="1" customWidth="1"/>
    <col min="11007" max="11007" width="9.7109375" style="115" bestFit="1" customWidth="1"/>
    <col min="11008" max="11010" width="9.28515625" style="115" bestFit="1" customWidth="1"/>
    <col min="11011" max="11011" width="9.28515625" style="115" customWidth="1"/>
    <col min="11012" max="11012" width="8.7109375" style="115" bestFit="1" customWidth="1"/>
    <col min="11013" max="11013" width="9.28515625" style="115" bestFit="1" customWidth="1"/>
    <col min="11014" max="11014" width="8.7109375" style="115"/>
    <col min="11015" max="11015" width="11.5703125" style="115" bestFit="1" customWidth="1"/>
    <col min="11016" max="11017" width="9.28515625" style="115" bestFit="1" customWidth="1"/>
    <col min="11018" max="11018" width="8.7109375" style="115"/>
    <col min="11019" max="11019" width="9.7109375" style="115" bestFit="1" customWidth="1"/>
    <col min="11020" max="11021" width="9.28515625" style="115" bestFit="1" customWidth="1"/>
    <col min="11022" max="11022" width="8.7109375" style="115"/>
    <col min="11023" max="11023" width="9.28515625" style="115" bestFit="1" customWidth="1"/>
    <col min="11024" max="11024" width="10.28515625" style="115" bestFit="1" customWidth="1"/>
    <col min="11025" max="11257" width="8.7109375" style="115"/>
    <col min="11258" max="11258" width="13.28515625" style="115" bestFit="1" customWidth="1"/>
    <col min="11259" max="11259" width="20.28515625" style="115" bestFit="1" customWidth="1"/>
    <col min="11260" max="11260" width="10.28515625" style="115" bestFit="1" customWidth="1"/>
    <col min="11261" max="11261" width="8.28515625" style="115" bestFit="1" customWidth="1"/>
    <col min="11262" max="11262" width="9.28515625" style="115" bestFit="1" customWidth="1"/>
    <col min="11263" max="11263" width="9.7109375" style="115" bestFit="1" customWidth="1"/>
    <col min="11264" max="11266" width="9.28515625" style="115" bestFit="1" customWidth="1"/>
    <col min="11267" max="11267" width="9.28515625" style="115" customWidth="1"/>
    <col min="11268" max="11268" width="8.7109375" style="115" bestFit="1" customWidth="1"/>
    <col min="11269" max="11269" width="9.28515625" style="115" bestFit="1" customWidth="1"/>
    <col min="11270" max="11270" width="8.7109375" style="115"/>
    <col min="11271" max="11271" width="11.5703125" style="115" bestFit="1" customWidth="1"/>
    <col min="11272" max="11273" width="9.28515625" style="115" bestFit="1" customWidth="1"/>
    <col min="11274" max="11274" width="8.7109375" style="115"/>
    <col min="11275" max="11275" width="9.7109375" style="115" bestFit="1" customWidth="1"/>
    <col min="11276" max="11277" width="9.28515625" style="115" bestFit="1" customWidth="1"/>
    <col min="11278" max="11278" width="8.7109375" style="115"/>
    <col min="11279" max="11279" width="9.28515625" style="115" bestFit="1" customWidth="1"/>
    <col min="11280" max="11280" width="10.28515625" style="115" bestFit="1" customWidth="1"/>
    <col min="11281" max="11513" width="8.7109375" style="115"/>
    <col min="11514" max="11514" width="13.28515625" style="115" bestFit="1" customWidth="1"/>
    <col min="11515" max="11515" width="20.28515625" style="115" bestFit="1" customWidth="1"/>
    <col min="11516" max="11516" width="10.28515625" style="115" bestFit="1" customWidth="1"/>
    <col min="11517" max="11517" width="8.28515625" style="115" bestFit="1" customWidth="1"/>
    <col min="11518" max="11518" width="9.28515625" style="115" bestFit="1" customWidth="1"/>
    <col min="11519" max="11519" width="9.7109375" style="115" bestFit="1" customWidth="1"/>
    <col min="11520" max="11522" width="9.28515625" style="115" bestFit="1" customWidth="1"/>
    <col min="11523" max="11523" width="9.28515625" style="115" customWidth="1"/>
    <col min="11524" max="11524" width="8.7109375" style="115" bestFit="1" customWidth="1"/>
    <col min="11525" max="11525" width="9.28515625" style="115" bestFit="1" customWidth="1"/>
    <col min="11526" max="11526" width="8.7109375" style="115"/>
    <col min="11527" max="11527" width="11.5703125" style="115" bestFit="1" customWidth="1"/>
    <col min="11528" max="11529" width="9.28515625" style="115" bestFit="1" customWidth="1"/>
    <col min="11530" max="11530" width="8.7109375" style="115"/>
    <col min="11531" max="11531" width="9.7109375" style="115" bestFit="1" customWidth="1"/>
    <col min="11532" max="11533" width="9.28515625" style="115" bestFit="1" customWidth="1"/>
    <col min="11534" max="11534" width="8.7109375" style="115"/>
    <col min="11535" max="11535" width="9.28515625" style="115" bestFit="1" customWidth="1"/>
    <col min="11536" max="11536" width="10.28515625" style="115" bestFit="1" customWidth="1"/>
    <col min="11537" max="11769" width="8.7109375" style="115"/>
    <col min="11770" max="11770" width="13.28515625" style="115" bestFit="1" customWidth="1"/>
    <col min="11771" max="11771" width="20.28515625" style="115" bestFit="1" customWidth="1"/>
    <col min="11772" max="11772" width="10.28515625" style="115" bestFit="1" customWidth="1"/>
    <col min="11773" max="11773" width="8.28515625" style="115" bestFit="1" customWidth="1"/>
    <col min="11774" max="11774" width="9.28515625" style="115" bestFit="1" customWidth="1"/>
    <col min="11775" max="11775" width="9.7109375" style="115" bestFit="1" customWidth="1"/>
    <col min="11776" max="11778" width="9.28515625" style="115" bestFit="1" customWidth="1"/>
    <col min="11779" max="11779" width="9.28515625" style="115" customWidth="1"/>
    <col min="11780" max="11780" width="8.7109375" style="115" bestFit="1" customWidth="1"/>
    <col min="11781" max="11781" width="9.28515625" style="115" bestFit="1" customWidth="1"/>
    <col min="11782" max="11782" width="8.7109375" style="115"/>
    <col min="11783" max="11783" width="11.5703125" style="115" bestFit="1" customWidth="1"/>
    <col min="11784" max="11785" width="9.28515625" style="115" bestFit="1" customWidth="1"/>
    <col min="11786" max="11786" width="8.7109375" style="115"/>
    <col min="11787" max="11787" width="9.7109375" style="115" bestFit="1" customWidth="1"/>
    <col min="11788" max="11789" width="9.28515625" style="115" bestFit="1" customWidth="1"/>
    <col min="11790" max="11790" width="8.7109375" style="115"/>
    <col min="11791" max="11791" width="9.28515625" style="115" bestFit="1" customWidth="1"/>
    <col min="11792" max="11792" width="10.28515625" style="115" bestFit="1" customWidth="1"/>
    <col min="11793" max="12025" width="8.7109375" style="115"/>
    <col min="12026" max="12026" width="13.28515625" style="115" bestFit="1" customWidth="1"/>
    <col min="12027" max="12027" width="20.28515625" style="115" bestFit="1" customWidth="1"/>
    <col min="12028" max="12028" width="10.28515625" style="115" bestFit="1" customWidth="1"/>
    <col min="12029" max="12029" width="8.28515625" style="115" bestFit="1" customWidth="1"/>
    <col min="12030" max="12030" width="9.28515625" style="115" bestFit="1" customWidth="1"/>
    <col min="12031" max="12031" width="9.7109375" style="115" bestFit="1" customWidth="1"/>
    <col min="12032" max="12034" width="9.28515625" style="115" bestFit="1" customWidth="1"/>
    <col min="12035" max="12035" width="9.28515625" style="115" customWidth="1"/>
    <col min="12036" max="12036" width="8.7109375" style="115" bestFit="1" customWidth="1"/>
    <col min="12037" max="12037" width="9.28515625" style="115" bestFit="1" customWidth="1"/>
    <col min="12038" max="12038" width="8.7109375" style="115"/>
    <col min="12039" max="12039" width="11.5703125" style="115" bestFit="1" customWidth="1"/>
    <col min="12040" max="12041" width="9.28515625" style="115" bestFit="1" customWidth="1"/>
    <col min="12042" max="12042" width="8.7109375" style="115"/>
    <col min="12043" max="12043" width="9.7109375" style="115" bestFit="1" customWidth="1"/>
    <col min="12044" max="12045" width="9.28515625" style="115" bestFit="1" customWidth="1"/>
    <col min="12046" max="12046" width="8.7109375" style="115"/>
    <col min="12047" max="12047" width="9.28515625" style="115" bestFit="1" customWidth="1"/>
    <col min="12048" max="12048" width="10.28515625" style="115" bestFit="1" customWidth="1"/>
    <col min="12049" max="12281" width="8.7109375" style="115"/>
    <col min="12282" max="12282" width="13.28515625" style="115" bestFit="1" customWidth="1"/>
    <col min="12283" max="12283" width="20.28515625" style="115" bestFit="1" customWidth="1"/>
    <col min="12284" max="12284" width="10.28515625" style="115" bestFit="1" customWidth="1"/>
    <col min="12285" max="12285" width="8.28515625" style="115" bestFit="1" customWidth="1"/>
    <col min="12286" max="12286" width="9.28515625" style="115" bestFit="1" customWidth="1"/>
    <col min="12287" max="12287" width="9.7109375" style="115" bestFit="1" customWidth="1"/>
    <col min="12288" max="12290" width="9.28515625" style="115" bestFit="1" customWidth="1"/>
    <col min="12291" max="12291" width="9.28515625" style="115" customWidth="1"/>
    <col min="12292" max="12292" width="8.7109375" style="115" bestFit="1" customWidth="1"/>
    <col min="12293" max="12293" width="9.28515625" style="115" bestFit="1" customWidth="1"/>
    <col min="12294" max="12294" width="8.7109375" style="115"/>
    <col min="12295" max="12295" width="11.5703125" style="115" bestFit="1" customWidth="1"/>
    <col min="12296" max="12297" width="9.28515625" style="115" bestFit="1" customWidth="1"/>
    <col min="12298" max="12298" width="8.7109375" style="115"/>
    <col min="12299" max="12299" width="9.7109375" style="115" bestFit="1" customWidth="1"/>
    <col min="12300" max="12301" width="9.28515625" style="115" bestFit="1" customWidth="1"/>
    <col min="12302" max="12302" width="8.7109375" style="115"/>
    <col min="12303" max="12303" width="9.28515625" style="115" bestFit="1" customWidth="1"/>
    <col min="12304" max="12304" width="10.28515625" style="115" bestFit="1" customWidth="1"/>
    <col min="12305" max="12537" width="8.7109375" style="115"/>
    <col min="12538" max="12538" width="13.28515625" style="115" bestFit="1" customWidth="1"/>
    <col min="12539" max="12539" width="20.28515625" style="115" bestFit="1" customWidth="1"/>
    <col min="12540" max="12540" width="10.28515625" style="115" bestFit="1" customWidth="1"/>
    <col min="12541" max="12541" width="8.28515625" style="115" bestFit="1" customWidth="1"/>
    <col min="12542" max="12542" width="9.28515625" style="115" bestFit="1" customWidth="1"/>
    <col min="12543" max="12543" width="9.7109375" style="115" bestFit="1" customWidth="1"/>
    <col min="12544" max="12546" width="9.28515625" style="115" bestFit="1" customWidth="1"/>
    <col min="12547" max="12547" width="9.28515625" style="115" customWidth="1"/>
    <col min="12548" max="12548" width="8.7109375" style="115" bestFit="1" customWidth="1"/>
    <col min="12549" max="12549" width="9.28515625" style="115" bestFit="1" customWidth="1"/>
    <col min="12550" max="12550" width="8.7109375" style="115"/>
    <col min="12551" max="12551" width="11.5703125" style="115" bestFit="1" customWidth="1"/>
    <col min="12552" max="12553" width="9.28515625" style="115" bestFit="1" customWidth="1"/>
    <col min="12554" max="12554" width="8.7109375" style="115"/>
    <col min="12555" max="12555" width="9.7109375" style="115" bestFit="1" customWidth="1"/>
    <col min="12556" max="12557" width="9.28515625" style="115" bestFit="1" customWidth="1"/>
    <col min="12558" max="12558" width="8.7109375" style="115"/>
    <col min="12559" max="12559" width="9.28515625" style="115" bestFit="1" customWidth="1"/>
    <col min="12560" max="12560" width="10.28515625" style="115" bestFit="1" customWidth="1"/>
    <col min="12561" max="12793" width="8.7109375" style="115"/>
    <col min="12794" max="12794" width="13.28515625" style="115" bestFit="1" customWidth="1"/>
    <col min="12795" max="12795" width="20.28515625" style="115" bestFit="1" customWidth="1"/>
    <col min="12796" max="12796" width="10.28515625" style="115" bestFit="1" customWidth="1"/>
    <col min="12797" max="12797" width="8.28515625" style="115" bestFit="1" customWidth="1"/>
    <col min="12798" max="12798" width="9.28515625" style="115" bestFit="1" customWidth="1"/>
    <col min="12799" max="12799" width="9.7109375" style="115" bestFit="1" customWidth="1"/>
    <col min="12800" max="12802" width="9.28515625" style="115" bestFit="1" customWidth="1"/>
    <col min="12803" max="12803" width="9.28515625" style="115" customWidth="1"/>
    <col min="12804" max="12804" width="8.7109375" style="115" bestFit="1" customWidth="1"/>
    <col min="12805" max="12805" width="9.28515625" style="115" bestFit="1" customWidth="1"/>
    <col min="12806" max="12806" width="8.7109375" style="115"/>
    <col min="12807" max="12807" width="11.5703125" style="115" bestFit="1" customWidth="1"/>
    <col min="12808" max="12809" width="9.28515625" style="115" bestFit="1" customWidth="1"/>
    <col min="12810" max="12810" width="8.7109375" style="115"/>
    <col min="12811" max="12811" width="9.7109375" style="115" bestFit="1" customWidth="1"/>
    <col min="12812" max="12813" width="9.28515625" style="115" bestFit="1" customWidth="1"/>
    <col min="12814" max="12814" width="8.7109375" style="115"/>
    <col min="12815" max="12815" width="9.28515625" style="115" bestFit="1" customWidth="1"/>
    <col min="12816" max="12816" width="10.28515625" style="115" bestFit="1" customWidth="1"/>
    <col min="12817" max="13049" width="8.7109375" style="115"/>
    <col min="13050" max="13050" width="13.28515625" style="115" bestFit="1" customWidth="1"/>
    <col min="13051" max="13051" width="20.28515625" style="115" bestFit="1" customWidth="1"/>
    <col min="13052" max="13052" width="10.28515625" style="115" bestFit="1" customWidth="1"/>
    <col min="13053" max="13053" width="8.28515625" style="115" bestFit="1" customWidth="1"/>
    <col min="13054" max="13054" width="9.28515625" style="115" bestFit="1" customWidth="1"/>
    <col min="13055" max="13055" width="9.7109375" style="115" bestFit="1" customWidth="1"/>
    <col min="13056" max="13058" width="9.28515625" style="115" bestFit="1" customWidth="1"/>
    <col min="13059" max="13059" width="9.28515625" style="115" customWidth="1"/>
    <col min="13060" max="13060" width="8.7109375" style="115" bestFit="1" customWidth="1"/>
    <col min="13061" max="13061" width="9.28515625" style="115" bestFit="1" customWidth="1"/>
    <col min="13062" max="13062" width="8.7109375" style="115"/>
    <col min="13063" max="13063" width="11.5703125" style="115" bestFit="1" customWidth="1"/>
    <col min="13064" max="13065" width="9.28515625" style="115" bestFit="1" customWidth="1"/>
    <col min="13066" max="13066" width="8.7109375" style="115"/>
    <col min="13067" max="13067" width="9.7109375" style="115" bestFit="1" customWidth="1"/>
    <col min="13068" max="13069" width="9.28515625" style="115" bestFit="1" customWidth="1"/>
    <col min="13070" max="13070" width="8.7109375" style="115"/>
    <col min="13071" max="13071" width="9.28515625" style="115" bestFit="1" customWidth="1"/>
    <col min="13072" max="13072" width="10.28515625" style="115" bestFit="1" customWidth="1"/>
    <col min="13073" max="13305" width="8.7109375" style="115"/>
    <col min="13306" max="13306" width="13.28515625" style="115" bestFit="1" customWidth="1"/>
    <col min="13307" max="13307" width="20.28515625" style="115" bestFit="1" customWidth="1"/>
    <col min="13308" max="13308" width="10.28515625" style="115" bestFit="1" customWidth="1"/>
    <col min="13309" max="13309" width="8.28515625" style="115" bestFit="1" customWidth="1"/>
    <col min="13310" max="13310" width="9.28515625" style="115" bestFit="1" customWidth="1"/>
    <col min="13311" max="13311" width="9.7109375" style="115" bestFit="1" customWidth="1"/>
    <col min="13312" max="13314" width="9.28515625" style="115" bestFit="1" customWidth="1"/>
    <col min="13315" max="13315" width="9.28515625" style="115" customWidth="1"/>
    <col min="13316" max="13316" width="8.7109375" style="115" bestFit="1" customWidth="1"/>
    <col min="13317" max="13317" width="9.28515625" style="115" bestFit="1" customWidth="1"/>
    <col min="13318" max="13318" width="8.7109375" style="115"/>
    <col min="13319" max="13319" width="11.5703125" style="115" bestFit="1" customWidth="1"/>
    <col min="13320" max="13321" width="9.28515625" style="115" bestFit="1" customWidth="1"/>
    <col min="13322" max="13322" width="8.7109375" style="115"/>
    <col min="13323" max="13323" width="9.7109375" style="115" bestFit="1" customWidth="1"/>
    <col min="13324" max="13325" width="9.28515625" style="115" bestFit="1" customWidth="1"/>
    <col min="13326" max="13326" width="8.7109375" style="115"/>
    <col min="13327" max="13327" width="9.28515625" style="115" bestFit="1" customWidth="1"/>
    <col min="13328" max="13328" width="10.28515625" style="115" bestFit="1" customWidth="1"/>
    <col min="13329" max="13561" width="8.7109375" style="115"/>
    <col min="13562" max="13562" width="13.28515625" style="115" bestFit="1" customWidth="1"/>
    <col min="13563" max="13563" width="20.28515625" style="115" bestFit="1" customWidth="1"/>
    <col min="13564" max="13564" width="10.28515625" style="115" bestFit="1" customWidth="1"/>
    <col min="13565" max="13565" width="8.28515625" style="115" bestFit="1" customWidth="1"/>
    <col min="13566" max="13566" width="9.28515625" style="115" bestFit="1" customWidth="1"/>
    <col min="13567" max="13567" width="9.7109375" style="115" bestFit="1" customWidth="1"/>
    <col min="13568" max="13570" width="9.28515625" style="115" bestFit="1" customWidth="1"/>
    <col min="13571" max="13571" width="9.28515625" style="115" customWidth="1"/>
    <col min="13572" max="13572" width="8.7109375" style="115" bestFit="1" customWidth="1"/>
    <col min="13573" max="13573" width="9.28515625" style="115" bestFit="1" customWidth="1"/>
    <col min="13574" max="13574" width="8.7109375" style="115"/>
    <col min="13575" max="13575" width="11.5703125" style="115" bestFit="1" customWidth="1"/>
    <col min="13576" max="13577" width="9.28515625" style="115" bestFit="1" customWidth="1"/>
    <col min="13578" max="13578" width="8.7109375" style="115"/>
    <col min="13579" max="13579" width="9.7109375" style="115" bestFit="1" customWidth="1"/>
    <col min="13580" max="13581" width="9.28515625" style="115" bestFit="1" customWidth="1"/>
    <col min="13582" max="13582" width="8.7109375" style="115"/>
    <col min="13583" max="13583" width="9.28515625" style="115" bestFit="1" customWidth="1"/>
    <col min="13584" max="13584" width="10.28515625" style="115" bestFit="1" customWidth="1"/>
    <col min="13585" max="13817" width="8.7109375" style="115"/>
    <col min="13818" max="13818" width="13.28515625" style="115" bestFit="1" customWidth="1"/>
    <col min="13819" max="13819" width="20.28515625" style="115" bestFit="1" customWidth="1"/>
    <col min="13820" max="13820" width="10.28515625" style="115" bestFit="1" customWidth="1"/>
    <col min="13821" max="13821" width="8.28515625" style="115" bestFit="1" customWidth="1"/>
    <col min="13822" max="13822" width="9.28515625" style="115" bestFit="1" customWidth="1"/>
    <col min="13823" max="13823" width="9.7109375" style="115" bestFit="1" customWidth="1"/>
    <col min="13824" max="13826" width="9.28515625" style="115" bestFit="1" customWidth="1"/>
    <col min="13827" max="13827" width="9.28515625" style="115" customWidth="1"/>
    <col min="13828" max="13828" width="8.7109375" style="115" bestFit="1" customWidth="1"/>
    <col min="13829" max="13829" width="9.28515625" style="115" bestFit="1" customWidth="1"/>
    <col min="13830" max="13830" width="8.7109375" style="115"/>
    <col min="13831" max="13831" width="11.5703125" style="115" bestFit="1" customWidth="1"/>
    <col min="13832" max="13833" width="9.28515625" style="115" bestFit="1" customWidth="1"/>
    <col min="13834" max="13834" width="8.7109375" style="115"/>
    <col min="13835" max="13835" width="9.7109375" style="115" bestFit="1" customWidth="1"/>
    <col min="13836" max="13837" width="9.28515625" style="115" bestFit="1" customWidth="1"/>
    <col min="13838" max="13838" width="8.7109375" style="115"/>
    <col min="13839" max="13839" width="9.28515625" style="115" bestFit="1" customWidth="1"/>
    <col min="13840" max="13840" width="10.28515625" style="115" bestFit="1" customWidth="1"/>
    <col min="13841" max="14073" width="8.7109375" style="115"/>
    <col min="14074" max="14074" width="13.28515625" style="115" bestFit="1" customWidth="1"/>
    <col min="14075" max="14075" width="20.28515625" style="115" bestFit="1" customWidth="1"/>
    <col min="14076" max="14076" width="10.28515625" style="115" bestFit="1" customWidth="1"/>
    <col min="14077" max="14077" width="8.28515625" style="115" bestFit="1" customWidth="1"/>
    <col min="14078" max="14078" width="9.28515625" style="115" bestFit="1" customWidth="1"/>
    <col min="14079" max="14079" width="9.7109375" style="115" bestFit="1" customWidth="1"/>
    <col min="14080" max="14082" width="9.28515625" style="115" bestFit="1" customWidth="1"/>
    <col min="14083" max="14083" width="9.28515625" style="115" customWidth="1"/>
    <col min="14084" max="14084" width="8.7109375" style="115" bestFit="1" customWidth="1"/>
    <col min="14085" max="14085" width="9.28515625" style="115" bestFit="1" customWidth="1"/>
    <col min="14086" max="14086" width="8.7109375" style="115"/>
    <col min="14087" max="14087" width="11.5703125" style="115" bestFit="1" customWidth="1"/>
    <col min="14088" max="14089" width="9.28515625" style="115" bestFit="1" customWidth="1"/>
    <col min="14090" max="14090" width="8.7109375" style="115"/>
    <col min="14091" max="14091" width="9.7109375" style="115" bestFit="1" customWidth="1"/>
    <col min="14092" max="14093" width="9.28515625" style="115" bestFit="1" customWidth="1"/>
    <col min="14094" max="14094" width="8.7109375" style="115"/>
    <col min="14095" max="14095" width="9.28515625" style="115" bestFit="1" customWidth="1"/>
    <col min="14096" max="14096" width="10.28515625" style="115" bestFit="1" customWidth="1"/>
    <col min="14097" max="14329" width="8.7109375" style="115"/>
    <col min="14330" max="14330" width="13.28515625" style="115" bestFit="1" customWidth="1"/>
    <col min="14331" max="14331" width="20.28515625" style="115" bestFit="1" customWidth="1"/>
    <col min="14332" max="14332" width="10.28515625" style="115" bestFit="1" customWidth="1"/>
    <col min="14333" max="14333" width="8.28515625" style="115" bestFit="1" customWidth="1"/>
    <col min="14334" max="14334" width="9.28515625" style="115" bestFit="1" customWidth="1"/>
    <col min="14335" max="14335" width="9.7109375" style="115" bestFit="1" customWidth="1"/>
    <col min="14336" max="14338" width="9.28515625" style="115" bestFit="1" customWidth="1"/>
    <col min="14339" max="14339" width="9.28515625" style="115" customWidth="1"/>
    <col min="14340" max="14340" width="8.7109375" style="115" bestFit="1" customWidth="1"/>
    <col min="14341" max="14341" width="9.28515625" style="115" bestFit="1" customWidth="1"/>
    <col min="14342" max="14342" width="8.7109375" style="115"/>
    <col min="14343" max="14343" width="11.5703125" style="115" bestFit="1" customWidth="1"/>
    <col min="14344" max="14345" width="9.28515625" style="115" bestFit="1" customWidth="1"/>
    <col min="14346" max="14346" width="8.7109375" style="115"/>
    <col min="14347" max="14347" width="9.7109375" style="115" bestFit="1" customWidth="1"/>
    <col min="14348" max="14349" width="9.28515625" style="115" bestFit="1" customWidth="1"/>
    <col min="14350" max="14350" width="8.7109375" style="115"/>
    <col min="14351" max="14351" width="9.28515625" style="115" bestFit="1" customWidth="1"/>
    <col min="14352" max="14352" width="10.28515625" style="115" bestFit="1" customWidth="1"/>
    <col min="14353" max="14585" width="8.7109375" style="115"/>
    <col min="14586" max="14586" width="13.28515625" style="115" bestFit="1" customWidth="1"/>
    <col min="14587" max="14587" width="20.28515625" style="115" bestFit="1" customWidth="1"/>
    <col min="14588" max="14588" width="10.28515625" style="115" bestFit="1" customWidth="1"/>
    <col min="14589" max="14589" width="8.28515625" style="115" bestFit="1" customWidth="1"/>
    <col min="14590" max="14590" width="9.28515625" style="115" bestFit="1" customWidth="1"/>
    <col min="14591" max="14591" width="9.7109375" style="115" bestFit="1" customWidth="1"/>
    <col min="14592" max="14594" width="9.28515625" style="115" bestFit="1" customWidth="1"/>
    <col min="14595" max="14595" width="9.28515625" style="115" customWidth="1"/>
    <col min="14596" max="14596" width="8.7109375" style="115" bestFit="1" customWidth="1"/>
    <col min="14597" max="14597" width="9.28515625" style="115" bestFit="1" customWidth="1"/>
    <col min="14598" max="14598" width="8.7109375" style="115"/>
    <col min="14599" max="14599" width="11.5703125" style="115" bestFit="1" customWidth="1"/>
    <col min="14600" max="14601" width="9.28515625" style="115" bestFit="1" customWidth="1"/>
    <col min="14602" max="14602" width="8.7109375" style="115"/>
    <col min="14603" max="14603" width="9.7109375" style="115" bestFit="1" customWidth="1"/>
    <col min="14604" max="14605" width="9.28515625" style="115" bestFit="1" customWidth="1"/>
    <col min="14606" max="14606" width="8.7109375" style="115"/>
    <col min="14607" max="14607" width="9.28515625" style="115" bestFit="1" customWidth="1"/>
    <col min="14608" max="14608" width="10.28515625" style="115" bestFit="1" customWidth="1"/>
    <col min="14609" max="14841" width="8.7109375" style="115"/>
    <col min="14842" max="14842" width="13.28515625" style="115" bestFit="1" customWidth="1"/>
    <col min="14843" max="14843" width="20.28515625" style="115" bestFit="1" customWidth="1"/>
    <col min="14844" max="14844" width="10.28515625" style="115" bestFit="1" customWidth="1"/>
    <col min="14845" max="14845" width="8.28515625" style="115" bestFit="1" customWidth="1"/>
    <col min="14846" max="14846" width="9.28515625" style="115" bestFit="1" customWidth="1"/>
    <col min="14847" max="14847" width="9.7109375" style="115" bestFit="1" customWidth="1"/>
    <col min="14848" max="14850" width="9.28515625" style="115" bestFit="1" customWidth="1"/>
    <col min="14851" max="14851" width="9.28515625" style="115" customWidth="1"/>
    <col min="14852" max="14852" width="8.7109375" style="115" bestFit="1" customWidth="1"/>
    <col min="14853" max="14853" width="9.28515625" style="115" bestFit="1" customWidth="1"/>
    <col min="14854" max="14854" width="8.7109375" style="115"/>
    <col min="14855" max="14855" width="11.5703125" style="115" bestFit="1" customWidth="1"/>
    <col min="14856" max="14857" width="9.28515625" style="115" bestFit="1" customWidth="1"/>
    <col min="14858" max="14858" width="8.7109375" style="115"/>
    <col min="14859" max="14859" width="9.7109375" style="115" bestFit="1" customWidth="1"/>
    <col min="14860" max="14861" width="9.28515625" style="115" bestFit="1" customWidth="1"/>
    <col min="14862" max="14862" width="8.7109375" style="115"/>
    <col min="14863" max="14863" width="9.28515625" style="115" bestFit="1" customWidth="1"/>
    <col min="14864" max="14864" width="10.28515625" style="115" bestFit="1" customWidth="1"/>
    <col min="14865" max="15097" width="8.7109375" style="115"/>
    <col min="15098" max="15098" width="13.28515625" style="115" bestFit="1" customWidth="1"/>
    <col min="15099" max="15099" width="20.28515625" style="115" bestFit="1" customWidth="1"/>
    <col min="15100" max="15100" width="10.28515625" style="115" bestFit="1" customWidth="1"/>
    <col min="15101" max="15101" width="8.28515625" style="115" bestFit="1" customWidth="1"/>
    <col min="15102" max="15102" width="9.28515625" style="115" bestFit="1" customWidth="1"/>
    <col min="15103" max="15103" width="9.7109375" style="115" bestFit="1" customWidth="1"/>
    <col min="15104" max="15106" width="9.28515625" style="115" bestFit="1" customWidth="1"/>
    <col min="15107" max="15107" width="9.28515625" style="115" customWidth="1"/>
    <col min="15108" max="15108" width="8.7109375" style="115" bestFit="1" customWidth="1"/>
    <col min="15109" max="15109" width="9.28515625" style="115" bestFit="1" customWidth="1"/>
    <col min="15110" max="15110" width="8.7109375" style="115"/>
    <col min="15111" max="15111" width="11.5703125" style="115" bestFit="1" customWidth="1"/>
    <col min="15112" max="15113" width="9.28515625" style="115" bestFit="1" customWidth="1"/>
    <col min="15114" max="15114" width="8.7109375" style="115"/>
    <col min="15115" max="15115" width="9.7109375" style="115" bestFit="1" customWidth="1"/>
    <col min="15116" max="15117" width="9.28515625" style="115" bestFit="1" customWidth="1"/>
    <col min="15118" max="15118" width="8.7109375" style="115"/>
    <col min="15119" max="15119" width="9.28515625" style="115" bestFit="1" customWidth="1"/>
    <col min="15120" max="15120" width="10.28515625" style="115" bestFit="1" customWidth="1"/>
    <col min="15121" max="15353" width="8.7109375" style="115"/>
    <col min="15354" max="15354" width="13.28515625" style="115" bestFit="1" customWidth="1"/>
    <col min="15355" max="15355" width="20.28515625" style="115" bestFit="1" customWidth="1"/>
    <col min="15356" max="15356" width="10.28515625" style="115" bestFit="1" customWidth="1"/>
    <col min="15357" max="15357" width="8.28515625" style="115" bestFit="1" customWidth="1"/>
    <col min="15358" max="15358" width="9.28515625" style="115" bestFit="1" customWidth="1"/>
    <col min="15359" max="15359" width="9.7109375" style="115" bestFit="1" customWidth="1"/>
    <col min="15360" max="15362" width="9.28515625" style="115" bestFit="1" customWidth="1"/>
    <col min="15363" max="15363" width="9.28515625" style="115" customWidth="1"/>
    <col min="15364" max="15364" width="8.7109375" style="115" bestFit="1" customWidth="1"/>
    <col min="15365" max="15365" width="9.28515625" style="115" bestFit="1" customWidth="1"/>
    <col min="15366" max="15366" width="8.7109375" style="115"/>
    <col min="15367" max="15367" width="11.5703125" style="115" bestFit="1" customWidth="1"/>
    <col min="15368" max="15369" width="9.28515625" style="115" bestFit="1" customWidth="1"/>
    <col min="15370" max="15370" width="8.7109375" style="115"/>
    <col min="15371" max="15371" width="9.7109375" style="115" bestFit="1" customWidth="1"/>
    <col min="15372" max="15373" width="9.28515625" style="115" bestFit="1" customWidth="1"/>
    <col min="15374" max="15374" width="8.7109375" style="115"/>
    <col min="15375" max="15375" width="9.28515625" style="115" bestFit="1" customWidth="1"/>
    <col min="15376" max="15376" width="10.28515625" style="115" bestFit="1" customWidth="1"/>
    <col min="15377" max="15609" width="8.7109375" style="115"/>
    <col min="15610" max="15610" width="13.28515625" style="115" bestFit="1" customWidth="1"/>
    <col min="15611" max="15611" width="20.28515625" style="115" bestFit="1" customWidth="1"/>
    <col min="15612" max="15612" width="10.28515625" style="115" bestFit="1" customWidth="1"/>
    <col min="15613" max="15613" width="8.28515625" style="115" bestFit="1" customWidth="1"/>
    <col min="15614" max="15614" width="9.28515625" style="115" bestFit="1" customWidth="1"/>
    <col min="15615" max="15615" width="9.7109375" style="115" bestFit="1" customWidth="1"/>
    <col min="15616" max="15618" width="9.28515625" style="115" bestFit="1" customWidth="1"/>
    <col min="15619" max="15619" width="9.28515625" style="115" customWidth="1"/>
    <col min="15620" max="15620" width="8.7109375" style="115" bestFit="1" customWidth="1"/>
    <col min="15621" max="15621" width="9.28515625" style="115" bestFit="1" customWidth="1"/>
    <col min="15622" max="15622" width="8.7109375" style="115"/>
    <col min="15623" max="15623" width="11.5703125" style="115" bestFit="1" customWidth="1"/>
    <col min="15624" max="15625" width="9.28515625" style="115" bestFit="1" customWidth="1"/>
    <col min="15626" max="15626" width="8.7109375" style="115"/>
    <col min="15627" max="15627" width="9.7109375" style="115" bestFit="1" customWidth="1"/>
    <col min="15628" max="15629" width="9.28515625" style="115" bestFit="1" customWidth="1"/>
    <col min="15630" max="15630" width="8.7109375" style="115"/>
    <col min="15631" max="15631" width="9.28515625" style="115" bestFit="1" customWidth="1"/>
    <col min="15632" max="15632" width="10.28515625" style="115" bestFit="1" customWidth="1"/>
    <col min="15633" max="15865" width="8.7109375" style="115"/>
    <col min="15866" max="15866" width="13.28515625" style="115" bestFit="1" customWidth="1"/>
    <col min="15867" max="15867" width="20.28515625" style="115" bestFit="1" customWidth="1"/>
    <col min="15868" max="15868" width="10.28515625" style="115" bestFit="1" customWidth="1"/>
    <col min="15869" max="15869" width="8.28515625" style="115" bestFit="1" customWidth="1"/>
    <col min="15870" max="15870" width="9.28515625" style="115" bestFit="1" customWidth="1"/>
    <col min="15871" max="15871" width="9.7109375" style="115" bestFit="1" customWidth="1"/>
    <col min="15872" max="15874" width="9.28515625" style="115" bestFit="1" customWidth="1"/>
    <col min="15875" max="15875" width="9.28515625" style="115" customWidth="1"/>
    <col min="15876" max="15876" width="8.7109375" style="115" bestFit="1" customWidth="1"/>
    <col min="15877" max="15877" width="9.28515625" style="115" bestFit="1" customWidth="1"/>
    <col min="15878" max="15878" width="8.7109375" style="115"/>
    <col min="15879" max="15879" width="11.5703125" style="115" bestFit="1" customWidth="1"/>
    <col min="15880" max="15881" width="9.28515625" style="115" bestFit="1" customWidth="1"/>
    <col min="15882" max="15882" width="8.7109375" style="115"/>
    <col min="15883" max="15883" width="9.7109375" style="115" bestFit="1" customWidth="1"/>
    <col min="15884" max="15885" width="9.28515625" style="115" bestFit="1" customWidth="1"/>
    <col min="15886" max="15886" width="8.7109375" style="115"/>
    <col min="15887" max="15887" width="9.28515625" style="115" bestFit="1" customWidth="1"/>
    <col min="15888" max="15888" width="10.28515625" style="115" bestFit="1" customWidth="1"/>
    <col min="15889" max="16121" width="8.7109375" style="115"/>
    <col min="16122" max="16122" width="13.28515625" style="115" bestFit="1" customWidth="1"/>
    <col min="16123" max="16123" width="20.28515625" style="115" bestFit="1" customWidth="1"/>
    <col min="16124" max="16124" width="10.28515625" style="115" bestFit="1" customWidth="1"/>
    <col min="16125" max="16125" width="8.28515625" style="115" bestFit="1" customWidth="1"/>
    <col min="16126" max="16126" width="9.28515625" style="115" bestFit="1" customWidth="1"/>
    <col min="16127" max="16127" width="9.7109375" style="115" bestFit="1" customWidth="1"/>
    <col min="16128" max="16130" width="9.28515625" style="115" bestFit="1" customWidth="1"/>
    <col min="16131" max="16131" width="9.28515625" style="115" customWidth="1"/>
    <col min="16132" max="16132" width="8.7109375" style="115" bestFit="1" customWidth="1"/>
    <col min="16133" max="16133" width="9.28515625" style="115" bestFit="1" customWidth="1"/>
    <col min="16134" max="16134" width="8.7109375" style="115"/>
    <col min="16135" max="16135" width="11.5703125" style="115" bestFit="1" customWidth="1"/>
    <col min="16136" max="16137" width="9.28515625" style="115" bestFit="1" customWidth="1"/>
    <col min="16138" max="16138" width="8.7109375" style="115"/>
    <col min="16139" max="16139" width="9.7109375" style="115" bestFit="1" customWidth="1"/>
    <col min="16140" max="16141" width="9.28515625" style="115" bestFit="1" customWidth="1"/>
    <col min="16142" max="16142" width="8.7109375" style="115"/>
    <col min="16143" max="16143" width="9.28515625" style="115" bestFit="1" customWidth="1"/>
    <col min="16144" max="16144" width="10.28515625" style="115" bestFit="1" customWidth="1"/>
    <col min="16145" max="16384" width="8.7109375" style="115"/>
  </cols>
  <sheetData>
    <row r="1" spans="1:16" ht="13.5" thickBot="1">
      <c r="A1" s="895" t="s">
        <v>152</v>
      </c>
      <c r="B1" s="895"/>
      <c r="C1" s="895"/>
      <c r="D1" s="895"/>
      <c r="E1" s="895"/>
      <c r="F1" s="895"/>
      <c r="G1" s="895"/>
      <c r="H1" s="895"/>
      <c r="I1" s="895"/>
      <c r="J1" s="895"/>
      <c r="K1" s="895"/>
      <c r="L1" s="895"/>
      <c r="M1" s="895"/>
      <c r="N1" s="895"/>
      <c r="O1" s="895"/>
      <c r="P1" s="895"/>
    </row>
    <row r="2" spans="1:16" s="123" customFormat="1" ht="76.5">
      <c r="A2" s="116" t="s">
        <v>103</v>
      </c>
      <c r="B2" s="117" t="s">
        <v>104</v>
      </c>
      <c r="C2" s="118" t="s">
        <v>105</v>
      </c>
      <c r="D2" s="118" t="s">
        <v>106</v>
      </c>
      <c r="E2" s="119" t="s">
        <v>107</v>
      </c>
      <c r="F2" s="119" t="s">
        <v>108</v>
      </c>
      <c r="G2" s="119" t="s">
        <v>109</v>
      </c>
      <c r="H2" s="116" t="s">
        <v>110</v>
      </c>
      <c r="I2" s="117" t="s">
        <v>111</v>
      </c>
      <c r="J2" s="117" t="s">
        <v>112</v>
      </c>
      <c r="K2" s="117" t="s">
        <v>113</v>
      </c>
      <c r="L2" s="120" t="s">
        <v>114</v>
      </c>
      <c r="M2" s="121" t="s">
        <v>115</v>
      </c>
      <c r="N2" s="117" t="s">
        <v>116</v>
      </c>
      <c r="O2" s="117" t="s">
        <v>117</v>
      </c>
      <c r="P2" s="122" t="s">
        <v>118</v>
      </c>
    </row>
    <row r="3" spans="1:16" ht="15">
      <c r="A3" s="124" t="s">
        <v>119</v>
      </c>
      <c r="B3" s="125" t="s">
        <v>5</v>
      </c>
      <c r="C3" s="126">
        <f>'NI RC 2018 Std'!D48</f>
        <v>0.96250000000000002</v>
      </c>
      <c r="D3" s="126">
        <f>'NI RC 2018 Std'!E32</f>
        <v>3.5000000000000003E-2</v>
      </c>
      <c r="E3" s="127">
        <f t="shared" ref="E3:E8" si="0">(C3/(1-D3))</f>
        <v>0.99740932642487057</v>
      </c>
      <c r="F3" s="128">
        <v>1000</v>
      </c>
      <c r="G3" s="128">
        <f>E3*1000</f>
        <v>997.40932642487053</v>
      </c>
      <c r="H3" s="129">
        <f t="shared" ref="H3:H8" si="1">G3</f>
        <v>997.40932642487053</v>
      </c>
      <c r="I3" s="130">
        <f t="shared" ref="I3:I10" si="2">H3/$H$10</f>
        <v>0.96376773526012249</v>
      </c>
      <c r="J3" s="128">
        <v>0</v>
      </c>
      <c r="K3" s="131">
        <f t="shared" ref="K3:K10" si="3">J3/$J$10</f>
        <v>0</v>
      </c>
      <c r="L3" s="132">
        <f t="shared" ref="L3:L8" si="4">$D3*$H3</f>
        <v>34.909326424870471</v>
      </c>
      <c r="M3" s="133">
        <f>'NI RC 2018 Std'!B48</f>
        <v>1.8048</v>
      </c>
      <c r="N3" s="134">
        <f t="shared" ref="N3:N8" si="5">$F3*$M3</f>
        <v>1804.8</v>
      </c>
      <c r="O3" s="134">
        <f t="shared" ref="O3:O8" si="6">$H3*$M3</f>
        <v>1800.1243523316064</v>
      </c>
      <c r="P3" s="135">
        <f t="shared" ref="P3:P8" si="7">$D3*$H3*$M3</f>
        <v>63.004352331606228</v>
      </c>
    </row>
    <row r="4" spans="1:16" ht="15">
      <c r="A4" s="124">
        <v>30090</v>
      </c>
      <c r="B4" s="125" t="s">
        <v>120</v>
      </c>
      <c r="C4" s="126">
        <f>'NI RC 2018 Std'!$D$36</f>
        <v>3.2819999999999995E-2</v>
      </c>
      <c r="D4" s="126">
        <v>0</v>
      </c>
      <c r="E4" s="127">
        <f t="shared" si="0"/>
        <v>3.2819999999999995E-2</v>
      </c>
      <c r="F4" s="128">
        <f t="shared" ref="F4:F9" si="8">F$3/E$3*E4</f>
        <v>32.905246753246743</v>
      </c>
      <c r="G4" s="128">
        <f t="shared" ref="G4:G9" si="9">ROUND(E4*1000,3)</f>
        <v>32.82</v>
      </c>
      <c r="H4" s="129">
        <f t="shared" si="1"/>
        <v>32.82</v>
      </c>
      <c r="I4" s="130">
        <f t="shared" si="2"/>
        <v>3.1713015141552121E-2</v>
      </c>
      <c r="J4" s="128">
        <f>H4</f>
        <v>32.82</v>
      </c>
      <c r="K4" s="131">
        <f t="shared" si="3"/>
        <v>0.87527002160172818</v>
      </c>
      <c r="L4" s="132">
        <f t="shared" si="4"/>
        <v>0</v>
      </c>
      <c r="M4" s="136">
        <f>'NI RC 2018 Std'!$B$36</f>
        <v>1.1141500000000002</v>
      </c>
      <c r="N4" s="134">
        <f t="shared" si="5"/>
        <v>36.661380670129866</v>
      </c>
      <c r="O4" s="134">
        <f t="shared" si="6"/>
        <v>36.566403000000008</v>
      </c>
      <c r="P4" s="135">
        <f t="shared" si="7"/>
        <v>0</v>
      </c>
    </row>
    <row r="5" spans="1:16" ht="15">
      <c r="A5" s="124">
        <v>30120</v>
      </c>
      <c r="B5" s="125" t="s">
        <v>121</v>
      </c>
      <c r="C5" s="126">
        <f>'NI RC 2018 Std'!$D$37</f>
        <v>0</v>
      </c>
      <c r="D5" s="126">
        <v>0</v>
      </c>
      <c r="E5" s="127">
        <f t="shared" si="0"/>
        <v>0</v>
      </c>
      <c r="F5" s="128">
        <f t="shared" si="8"/>
        <v>0</v>
      </c>
      <c r="G5" s="128">
        <f t="shared" si="9"/>
        <v>0</v>
      </c>
      <c r="H5" s="129">
        <f t="shared" si="1"/>
        <v>0</v>
      </c>
      <c r="I5" s="130">
        <f t="shared" si="2"/>
        <v>0</v>
      </c>
      <c r="J5" s="128">
        <f>H5</f>
        <v>0</v>
      </c>
      <c r="K5" s="131">
        <f t="shared" si="3"/>
        <v>0</v>
      </c>
      <c r="L5" s="132">
        <f t="shared" si="4"/>
        <v>0</v>
      </c>
      <c r="M5" s="136">
        <f>'NI RC 2018 Std'!$B$37</f>
        <v>0</v>
      </c>
      <c r="N5" s="134">
        <f t="shared" si="5"/>
        <v>0</v>
      </c>
      <c r="O5" s="134">
        <f t="shared" si="6"/>
        <v>0</v>
      </c>
      <c r="P5" s="135">
        <f t="shared" si="7"/>
        <v>0</v>
      </c>
    </row>
    <row r="6" spans="1:16" ht="15">
      <c r="A6" s="124">
        <v>30055</v>
      </c>
      <c r="B6" s="125" t="s">
        <v>122</v>
      </c>
      <c r="C6" s="126">
        <f>'NI RC 2018 Std'!$D$38</f>
        <v>4.2187500000000003E-3</v>
      </c>
      <c r="D6" s="126">
        <v>0</v>
      </c>
      <c r="E6" s="127">
        <f t="shared" si="0"/>
        <v>4.2187500000000003E-3</v>
      </c>
      <c r="F6" s="128">
        <f t="shared" si="8"/>
        <v>4.2297077922077921</v>
      </c>
      <c r="G6" s="128">
        <f t="shared" si="9"/>
        <v>4.2190000000000003</v>
      </c>
      <c r="H6" s="129">
        <f t="shared" si="1"/>
        <v>4.2190000000000003</v>
      </c>
      <c r="I6" s="130">
        <f t="shared" si="2"/>
        <v>4.0766974674652165E-3</v>
      </c>
      <c r="J6" s="128">
        <f>H6</f>
        <v>4.2190000000000003</v>
      </c>
      <c r="K6" s="131">
        <f t="shared" si="3"/>
        <v>0.11251566792010029</v>
      </c>
      <c r="L6" s="132">
        <f t="shared" si="4"/>
        <v>0</v>
      </c>
      <c r="M6" s="136">
        <f>'NI RC 2018 Std'!$B$38</f>
        <v>1.0229600000000001</v>
      </c>
      <c r="N6" s="134">
        <f t="shared" si="5"/>
        <v>4.3268218831168834</v>
      </c>
      <c r="O6" s="134">
        <f t="shared" si="6"/>
        <v>4.3158682400000004</v>
      </c>
      <c r="P6" s="135">
        <f t="shared" si="7"/>
        <v>0</v>
      </c>
    </row>
    <row r="7" spans="1:16" ht="15">
      <c r="A7" s="124">
        <v>30058</v>
      </c>
      <c r="B7" s="125" t="s">
        <v>123</v>
      </c>
      <c r="C7" s="126">
        <f>'NI RC 2018 Std'!$D$39</f>
        <v>2.7375000000000001E-4</v>
      </c>
      <c r="D7" s="126">
        <v>0</v>
      </c>
      <c r="E7" s="127">
        <f t="shared" si="0"/>
        <v>2.7375000000000001E-4</v>
      </c>
      <c r="F7" s="128">
        <f t="shared" si="8"/>
        <v>0.27446103896103896</v>
      </c>
      <c r="G7" s="128">
        <f t="shared" si="9"/>
        <v>0.27400000000000002</v>
      </c>
      <c r="H7" s="129">
        <f t="shared" si="1"/>
        <v>0.27400000000000002</v>
      </c>
      <c r="I7" s="130">
        <f t="shared" si="2"/>
        <v>2.6475826169364053E-4</v>
      </c>
      <c r="J7" s="128">
        <f>H7</f>
        <v>0.27400000000000002</v>
      </c>
      <c r="K7" s="131">
        <f t="shared" si="3"/>
        <v>7.3072512467664084E-3</v>
      </c>
      <c r="L7" s="132">
        <f t="shared" si="4"/>
        <v>0</v>
      </c>
      <c r="M7" s="136">
        <f>'NI RC 2018 Std'!$B$39</f>
        <v>2.4300000000000002</v>
      </c>
      <c r="N7" s="134">
        <f t="shared" si="5"/>
        <v>0.66694032467532471</v>
      </c>
      <c r="O7" s="134">
        <f t="shared" si="6"/>
        <v>0.66582000000000008</v>
      </c>
      <c r="P7" s="135">
        <f t="shared" si="7"/>
        <v>0</v>
      </c>
    </row>
    <row r="8" spans="1:16" ht="15">
      <c r="A8" s="124">
        <v>30054</v>
      </c>
      <c r="B8" s="125" t="s">
        <v>124</v>
      </c>
      <c r="C8" s="126">
        <f>'NI RC 2018 Std'!$D$40</f>
        <v>1.8374999999999999E-4</v>
      </c>
      <c r="D8" s="126">
        <v>0</v>
      </c>
      <c r="E8" s="127">
        <f t="shared" si="0"/>
        <v>1.8374999999999999E-4</v>
      </c>
      <c r="F8" s="128">
        <f t="shared" si="8"/>
        <v>0.18422727272727271</v>
      </c>
      <c r="G8" s="128">
        <f t="shared" si="9"/>
        <v>0.184</v>
      </c>
      <c r="H8" s="129">
        <f t="shared" si="1"/>
        <v>0.184</v>
      </c>
      <c r="I8" s="130">
        <f t="shared" si="2"/>
        <v>1.777938691665323E-4</v>
      </c>
      <c r="J8" s="128">
        <f>H8</f>
        <v>0.184</v>
      </c>
      <c r="K8" s="131">
        <f t="shared" si="3"/>
        <v>4.9070592314051789E-3</v>
      </c>
      <c r="L8" s="132">
        <f t="shared" si="4"/>
        <v>0</v>
      </c>
      <c r="M8" s="136">
        <f>'NI RC 2018 Std'!$B$40</f>
        <v>1.62</v>
      </c>
      <c r="N8" s="134">
        <f t="shared" si="5"/>
        <v>0.29844818181818183</v>
      </c>
      <c r="O8" s="134">
        <f t="shared" si="6"/>
        <v>0.29808000000000001</v>
      </c>
      <c r="P8" s="135">
        <f t="shared" si="7"/>
        <v>0</v>
      </c>
    </row>
    <row r="9" spans="1:16" ht="15">
      <c r="A9" s="137" t="s">
        <v>125</v>
      </c>
      <c r="B9" s="125" t="s">
        <v>126</v>
      </c>
      <c r="C9" s="126"/>
      <c r="D9" s="126"/>
      <c r="E9" s="127">
        <f>-D3*E3-D4*E4-D5*E5-D6*E6-D7*E7-D8*E8</f>
        <v>-3.4909326424870477E-2</v>
      </c>
      <c r="F9" s="128">
        <f t="shared" si="8"/>
        <v>-35.000000000000007</v>
      </c>
      <c r="G9" s="128">
        <f t="shared" si="9"/>
        <v>-34.908999999999999</v>
      </c>
      <c r="H9" s="128">
        <v>0</v>
      </c>
      <c r="I9" s="130">
        <f t="shared" si="2"/>
        <v>0</v>
      </c>
      <c r="J9" s="128">
        <v>0</v>
      </c>
      <c r="K9" s="131">
        <f t="shared" si="3"/>
        <v>0</v>
      </c>
      <c r="L9" s="138">
        <v>0</v>
      </c>
      <c r="M9" s="133"/>
      <c r="N9" s="125"/>
      <c r="O9" s="125"/>
      <c r="P9" s="139"/>
    </row>
    <row r="10" spans="1:16" s="151" customFormat="1" ht="13.5" thickBot="1">
      <c r="A10" s="140"/>
      <c r="B10" s="141" t="s">
        <v>127</v>
      </c>
      <c r="C10" s="142">
        <f>SUM(C3:C9)</f>
        <v>0.99999625000000003</v>
      </c>
      <c r="D10" s="142"/>
      <c r="E10" s="143">
        <f>SUM(E3:E9)</f>
        <v>0.99999625000000003</v>
      </c>
      <c r="F10" s="144">
        <f>SUM(F3:F9)</f>
        <v>1002.5936428571429</v>
      </c>
      <c r="G10" s="144">
        <f>SUM(G3:G9)</f>
        <v>999.99732642487049</v>
      </c>
      <c r="H10" s="144">
        <f>SUM(H3:H9)</f>
        <v>1034.9063264248705</v>
      </c>
      <c r="I10" s="145">
        <f t="shared" si="2"/>
        <v>1</v>
      </c>
      <c r="J10" s="144">
        <f>SUM(J3:J9)</f>
        <v>37.497</v>
      </c>
      <c r="K10" s="146">
        <f t="shared" si="3"/>
        <v>1</v>
      </c>
      <c r="L10" s="147">
        <f>SUM(L3:L9)</f>
        <v>34.909326424870471</v>
      </c>
      <c r="M10" s="148"/>
      <c r="N10" s="149">
        <f>SUM(N3:N9)</f>
        <v>1846.7535910597403</v>
      </c>
      <c r="O10" s="149">
        <f>SUM(O3:O9)</f>
        <v>1841.9705235716065</v>
      </c>
      <c r="P10" s="150">
        <f>SUM(P3:P9)</f>
        <v>63.004352331606228</v>
      </c>
    </row>
    <row r="11" spans="1:16" s="151" customFormat="1">
      <c r="A11" s="152"/>
      <c r="B11" s="151" t="s">
        <v>128</v>
      </c>
      <c r="C11" s="153"/>
      <c r="D11" s="153"/>
      <c r="E11" s="154"/>
      <c r="F11" s="154">
        <f>F10</f>
        <v>1002.5936428571429</v>
      </c>
      <c r="G11" s="154">
        <f>G10</f>
        <v>999.99732642487049</v>
      </c>
      <c r="H11" s="154">
        <v>1000</v>
      </c>
      <c r="J11" s="154">
        <v>1000</v>
      </c>
      <c r="L11" s="154">
        <v>1000</v>
      </c>
      <c r="M11" s="155"/>
      <c r="N11" s="154">
        <f>F11</f>
        <v>1002.5936428571429</v>
      </c>
      <c r="O11" s="154">
        <f>H11</f>
        <v>1000</v>
      </c>
      <c r="P11" s="156">
        <f>H11</f>
        <v>1000</v>
      </c>
    </row>
    <row r="12" spans="1:16" s="151" customFormat="1">
      <c r="A12" s="152"/>
      <c r="B12" s="151" t="s">
        <v>32</v>
      </c>
      <c r="C12" s="153"/>
      <c r="D12" s="153"/>
      <c r="E12" s="154"/>
      <c r="F12" s="154"/>
      <c r="G12" s="154"/>
      <c r="H12" s="157">
        <f>H10/H11</f>
        <v>1.0349063264248706</v>
      </c>
      <c r="J12" s="157"/>
      <c r="L12" s="157">
        <f>L10/L11</f>
        <v>3.490932642487047E-2</v>
      </c>
      <c r="M12" s="155"/>
      <c r="P12" s="158"/>
    </row>
    <row r="13" spans="1:16" s="151" customFormat="1">
      <c r="A13" s="152"/>
      <c r="B13" s="151" t="s">
        <v>129</v>
      </c>
      <c r="C13" s="153"/>
      <c r="D13" s="153"/>
      <c r="E13" s="154"/>
      <c r="F13" s="154"/>
      <c r="G13" s="154"/>
      <c r="H13" s="154"/>
      <c r="J13" s="154"/>
      <c r="M13" s="155"/>
      <c r="N13" s="159">
        <f>N10/N$11</f>
        <v>1.8419761627422164</v>
      </c>
      <c r="O13" s="159">
        <f>O10/O$11</f>
        <v>1.8419705235716064</v>
      </c>
      <c r="P13" s="160">
        <f>P10/P$11</f>
        <v>6.3004352331606228E-2</v>
      </c>
    </row>
    <row r="14" spans="1:16" s="151" customFormat="1">
      <c r="A14" s="152"/>
      <c r="B14" s="151" t="s">
        <v>130</v>
      </c>
      <c r="C14" s="153"/>
      <c r="D14" s="153"/>
      <c r="E14" s="154"/>
      <c r="F14" s="154"/>
      <c r="G14" s="154"/>
      <c r="H14" s="154"/>
      <c r="J14" s="154"/>
      <c r="M14" s="155"/>
      <c r="N14" s="159">
        <f>N3/N$11</f>
        <v>1.8001311028232418</v>
      </c>
      <c r="O14" s="159">
        <f>O3/O$11</f>
        <v>1.8001243523316064</v>
      </c>
      <c r="P14" s="160">
        <f>P3/P$11</f>
        <v>6.3004352331606228E-2</v>
      </c>
    </row>
    <row r="15" spans="1:16" s="151" customFormat="1" ht="13.5" thickBot="1">
      <c r="A15" s="161"/>
      <c r="B15" s="162" t="s">
        <v>131</v>
      </c>
      <c r="C15" s="163"/>
      <c r="D15" s="163"/>
      <c r="E15" s="164"/>
      <c r="F15" s="164"/>
      <c r="G15" s="164"/>
      <c r="H15" s="164"/>
      <c r="I15" s="162"/>
      <c r="J15" s="164"/>
      <c r="K15" s="162"/>
      <c r="L15" s="162"/>
      <c r="M15" s="165"/>
      <c r="N15" s="166">
        <f>SUM(N4:N8)/N$11</f>
        <v>4.1845059918974692E-2</v>
      </c>
      <c r="O15" s="166">
        <f>SUM(O4:O8)/O$11</f>
        <v>4.184617124E-2</v>
      </c>
      <c r="P15" s="167">
        <f>SUM(P4:P8)/P$11</f>
        <v>0</v>
      </c>
    </row>
    <row r="16" spans="1:16" s="151" customFormat="1">
      <c r="A16" s="168"/>
      <c r="C16" s="153"/>
      <c r="D16" s="153"/>
      <c r="E16" s="154"/>
      <c r="F16" s="154"/>
      <c r="G16" s="154"/>
      <c r="H16" s="154"/>
      <c r="J16" s="154"/>
      <c r="N16" s="159"/>
      <c r="O16" s="159"/>
      <c r="P16" s="159"/>
    </row>
    <row r="17" spans="1:16" ht="13.5" thickBot="1">
      <c r="A17" s="895" t="s">
        <v>132</v>
      </c>
      <c r="B17" s="895"/>
      <c r="C17" s="895"/>
      <c r="D17" s="895"/>
      <c r="E17" s="895"/>
      <c r="F17" s="895"/>
      <c r="G17" s="895"/>
      <c r="H17" s="895"/>
      <c r="I17" s="895"/>
      <c r="J17" s="895"/>
      <c r="K17" s="895"/>
      <c r="L17" s="895"/>
      <c r="M17" s="895"/>
      <c r="N17" s="895"/>
      <c r="O17" s="895"/>
      <c r="P17" s="895"/>
    </row>
    <row r="18" spans="1:16" ht="76.5">
      <c r="A18" s="116" t="s">
        <v>103</v>
      </c>
      <c r="B18" s="117" t="s">
        <v>104</v>
      </c>
      <c r="C18" s="118" t="s">
        <v>105</v>
      </c>
      <c r="D18" s="118" t="s">
        <v>106</v>
      </c>
      <c r="E18" s="119" t="s">
        <v>107</v>
      </c>
      <c r="F18" s="119" t="s">
        <v>108</v>
      </c>
      <c r="G18" s="119" t="s">
        <v>109</v>
      </c>
      <c r="H18" s="116" t="s">
        <v>110</v>
      </c>
      <c r="I18" s="117" t="s">
        <v>111</v>
      </c>
      <c r="J18" s="117" t="s">
        <v>112</v>
      </c>
      <c r="K18" s="117" t="s">
        <v>113</v>
      </c>
      <c r="L18" s="120" t="s">
        <v>114</v>
      </c>
      <c r="M18" s="121" t="s">
        <v>115</v>
      </c>
      <c r="N18" s="117" t="s">
        <v>116</v>
      </c>
      <c r="O18" s="117" t="s">
        <v>117</v>
      </c>
      <c r="P18" s="122" t="s">
        <v>118</v>
      </c>
    </row>
    <row r="19" spans="1:16" ht="15">
      <c r="A19" s="124" t="s">
        <v>119</v>
      </c>
      <c r="B19" s="125" t="s">
        <v>5</v>
      </c>
      <c r="C19" s="126">
        <f>'NI RC 2018 Std'!$D$45</f>
        <v>0.96250000000000002</v>
      </c>
      <c r="D19" s="126">
        <f>'NI RC 2018 Std'!E31</f>
        <v>0.05</v>
      </c>
      <c r="E19" s="127">
        <f t="shared" ref="E19:E24" si="10">(C19/(1-D19))</f>
        <v>1.0131578947368423</v>
      </c>
      <c r="F19" s="128">
        <v>1000</v>
      </c>
      <c r="G19" s="128">
        <f>E19*1000</f>
        <v>1013.1578947368423</v>
      </c>
      <c r="H19" s="129">
        <f t="shared" ref="H19:H24" si="11">G19</f>
        <v>1013.1578947368423</v>
      </c>
      <c r="I19" s="130">
        <f t="shared" ref="I19:I26" si="12">H19/$H$26</f>
        <v>0.96431083109417037</v>
      </c>
      <c r="J19" s="128">
        <v>0</v>
      </c>
      <c r="K19" s="131">
        <f>J19/$J$26</f>
        <v>0</v>
      </c>
      <c r="L19" s="132">
        <f t="shared" ref="L19:L24" si="13">$D19*$H19</f>
        <v>50.657894736842117</v>
      </c>
      <c r="M19" s="133">
        <f>'NI RC 2018 Std'!B45</f>
        <v>0.22170000000000001</v>
      </c>
      <c r="N19" s="134">
        <f t="shared" ref="N19:N24" si="14">F19*$M19</f>
        <v>221.70000000000002</v>
      </c>
      <c r="O19" s="134">
        <f t="shared" ref="O19:O24" si="15">H19*$M19</f>
        <v>224.61710526315795</v>
      </c>
      <c r="P19" s="135">
        <f t="shared" ref="P19:P24" si="16">$D19*$H19*$M19</f>
        <v>11.230855263157897</v>
      </c>
    </row>
    <row r="20" spans="1:16" ht="15">
      <c r="A20" s="124">
        <v>30090</v>
      </c>
      <c r="B20" s="125" t="s">
        <v>120</v>
      </c>
      <c r="C20" s="126">
        <f>'NI RC 2018 Std'!$D$36</f>
        <v>3.2819999999999995E-2</v>
      </c>
      <c r="D20" s="126">
        <v>0</v>
      </c>
      <c r="E20" s="127">
        <f t="shared" si="10"/>
        <v>3.2819999999999995E-2</v>
      </c>
      <c r="F20" s="128">
        <f>F$19/E$19*E20</f>
        <v>32.393766233766222</v>
      </c>
      <c r="G20" s="128">
        <f t="shared" ref="G20:G25" si="17">ROUND(E20*1000,3)</f>
        <v>32.82</v>
      </c>
      <c r="H20" s="129">
        <f t="shared" si="11"/>
        <v>32.82</v>
      </c>
      <c r="I20" s="130">
        <f t="shared" si="12"/>
        <v>3.1237659639153384E-2</v>
      </c>
      <c r="J20" s="128">
        <f>H20</f>
        <v>32.82</v>
      </c>
      <c r="K20" s="131">
        <f t="shared" ref="K20:K25" si="18">J20/$J$26</f>
        <v>0.87527002160172818</v>
      </c>
      <c r="L20" s="132">
        <f t="shared" si="13"/>
        <v>0</v>
      </c>
      <c r="M20" s="136">
        <f>'NI RC 2018 Std'!$B$36</f>
        <v>1.1141500000000002</v>
      </c>
      <c r="N20" s="134">
        <f t="shared" si="14"/>
        <v>36.091514649350643</v>
      </c>
      <c r="O20" s="134">
        <f t="shared" si="15"/>
        <v>36.566403000000008</v>
      </c>
      <c r="P20" s="135">
        <f t="shared" si="16"/>
        <v>0</v>
      </c>
    </row>
    <row r="21" spans="1:16" ht="15">
      <c r="A21" s="124">
        <v>30120</v>
      </c>
      <c r="B21" s="125" t="s">
        <v>121</v>
      </c>
      <c r="C21" s="126">
        <f>'NI RC 2018 Std'!$D$37</f>
        <v>0</v>
      </c>
      <c r="D21" s="126">
        <v>0</v>
      </c>
      <c r="E21" s="127">
        <f t="shared" si="10"/>
        <v>0</v>
      </c>
      <c r="F21" s="128">
        <f t="shared" ref="F21:F25" si="19">F$19/E$19*E21</f>
        <v>0</v>
      </c>
      <c r="G21" s="128">
        <f t="shared" si="17"/>
        <v>0</v>
      </c>
      <c r="H21" s="129">
        <f t="shared" si="11"/>
        <v>0</v>
      </c>
      <c r="I21" s="130">
        <f t="shared" si="12"/>
        <v>0</v>
      </c>
      <c r="J21" s="128">
        <f>H21</f>
        <v>0</v>
      </c>
      <c r="K21" s="131">
        <f t="shared" si="18"/>
        <v>0</v>
      </c>
      <c r="L21" s="132">
        <f t="shared" si="13"/>
        <v>0</v>
      </c>
      <c r="M21" s="136">
        <f>'NI RC 2018 Std'!$B$37</f>
        <v>0</v>
      </c>
      <c r="N21" s="134">
        <f t="shared" si="14"/>
        <v>0</v>
      </c>
      <c r="O21" s="134">
        <f t="shared" si="15"/>
        <v>0</v>
      </c>
      <c r="P21" s="135">
        <f t="shared" si="16"/>
        <v>0</v>
      </c>
    </row>
    <row r="22" spans="1:16" ht="15">
      <c r="A22" s="124">
        <v>30055</v>
      </c>
      <c r="B22" s="125" t="s">
        <v>122</v>
      </c>
      <c r="C22" s="126">
        <f>'NI RC 2018 Std'!$D$38</f>
        <v>4.2187500000000003E-3</v>
      </c>
      <c r="D22" s="126">
        <v>0</v>
      </c>
      <c r="E22" s="127">
        <f t="shared" si="10"/>
        <v>4.2187500000000003E-3</v>
      </c>
      <c r="F22" s="128">
        <f t="shared" si="19"/>
        <v>4.1639610389610384</v>
      </c>
      <c r="G22" s="128">
        <f t="shared" si="17"/>
        <v>4.2190000000000003</v>
      </c>
      <c r="H22" s="129">
        <f t="shared" si="11"/>
        <v>4.2190000000000003</v>
      </c>
      <c r="I22" s="130">
        <f t="shared" si="12"/>
        <v>4.0155906769527155E-3</v>
      </c>
      <c r="J22" s="128">
        <f>H22</f>
        <v>4.2190000000000003</v>
      </c>
      <c r="K22" s="131">
        <f t="shared" si="18"/>
        <v>0.11251566792010029</v>
      </c>
      <c r="L22" s="132">
        <f t="shared" si="13"/>
        <v>0</v>
      </c>
      <c r="M22" s="136">
        <f>'NI RC 2018 Std'!$B$38</f>
        <v>1.0229600000000001</v>
      </c>
      <c r="N22" s="134">
        <f t="shared" si="14"/>
        <v>4.2595655844155846</v>
      </c>
      <c r="O22" s="134">
        <f t="shared" si="15"/>
        <v>4.3158682400000004</v>
      </c>
      <c r="P22" s="135">
        <f t="shared" si="16"/>
        <v>0</v>
      </c>
    </row>
    <row r="23" spans="1:16" ht="15">
      <c r="A23" s="124">
        <v>30058</v>
      </c>
      <c r="B23" s="125" t="s">
        <v>123</v>
      </c>
      <c r="C23" s="126">
        <f>'NI RC 2018 Std'!$D$39</f>
        <v>2.7375000000000001E-4</v>
      </c>
      <c r="D23" s="126">
        <v>0</v>
      </c>
      <c r="E23" s="127">
        <f t="shared" si="10"/>
        <v>2.7375000000000001E-4</v>
      </c>
      <c r="F23" s="128">
        <f t="shared" si="19"/>
        <v>0.27019480519480515</v>
      </c>
      <c r="G23" s="128">
        <f t="shared" si="17"/>
        <v>0.27400000000000002</v>
      </c>
      <c r="H23" s="129">
        <f t="shared" si="11"/>
        <v>0.27400000000000002</v>
      </c>
      <c r="I23" s="130">
        <f t="shared" si="12"/>
        <v>2.6078972398318182E-4</v>
      </c>
      <c r="J23" s="128">
        <f>H23</f>
        <v>0.27400000000000002</v>
      </c>
      <c r="K23" s="131">
        <f t="shared" si="18"/>
        <v>7.3072512467664084E-3</v>
      </c>
      <c r="L23" s="132">
        <f t="shared" si="13"/>
        <v>0</v>
      </c>
      <c r="M23" s="136">
        <f>'NI RC 2018 Std'!$B$39</f>
        <v>2.4300000000000002</v>
      </c>
      <c r="N23" s="134">
        <f t="shared" si="14"/>
        <v>0.65657337662337656</v>
      </c>
      <c r="O23" s="134">
        <f t="shared" si="15"/>
        <v>0.66582000000000008</v>
      </c>
      <c r="P23" s="135">
        <f t="shared" si="16"/>
        <v>0</v>
      </c>
    </row>
    <row r="24" spans="1:16" ht="15">
      <c r="A24" s="124">
        <v>30054</v>
      </c>
      <c r="B24" s="125" t="s">
        <v>124</v>
      </c>
      <c r="C24" s="126">
        <f>'NI RC 2018 Std'!$D$40</f>
        <v>1.8374999999999999E-4</v>
      </c>
      <c r="D24" s="126">
        <v>0</v>
      </c>
      <c r="E24" s="127">
        <f t="shared" si="10"/>
        <v>1.8374999999999999E-4</v>
      </c>
      <c r="F24" s="128">
        <f t="shared" si="19"/>
        <v>0.18136363636363634</v>
      </c>
      <c r="G24" s="128">
        <f t="shared" si="17"/>
        <v>0.184</v>
      </c>
      <c r="H24" s="129">
        <f t="shared" si="11"/>
        <v>0.184</v>
      </c>
      <c r="I24" s="130">
        <f t="shared" si="12"/>
        <v>1.7512886574053084E-4</v>
      </c>
      <c r="J24" s="128">
        <f>H24</f>
        <v>0.184</v>
      </c>
      <c r="K24" s="131">
        <f t="shared" si="18"/>
        <v>4.9070592314051789E-3</v>
      </c>
      <c r="L24" s="132">
        <f t="shared" si="13"/>
        <v>0</v>
      </c>
      <c r="M24" s="136">
        <f>'NI RC 2018 Std'!$B$40</f>
        <v>1.62</v>
      </c>
      <c r="N24" s="134">
        <f t="shared" si="14"/>
        <v>0.29380909090909091</v>
      </c>
      <c r="O24" s="134">
        <f t="shared" si="15"/>
        <v>0.29808000000000001</v>
      </c>
      <c r="P24" s="135">
        <f t="shared" si="16"/>
        <v>0</v>
      </c>
    </row>
    <row r="25" spans="1:16" ht="15">
      <c r="A25" s="137" t="s">
        <v>125</v>
      </c>
      <c r="B25" s="125" t="s">
        <v>126</v>
      </c>
      <c r="C25" s="126"/>
      <c r="D25" s="126"/>
      <c r="E25" s="127">
        <f>-D19*E19-D20*E20-D21*E21-D22*E22-D23*E23-D24*E24</f>
        <v>-5.0657894736842117E-2</v>
      </c>
      <c r="F25" s="128">
        <f t="shared" si="19"/>
        <v>-50.000000000000007</v>
      </c>
      <c r="G25" s="128">
        <f t="shared" si="17"/>
        <v>-50.658000000000001</v>
      </c>
      <c r="H25" s="128">
        <v>0</v>
      </c>
      <c r="I25" s="130">
        <f t="shared" si="12"/>
        <v>0</v>
      </c>
      <c r="J25" s="128">
        <v>0</v>
      </c>
      <c r="K25" s="131">
        <f t="shared" si="18"/>
        <v>0</v>
      </c>
      <c r="L25" s="138">
        <v>0</v>
      </c>
      <c r="M25" s="133"/>
      <c r="N25" s="125"/>
      <c r="O25" s="125"/>
      <c r="P25" s="139"/>
    </row>
    <row r="26" spans="1:16" ht="13.5" thickBot="1">
      <c r="A26" s="140"/>
      <c r="B26" s="141" t="s">
        <v>127</v>
      </c>
      <c r="C26" s="142">
        <f>SUM(C19:C25)</f>
        <v>0.99999625000000003</v>
      </c>
      <c r="D26" s="142"/>
      <c r="E26" s="143">
        <f>SUM(E19:E25)</f>
        <v>0.99999625000000014</v>
      </c>
      <c r="F26" s="144">
        <f>SUM(F19:F25)</f>
        <v>987.00928571428562</v>
      </c>
      <c r="G26" s="144">
        <f>SUM(G19:G25)</f>
        <v>999.99689473684214</v>
      </c>
      <c r="H26" s="144">
        <f>SUM(H19:H25)</f>
        <v>1050.6548947368422</v>
      </c>
      <c r="I26" s="145">
        <f t="shared" si="12"/>
        <v>1</v>
      </c>
      <c r="J26" s="144">
        <f>SUM(J19:J25)</f>
        <v>37.497</v>
      </c>
      <c r="K26" s="146">
        <f>J26/$J$26</f>
        <v>1</v>
      </c>
      <c r="L26" s="147">
        <f>SUM(L19:L25)</f>
        <v>50.657894736842117</v>
      </c>
      <c r="M26" s="148"/>
      <c r="N26" s="149">
        <f>SUM(N19:N25)</f>
        <v>263.00146270129875</v>
      </c>
      <c r="O26" s="149">
        <f>SUM(O19:O25)</f>
        <v>266.46327650315794</v>
      </c>
      <c r="P26" s="150">
        <f>SUM(P19:P25)</f>
        <v>11.230855263157897</v>
      </c>
    </row>
    <row r="27" spans="1:16">
      <c r="A27" s="152"/>
      <c r="B27" s="151" t="s">
        <v>128</v>
      </c>
      <c r="C27" s="153"/>
      <c r="D27" s="153"/>
      <c r="E27" s="154"/>
      <c r="F27" s="154">
        <f>F26</f>
        <v>987.00928571428562</v>
      </c>
      <c r="G27" s="154">
        <f>G26</f>
        <v>999.99689473684214</v>
      </c>
      <c r="H27" s="154">
        <v>1000</v>
      </c>
      <c r="I27" s="151"/>
      <c r="J27" s="154">
        <v>1000</v>
      </c>
      <c r="K27" s="151"/>
      <c r="L27" s="154">
        <v>1000</v>
      </c>
      <c r="M27" s="155"/>
      <c r="N27" s="154">
        <f>F27</f>
        <v>987.00928571428562</v>
      </c>
      <c r="O27" s="154">
        <f>H27</f>
        <v>1000</v>
      </c>
      <c r="P27" s="156">
        <f>H27</f>
        <v>1000</v>
      </c>
    </row>
    <row r="28" spans="1:16">
      <c r="A28" s="152"/>
      <c r="B28" s="151" t="s">
        <v>32</v>
      </c>
      <c r="C28" s="153"/>
      <c r="D28" s="153"/>
      <c r="E28" s="154"/>
      <c r="F28" s="154"/>
      <c r="G28" s="154"/>
      <c r="H28" s="157">
        <f>H26/H27</f>
        <v>1.0506548947368421</v>
      </c>
      <c r="I28" s="151"/>
      <c r="J28" s="157"/>
      <c r="K28" s="151"/>
      <c r="L28" s="157">
        <f>L26/L27</f>
        <v>5.0657894736842117E-2</v>
      </c>
      <c r="M28" s="155"/>
      <c r="N28" s="151"/>
      <c r="O28" s="151"/>
      <c r="P28" s="158"/>
    </row>
    <row r="29" spans="1:16">
      <c r="A29" s="152"/>
      <c r="B29" s="151" t="s">
        <v>129</v>
      </c>
      <c r="C29" s="153"/>
      <c r="D29" s="153"/>
      <c r="E29" s="154"/>
      <c r="F29" s="154"/>
      <c r="G29" s="154"/>
      <c r="H29" s="154"/>
      <c r="I29" s="151"/>
      <c r="J29" s="154"/>
      <c r="K29" s="151"/>
      <c r="L29" s="151"/>
      <c r="M29" s="155"/>
      <c r="N29" s="159">
        <f>N26/N$27</f>
        <v>0.26646300749943608</v>
      </c>
      <c r="O29" s="159">
        <f>O26/O$27</f>
        <v>0.26646327650315793</v>
      </c>
      <c r="P29" s="160">
        <f>P26/P$27</f>
        <v>1.1230855263157898E-2</v>
      </c>
    </row>
    <row r="30" spans="1:16">
      <c r="A30" s="152"/>
      <c r="B30" s="151" t="s">
        <v>130</v>
      </c>
      <c r="C30" s="153"/>
      <c r="D30" s="153"/>
      <c r="E30" s="154"/>
      <c r="F30" s="154"/>
      <c r="G30" s="154"/>
      <c r="H30" s="154"/>
      <c r="I30" s="151"/>
      <c r="J30" s="154"/>
      <c r="K30" s="151"/>
      <c r="L30" s="151"/>
      <c r="M30" s="155"/>
      <c r="N30" s="159">
        <f>N19/N$27</f>
        <v>0.22461794758046136</v>
      </c>
      <c r="O30" s="159">
        <f>O19/O$27</f>
        <v>0.22461710526315795</v>
      </c>
      <c r="P30" s="160">
        <f>P19/P$27</f>
        <v>1.1230855263157898E-2</v>
      </c>
    </row>
    <row r="31" spans="1:16" ht="13.5" thickBot="1">
      <c r="A31" s="161"/>
      <c r="B31" s="162" t="s">
        <v>131</v>
      </c>
      <c r="C31" s="163"/>
      <c r="D31" s="163"/>
      <c r="E31" s="164"/>
      <c r="F31" s="164"/>
      <c r="G31" s="164"/>
      <c r="H31" s="164"/>
      <c r="I31" s="162"/>
      <c r="J31" s="164"/>
      <c r="K31" s="162"/>
      <c r="L31" s="162"/>
      <c r="M31" s="165"/>
      <c r="N31" s="166">
        <f>SUM(N20:N24)/N$27</f>
        <v>4.1845059918974692E-2</v>
      </c>
      <c r="O31" s="166">
        <f>SUM(O20:O24)/O$27</f>
        <v>4.184617124E-2</v>
      </c>
      <c r="P31" s="167">
        <f>SUM(P20:P24)/P$27</f>
        <v>0</v>
      </c>
    </row>
  </sheetData>
  <mergeCells count="2">
    <mergeCell ref="A1:P1"/>
    <mergeCell ref="A17:P17"/>
  </mergeCells>
  <printOptions gridLines="1"/>
  <pageMargins left="0.75" right="0.75" top="1" bottom="1" header="0.5" footer="0.5"/>
  <pageSetup scale="53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NI RC 2025 Std</vt:lpstr>
      <vt:lpstr>NI RC 2024 Std</vt:lpstr>
      <vt:lpstr>NI RC 2022 Std (BOD)</vt:lpstr>
      <vt:lpstr>NI RC 2022 Std </vt:lpstr>
      <vt:lpstr>NI RC 2021 Std</vt:lpstr>
      <vt:lpstr>NI RC 2020 Std</vt:lpstr>
      <vt:lpstr>NI RC 2019 Std</vt:lpstr>
      <vt:lpstr>NI RC 2018 Std</vt:lpstr>
      <vt:lpstr>NI RC 2017 Std</vt:lpstr>
      <vt:lpstr>2017 NI RC COSTING BOM</vt:lpstr>
      <vt:lpstr>'NI RC 2017 Std'!Print_Area</vt:lpstr>
      <vt:lpstr>'NI RC 2018 Std'!Print_Area</vt:lpstr>
      <vt:lpstr>'NI RC 2019 Std'!Print_Area</vt:lpstr>
      <vt:lpstr>'NI RC 2020 Std'!Print_Area</vt:lpstr>
      <vt:lpstr>'NI RC 2021 Std'!Print_Area</vt:lpstr>
      <vt:lpstr>'NI RC 2022 Std '!Print_Area</vt:lpstr>
      <vt:lpstr>'NI RC 2022 Std (BOD)'!Print_Area</vt:lpstr>
      <vt:lpstr>'NI RC 2024 Std'!Print_Area</vt:lpstr>
      <vt:lpstr>'NI RC 2019 Std'!Print_Titles</vt:lpstr>
      <vt:lpstr>'NI RC 2020 Std'!Print_Titles</vt:lpstr>
      <vt:lpstr>'NI RC 2021 Std'!Print_Titles</vt:lpstr>
      <vt:lpstr>'NI RC 2022 Std '!Print_Titles</vt:lpstr>
      <vt:lpstr>'NI RC 2022 Std (BOD)'!Print_Titles</vt:lpstr>
      <vt:lpstr>'NI RC 2024 Std'!Print_Titles</vt:lpstr>
    </vt:vector>
  </TitlesOfParts>
  <Company>CARBO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rlabutka</dc:creator>
  <cp:lastModifiedBy>Luu,  John</cp:lastModifiedBy>
  <cp:lastPrinted>2021-12-22T00:41:27Z</cp:lastPrinted>
  <dcterms:created xsi:type="dcterms:W3CDTF">2013-11-27T16:46:28Z</dcterms:created>
  <dcterms:modified xsi:type="dcterms:W3CDTF">2025-11-13T20:56:21Z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14.7</vt:lpwstr>
  </property>
</Properties>
</file>
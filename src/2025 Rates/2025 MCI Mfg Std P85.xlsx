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ares\Operations\Finance and Control\Plant Standards\2025 Standards\Final Drafts\"/>
    </mc:Choice>
  </mc:AlternateContent>
  <xr:revisionPtr revIDLastSave="0" documentId="13_ncr:1_{9EAFFBA8-0048-4AA3-AEDD-EE77F4518B40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2025 Summary" sheetId="29" r:id="rId1"/>
    <sheet name="Nov23" sheetId="30" r:id="rId2"/>
    <sheet name="Dec23" sheetId="31" r:id="rId3"/>
    <sheet name="Jan" sheetId="16" r:id="rId4"/>
    <sheet name="Feb" sheetId="17" r:id="rId5"/>
    <sheet name="Mar" sheetId="18" r:id="rId6"/>
    <sheet name="Apr" sheetId="19" r:id="rId7"/>
    <sheet name="May" sheetId="20" r:id="rId8"/>
    <sheet name="Jun" sheetId="21" r:id="rId9"/>
    <sheet name="Jul" sheetId="22" r:id="rId10"/>
    <sheet name="Aug" sheetId="23" r:id="rId11"/>
    <sheet name="Sep" sheetId="24" r:id="rId12"/>
    <sheet name="Oct" sheetId="25" r:id="rId13"/>
    <sheet name="Nov" sheetId="26" r:id="rId14"/>
    <sheet name="Dec" sheetId="2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21" l="1"/>
  <c r="J86" i="21"/>
  <c r="L85" i="21"/>
  <c r="J85" i="21"/>
  <c r="L84" i="21"/>
  <c r="L88" i="21" s="1"/>
  <c r="J84" i="21"/>
  <c r="J86" i="20"/>
  <c r="L86" i="20" s="1"/>
  <c r="L85" i="20"/>
  <c r="J85" i="20"/>
  <c r="J84" i="20"/>
  <c r="L84" i="20" s="1"/>
  <c r="L88" i="20" s="1"/>
  <c r="J86" i="18"/>
  <c r="L86" i="18" s="1"/>
  <c r="J85" i="18"/>
  <c r="L85" i="18" s="1"/>
  <c r="J84" i="18"/>
  <c r="L84" i="18" s="1"/>
  <c r="L88" i="18" s="1"/>
  <c r="J86" i="17"/>
  <c r="L86" i="17" s="1"/>
  <c r="J85" i="17"/>
  <c r="L85" i="17" s="1"/>
  <c r="J84" i="17"/>
  <c r="L84" i="17" s="1"/>
  <c r="L88" i="17" s="1"/>
  <c r="J85" i="30" l="1"/>
  <c r="C19" i="29" l="1"/>
  <c r="B54" i="30" l="1"/>
  <c r="B24" i="30" s="1"/>
  <c r="B59" i="28"/>
  <c r="H47" i="28" s="1"/>
  <c r="B58" i="28"/>
  <c r="H24" i="28" s="1"/>
  <c r="B57" i="28"/>
  <c r="E24" i="28" s="1"/>
  <c r="B56" i="28"/>
  <c r="B55" i="28"/>
  <c r="B54" i="28"/>
  <c r="B59" i="26"/>
  <c r="D59" i="26" s="1"/>
  <c r="B58" i="26"/>
  <c r="H24" i="26" s="1"/>
  <c r="B57" i="26"/>
  <c r="E24" i="26" s="1"/>
  <c r="AU16" i="26" s="1"/>
  <c r="B56" i="26"/>
  <c r="B55" i="26"/>
  <c r="D55" i="26" s="1"/>
  <c r="B54" i="26"/>
  <c r="B59" i="25"/>
  <c r="B58" i="25"/>
  <c r="H24" i="25" s="1"/>
  <c r="X24" i="25" s="1"/>
  <c r="B57" i="25"/>
  <c r="B56" i="25"/>
  <c r="B55" i="25"/>
  <c r="D55" i="25" s="1"/>
  <c r="B54" i="25"/>
  <c r="B59" i="24"/>
  <c r="H47" i="24" s="1"/>
  <c r="B58" i="24"/>
  <c r="B57" i="24"/>
  <c r="E24" i="24" s="1"/>
  <c r="E9" i="24" s="1"/>
  <c r="V9" i="24" s="1"/>
  <c r="B56" i="24"/>
  <c r="D56" i="24" s="1"/>
  <c r="B55" i="24"/>
  <c r="D55" i="24" s="1"/>
  <c r="B54" i="24"/>
  <c r="B59" i="23"/>
  <c r="B58" i="23"/>
  <c r="H24" i="23" s="1"/>
  <c r="B57" i="23"/>
  <c r="B56" i="23"/>
  <c r="B55" i="23"/>
  <c r="B54" i="23"/>
  <c r="B24" i="23" s="1"/>
  <c r="B59" i="22"/>
  <c r="H47" i="22" s="1"/>
  <c r="B58" i="22"/>
  <c r="B57" i="22"/>
  <c r="B56" i="22"/>
  <c r="E47" i="22" s="1"/>
  <c r="B55" i="22"/>
  <c r="D55" i="22" s="1"/>
  <c r="B54" i="22"/>
  <c r="B24" i="22" s="1"/>
  <c r="B59" i="21"/>
  <c r="B58" i="21"/>
  <c r="H24" i="21" s="1"/>
  <c r="B57" i="21"/>
  <c r="E24" i="21" s="1"/>
  <c r="E8" i="21" s="1"/>
  <c r="B56" i="21"/>
  <c r="B55" i="21"/>
  <c r="D55" i="21" s="1"/>
  <c r="B54" i="21"/>
  <c r="B24" i="21" s="1"/>
  <c r="S7" i="21" s="1"/>
  <c r="B59" i="20"/>
  <c r="H47" i="20" s="1"/>
  <c r="B58" i="20"/>
  <c r="B57" i="20"/>
  <c r="E24" i="20" s="1"/>
  <c r="B56" i="20"/>
  <c r="B55" i="20"/>
  <c r="D55" i="20" s="1"/>
  <c r="B54" i="20"/>
  <c r="B59" i="19"/>
  <c r="D59" i="19" s="1"/>
  <c r="B58" i="19"/>
  <c r="H24" i="19" s="1"/>
  <c r="H7" i="19" s="1"/>
  <c r="B57" i="19"/>
  <c r="E24" i="19" s="1"/>
  <c r="B56" i="19"/>
  <c r="B55" i="19"/>
  <c r="B47" i="19" s="1"/>
  <c r="B54" i="19"/>
  <c r="B59" i="18"/>
  <c r="H47" i="18" s="1"/>
  <c r="B58" i="18"/>
  <c r="B57" i="18"/>
  <c r="E24" i="18" s="1"/>
  <c r="E8" i="18" s="1"/>
  <c r="B56" i="18"/>
  <c r="E47" i="18" s="1"/>
  <c r="B55" i="18"/>
  <c r="D55" i="18" s="1"/>
  <c r="B54" i="18"/>
  <c r="B59" i="17"/>
  <c r="B58" i="17"/>
  <c r="H24" i="17" s="1"/>
  <c r="B57" i="17"/>
  <c r="E24" i="17" s="1"/>
  <c r="B56" i="17"/>
  <c r="B55" i="17"/>
  <c r="D55" i="17" s="1"/>
  <c r="B54" i="17"/>
  <c r="B59" i="16"/>
  <c r="D59" i="16" s="1"/>
  <c r="B58" i="16"/>
  <c r="B57" i="16"/>
  <c r="E24" i="16" s="1"/>
  <c r="B56" i="16"/>
  <c r="E47" i="16" s="1"/>
  <c r="E42" i="16" s="1"/>
  <c r="U19" i="16" s="1"/>
  <c r="B55" i="16"/>
  <c r="B47" i="16" s="1"/>
  <c r="B54" i="16"/>
  <c r="B59" i="31"/>
  <c r="B58" i="31"/>
  <c r="H24" i="31" s="1"/>
  <c r="X22" i="31" s="1"/>
  <c r="B57" i="31"/>
  <c r="B56" i="31"/>
  <c r="B55" i="31"/>
  <c r="B54" i="31"/>
  <c r="AE193" i="28"/>
  <c r="AD192" i="28"/>
  <c r="AD191" i="28"/>
  <c r="AD190" i="28"/>
  <c r="AD189" i="28"/>
  <c r="U189" i="28"/>
  <c r="AD188" i="28"/>
  <c r="AD187" i="28"/>
  <c r="AD186" i="28"/>
  <c r="AD193" i="28" s="1"/>
  <c r="C184" i="28"/>
  <c r="AE180" i="28"/>
  <c r="AD179" i="28"/>
  <c r="U179" i="28"/>
  <c r="AD178" i="28"/>
  <c r="AD180" i="28" s="1"/>
  <c r="D177" i="28"/>
  <c r="AE176" i="28"/>
  <c r="E176" i="28"/>
  <c r="D176" i="28"/>
  <c r="AD171" i="28"/>
  <c r="U171" i="28" s="1"/>
  <c r="S161" i="28"/>
  <c r="J152" i="28"/>
  <c r="H152" i="28"/>
  <c r="E152" i="28"/>
  <c r="G152" i="28" s="1"/>
  <c r="D152" i="28"/>
  <c r="J151" i="28"/>
  <c r="J153" i="28" s="1"/>
  <c r="H151" i="28"/>
  <c r="E151" i="28"/>
  <c r="G151" i="28" s="1"/>
  <c r="G153" i="28" s="1"/>
  <c r="D151" i="28"/>
  <c r="D153" i="28" s="1"/>
  <c r="D147" i="28"/>
  <c r="J146" i="28"/>
  <c r="I146" i="28"/>
  <c r="F146" i="28"/>
  <c r="E146" i="28"/>
  <c r="B146" i="28"/>
  <c r="D146" i="28" s="1"/>
  <c r="I145" i="28"/>
  <c r="J145" i="28" s="1"/>
  <c r="J147" i="28" s="1"/>
  <c r="D145" i="28"/>
  <c r="B145" i="28"/>
  <c r="J141" i="28"/>
  <c r="G141" i="28"/>
  <c r="F145" i="28" s="1"/>
  <c r="T139" i="28"/>
  <c r="H136" i="28"/>
  <c r="H135" i="28"/>
  <c r="B135" i="28"/>
  <c r="T134" i="28"/>
  <c r="B131" i="28"/>
  <c r="B133" i="28" s="1"/>
  <c r="B138" i="28" s="1"/>
  <c r="H138" i="28" s="1"/>
  <c r="H130" i="28"/>
  <c r="H131" i="28" s="1"/>
  <c r="H132" i="28" s="1"/>
  <c r="H129" i="28"/>
  <c r="B129" i="28"/>
  <c r="D113" i="28"/>
  <c r="F113" i="28" s="1"/>
  <c r="B113" i="28"/>
  <c r="B112" i="28"/>
  <c r="AE110" i="28"/>
  <c r="F110" i="28"/>
  <c r="D110" i="28"/>
  <c r="F109" i="28"/>
  <c r="F107" i="28"/>
  <c r="D107" i="28"/>
  <c r="D106" i="28"/>
  <c r="D109" i="28" s="1"/>
  <c r="AD105" i="28"/>
  <c r="H103" i="28"/>
  <c r="G103" i="28"/>
  <c r="F103" i="28"/>
  <c r="E103" i="28"/>
  <c r="D103" i="28"/>
  <c r="C103" i="28"/>
  <c r="B103" i="28"/>
  <c r="AE102" i="28"/>
  <c r="AD99" i="28" s="1"/>
  <c r="AD100" i="28"/>
  <c r="U99" i="28"/>
  <c r="AE94" i="28"/>
  <c r="AD93" i="28"/>
  <c r="AD92" i="28"/>
  <c r="AG86" i="28"/>
  <c r="AE86" i="28"/>
  <c r="J86" i="28"/>
  <c r="F86" i="28"/>
  <c r="H86" i="28" s="1"/>
  <c r="D86" i="28"/>
  <c r="AN86" i="28" s="1"/>
  <c r="AN85" i="28"/>
  <c r="AE85" i="28"/>
  <c r="J85" i="28"/>
  <c r="D85" i="28"/>
  <c r="AN84" i="28"/>
  <c r="AE84" i="28"/>
  <c r="D84" i="28"/>
  <c r="D88" i="28" s="1"/>
  <c r="F82" i="28"/>
  <c r="B82" i="28"/>
  <c r="L79" i="28"/>
  <c r="H79" i="28"/>
  <c r="AM78" i="28"/>
  <c r="AE78" i="28"/>
  <c r="L78" i="28"/>
  <c r="H78" i="28"/>
  <c r="F78" i="28"/>
  <c r="D78" i="28"/>
  <c r="AM77" i="28"/>
  <c r="B77" i="28"/>
  <c r="AM76" i="28"/>
  <c r="AE76" i="28"/>
  <c r="D76" i="28"/>
  <c r="C72" i="28"/>
  <c r="AE71" i="28"/>
  <c r="G71" i="28"/>
  <c r="F71" i="28"/>
  <c r="E71" i="28"/>
  <c r="D71" i="28"/>
  <c r="C71" i="28"/>
  <c r="B71" i="28"/>
  <c r="AE70" i="28"/>
  <c r="G70" i="28"/>
  <c r="F70" i="28"/>
  <c r="E70" i="28"/>
  <c r="D70" i="28"/>
  <c r="AE69" i="28"/>
  <c r="G69" i="28"/>
  <c r="F69" i="28"/>
  <c r="E69" i="28"/>
  <c r="D69" i="28"/>
  <c r="C69" i="28"/>
  <c r="B69" i="28"/>
  <c r="AN68" i="28"/>
  <c r="G68" i="28"/>
  <c r="G72" i="28" s="1"/>
  <c r="F68" i="28"/>
  <c r="F72" i="28" s="1"/>
  <c r="E68" i="28"/>
  <c r="D68" i="28"/>
  <c r="C68" i="28"/>
  <c r="B68" i="28"/>
  <c r="AE65" i="28"/>
  <c r="G65" i="28"/>
  <c r="F65" i="28"/>
  <c r="E65" i="28"/>
  <c r="D65" i="28"/>
  <c r="C65" i="28"/>
  <c r="G64" i="28"/>
  <c r="G66" i="28" s="1"/>
  <c r="F64" i="28"/>
  <c r="F66" i="28" s="1"/>
  <c r="E64" i="28"/>
  <c r="E66" i="28" s="1"/>
  <c r="D64" i="28"/>
  <c r="D66" i="28" s="1"/>
  <c r="C64" i="28"/>
  <c r="C66" i="28" s="1"/>
  <c r="B64" i="28"/>
  <c r="D59" i="28"/>
  <c r="D55" i="28"/>
  <c r="C49" i="28"/>
  <c r="E47" i="28"/>
  <c r="E41" i="28" s="1"/>
  <c r="U18" i="28" s="1"/>
  <c r="J43" i="28"/>
  <c r="I43" i="28"/>
  <c r="I45" i="28" s="1"/>
  <c r="G43" i="28"/>
  <c r="F43" i="28"/>
  <c r="D43" i="28"/>
  <c r="D45" i="28" s="1"/>
  <c r="C43" i="28"/>
  <c r="E37" i="28"/>
  <c r="U14" i="28" s="1"/>
  <c r="AN14" i="28" s="1"/>
  <c r="J35" i="28"/>
  <c r="J45" i="28" s="1"/>
  <c r="I35" i="28"/>
  <c r="G35" i="28"/>
  <c r="F35" i="28"/>
  <c r="F45" i="28" s="1"/>
  <c r="D35" i="28"/>
  <c r="C35" i="28"/>
  <c r="C45" i="28" s="1"/>
  <c r="F27" i="28"/>
  <c r="D27" i="28"/>
  <c r="G27" i="28" s="1"/>
  <c r="B27" i="28"/>
  <c r="J22" i="28"/>
  <c r="AG20" i="28"/>
  <c r="Z20" i="28"/>
  <c r="J20" i="28"/>
  <c r="I20" i="28"/>
  <c r="I22" i="28" s="1"/>
  <c r="G20" i="28"/>
  <c r="F20" i="28"/>
  <c r="D20" i="28"/>
  <c r="C20" i="28"/>
  <c r="C22" i="28" s="1"/>
  <c r="AT19" i="28"/>
  <c r="Z19" i="28"/>
  <c r="U178" i="28" s="1"/>
  <c r="U180" i="28" s="1"/>
  <c r="Z18" i="28"/>
  <c r="Z17" i="28"/>
  <c r="Z16" i="28"/>
  <c r="AT15" i="28"/>
  <c r="Z15" i="28"/>
  <c r="Z14" i="28"/>
  <c r="AG12" i="28"/>
  <c r="AG21" i="28" s="1"/>
  <c r="Z12" i="28"/>
  <c r="J12" i="28"/>
  <c r="G12" i="28"/>
  <c r="G22" i="28" s="1"/>
  <c r="F12" i="28"/>
  <c r="F22" i="28" s="1"/>
  <c r="D12" i="28"/>
  <c r="D22" i="28" s="1"/>
  <c r="AN8" i="28"/>
  <c r="AT7" i="28"/>
  <c r="J4" i="28"/>
  <c r="J27" i="28" s="1"/>
  <c r="H4" i="28"/>
  <c r="H27" i="28" s="1"/>
  <c r="G4" i="28"/>
  <c r="E4" i="28"/>
  <c r="E27" i="28" s="1"/>
  <c r="AE193" i="26"/>
  <c r="AD192" i="26"/>
  <c r="AD191" i="26"/>
  <c r="AD190" i="26"/>
  <c r="AD189" i="26"/>
  <c r="U189" i="26"/>
  <c r="AD188" i="26"/>
  <c r="AD187" i="26"/>
  <c r="AD186" i="26"/>
  <c r="AD193" i="26" s="1"/>
  <c r="C184" i="26"/>
  <c r="AE180" i="26"/>
  <c r="AD179" i="26"/>
  <c r="U179" i="26"/>
  <c r="AD178" i="26"/>
  <c r="AD180" i="26" s="1"/>
  <c r="D177" i="26"/>
  <c r="AE176" i="26"/>
  <c r="AD173" i="26" s="1"/>
  <c r="U173" i="26" s="1"/>
  <c r="E176" i="26"/>
  <c r="D176" i="26"/>
  <c r="AD171" i="26"/>
  <c r="U171" i="26" s="1"/>
  <c r="S161" i="26"/>
  <c r="J153" i="26"/>
  <c r="J152" i="26"/>
  <c r="H152" i="26"/>
  <c r="E152" i="26"/>
  <c r="G152" i="26" s="1"/>
  <c r="D152" i="26"/>
  <c r="J151" i="26"/>
  <c r="H151" i="26"/>
  <c r="E151" i="26"/>
  <c r="G151" i="26" s="1"/>
  <c r="G153" i="26" s="1"/>
  <c r="D151" i="26"/>
  <c r="D153" i="26" s="1"/>
  <c r="D147" i="26"/>
  <c r="J146" i="26"/>
  <c r="I146" i="26"/>
  <c r="F146" i="26"/>
  <c r="E146" i="26"/>
  <c r="B146" i="26"/>
  <c r="D146" i="26" s="1"/>
  <c r="I145" i="26"/>
  <c r="J145" i="26" s="1"/>
  <c r="J147" i="26" s="1"/>
  <c r="D145" i="26"/>
  <c r="B145" i="26"/>
  <c r="J141" i="26"/>
  <c r="G141" i="26"/>
  <c r="F145" i="26" s="1"/>
  <c r="T139" i="26"/>
  <c r="H136" i="26"/>
  <c r="H135" i="26"/>
  <c r="B135" i="26"/>
  <c r="T134" i="26"/>
  <c r="B131" i="26"/>
  <c r="B133" i="26" s="1"/>
  <c r="B138" i="26" s="1"/>
  <c r="H138" i="26" s="1"/>
  <c r="H130" i="26"/>
  <c r="H129" i="26"/>
  <c r="H131" i="26" s="1"/>
  <c r="H132" i="26" s="1"/>
  <c r="B129" i="26"/>
  <c r="D113" i="26"/>
  <c r="F113" i="26" s="1"/>
  <c r="B113" i="26"/>
  <c r="B112" i="26"/>
  <c r="AE110" i="26"/>
  <c r="F110" i="26"/>
  <c r="D110" i="26"/>
  <c r="F107" i="26"/>
  <c r="D107" i="26"/>
  <c r="D106" i="26"/>
  <c r="D109" i="26" s="1"/>
  <c r="F109" i="26" s="1"/>
  <c r="AD105" i="26"/>
  <c r="H103" i="26"/>
  <c r="G103" i="26"/>
  <c r="F103" i="26"/>
  <c r="E103" i="26"/>
  <c r="D103" i="26"/>
  <c r="C103" i="26"/>
  <c r="B103" i="26"/>
  <c r="AE102" i="26"/>
  <c r="AD99" i="26" s="1"/>
  <c r="AD100" i="26"/>
  <c r="U99" i="26"/>
  <c r="AE94" i="26"/>
  <c r="AD93" i="26"/>
  <c r="AD92" i="26"/>
  <c r="AG86" i="26"/>
  <c r="AE86" i="26"/>
  <c r="J86" i="26"/>
  <c r="F86" i="26"/>
  <c r="H86" i="26" s="1"/>
  <c r="D86" i="26"/>
  <c r="AN86" i="26" s="1"/>
  <c r="AN85" i="26"/>
  <c r="AE85" i="26"/>
  <c r="J85" i="26"/>
  <c r="D85" i="26"/>
  <c r="AN84" i="26"/>
  <c r="AE84" i="26"/>
  <c r="D84" i="26"/>
  <c r="D88" i="26" s="1"/>
  <c r="F82" i="26"/>
  <c r="B82" i="26"/>
  <c r="L79" i="26"/>
  <c r="H79" i="26"/>
  <c r="AM78" i="26"/>
  <c r="AE78" i="26"/>
  <c r="L78" i="26"/>
  <c r="H78" i="26"/>
  <c r="F78" i="26"/>
  <c r="D78" i="26"/>
  <c r="AM77" i="26"/>
  <c r="B77" i="26"/>
  <c r="AM76" i="26"/>
  <c r="AE76" i="26"/>
  <c r="D76" i="26"/>
  <c r="C72" i="26"/>
  <c r="AE71" i="26"/>
  <c r="G71" i="26"/>
  <c r="F71" i="26"/>
  <c r="E71" i="26"/>
  <c r="D71" i="26"/>
  <c r="C71" i="26"/>
  <c r="B71" i="26"/>
  <c r="AM70" i="26"/>
  <c r="AE70" i="26"/>
  <c r="G70" i="26"/>
  <c r="F70" i="26"/>
  <c r="E70" i="26"/>
  <c r="D70" i="26"/>
  <c r="AE69" i="26"/>
  <c r="G69" i="26"/>
  <c r="F69" i="26"/>
  <c r="E69" i="26"/>
  <c r="D69" i="26"/>
  <c r="C69" i="26"/>
  <c r="B69" i="26"/>
  <c r="AN68" i="26"/>
  <c r="G68" i="26"/>
  <c r="G72" i="26" s="1"/>
  <c r="F68" i="26"/>
  <c r="F72" i="26" s="1"/>
  <c r="E68" i="26"/>
  <c r="D68" i="26"/>
  <c r="C68" i="26"/>
  <c r="B68" i="26"/>
  <c r="AE65" i="26"/>
  <c r="G65" i="26"/>
  <c r="F65" i="26"/>
  <c r="E65" i="26"/>
  <c r="D65" i="26"/>
  <c r="C65" i="26"/>
  <c r="G64" i="26"/>
  <c r="G66" i="26" s="1"/>
  <c r="F64" i="26"/>
  <c r="F66" i="26" s="1"/>
  <c r="E64" i="26"/>
  <c r="E66" i="26" s="1"/>
  <c r="D64" i="26"/>
  <c r="D66" i="26" s="1"/>
  <c r="C64" i="26"/>
  <c r="C66" i="26" s="1"/>
  <c r="B64" i="26"/>
  <c r="C49" i="26"/>
  <c r="D45" i="26"/>
  <c r="J43" i="26"/>
  <c r="I43" i="26"/>
  <c r="I45" i="26" s="1"/>
  <c r="G43" i="26"/>
  <c r="F43" i="26"/>
  <c r="D43" i="26"/>
  <c r="C43" i="26"/>
  <c r="J35" i="26"/>
  <c r="J45" i="26" s="1"/>
  <c r="I35" i="26"/>
  <c r="G35" i="26"/>
  <c r="F35" i="26"/>
  <c r="F45" i="26" s="1"/>
  <c r="D35" i="26"/>
  <c r="C35" i="26"/>
  <c r="C45" i="26" s="1"/>
  <c r="F27" i="26"/>
  <c r="D27" i="26"/>
  <c r="G27" i="26" s="1"/>
  <c r="B27" i="26"/>
  <c r="B24" i="26"/>
  <c r="AL7" i="26" s="1"/>
  <c r="I22" i="26"/>
  <c r="AG21" i="26"/>
  <c r="AG20" i="26"/>
  <c r="J20" i="26"/>
  <c r="I20" i="26"/>
  <c r="G20" i="26"/>
  <c r="F20" i="26"/>
  <c r="F22" i="26" s="1"/>
  <c r="D20" i="26"/>
  <c r="C20" i="26"/>
  <c r="C22" i="26" s="1"/>
  <c r="Z19" i="26"/>
  <c r="U178" i="26" s="1"/>
  <c r="U180" i="26" s="1"/>
  <c r="Z18" i="26"/>
  <c r="Z17" i="26"/>
  <c r="Z16" i="26"/>
  <c r="Z15" i="26"/>
  <c r="Z14" i="26"/>
  <c r="AG12" i="26"/>
  <c r="Z12" i="26"/>
  <c r="J12" i="26"/>
  <c r="J22" i="26" s="1"/>
  <c r="G12" i="26"/>
  <c r="F12" i="26"/>
  <c r="D12" i="26"/>
  <c r="D22" i="26" s="1"/>
  <c r="J4" i="26"/>
  <c r="J27" i="26" s="1"/>
  <c r="H4" i="26"/>
  <c r="H27" i="26" s="1"/>
  <c r="G4" i="26"/>
  <c r="E4" i="26"/>
  <c r="E27" i="26" s="1"/>
  <c r="AE193" i="25"/>
  <c r="AD192" i="25"/>
  <c r="AD191" i="25"/>
  <c r="AD190" i="25"/>
  <c r="AD189" i="25"/>
  <c r="U189" i="25"/>
  <c r="AD188" i="25"/>
  <c r="AD187" i="25"/>
  <c r="AD186" i="25"/>
  <c r="AD193" i="25" s="1"/>
  <c r="C184" i="25"/>
  <c r="AE180" i="25"/>
  <c r="AD179" i="25"/>
  <c r="AD178" i="25"/>
  <c r="AD180" i="25" s="1"/>
  <c r="D177" i="25"/>
  <c r="AE176" i="25"/>
  <c r="AD173" i="25" s="1"/>
  <c r="U173" i="25" s="1"/>
  <c r="E176" i="25"/>
  <c r="D176" i="25"/>
  <c r="AD171" i="25"/>
  <c r="U171" i="25" s="1"/>
  <c r="S161" i="25"/>
  <c r="J152" i="25"/>
  <c r="H152" i="25"/>
  <c r="E152" i="25"/>
  <c r="G152" i="25" s="1"/>
  <c r="D152" i="25"/>
  <c r="J151" i="25"/>
  <c r="J153" i="25" s="1"/>
  <c r="H151" i="25"/>
  <c r="E151" i="25"/>
  <c r="G151" i="25" s="1"/>
  <c r="G153" i="25" s="1"/>
  <c r="D151" i="25"/>
  <c r="D153" i="25" s="1"/>
  <c r="D147" i="25"/>
  <c r="J146" i="25"/>
  <c r="I146" i="25"/>
  <c r="F146" i="25"/>
  <c r="E146" i="25"/>
  <c r="G146" i="25" s="1"/>
  <c r="D146" i="25"/>
  <c r="B146" i="25"/>
  <c r="I145" i="25"/>
  <c r="J145" i="25" s="1"/>
  <c r="J147" i="25" s="1"/>
  <c r="D145" i="25"/>
  <c r="B145" i="25"/>
  <c r="J141" i="25"/>
  <c r="G141" i="25"/>
  <c r="F145" i="25" s="1"/>
  <c r="T139" i="25"/>
  <c r="H136" i="25"/>
  <c r="H135" i="25"/>
  <c r="B135" i="25"/>
  <c r="T134" i="25"/>
  <c r="B133" i="25"/>
  <c r="B131" i="25"/>
  <c r="H130" i="25"/>
  <c r="H129" i="25"/>
  <c r="H131" i="25" s="1"/>
  <c r="H132" i="25" s="1"/>
  <c r="B138" i="25" s="1"/>
  <c r="H138" i="25" s="1"/>
  <c r="B129" i="25"/>
  <c r="D113" i="25"/>
  <c r="B113" i="25"/>
  <c r="B112" i="25"/>
  <c r="AE110" i="25"/>
  <c r="D110" i="25"/>
  <c r="F110" i="25" s="1"/>
  <c r="F109" i="25"/>
  <c r="F107" i="25"/>
  <c r="D107" i="25"/>
  <c r="F106" i="25"/>
  <c r="D106" i="25"/>
  <c r="D109" i="25" s="1"/>
  <c r="H103" i="25"/>
  <c r="G103" i="25"/>
  <c r="F103" i="25"/>
  <c r="E103" i="25"/>
  <c r="D103" i="25"/>
  <c r="C103" i="25"/>
  <c r="B103" i="25"/>
  <c r="AE102" i="25"/>
  <c r="AD99" i="25" s="1"/>
  <c r="AD100" i="25"/>
  <c r="AE94" i="25"/>
  <c r="AD93" i="25"/>
  <c r="AD92" i="25"/>
  <c r="D88" i="25"/>
  <c r="AG86" i="25"/>
  <c r="AE86" i="25"/>
  <c r="J86" i="25"/>
  <c r="H86" i="25"/>
  <c r="F86" i="25"/>
  <c r="D86" i="25"/>
  <c r="AN86" i="25" s="1"/>
  <c r="AN85" i="25"/>
  <c r="AE85" i="25"/>
  <c r="D85" i="25"/>
  <c r="AE84" i="25"/>
  <c r="D84" i="25"/>
  <c r="AN84" i="25" s="1"/>
  <c r="F82" i="25"/>
  <c r="B82" i="25"/>
  <c r="L79" i="25"/>
  <c r="H79" i="25"/>
  <c r="AM78" i="25"/>
  <c r="AE78" i="25"/>
  <c r="L78" i="25"/>
  <c r="H78" i="25"/>
  <c r="F78" i="25"/>
  <c r="D78" i="25"/>
  <c r="AM77" i="25"/>
  <c r="B77" i="25"/>
  <c r="AM76" i="25"/>
  <c r="AE76" i="25"/>
  <c r="J76" i="25"/>
  <c r="L76" i="25" s="1"/>
  <c r="D76" i="25"/>
  <c r="G72" i="25"/>
  <c r="AE71" i="25"/>
  <c r="G71" i="25"/>
  <c r="F71" i="25"/>
  <c r="E71" i="25"/>
  <c r="D71" i="25"/>
  <c r="C71" i="25"/>
  <c r="B71" i="25"/>
  <c r="AM70" i="25"/>
  <c r="AE70" i="25"/>
  <c r="G70" i="25"/>
  <c r="F70" i="25"/>
  <c r="E70" i="25"/>
  <c r="D70" i="25"/>
  <c r="AM69" i="25"/>
  <c r="AE69" i="25"/>
  <c r="G69" i="25"/>
  <c r="F69" i="25"/>
  <c r="E69" i="25"/>
  <c r="D69" i="25"/>
  <c r="C69" i="25"/>
  <c r="B69" i="25"/>
  <c r="G68" i="25"/>
  <c r="F68" i="25"/>
  <c r="F72" i="25" s="1"/>
  <c r="E68" i="25"/>
  <c r="D68" i="25"/>
  <c r="C68" i="25"/>
  <c r="C72" i="25" s="1"/>
  <c r="B68" i="25"/>
  <c r="F66" i="25"/>
  <c r="AM65" i="25"/>
  <c r="AE65" i="25"/>
  <c r="G65" i="25"/>
  <c r="F65" i="25"/>
  <c r="E65" i="25"/>
  <c r="D65" i="25"/>
  <c r="C65" i="25"/>
  <c r="AM64" i="25"/>
  <c r="G64" i="25"/>
  <c r="G66" i="25" s="1"/>
  <c r="F64" i="25"/>
  <c r="E64" i="25"/>
  <c r="D64" i="25"/>
  <c r="D66" i="25" s="1"/>
  <c r="C64" i="25"/>
  <c r="C66" i="25" s="1"/>
  <c r="B64" i="25"/>
  <c r="C49" i="25"/>
  <c r="E47" i="25"/>
  <c r="E30" i="25" s="1"/>
  <c r="I45" i="25"/>
  <c r="J43" i="25"/>
  <c r="I43" i="25"/>
  <c r="G43" i="25"/>
  <c r="F43" i="25"/>
  <c r="D43" i="25"/>
  <c r="C43" i="25"/>
  <c r="E38" i="25"/>
  <c r="U15" i="25" s="1"/>
  <c r="AN15" i="25" s="1"/>
  <c r="J35" i="25"/>
  <c r="J45" i="25" s="1"/>
  <c r="I35" i="25"/>
  <c r="G35" i="25"/>
  <c r="F35" i="25"/>
  <c r="F45" i="25" s="1"/>
  <c r="D35" i="25"/>
  <c r="D45" i="25" s="1"/>
  <c r="C35" i="25"/>
  <c r="C45" i="25" s="1"/>
  <c r="G27" i="25"/>
  <c r="F27" i="25"/>
  <c r="D27" i="25"/>
  <c r="B27" i="25"/>
  <c r="J22" i="25"/>
  <c r="I22" i="25"/>
  <c r="AG20" i="25"/>
  <c r="Z20" i="25"/>
  <c r="J20" i="25"/>
  <c r="I20" i="25"/>
  <c r="G20" i="25"/>
  <c r="F20" i="25"/>
  <c r="D20" i="25"/>
  <c r="C20" i="25"/>
  <c r="C22" i="25" s="1"/>
  <c r="Z19" i="25"/>
  <c r="U178" i="25" s="1"/>
  <c r="Z18" i="25"/>
  <c r="Z17" i="25"/>
  <c r="Z16" i="25"/>
  <c r="Z15" i="25"/>
  <c r="Z14" i="25"/>
  <c r="AG12" i="25"/>
  <c r="AG21" i="25" s="1"/>
  <c r="Z12" i="25"/>
  <c r="Z21" i="25" s="1"/>
  <c r="J12" i="25"/>
  <c r="G12" i="25"/>
  <c r="F12" i="25"/>
  <c r="F22" i="25" s="1"/>
  <c r="D12" i="25"/>
  <c r="D22" i="25" s="1"/>
  <c r="J4" i="25"/>
  <c r="J27" i="25" s="1"/>
  <c r="H4" i="25"/>
  <c r="H27" i="25" s="1"/>
  <c r="G4" i="25"/>
  <c r="E4" i="25"/>
  <c r="E27" i="25" s="1"/>
  <c r="AE193" i="24"/>
  <c r="AD192" i="24"/>
  <c r="AD191" i="24"/>
  <c r="AD190" i="24"/>
  <c r="AD189" i="24"/>
  <c r="AD188" i="24"/>
  <c r="AD187" i="24"/>
  <c r="AD186" i="24"/>
  <c r="AD193" i="24" s="1"/>
  <c r="C184" i="24"/>
  <c r="AE180" i="24"/>
  <c r="AD179" i="24"/>
  <c r="AD178" i="24"/>
  <c r="AD180" i="24" s="1"/>
  <c r="D177" i="24"/>
  <c r="AE176" i="24"/>
  <c r="AD173" i="24" s="1"/>
  <c r="U173" i="24" s="1"/>
  <c r="AD170" i="24"/>
  <c r="U170" i="24" s="1"/>
  <c r="S161" i="24"/>
  <c r="J153" i="24"/>
  <c r="D153" i="24"/>
  <c r="H152" i="24"/>
  <c r="J152" i="24" s="1"/>
  <c r="E152" i="24"/>
  <c r="G152" i="24" s="1"/>
  <c r="D152" i="24"/>
  <c r="J151" i="24"/>
  <c r="H151" i="24"/>
  <c r="E151" i="24"/>
  <c r="G151" i="24" s="1"/>
  <c r="G153" i="24" s="1"/>
  <c r="D151" i="24"/>
  <c r="D147" i="24"/>
  <c r="J146" i="24"/>
  <c r="I146" i="24"/>
  <c r="F146" i="24"/>
  <c r="E146" i="24"/>
  <c r="B146" i="24"/>
  <c r="D146" i="24" s="1"/>
  <c r="I145" i="24"/>
  <c r="J145" i="24" s="1"/>
  <c r="J147" i="24" s="1"/>
  <c r="F145" i="24"/>
  <c r="D145" i="24"/>
  <c r="B145" i="24"/>
  <c r="J141" i="24"/>
  <c r="G141" i="24"/>
  <c r="T139" i="24"/>
  <c r="H136" i="24"/>
  <c r="H135" i="24"/>
  <c r="B135" i="24"/>
  <c r="T134" i="24"/>
  <c r="H131" i="24"/>
  <c r="H132" i="24" s="1"/>
  <c r="H130" i="24"/>
  <c r="H129" i="24"/>
  <c r="B129" i="24"/>
  <c r="B131" i="24" s="1"/>
  <c r="B133" i="24" s="1"/>
  <c r="B113" i="24"/>
  <c r="B112" i="24"/>
  <c r="AE110" i="24"/>
  <c r="F110" i="24"/>
  <c r="D110" i="24"/>
  <c r="AD108" i="24"/>
  <c r="F107" i="24"/>
  <c r="D107" i="24"/>
  <c r="AD106" i="24"/>
  <c r="D106" i="24"/>
  <c r="AD105" i="24"/>
  <c r="AD104" i="24"/>
  <c r="U104" i="24"/>
  <c r="H103" i="24"/>
  <c r="G103" i="24"/>
  <c r="F103" i="24"/>
  <c r="E103" i="24"/>
  <c r="D103" i="24"/>
  <c r="C103" i="24"/>
  <c r="B103" i="24"/>
  <c r="AE102" i="24"/>
  <c r="AD100" i="24" s="1"/>
  <c r="AE94" i="24"/>
  <c r="AD93" i="24"/>
  <c r="AD92" i="24"/>
  <c r="D88" i="24"/>
  <c r="AN86" i="24"/>
  <c r="AE86" i="24"/>
  <c r="J86" i="24"/>
  <c r="F86" i="24"/>
  <c r="H86" i="24" s="1"/>
  <c r="D86" i="24"/>
  <c r="AE85" i="24"/>
  <c r="D85" i="24"/>
  <c r="AE84" i="24"/>
  <c r="D84" i="24"/>
  <c r="AN84" i="24" s="1"/>
  <c r="F82" i="24"/>
  <c r="B82" i="24"/>
  <c r="L79" i="24"/>
  <c r="H79" i="24"/>
  <c r="AM78" i="24"/>
  <c r="AE78" i="24"/>
  <c r="L78" i="24"/>
  <c r="F78" i="24"/>
  <c r="H78" i="24" s="1"/>
  <c r="D78" i="24"/>
  <c r="B77" i="24"/>
  <c r="AM76" i="24"/>
  <c r="AE76" i="24"/>
  <c r="D76" i="24"/>
  <c r="AE71" i="24"/>
  <c r="G71" i="24"/>
  <c r="F71" i="24"/>
  <c r="E71" i="24"/>
  <c r="D71" i="24"/>
  <c r="C71" i="24"/>
  <c r="B71" i="24"/>
  <c r="AE70" i="24"/>
  <c r="G70" i="24"/>
  <c r="F70" i="24"/>
  <c r="E70" i="24"/>
  <c r="D70" i="24"/>
  <c r="AE69" i="24"/>
  <c r="G69" i="24"/>
  <c r="F69" i="24"/>
  <c r="E69" i="24"/>
  <c r="D69" i="24"/>
  <c r="D72" i="24" s="1"/>
  <c r="C69" i="24"/>
  <c r="B69" i="24"/>
  <c r="G68" i="24"/>
  <c r="G72" i="24" s="1"/>
  <c r="F68" i="24"/>
  <c r="F72" i="24" s="1"/>
  <c r="E68" i="24"/>
  <c r="D68" i="24"/>
  <c r="C68" i="24"/>
  <c r="C72" i="24" s="1"/>
  <c r="B68" i="24"/>
  <c r="C66" i="24"/>
  <c r="AE65" i="24"/>
  <c r="G65" i="24"/>
  <c r="G66" i="24" s="1"/>
  <c r="F65" i="24"/>
  <c r="E65" i="24"/>
  <c r="D65" i="24"/>
  <c r="C65" i="24"/>
  <c r="G64" i="24"/>
  <c r="F64" i="24"/>
  <c r="F66" i="24" s="1"/>
  <c r="E64" i="24"/>
  <c r="E66" i="24" s="1"/>
  <c r="D64" i="24"/>
  <c r="D66" i="24" s="1"/>
  <c r="C64" i="24"/>
  <c r="B64" i="24"/>
  <c r="C49" i="24"/>
  <c r="J43" i="24"/>
  <c r="J45" i="24" s="1"/>
  <c r="I43" i="24"/>
  <c r="G43" i="24"/>
  <c r="F43" i="24"/>
  <c r="D43" i="24"/>
  <c r="C43" i="24"/>
  <c r="J35" i="24"/>
  <c r="I35" i="24"/>
  <c r="I45" i="24" s="1"/>
  <c r="G35" i="24"/>
  <c r="F35" i="24"/>
  <c r="D35" i="24"/>
  <c r="D45" i="24" s="1"/>
  <c r="C35" i="24"/>
  <c r="C45" i="24" s="1"/>
  <c r="G27" i="24"/>
  <c r="F27" i="24"/>
  <c r="D27" i="24"/>
  <c r="B27" i="24"/>
  <c r="B24" i="24"/>
  <c r="AR8" i="24" s="1"/>
  <c r="I22" i="24"/>
  <c r="C22" i="24"/>
  <c r="AG21" i="24"/>
  <c r="AG20" i="24"/>
  <c r="J20" i="24"/>
  <c r="I20" i="24"/>
  <c r="G20" i="24"/>
  <c r="F20" i="24"/>
  <c r="D20" i="24"/>
  <c r="C20" i="24"/>
  <c r="Z16" i="24"/>
  <c r="U108" i="24" s="1"/>
  <c r="Z15" i="24"/>
  <c r="Z14" i="24"/>
  <c r="U92" i="24" s="1"/>
  <c r="AG12" i="24"/>
  <c r="Z12" i="24"/>
  <c r="J12" i="24"/>
  <c r="G12" i="24"/>
  <c r="G22" i="24" s="1"/>
  <c r="F12" i="24"/>
  <c r="D12" i="24"/>
  <c r="D22" i="24" s="1"/>
  <c r="J4" i="24"/>
  <c r="J27" i="24" s="1"/>
  <c r="H4" i="24"/>
  <c r="H27" i="24" s="1"/>
  <c r="G4" i="24"/>
  <c r="E4" i="24"/>
  <c r="E27" i="24" s="1"/>
  <c r="AE193" i="23"/>
  <c r="AD192" i="23"/>
  <c r="AD191" i="23"/>
  <c r="AD190" i="23"/>
  <c r="AD189" i="23"/>
  <c r="U189" i="23"/>
  <c r="AD188" i="23"/>
  <c r="AD187" i="23"/>
  <c r="AD186" i="23"/>
  <c r="C184" i="23"/>
  <c r="AE180" i="23"/>
  <c r="AD179" i="23"/>
  <c r="AD178" i="23"/>
  <c r="AD180" i="23" s="1"/>
  <c r="AE176" i="23"/>
  <c r="D176" i="23"/>
  <c r="S161" i="23"/>
  <c r="H152" i="23"/>
  <c r="J152" i="23" s="1"/>
  <c r="E152" i="23"/>
  <c r="G152" i="23" s="1"/>
  <c r="D152" i="23"/>
  <c r="J151" i="23"/>
  <c r="J153" i="23" s="1"/>
  <c r="H151" i="23"/>
  <c r="G151" i="23"/>
  <c r="G153" i="23" s="1"/>
  <c r="E151" i="23"/>
  <c r="D151" i="23"/>
  <c r="D153" i="23" s="1"/>
  <c r="J146" i="23"/>
  <c r="I146" i="23"/>
  <c r="F146" i="23"/>
  <c r="E146" i="23"/>
  <c r="G146" i="23" s="1"/>
  <c r="B146" i="23"/>
  <c r="D146" i="23" s="1"/>
  <c r="D145" i="23"/>
  <c r="D147" i="23" s="1"/>
  <c r="B145" i="23"/>
  <c r="J141" i="23"/>
  <c r="G141" i="23"/>
  <c r="F145" i="23" s="1"/>
  <c r="T139" i="23"/>
  <c r="H136" i="23"/>
  <c r="H135" i="23"/>
  <c r="B135" i="23"/>
  <c r="T134" i="23"/>
  <c r="B133" i="23"/>
  <c r="B138" i="23" s="1"/>
  <c r="H138" i="23" s="1"/>
  <c r="H130" i="23"/>
  <c r="H129" i="23"/>
  <c r="H131" i="23" s="1"/>
  <c r="H132" i="23" s="1"/>
  <c r="B129" i="23"/>
  <c r="B131" i="23" s="1"/>
  <c r="B113" i="23"/>
  <c r="B112" i="23"/>
  <c r="AE110" i="23"/>
  <c r="D110" i="23"/>
  <c r="F110" i="23" s="1"/>
  <c r="F107" i="23"/>
  <c r="D107" i="23"/>
  <c r="F106" i="23"/>
  <c r="D106" i="23"/>
  <c r="D109" i="23" s="1"/>
  <c r="F109" i="23" s="1"/>
  <c r="H103" i="23"/>
  <c r="G103" i="23"/>
  <c r="F103" i="23"/>
  <c r="E103" i="23"/>
  <c r="D103" i="23"/>
  <c r="C103" i="23"/>
  <c r="B103" i="23"/>
  <c r="AE102" i="23"/>
  <c r="AE94" i="23"/>
  <c r="AD92" i="23" s="1"/>
  <c r="AD93" i="23"/>
  <c r="D88" i="23"/>
  <c r="AE86" i="23"/>
  <c r="L86" i="23"/>
  <c r="AO86" i="23" s="1"/>
  <c r="J86" i="23"/>
  <c r="AG86" i="23" s="1"/>
  <c r="F86" i="23"/>
  <c r="H86" i="23" s="1"/>
  <c r="D86" i="23"/>
  <c r="AN86" i="23" s="1"/>
  <c r="AE85" i="23"/>
  <c r="D85" i="23"/>
  <c r="AN85" i="23" s="1"/>
  <c r="AN84" i="23"/>
  <c r="AE84" i="23"/>
  <c r="J84" i="23"/>
  <c r="D84" i="23"/>
  <c r="F82" i="23"/>
  <c r="B82" i="23"/>
  <c r="L79" i="23"/>
  <c r="H79" i="23"/>
  <c r="AM78" i="23"/>
  <c r="AE78" i="23"/>
  <c r="L78" i="23"/>
  <c r="H78" i="23"/>
  <c r="F78" i="23"/>
  <c r="D78" i="23"/>
  <c r="AM77" i="23"/>
  <c r="AM76" i="23"/>
  <c r="AM64" i="23" s="1"/>
  <c r="AE76" i="23"/>
  <c r="D76" i="23"/>
  <c r="G71" i="23"/>
  <c r="F71" i="23"/>
  <c r="E71" i="23"/>
  <c r="D71" i="23"/>
  <c r="C71" i="23"/>
  <c r="B71" i="23"/>
  <c r="B77" i="23" s="1"/>
  <c r="AE70" i="23"/>
  <c r="G70" i="23"/>
  <c r="F70" i="23"/>
  <c r="E70" i="23"/>
  <c r="D70" i="23"/>
  <c r="AE69" i="23"/>
  <c r="G69" i="23"/>
  <c r="F69" i="23"/>
  <c r="E69" i="23"/>
  <c r="D69" i="23"/>
  <c r="C69" i="23"/>
  <c r="B69" i="23"/>
  <c r="AN68" i="23"/>
  <c r="G68" i="23"/>
  <c r="F68" i="23"/>
  <c r="F72" i="23" s="1"/>
  <c r="E68" i="23"/>
  <c r="E72" i="23" s="1"/>
  <c r="D68" i="23"/>
  <c r="D72" i="23" s="1"/>
  <c r="C68" i="23"/>
  <c r="B68" i="23"/>
  <c r="AM65" i="23"/>
  <c r="AE65" i="23"/>
  <c r="G65" i="23"/>
  <c r="F65" i="23"/>
  <c r="E65" i="23"/>
  <c r="D65" i="23"/>
  <c r="C65" i="23"/>
  <c r="AE64" i="23"/>
  <c r="G64" i="23"/>
  <c r="G66" i="23" s="1"/>
  <c r="F64" i="23"/>
  <c r="F66" i="23" s="1"/>
  <c r="E64" i="23"/>
  <c r="E66" i="23" s="1"/>
  <c r="D64" i="23"/>
  <c r="D66" i="23" s="1"/>
  <c r="C64" i="23"/>
  <c r="C66" i="23" s="1"/>
  <c r="B64" i="23"/>
  <c r="F76" i="23" s="1"/>
  <c r="H76" i="23" s="1"/>
  <c r="D56" i="23"/>
  <c r="D55" i="23"/>
  <c r="C49" i="23"/>
  <c r="E47" i="23"/>
  <c r="AN7" i="23" s="1"/>
  <c r="AT7" i="23" s="1"/>
  <c r="B47" i="23"/>
  <c r="AM8" i="23" s="1"/>
  <c r="AS8" i="23" s="1"/>
  <c r="J43" i="23"/>
  <c r="I43" i="23"/>
  <c r="G43" i="23"/>
  <c r="F43" i="23"/>
  <c r="D43" i="23"/>
  <c r="C43" i="23"/>
  <c r="J35" i="23"/>
  <c r="J45" i="23" s="1"/>
  <c r="I35" i="23"/>
  <c r="I45" i="23" s="1"/>
  <c r="G35" i="23"/>
  <c r="F35" i="23"/>
  <c r="F45" i="23" s="1"/>
  <c r="D35" i="23"/>
  <c r="C35" i="23"/>
  <c r="C45" i="23" s="1"/>
  <c r="F27" i="23"/>
  <c r="D27" i="23"/>
  <c r="G27" i="23" s="1"/>
  <c r="B27" i="23"/>
  <c r="C22" i="23"/>
  <c r="AG20" i="23"/>
  <c r="J20" i="23"/>
  <c r="I20" i="23"/>
  <c r="I22" i="23" s="1"/>
  <c r="G20" i="23"/>
  <c r="F20" i="23"/>
  <c r="D20" i="23"/>
  <c r="C20" i="23"/>
  <c r="Z19" i="23"/>
  <c r="Z18" i="23"/>
  <c r="Z17" i="23"/>
  <c r="Z16" i="23"/>
  <c r="Z15" i="23"/>
  <c r="Z14" i="23"/>
  <c r="AG12" i="23"/>
  <c r="AG21" i="23" s="1"/>
  <c r="Z12" i="23"/>
  <c r="J12" i="23"/>
  <c r="G12" i="23"/>
  <c r="G22" i="23" s="1"/>
  <c r="F12" i="23"/>
  <c r="D12" i="23"/>
  <c r="D22" i="23" s="1"/>
  <c r="J4" i="23"/>
  <c r="J27" i="23" s="1"/>
  <c r="H4" i="23"/>
  <c r="H27" i="23" s="1"/>
  <c r="G4" i="23"/>
  <c r="E4" i="23"/>
  <c r="E27" i="23" s="1"/>
  <c r="AE193" i="22"/>
  <c r="AD192" i="22"/>
  <c r="AD191" i="22"/>
  <c r="AD190" i="22"/>
  <c r="AD189" i="22"/>
  <c r="AD188" i="22"/>
  <c r="AD187" i="22"/>
  <c r="AD186" i="22"/>
  <c r="AD193" i="22" s="1"/>
  <c r="C184" i="22"/>
  <c r="AE180" i="22"/>
  <c r="AD179" i="22"/>
  <c r="AD178" i="22"/>
  <c r="AD180" i="22" s="1"/>
  <c r="D177" i="22"/>
  <c r="AE176" i="22"/>
  <c r="AD173" i="22" s="1"/>
  <c r="U173" i="22" s="1"/>
  <c r="E176" i="22"/>
  <c r="D176" i="22"/>
  <c r="AD171" i="22"/>
  <c r="U171" i="22" s="1"/>
  <c r="S161" i="22"/>
  <c r="J152" i="22"/>
  <c r="H152" i="22"/>
  <c r="E152" i="22"/>
  <c r="G152" i="22" s="1"/>
  <c r="D152" i="22"/>
  <c r="J151" i="22"/>
  <c r="J153" i="22" s="1"/>
  <c r="H151" i="22"/>
  <c r="E151" i="22"/>
  <c r="G151" i="22" s="1"/>
  <c r="G153" i="22" s="1"/>
  <c r="D151" i="22"/>
  <c r="D153" i="22" s="1"/>
  <c r="D147" i="22"/>
  <c r="J146" i="22"/>
  <c r="I146" i="22"/>
  <c r="F146" i="22"/>
  <c r="E146" i="22"/>
  <c r="G146" i="22" s="1"/>
  <c r="B146" i="22"/>
  <c r="D146" i="22" s="1"/>
  <c r="I145" i="22"/>
  <c r="J145" i="22" s="1"/>
  <c r="J147" i="22" s="1"/>
  <c r="D145" i="22"/>
  <c r="B145" i="22"/>
  <c r="J141" i="22"/>
  <c r="G141" i="22"/>
  <c r="F145" i="22" s="1"/>
  <c r="T139" i="22"/>
  <c r="H136" i="22"/>
  <c r="H135" i="22"/>
  <c r="B135" i="22"/>
  <c r="T134" i="22"/>
  <c r="B131" i="22"/>
  <c r="B133" i="22" s="1"/>
  <c r="B138" i="22" s="1"/>
  <c r="H138" i="22" s="1"/>
  <c r="H130" i="22"/>
  <c r="H131" i="22" s="1"/>
  <c r="H132" i="22" s="1"/>
  <c r="H129" i="22"/>
  <c r="B129" i="22"/>
  <c r="D113" i="22"/>
  <c r="F113" i="22" s="1"/>
  <c r="B113" i="22"/>
  <c r="B112" i="22"/>
  <c r="AE110" i="22"/>
  <c r="F110" i="22"/>
  <c r="D110" i="22"/>
  <c r="F107" i="22"/>
  <c r="D107" i="22"/>
  <c r="D106" i="22"/>
  <c r="D109" i="22" s="1"/>
  <c r="F109" i="22" s="1"/>
  <c r="AD105" i="22"/>
  <c r="H103" i="22"/>
  <c r="G103" i="22"/>
  <c r="F103" i="22"/>
  <c r="E103" i="22"/>
  <c r="D103" i="22"/>
  <c r="C103" i="22"/>
  <c r="B103" i="22"/>
  <c r="AE102" i="22"/>
  <c r="AD99" i="22" s="1"/>
  <c r="AD100" i="22"/>
  <c r="U99" i="22"/>
  <c r="AE94" i="22"/>
  <c r="AD93" i="22"/>
  <c r="AD92" i="22"/>
  <c r="D88" i="22"/>
  <c r="AN86" i="22"/>
  <c r="AG86" i="22"/>
  <c r="AE86" i="22"/>
  <c r="J86" i="22"/>
  <c r="F86" i="22"/>
  <c r="H86" i="22" s="1"/>
  <c r="D86" i="22"/>
  <c r="AN85" i="22"/>
  <c r="AE85" i="22"/>
  <c r="D85" i="22"/>
  <c r="AE84" i="22"/>
  <c r="J84" i="22"/>
  <c r="AG84" i="22" s="1"/>
  <c r="D84" i="22"/>
  <c r="AN84" i="22" s="1"/>
  <c r="F82" i="22"/>
  <c r="B82" i="22"/>
  <c r="L79" i="22"/>
  <c r="H79" i="22"/>
  <c r="AM78" i="22"/>
  <c r="AE78" i="22"/>
  <c r="L78" i="22"/>
  <c r="F78" i="22"/>
  <c r="H78" i="22" s="1"/>
  <c r="D78" i="22"/>
  <c r="AM77" i="22"/>
  <c r="B77" i="22"/>
  <c r="AM76" i="22"/>
  <c r="AE76" i="22"/>
  <c r="D76" i="22"/>
  <c r="F72" i="22"/>
  <c r="C72" i="22"/>
  <c r="AE71" i="22"/>
  <c r="G71" i="22"/>
  <c r="F71" i="22"/>
  <c r="E71" i="22"/>
  <c r="D71" i="22"/>
  <c r="C71" i="22"/>
  <c r="B71" i="22"/>
  <c r="AM70" i="22"/>
  <c r="AE70" i="22"/>
  <c r="G70" i="22"/>
  <c r="F70" i="22"/>
  <c r="E70" i="22"/>
  <c r="D70" i="22"/>
  <c r="AE69" i="22"/>
  <c r="G69" i="22"/>
  <c r="F69" i="22"/>
  <c r="E69" i="22"/>
  <c r="D69" i="22"/>
  <c r="C69" i="22"/>
  <c r="B69" i="22"/>
  <c r="AN68" i="22"/>
  <c r="G68" i="22"/>
  <c r="G72" i="22" s="1"/>
  <c r="F68" i="22"/>
  <c r="E68" i="22"/>
  <c r="D68" i="22"/>
  <c r="C68" i="22"/>
  <c r="B68" i="22"/>
  <c r="E66" i="22"/>
  <c r="AE65" i="22"/>
  <c r="G65" i="22"/>
  <c r="F65" i="22"/>
  <c r="E65" i="22"/>
  <c r="D65" i="22"/>
  <c r="C65" i="22"/>
  <c r="G64" i="22"/>
  <c r="G66" i="22" s="1"/>
  <c r="F64" i="22"/>
  <c r="E64" i="22"/>
  <c r="D64" i="22"/>
  <c r="D66" i="22" s="1"/>
  <c r="C64" i="22"/>
  <c r="C66" i="22" s="1"/>
  <c r="B64" i="22"/>
  <c r="C49" i="22"/>
  <c r="J45" i="22"/>
  <c r="J43" i="22"/>
  <c r="I43" i="22"/>
  <c r="G43" i="22"/>
  <c r="F43" i="22"/>
  <c r="D43" i="22"/>
  <c r="C43" i="22"/>
  <c r="J35" i="22"/>
  <c r="I35" i="22"/>
  <c r="G35" i="22"/>
  <c r="F35" i="22"/>
  <c r="D35" i="22"/>
  <c r="D45" i="22" s="1"/>
  <c r="C35" i="22"/>
  <c r="C45" i="22" s="1"/>
  <c r="G27" i="22"/>
  <c r="F27" i="22"/>
  <c r="D27" i="22"/>
  <c r="B27" i="22"/>
  <c r="H24" i="22"/>
  <c r="X22" i="22" s="1"/>
  <c r="E24" i="22"/>
  <c r="G22" i="22"/>
  <c r="C22" i="22"/>
  <c r="AG20" i="22"/>
  <c r="J20" i="22"/>
  <c r="I20" i="22"/>
  <c r="I22" i="22" s="1"/>
  <c r="G20" i="22"/>
  <c r="F20" i="22"/>
  <c r="D20" i="22"/>
  <c r="C20" i="22"/>
  <c r="Z19" i="22"/>
  <c r="U178" i="22" s="1"/>
  <c r="Z18" i="22"/>
  <c r="U189" i="22" s="1"/>
  <c r="AW17" i="22"/>
  <c r="Z17" i="22"/>
  <c r="Z16" i="22"/>
  <c r="H16" i="22"/>
  <c r="X16" i="22" s="1"/>
  <c r="AQ16" i="22" s="1"/>
  <c r="Z15" i="22"/>
  <c r="Z14" i="22"/>
  <c r="AG12" i="22"/>
  <c r="AG21" i="22" s="1"/>
  <c r="Z12" i="22"/>
  <c r="J12" i="22"/>
  <c r="J22" i="22" s="1"/>
  <c r="G12" i="22"/>
  <c r="F12" i="22"/>
  <c r="F22" i="22" s="1"/>
  <c r="D12" i="22"/>
  <c r="D22" i="22" s="1"/>
  <c r="AW8" i="22"/>
  <c r="H8" i="22"/>
  <c r="J4" i="22"/>
  <c r="J27" i="22" s="1"/>
  <c r="H4" i="22"/>
  <c r="H27" i="22" s="1"/>
  <c r="G4" i="22"/>
  <c r="E4" i="22"/>
  <c r="E27" i="22" s="1"/>
  <c r="AE193" i="21"/>
  <c r="AD192" i="21"/>
  <c r="AD191" i="21"/>
  <c r="AD190" i="21"/>
  <c r="AD189" i="21"/>
  <c r="U189" i="21"/>
  <c r="AD188" i="21"/>
  <c r="AD187" i="21"/>
  <c r="AD186" i="21"/>
  <c r="AD193" i="21" s="1"/>
  <c r="C184" i="21"/>
  <c r="AE180" i="21"/>
  <c r="AD179" i="21"/>
  <c r="U179" i="21"/>
  <c r="AD178" i="21"/>
  <c r="AD180" i="21" s="1"/>
  <c r="D177" i="21"/>
  <c r="AE176" i="21"/>
  <c r="E176" i="21"/>
  <c r="D176" i="21"/>
  <c r="AD171" i="21"/>
  <c r="U171" i="21" s="1"/>
  <c r="S161" i="21"/>
  <c r="J152" i="21"/>
  <c r="H152" i="21"/>
  <c r="E152" i="21"/>
  <c r="G152" i="21" s="1"/>
  <c r="D152" i="21"/>
  <c r="J151" i="21"/>
  <c r="J153" i="21" s="1"/>
  <c r="H151" i="21"/>
  <c r="E151" i="21"/>
  <c r="G151" i="21" s="1"/>
  <c r="G153" i="21" s="1"/>
  <c r="D151" i="21"/>
  <c r="D153" i="21" s="1"/>
  <c r="D147" i="21"/>
  <c r="J146" i="21"/>
  <c r="I146" i="21"/>
  <c r="F146" i="21"/>
  <c r="E146" i="21"/>
  <c r="B146" i="21"/>
  <c r="D146" i="21" s="1"/>
  <c r="I145" i="21"/>
  <c r="J145" i="21" s="1"/>
  <c r="J147" i="21" s="1"/>
  <c r="D145" i="21"/>
  <c r="B145" i="21"/>
  <c r="J141" i="21"/>
  <c r="G141" i="21"/>
  <c r="F145" i="21" s="1"/>
  <c r="T139" i="21"/>
  <c r="H136" i="21"/>
  <c r="H135" i="21"/>
  <c r="B135" i="21"/>
  <c r="T134" i="21"/>
  <c r="B131" i="21"/>
  <c r="B133" i="21" s="1"/>
  <c r="B138" i="21" s="1"/>
  <c r="H138" i="21" s="1"/>
  <c r="H130" i="21"/>
  <c r="H129" i="21"/>
  <c r="H131" i="21" s="1"/>
  <c r="H132" i="21" s="1"/>
  <c r="B129" i="21"/>
  <c r="D113" i="21"/>
  <c r="F113" i="21" s="1"/>
  <c r="B113" i="21"/>
  <c r="B112" i="21"/>
  <c r="AE110" i="21"/>
  <c r="F110" i="21"/>
  <c r="D110" i="21"/>
  <c r="F109" i="21"/>
  <c r="F107" i="21"/>
  <c r="D107" i="21"/>
  <c r="F106" i="21"/>
  <c r="D106" i="21"/>
  <c r="D109" i="21" s="1"/>
  <c r="H103" i="21"/>
  <c r="G103" i="21"/>
  <c r="F103" i="21"/>
  <c r="E103" i="21"/>
  <c r="D103" i="21"/>
  <c r="C103" i="21"/>
  <c r="B103" i="21"/>
  <c r="AE102" i="21"/>
  <c r="AE94" i="21"/>
  <c r="AD93" i="21"/>
  <c r="AD92" i="21"/>
  <c r="D88" i="21"/>
  <c r="AG86" i="21"/>
  <c r="AE86" i="21"/>
  <c r="F86" i="21"/>
  <c r="H86" i="21" s="1"/>
  <c r="D86" i="21"/>
  <c r="AN86" i="21" s="1"/>
  <c r="AN85" i="21"/>
  <c r="AE85" i="21"/>
  <c r="D85" i="21"/>
  <c r="AE84" i="21"/>
  <c r="AG84" i="21"/>
  <c r="D84" i="21"/>
  <c r="AN84" i="21" s="1"/>
  <c r="F82" i="21"/>
  <c r="B82" i="21"/>
  <c r="L79" i="21"/>
  <c r="H79" i="21"/>
  <c r="AM78" i="21"/>
  <c r="AE78" i="21"/>
  <c r="L78" i="21"/>
  <c r="H78" i="21"/>
  <c r="F78" i="21"/>
  <c r="D78" i="21"/>
  <c r="AM77" i="21"/>
  <c r="B77" i="21"/>
  <c r="AM76" i="21"/>
  <c r="AE76" i="21"/>
  <c r="D76" i="21"/>
  <c r="AE71" i="21"/>
  <c r="G71" i="21"/>
  <c r="F71" i="21"/>
  <c r="E71" i="21"/>
  <c r="D71" i="21"/>
  <c r="C71" i="21"/>
  <c r="C72" i="21" s="1"/>
  <c r="B71" i="21"/>
  <c r="AM70" i="21"/>
  <c r="AE70" i="21"/>
  <c r="G70" i="21"/>
  <c r="F70" i="21"/>
  <c r="E70" i="21"/>
  <c r="D70" i="21"/>
  <c r="AM69" i="21"/>
  <c r="AE69" i="21"/>
  <c r="G69" i="21"/>
  <c r="F69" i="21"/>
  <c r="E69" i="21"/>
  <c r="D69" i="21"/>
  <c r="C69" i="21"/>
  <c r="B69" i="21"/>
  <c r="AN68" i="21"/>
  <c r="G68" i="21"/>
  <c r="F68" i="21"/>
  <c r="F72" i="21" s="1"/>
  <c r="E68" i="21"/>
  <c r="E72" i="21" s="1"/>
  <c r="D68" i="21"/>
  <c r="D72" i="21" s="1"/>
  <c r="C68" i="21"/>
  <c r="B68" i="21"/>
  <c r="E66" i="21"/>
  <c r="AM65" i="21"/>
  <c r="AE65" i="21"/>
  <c r="G65" i="21"/>
  <c r="F65" i="21"/>
  <c r="F66" i="21" s="1"/>
  <c r="E65" i="21"/>
  <c r="D65" i="21"/>
  <c r="C65" i="21"/>
  <c r="AM64" i="21"/>
  <c r="G64" i="21"/>
  <c r="G66" i="21" s="1"/>
  <c r="F64" i="21"/>
  <c r="E64" i="21"/>
  <c r="D64" i="21"/>
  <c r="D66" i="21" s="1"/>
  <c r="C64" i="21"/>
  <c r="C66" i="21" s="1"/>
  <c r="B64" i="21"/>
  <c r="C49" i="21"/>
  <c r="I45" i="21"/>
  <c r="J43" i="21"/>
  <c r="I43" i="21"/>
  <c r="G43" i="21"/>
  <c r="F43" i="21"/>
  <c r="D43" i="21"/>
  <c r="C43" i="21"/>
  <c r="J35" i="21"/>
  <c r="J45" i="21" s="1"/>
  <c r="I35" i="21"/>
  <c r="G35" i="21"/>
  <c r="F35" i="21"/>
  <c r="F45" i="21" s="1"/>
  <c r="D35" i="21"/>
  <c r="D45" i="21" s="1"/>
  <c r="C35" i="21"/>
  <c r="C45" i="21" s="1"/>
  <c r="F27" i="21"/>
  <c r="D27" i="21"/>
  <c r="G27" i="21" s="1"/>
  <c r="B27" i="21"/>
  <c r="I22" i="21"/>
  <c r="AG20" i="21"/>
  <c r="J20" i="21"/>
  <c r="I20" i="21"/>
  <c r="G20" i="21"/>
  <c r="F20" i="21"/>
  <c r="D20" i="21"/>
  <c r="C20" i="21"/>
  <c r="C22" i="21" s="1"/>
  <c r="Z19" i="21"/>
  <c r="U178" i="21" s="1"/>
  <c r="U180" i="21" s="1"/>
  <c r="Z18" i="21"/>
  <c r="Z17" i="21"/>
  <c r="Z16" i="21"/>
  <c r="Z15" i="21"/>
  <c r="Z14" i="21"/>
  <c r="AG12" i="21"/>
  <c r="AG21" i="21" s="1"/>
  <c r="Z12" i="21"/>
  <c r="J12" i="21"/>
  <c r="J22" i="21" s="1"/>
  <c r="G12" i="21"/>
  <c r="G22" i="21" s="1"/>
  <c r="F12" i="21"/>
  <c r="D12" i="21"/>
  <c r="D22" i="21" s="1"/>
  <c r="J4" i="21"/>
  <c r="J27" i="21" s="1"/>
  <c r="H4" i="21"/>
  <c r="H27" i="21" s="1"/>
  <c r="G4" i="21"/>
  <c r="E4" i="21"/>
  <c r="E27" i="21" s="1"/>
  <c r="AE193" i="20"/>
  <c r="AD192" i="20"/>
  <c r="AD191" i="20"/>
  <c r="AD190" i="20"/>
  <c r="AD189" i="20"/>
  <c r="U189" i="20"/>
  <c r="AD188" i="20"/>
  <c r="AD187" i="20"/>
  <c r="AD186" i="20"/>
  <c r="AD193" i="20" s="1"/>
  <c r="C184" i="20"/>
  <c r="AE180" i="20"/>
  <c r="AD179" i="20"/>
  <c r="AD178" i="20"/>
  <c r="AD180" i="20" s="1"/>
  <c r="D177" i="20"/>
  <c r="AE176" i="20"/>
  <c r="E176" i="20"/>
  <c r="D176" i="20"/>
  <c r="AD171" i="20"/>
  <c r="U171" i="20" s="1"/>
  <c r="S161" i="20"/>
  <c r="J152" i="20"/>
  <c r="H152" i="20"/>
  <c r="E152" i="20"/>
  <c r="G152" i="20" s="1"/>
  <c r="D152" i="20"/>
  <c r="J151" i="20"/>
  <c r="J153" i="20" s="1"/>
  <c r="H151" i="20"/>
  <c r="E151" i="20"/>
  <c r="G151" i="20" s="1"/>
  <c r="G153" i="20" s="1"/>
  <c r="D151" i="20"/>
  <c r="D153" i="20" s="1"/>
  <c r="D147" i="20"/>
  <c r="J146" i="20"/>
  <c r="I146" i="20"/>
  <c r="F146" i="20"/>
  <c r="E146" i="20"/>
  <c r="G146" i="20" s="1"/>
  <c r="B146" i="20"/>
  <c r="D146" i="20" s="1"/>
  <c r="I145" i="20"/>
  <c r="J145" i="20" s="1"/>
  <c r="J147" i="20" s="1"/>
  <c r="D145" i="20"/>
  <c r="B145" i="20"/>
  <c r="J141" i="20"/>
  <c r="G141" i="20"/>
  <c r="F145" i="20" s="1"/>
  <c r="T139" i="20"/>
  <c r="H136" i="20"/>
  <c r="H135" i="20"/>
  <c r="B135" i="20"/>
  <c r="T134" i="20"/>
  <c r="B131" i="20"/>
  <c r="B133" i="20" s="1"/>
  <c r="B138" i="20" s="1"/>
  <c r="H138" i="20" s="1"/>
  <c r="H130" i="20"/>
  <c r="H129" i="20"/>
  <c r="H131" i="20" s="1"/>
  <c r="H132" i="20" s="1"/>
  <c r="B129" i="20"/>
  <c r="D113" i="20"/>
  <c r="F113" i="20" s="1"/>
  <c r="B113" i="20"/>
  <c r="B112" i="20"/>
  <c r="AE110" i="20"/>
  <c r="F110" i="20"/>
  <c r="D110" i="20"/>
  <c r="F109" i="20"/>
  <c r="F107" i="20"/>
  <c r="D107" i="20"/>
  <c r="D106" i="20"/>
  <c r="D109" i="20" s="1"/>
  <c r="AD105" i="20"/>
  <c r="H103" i="20"/>
  <c r="G103" i="20"/>
  <c r="F103" i="20"/>
  <c r="E103" i="20"/>
  <c r="D103" i="20"/>
  <c r="C103" i="20"/>
  <c r="B103" i="20"/>
  <c r="AE102" i="20"/>
  <c r="AD99" i="20" s="1"/>
  <c r="AD100" i="20"/>
  <c r="U99" i="20"/>
  <c r="AE94" i="20"/>
  <c r="AD93" i="20"/>
  <c r="AD92" i="20"/>
  <c r="D88" i="20"/>
  <c r="AN86" i="20"/>
  <c r="AG86" i="20"/>
  <c r="AE86" i="20"/>
  <c r="F86" i="20"/>
  <c r="H86" i="20" s="1"/>
  <c r="D86" i="20"/>
  <c r="AN85" i="20"/>
  <c r="AE85" i="20"/>
  <c r="D85" i="20"/>
  <c r="AE84" i="20"/>
  <c r="D84" i="20"/>
  <c r="AN84" i="20" s="1"/>
  <c r="F82" i="20"/>
  <c r="B82" i="20"/>
  <c r="L79" i="20"/>
  <c r="H79" i="20"/>
  <c r="AM78" i="20"/>
  <c r="AE78" i="20"/>
  <c r="L78" i="20"/>
  <c r="F78" i="20"/>
  <c r="H78" i="20" s="1"/>
  <c r="D78" i="20"/>
  <c r="AM77" i="20"/>
  <c r="B77" i="20"/>
  <c r="AM76" i="20"/>
  <c r="AE76" i="20"/>
  <c r="D76" i="20"/>
  <c r="C72" i="20"/>
  <c r="AE71" i="20"/>
  <c r="G71" i="20"/>
  <c r="F71" i="20"/>
  <c r="E71" i="20"/>
  <c r="D71" i="20"/>
  <c r="C71" i="20"/>
  <c r="B71" i="20"/>
  <c r="AM70" i="20"/>
  <c r="AE70" i="20"/>
  <c r="G70" i="20"/>
  <c r="F70" i="20"/>
  <c r="E70" i="20"/>
  <c r="D70" i="20"/>
  <c r="AE69" i="20"/>
  <c r="G69" i="20"/>
  <c r="F69" i="20"/>
  <c r="E69" i="20"/>
  <c r="D69" i="20"/>
  <c r="C69" i="20"/>
  <c r="B69" i="20"/>
  <c r="AN68" i="20"/>
  <c r="G68" i="20"/>
  <c r="G72" i="20" s="1"/>
  <c r="F68" i="20"/>
  <c r="F72" i="20" s="1"/>
  <c r="E68" i="20"/>
  <c r="D68" i="20"/>
  <c r="C68" i="20"/>
  <c r="B68" i="20"/>
  <c r="E66" i="20"/>
  <c r="AE65" i="20"/>
  <c r="G65" i="20"/>
  <c r="F65" i="20"/>
  <c r="E65" i="20"/>
  <c r="D65" i="20"/>
  <c r="C65" i="20"/>
  <c r="G64" i="20"/>
  <c r="F64" i="20"/>
  <c r="E64" i="20"/>
  <c r="D64" i="20"/>
  <c r="D66" i="20" s="1"/>
  <c r="C64" i="20"/>
  <c r="C66" i="20" s="1"/>
  <c r="B64" i="20"/>
  <c r="C49" i="20"/>
  <c r="D45" i="20"/>
  <c r="J43" i="20"/>
  <c r="I43" i="20"/>
  <c r="I45" i="20" s="1"/>
  <c r="G43" i="20"/>
  <c r="F43" i="20"/>
  <c r="D43" i="20"/>
  <c r="C43" i="20"/>
  <c r="J35" i="20"/>
  <c r="J45" i="20" s="1"/>
  <c r="I35" i="20"/>
  <c r="G35" i="20"/>
  <c r="F35" i="20"/>
  <c r="F45" i="20" s="1"/>
  <c r="D35" i="20"/>
  <c r="C35" i="20"/>
  <c r="C45" i="20" s="1"/>
  <c r="J27" i="20"/>
  <c r="G27" i="20"/>
  <c r="F27" i="20"/>
  <c r="E27" i="20"/>
  <c r="D27" i="20"/>
  <c r="B27" i="20"/>
  <c r="H24" i="20"/>
  <c r="X8" i="20" s="1"/>
  <c r="B24" i="20"/>
  <c r="S8" i="20" s="1"/>
  <c r="J22" i="20"/>
  <c r="I22" i="20"/>
  <c r="AG20" i="20"/>
  <c r="J20" i="20"/>
  <c r="I20" i="20"/>
  <c r="G20" i="20"/>
  <c r="F20" i="20"/>
  <c r="D20" i="20"/>
  <c r="C20" i="20"/>
  <c r="C22" i="20" s="1"/>
  <c r="Z19" i="20"/>
  <c r="U178" i="20" s="1"/>
  <c r="Z18" i="20"/>
  <c r="Z17" i="20"/>
  <c r="Z16" i="20"/>
  <c r="Z15" i="20"/>
  <c r="Z14" i="20"/>
  <c r="Z20" i="20" s="1"/>
  <c r="Z21" i="20" s="1"/>
  <c r="AG12" i="20"/>
  <c r="AG21" i="20" s="1"/>
  <c r="Z12" i="20"/>
  <c r="J12" i="20"/>
  <c r="G12" i="20"/>
  <c r="G22" i="20" s="1"/>
  <c r="F12" i="20"/>
  <c r="F22" i="20" s="1"/>
  <c r="D12" i="20"/>
  <c r="D22" i="20" s="1"/>
  <c r="J4" i="20"/>
  <c r="H4" i="20"/>
  <c r="H27" i="20" s="1"/>
  <c r="G4" i="20"/>
  <c r="E4" i="20"/>
  <c r="AE193" i="19"/>
  <c r="AD192" i="19"/>
  <c r="U192" i="19"/>
  <c r="AD191" i="19"/>
  <c r="AD190" i="19"/>
  <c r="AD189" i="19"/>
  <c r="U189" i="19"/>
  <c r="AD188" i="19"/>
  <c r="U188" i="19"/>
  <c r="AD187" i="19"/>
  <c r="AD186" i="19"/>
  <c r="AD193" i="19" s="1"/>
  <c r="K184" i="19"/>
  <c r="K185" i="19" s="1"/>
  <c r="C184" i="19"/>
  <c r="AE180" i="19"/>
  <c r="AD179" i="19"/>
  <c r="U179" i="19"/>
  <c r="AD178" i="19"/>
  <c r="AD180" i="19" s="1"/>
  <c r="D177" i="19"/>
  <c r="AE176" i="19"/>
  <c r="E176" i="19"/>
  <c r="D176" i="19"/>
  <c r="S161" i="19"/>
  <c r="H152" i="19"/>
  <c r="J152" i="19" s="1"/>
  <c r="E152" i="19"/>
  <c r="G152" i="19" s="1"/>
  <c r="D152" i="19"/>
  <c r="J151" i="19"/>
  <c r="H151" i="19"/>
  <c r="E151" i="19"/>
  <c r="G151" i="19" s="1"/>
  <c r="G153" i="19" s="1"/>
  <c r="D151" i="19"/>
  <c r="D153" i="19" s="1"/>
  <c r="J146" i="19"/>
  <c r="I146" i="19"/>
  <c r="F146" i="19"/>
  <c r="E146" i="19"/>
  <c r="G146" i="19" s="1"/>
  <c r="B146" i="19"/>
  <c r="D146" i="19" s="1"/>
  <c r="D145" i="19"/>
  <c r="D147" i="19" s="1"/>
  <c r="B145" i="19"/>
  <c r="J141" i="19"/>
  <c r="G141" i="19"/>
  <c r="T139" i="19"/>
  <c r="H136" i="19"/>
  <c r="H135" i="19"/>
  <c r="B135" i="19"/>
  <c r="T134" i="19"/>
  <c r="B131" i="19"/>
  <c r="B133" i="19" s="1"/>
  <c r="H130" i="19"/>
  <c r="H129" i="19"/>
  <c r="B129" i="19"/>
  <c r="D113" i="19"/>
  <c r="F113" i="19" s="1"/>
  <c r="AE110" i="19"/>
  <c r="F110" i="19"/>
  <c r="D110" i="19"/>
  <c r="F107" i="19"/>
  <c r="D107" i="19"/>
  <c r="F106" i="19"/>
  <c r="D106" i="19"/>
  <c r="D109" i="19" s="1"/>
  <c r="F109" i="19" s="1"/>
  <c r="AD105" i="19"/>
  <c r="H103" i="19"/>
  <c r="G103" i="19"/>
  <c r="F103" i="19"/>
  <c r="E103" i="19"/>
  <c r="D103" i="19"/>
  <c r="C103" i="19"/>
  <c r="B103" i="19"/>
  <c r="AE102" i="19"/>
  <c r="AD99" i="19" s="1"/>
  <c r="AD100" i="19"/>
  <c r="U99" i="19"/>
  <c r="AE94" i="19"/>
  <c r="AD93" i="19"/>
  <c r="AD92" i="19"/>
  <c r="AG86" i="19"/>
  <c r="AE86" i="19"/>
  <c r="J86" i="19"/>
  <c r="F86" i="19"/>
  <c r="H86" i="19" s="1"/>
  <c r="D86" i="19"/>
  <c r="AN86" i="19" s="1"/>
  <c r="AN85" i="19"/>
  <c r="AE85" i="19"/>
  <c r="J85" i="19"/>
  <c r="D85" i="19"/>
  <c r="AN84" i="19"/>
  <c r="AE84" i="19"/>
  <c r="J84" i="19"/>
  <c r="D84" i="19"/>
  <c r="D88" i="19" s="1"/>
  <c r="F82" i="19"/>
  <c r="B82" i="19"/>
  <c r="L79" i="19"/>
  <c r="H79" i="19"/>
  <c r="AM78" i="19"/>
  <c r="AE78" i="19"/>
  <c r="L78" i="19"/>
  <c r="H78" i="19"/>
  <c r="F78" i="19"/>
  <c r="D78" i="19"/>
  <c r="AM77" i="19"/>
  <c r="B77" i="19"/>
  <c r="AM76" i="19"/>
  <c r="AE76" i="19"/>
  <c r="D76" i="19"/>
  <c r="F72" i="19"/>
  <c r="C72" i="19"/>
  <c r="AE71" i="19"/>
  <c r="G71" i="19"/>
  <c r="F71" i="19"/>
  <c r="E71" i="19"/>
  <c r="D71" i="19"/>
  <c r="C71" i="19"/>
  <c r="B71" i="19"/>
  <c r="AM70" i="19"/>
  <c r="AE70" i="19"/>
  <c r="G70" i="19"/>
  <c r="F70" i="19"/>
  <c r="E70" i="19"/>
  <c r="D70" i="19"/>
  <c r="AE69" i="19"/>
  <c r="G69" i="19"/>
  <c r="F69" i="19"/>
  <c r="E69" i="19"/>
  <c r="D69" i="19"/>
  <c r="C69" i="19"/>
  <c r="B69" i="19"/>
  <c r="AN68" i="19"/>
  <c r="G68" i="19"/>
  <c r="G72" i="19" s="1"/>
  <c r="F68" i="19"/>
  <c r="E68" i="19"/>
  <c r="D68" i="19"/>
  <c r="C68" i="19"/>
  <c r="B68" i="19"/>
  <c r="AE65" i="19"/>
  <c r="G65" i="19"/>
  <c r="F65" i="19"/>
  <c r="E65" i="19"/>
  <c r="D65" i="19"/>
  <c r="C65" i="19"/>
  <c r="G64" i="19"/>
  <c r="G66" i="19" s="1"/>
  <c r="F64" i="19"/>
  <c r="F66" i="19" s="1"/>
  <c r="E64" i="19"/>
  <c r="E66" i="19" s="1"/>
  <c r="D64" i="19"/>
  <c r="D66" i="19" s="1"/>
  <c r="C64" i="19"/>
  <c r="C66" i="19" s="1"/>
  <c r="B64" i="19"/>
  <c r="D55" i="19"/>
  <c r="C49" i="19"/>
  <c r="I45" i="19"/>
  <c r="J43" i="19"/>
  <c r="I43" i="19"/>
  <c r="G43" i="19"/>
  <c r="F43" i="19"/>
  <c r="D43" i="19"/>
  <c r="C43" i="19"/>
  <c r="J35" i="19"/>
  <c r="J45" i="19" s="1"/>
  <c r="I35" i="19"/>
  <c r="G35" i="19"/>
  <c r="F35" i="19"/>
  <c r="F45" i="19" s="1"/>
  <c r="D35" i="19"/>
  <c r="D45" i="19" s="1"/>
  <c r="C35" i="19"/>
  <c r="C45" i="19" s="1"/>
  <c r="F27" i="19"/>
  <c r="E27" i="19"/>
  <c r="D27" i="19"/>
  <c r="G27" i="19" s="1"/>
  <c r="B27" i="19"/>
  <c r="F22" i="19"/>
  <c r="AG20" i="19"/>
  <c r="Z20" i="19"/>
  <c r="J20" i="19"/>
  <c r="I20" i="19"/>
  <c r="I22" i="19" s="1"/>
  <c r="G20" i="19"/>
  <c r="F20" i="19"/>
  <c r="D20" i="19"/>
  <c r="C20" i="19"/>
  <c r="C22" i="19" s="1"/>
  <c r="Z19" i="19"/>
  <c r="Z18" i="19"/>
  <c r="Z17" i="19"/>
  <c r="Z16" i="19"/>
  <c r="Z15" i="19"/>
  <c r="Z14" i="19"/>
  <c r="AG12" i="19"/>
  <c r="AG21" i="19" s="1"/>
  <c r="Z12" i="19"/>
  <c r="J12" i="19"/>
  <c r="J22" i="19" s="1"/>
  <c r="G12" i="19"/>
  <c r="G22" i="19" s="1"/>
  <c r="F12" i="19"/>
  <c r="D12" i="19"/>
  <c r="D22" i="19" s="1"/>
  <c r="J4" i="19"/>
  <c r="J27" i="19" s="1"/>
  <c r="H4" i="19"/>
  <c r="H27" i="19" s="1"/>
  <c r="G4" i="19"/>
  <c r="E4" i="19"/>
  <c r="AE193" i="18"/>
  <c r="AD192" i="18"/>
  <c r="AD191" i="18"/>
  <c r="AD190" i="18"/>
  <c r="AD189" i="18"/>
  <c r="U189" i="18"/>
  <c r="AD188" i="18"/>
  <c r="AD187" i="18"/>
  <c r="AD186" i="18"/>
  <c r="AD193" i="18" s="1"/>
  <c r="C184" i="18"/>
  <c r="AE180" i="18"/>
  <c r="AD179" i="18"/>
  <c r="U179" i="18"/>
  <c r="AD178" i="18"/>
  <c r="AD180" i="18" s="1"/>
  <c r="D177" i="18"/>
  <c r="AE176" i="18"/>
  <c r="E176" i="18"/>
  <c r="D176" i="18"/>
  <c r="AD171" i="18"/>
  <c r="U171" i="18" s="1"/>
  <c r="S161" i="18"/>
  <c r="J152" i="18"/>
  <c r="H152" i="18"/>
  <c r="E152" i="18"/>
  <c r="G152" i="18" s="1"/>
  <c r="D152" i="18"/>
  <c r="J151" i="18"/>
  <c r="J153" i="18" s="1"/>
  <c r="H151" i="18"/>
  <c r="E151" i="18"/>
  <c r="G151" i="18" s="1"/>
  <c r="G153" i="18" s="1"/>
  <c r="D151" i="18"/>
  <c r="D153" i="18" s="1"/>
  <c r="D147" i="18"/>
  <c r="J146" i="18"/>
  <c r="I146" i="18"/>
  <c r="F146" i="18"/>
  <c r="E146" i="18"/>
  <c r="G146" i="18" s="1"/>
  <c r="B146" i="18"/>
  <c r="D146" i="18" s="1"/>
  <c r="I145" i="18"/>
  <c r="J145" i="18" s="1"/>
  <c r="J147" i="18" s="1"/>
  <c r="D145" i="18"/>
  <c r="B145" i="18"/>
  <c r="J141" i="18"/>
  <c r="G141" i="18"/>
  <c r="F145" i="18" s="1"/>
  <c r="T139" i="18"/>
  <c r="H136" i="18"/>
  <c r="H135" i="18"/>
  <c r="B135" i="18"/>
  <c r="T134" i="18"/>
  <c r="B131" i="18"/>
  <c r="B133" i="18" s="1"/>
  <c r="B138" i="18" s="1"/>
  <c r="H138" i="18" s="1"/>
  <c r="H130" i="18"/>
  <c r="H129" i="18"/>
  <c r="H131" i="18" s="1"/>
  <c r="H132" i="18" s="1"/>
  <c r="B129" i="18"/>
  <c r="D113" i="18"/>
  <c r="F113" i="18" s="1"/>
  <c r="B113" i="18"/>
  <c r="B112" i="18"/>
  <c r="AE110" i="18"/>
  <c r="F110" i="18"/>
  <c r="D110" i="18"/>
  <c r="F107" i="18"/>
  <c r="D107" i="18"/>
  <c r="D106" i="18"/>
  <c r="D109" i="18" s="1"/>
  <c r="F109" i="18" s="1"/>
  <c r="AD105" i="18"/>
  <c r="H103" i="18"/>
  <c r="G103" i="18"/>
  <c r="F103" i="18"/>
  <c r="E103" i="18"/>
  <c r="D103" i="18"/>
  <c r="C103" i="18"/>
  <c r="B103" i="18"/>
  <c r="AE102" i="18"/>
  <c r="AD99" i="18" s="1"/>
  <c r="AD100" i="18"/>
  <c r="U99" i="18"/>
  <c r="AE94" i="18"/>
  <c r="AD93" i="18"/>
  <c r="AD92" i="18"/>
  <c r="AG86" i="18"/>
  <c r="AE86" i="18"/>
  <c r="F86" i="18"/>
  <c r="H86" i="18" s="1"/>
  <c r="D86" i="18"/>
  <c r="AN86" i="18" s="1"/>
  <c r="AN85" i="18"/>
  <c r="AE85" i="18"/>
  <c r="D85" i="18"/>
  <c r="AN84" i="18"/>
  <c r="AE84" i="18"/>
  <c r="D84" i="18"/>
  <c r="D88" i="18" s="1"/>
  <c r="F82" i="18"/>
  <c r="B82" i="18"/>
  <c r="L79" i="18"/>
  <c r="H79" i="18"/>
  <c r="AM78" i="18"/>
  <c r="AE78" i="18"/>
  <c r="L78" i="18"/>
  <c r="H78" i="18"/>
  <c r="F78" i="18"/>
  <c r="D78" i="18"/>
  <c r="AM77" i="18"/>
  <c r="B77" i="18"/>
  <c r="AM76" i="18"/>
  <c r="AE76" i="18"/>
  <c r="D76" i="18"/>
  <c r="C72" i="18"/>
  <c r="AE71" i="18"/>
  <c r="G71" i="18"/>
  <c r="F71" i="18"/>
  <c r="E71" i="18"/>
  <c r="D71" i="18"/>
  <c r="C71" i="18"/>
  <c r="B71" i="18"/>
  <c r="AE70" i="18"/>
  <c r="G70" i="18"/>
  <c r="F70" i="18"/>
  <c r="E70" i="18"/>
  <c r="D70" i="18"/>
  <c r="AE69" i="18"/>
  <c r="G69" i="18"/>
  <c r="F69" i="18"/>
  <c r="E69" i="18"/>
  <c r="D69" i="18"/>
  <c r="C69" i="18"/>
  <c r="B69" i="18"/>
  <c r="AN68" i="18"/>
  <c r="G68" i="18"/>
  <c r="G72" i="18" s="1"/>
  <c r="F68" i="18"/>
  <c r="E68" i="18"/>
  <c r="D68" i="18"/>
  <c r="C68" i="18"/>
  <c r="B68" i="18"/>
  <c r="AE65" i="18"/>
  <c r="G65" i="18"/>
  <c r="F65" i="18"/>
  <c r="E65" i="18"/>
  <c r="D65" i="18"/>
  <c r="C65" i="18"/>
  <c r="G64" i="18"/>
  <c r="G66" i="18" s="1"/>
  <c r="F64" i="18"/>
  <c r="F66" i="18" s="1"/>
  <c r="E64" i="18"/>
  <c r="E66" i="18" s="1"/>
  <c r="D64" i="18"/>
  <c r="D66" i="18" s="1"/>
  <c r="C64" i="18"/>
  <c r="C66" i="18" s="1"/>
  <c r="B64" i="18"/>
  <c r="C49" i="18"/>
  <c r="J43" i="18"/>
  <c r="I43" i="18"/>
  <c r="I45" i="18" s="1"/>
  <c r="G43" i="18"/>
  <c r="F43" i="18"/>
  <c r="D43" i="18"/>
  <c r="D45" i="18" s="1"/>
  <c r="C43" i="18"/>
  <c r="J35" i="18"/>
  <c r="J45" i="18" s="1"/>
  <c r="I35" i="18"/>
  <c r="G35" i="18"/>
  <c r="F35" i="18"/>
  <c r="F45" i="18" s="1"/>
  <c r="D35" i="18"/>
  <c r="C35" i="18"/>
  <c r="C45" i="18" s="1"/>
  <c r="F27" i="18"/>
  <c r="E27" i="18"/>
  <c r="D27" i="18"/>
  <c r="G27" i="18" s="1"/>
  <c r="B27" i="18"/>
  <c r="H24" i="18"/>
  <c r="B24" i="18"/>
  <c r="B8" i="18" s="1"/>
  <c r="AG20" i="18"/>
  <c r="Z20" i="18"/>
  <c r="J20" i="18"/>
  <c r="I20" i="18"/>
  <c r="I22" i="18" s="1"/>
  <c r="G20" i="18"/>
  <c r="F20" i="18"/>
  <c r="D20" i="18"/>
  <c r="C20" i="18"/>
  <c r="C22" i="18" s="1"/>
  <c r="Z19" i="18"/>
  <c r="U178" i="18" s="1"/>
  <c r="U180" i="18" s="1"/>
  <c r="Z18" i="18"/>
  <c r="Z17" i="18"/>
  <c r="Z16" i="18"/>
  <c r="Z15" i="18"/>
  <c r="Z14" i="18"/>
  <c r="AG12" i="18"/>
  <c r="AG21" i="18" s="1"/>
  <c r="Z12" i="18"/>
  <c r="Z21" i="18" s="1"/>
  <c r="J12" i="18"/>
  <c r="J22" i="18" s="1"/>
  <c r="G12" i="18"/>
  <c r="G22" i="18" s="1"/>
  <c r="F12" i="18"/>
  <c r="F22" i="18" s="1"/>
  <c r="D12" i="18"/>
  <c r="D22" i="18" s="1"/>
  <c r="J4" i="18"/>
  <c r="J27" i="18" s="1"/>
  <c r="H4" i="18"/>
  <c r="H27" i="18" s="1"/>
  <c r="G4" i="18"/>
  <c r="E4" i="18"/>
  <c r="AE193" i="17"/>
  <c r="AD192" i="17"/>
  <c r="AD191" i="17"/>
  <c r="AD190" i="17"/>
  <c r="AD189" i="17"/>
  <c r="U189" i="17"/>
  <c r="AD188" i="17"/>
  <c r="AD187" i="17"/>
  <c r="AD186" i="17"/>
  <c r="AD193" i="17" s="1"/>
  <c r="C184" i="17"/>
  <c r="AE180" i="17"/>
  <c r="AD179" i="17"/>
  <c r="U179" i="17"/>
  <c r="AD178" i="17"/>
  <c r="AD180" i="17" s="1"/>
  <c r="D177" i="17"/>
  <c r="AE176" i="17"/>
  <c r="E176" i="17"/>
  <c r="D176" i="17"/>
  <c r="AD171" i="17"/>
  <c r="U171" i="17" s="1"/>
  <c r="S161" i="17"/>
  <c r="J152" i="17"/>
  <c r="H152" i="17"/>
  <c r="E152" i="17"/>
  <c r="G152" i="17" s="1"/>
  <c r="D152" i="17"/>
  <c r="J151" i="17"/>
  <c r="J153" i="17" s="1"/>
  <c r="H151" i="17"/>
  <c r="E151" i="17"/>
  <c r="G151" i="17" s="1"/>
  <c r="G153" i="17" s="1"/>
  <c r="D151" i="17"/>
  <c r="D153" i="17" s="1"/>
  <c r="D147" i="17"/>
  <c r="J146" i="17"/>
  <c r="I146" i="17"/>
  <c r="F146" i="17"/>
  <c r="E146" i="17"/>
  <c r="B146" i="17"/>
  <c r="D146" i="17" s="1"/>
  <c r="I145" i="17"/>
  <c r="J145" i="17" s="1"/>
  <c r="J147" i="17" s="1"/>
  <c r="D145" i="17"/>
  <c r="B145" i="17"/>
  <c r="J141" i="17"/>
  <c r="G141" i="17"/>
  <c r="F145" i="17" s="1"/>
  <c r="T139" i="17"/>
  <c r="H136" i="17"/>
  <c r="H135" i="17"/>
  <c r="B135" i="17"/>
  <c r="T134" i="17"/>
  <c r="B131" i="17"/>
  <c r="B133" i="17" s="1"/>
  <c r="B138" i="17" s="1"/>
  <c r="H138" i="17" s="1"/>
  <c r="H130" i="17"/>
  <c r="H129" i="17"/>
  <c r="H131" i="17" s="1"/>
  <c r="H132" i="17" s="1"/>
  <c r="B129" i="17"/>
  <c r="D113" i="17"/>
  <c r="F113" i="17" s="1"/>
  <c r="B113" i="17"/>
  <c r="B112" i="17"/>
  <c r="AE110" i="17"/>
  <c r="F110" i="17"/>
  <c r="D110" i="17"/>
  <c r="F109" i="17"/>
  <c r="F107" i="17"/>
  <c r="D107" i="17"/>
  <c r="F106" i="17"/>
  <c r="D106" i="17"/>
  <c r="D109" i="17" s="1"/>
  <c r="H103" i="17"/>
  <c r="G103" i="17"/>
  <c r="F103" i="17"/>
  <c r="E103" i="17"/>
  <c r="D103" i="17"/>
  <c r="C103" i="17"/>
  <c r="B103" i="17"/>
  <c r="AE102" i="17"/>
  <c r="AE94" i="17"/>
  <c r="AD93" i="17"/>
  <c r="AD92" i="17"/>
  <c r="D88" i="17"/>
  <c r="AG86" i="17"/>
  <c r="AE86" i="17"/>
  <c r="F86" i="17"/>
  <c r="H86" i="17" s="1"/>
  <c r="D86" i="17"/>
  <c r="AN86" i="17" s="1"/>
  <c r="AN85" i="17"/>
  <c r="AE85" i="17"/>
  <c r="D85" i="17"/>
  <c r="AE84" i="17"/>
  <c r="AG84" i="17"/>
  <c r="D84" i="17"/>
  <c r="AN84" i="17" s="1"/>
  <c r="F82" i="17"/>
  <c r="B82" i="17"/>
  <c r="L79" i="17"/>
  <c r="H79" i="17"/>
  <c r="AM78" i="17"/>
  <c r="AE78" i="17"/>
  <c r="L78" i="17"/>
  <c r="H78" i="17"/>
  <c r="F78" i="17"/>
  <c r="D78" i="17"/>
  <c r="AM77" i="17"/>
  <c r="B77" i="17"/>
  <c r="AM76" i="17"/>
  <c r="AE76" i="17"/>
  <c r="D76" i="17"/>
  <c r="AE71" i="17"/>
  <c r="G71" i="17"/>
  <c r="F71" i="17"/>
  <c r="E71" i="17"/>
  <c r="D71" i="17"/>
  <c r="C71" i="17"/>
  <c r="C72" i="17" s="1"/>
  <c r="B71" i="17"/>
  <c r="AM70" i="17"/>
  <c r="AE70" i="17"/>
  <c r="G70" i="17"/>
  <c r="F70" i="17"/>
  <c r="E70" i="17"/>
  <c r="D70" i="17"/>
  <c r="AM69" i="17"/>
  <c r="AE69" i="17"/>
  <c r="G69" i="17"/>
  <c r="F69" i="17"/>
  <c r="E69" i="17"/>
  <c r="D69" i="17"/>
  <c r="C69" i="17"/>
  <c r="B69" i="17"/>
  <c r="AN68" i="17"/>
  <c r="G68" i="17"/>
  <c r="F68" i="17"/>
  <c r="F72" i="17" s="1"/>
  <c r="E68" i="17"/>
  <c r="E72" i="17" s="1"/>
  <c r="D68" i="17"/>
  <c r="D72" i="17" s="1"/>
  <c r="C68" i="17"/>
  <c r="B68" i="17"/>
  <c r="E66" i="17"/>
  <c r="AM65" i="17"/>
  <c r="AE65" i="17"/>
  <c r="G65" i="17"/>
  <c r="F65" i="17"/>
  <c r="E65" i="17"/>
  <c r="D65" i="17"/>
  <c r="C65" i="17"/>
  <c r="AM64" i="17"/>
  <c r="G64" i="17"/>
  <c r="G66" i="17" s="1"/>
  <c r="F64" i="17"/>
  <c r="F66" i="17" s="1"/>
  <c r="E64" i="17"/>
  <c r="D64" i="17"/>
  <c r="D66" i="17" s="1"/>
  <c r="C64" i="17"/>
  <c r="C66" i="17" s="1"/>
  <c r="B64" i="17"/>
  <c r="C49" i="17"/>
  <c r="I45" i="17"/>
  <c r="J43" i="17"/>
  <c r="I43" i="17"/>
  <c r="G43" i="17"/>
  <c r="F43" i="17"/>
  <c r="D43" i="17"/>
  <c r="C43" i="17"/>
  <c r="J35" i="17"/>
  <c r="J45" i="17" s="1"/>
  <c r="I35" i="17"/>
  <c r="G35" i="17"/>
  <c r="F35" i="17"/>
  <c r="F45" i="17" s="1"/>
  <c r="D35" i="17"/>
  <c r="D45" i="17" s="1"/>
  <c r="C35" i="17"/>
  <c r="C45" i="17" s="1"/>
  <c r="F27" i="17"/>
  <c r="E27" i="17"/>
  <c r="D27" i="17"/>
  <c r="G27" i="17" s="1"/>
  <c r="B27" i="17"/>
  <c r="AG20" i="17"/>
  <c r="Z20" i="17"/>
  <c r="J20" i="17"/>
  <c r="J22" i="17" s="1"/>
  <c r="I20" i="17"/>
  <c r="I22" i="17" s="1"/>
  <c r="G20" i="17"/>
  <c r="F20" i="17"/>
  <c r="D20" i="17"/>
  <c r="C20" i="17"/>
  <c r="C22" i="17" s="1"/>
  <c r="Z19" i="17"/>
  <c r="U178" i="17" s="1"/>
  <c r="U180" i="17" s="1"/>
  <c r="Z18" i="17"/>
  <c r="Z17" i="17"/>
  <c r="Z16" i="17"/>
  <c r="Z15" i="17"/>
  <c r="Z14" i="17"/>
  <c r="AG12" i="17"/>
  <c r="Z12" i="17"/>
  <c r="J12" i="17"/>
  <c r="G12" i="17"/>
  <c r="G22" i="17" s="1"/>
  <c r="F12" i="17"/>
  <c r="F22" i="17" s="1"/>
  <c r="D12" i="17"/>
  <c r="D22" i="17" s="1"/>
  <c r="J4" i="17"/>
  <c r="J27" i="17" s="1"/>
  <c r="H4" i="17"/>
  <c r="H27" i="17" s="1"/>
  <c r="G4" i="17"/>
  <c r="E4" i="17"/>
  <c r="AE193" i="16"/>
  <c r="AD192" i="16"/>
  <c r="AD191" i="16"/>
  <c r="AD190" i="16"/>
  <c r="AD189" i="16"/>
  <c r="U189" i="16"/>
  <c r="AD188" i="16"/>
  <c r="AD187" i="16"/>
  <c r="AD186" i="16"/>
  <c r="AD193" i="16" s="1"/>
  <c r="C184" i="16"/>
  <c r="AE180" i="16"/>
  <c r="AD179" i="16"/>
  <c r="U179" i="16"/>
  <c r="AD178" i="16"/>
  <c r="AD180" i="16" s="1"/>
  <c r="D177" i="16"/>
  <c r="AE176" i="16"/>
  <c r="AD173" i="16" s="1"/>
  <c r="U173" i="16" s="1"/>
  <c r="E176" i="16"/>
  <c r="D176" i="16"/>
  <c r="AD171" i="16"/>
  <c r="U171" i="16" s="1"/>
  <c r="S161" i="16"/>
  <c r="J152" i="16"/>
  <c r="H152" i="16"/>
  <c r="E152" i="16"/>
  <c r="G152" i="16" s="1"/>
  <c r="D152" i="16"/>
  <c r="J151" i="16"/>
  <c r="J153" i="16" s="1"/>
  <c r="H151" i="16"/>
  <c r="E151" i="16"/>
  <c r="G151" i="16" s="1"/>
  <c r="G153" i="16" s="1"/>
  <c r="D151" i="16"/>
  <c r="D153" i="16" s="1"/>
  <c r="D147" i="16"/>
  <c r="J146" i="16"/>
  <c r="I146" i="16"/>
  <c r="F146" i="16"/>
  <c r="E146" i="16"/>
  <c r="G146" i="16" s="1"/>
  <c r="B146" i="16"/>
  <c r="D146" i="16" s="1"/>
  <c r="I145" i="16"/>
  <c r="J145" i="16" s="1"/>
  <c r="J147" i="16" s="1"/>
  <c r="D145" i="16"/>
  <c r="B145" i="16"/>
  <c r="J141" i="16"/>
  <c r="G141" i="16"/>
  <c r="F145" i="16" s="1"/>
  <c r="T139" i="16"/>
  <c r="H136" i="16"/>
  <c r="H135" i="16"/>
  <c r="B135" i="16"/>
  <c r="T134" i="16"/>
  <c r="B131" i="16"/>
  <c r="B133" i="16" s="1"/>
  <c r="B138" i="16" s="1"/>
  <c r="H138" i="16" s="1"/>
  <c r="H130" i="16"/>
  <c r="H129" i="16"/>
  <c r="H131" i="16" s="1"/>
  <c r="H132" i="16" s="1"/>
  <c r="B129" i="16"/>
  <c r="D113" i="16"/>
  <c r="F113" i="16" s="1"/>
  <c r="AE110" i="16"/>
  <c r="F110" i="16"/>
  <c r="D110" i="16"/>
  <c r="F107" i="16"/>
  <c r="D107" i="16"/>
  <c r="D106" i="16"/>
  <c r="D109" i="16" s="1"/>
  <c r="F109" i="16" s="1"/>
  <c r="AD105" i="16"/>
  <c r="H103" i="16"/>
  <c r="G103" i="16"/>
  <c r="F103" i="16"/>
  <c r="E103" i="16"/>
  <c r="D103" i="16"/>
  <c r="C103" i="16"/>
  <c r="B103" i="16"/>
  <c r="AE102" i="16"/>
  <c r="AD99" i="16" s="1"/>
  <c r="AD100" i="16"/>
  <c r="U99" i="16"/>
  <c r="AE94" i="16"/>
  <c r="AD93" i="16"/>
  <c r="AD92" i="16"/>
  <c r="AG86" i="16"/>
  <c r="AE86" i="16"/>
  <c r="J86" i="16"/>
  <c r="F86" i="16"/>
  <c r="H86" i="16" s="1"/>
  <c r="D86" i="16"/>
  <c r="AN86" i="16" s="1"/>
  <c r="AN85" i="16"/>
  <c r="AE85" i="16"/>
  <c r="J85" i="16"/>
  <c r="D85" i="16"/>
  <c r="AN84" i="16"/>
  <c r="AE84" i="16"/>
  <c r="D84" i="16"/>
  <c r="D88" i="16" s="1"/>
  <c r="F82" i="16"/>
  <c r="B82" i="16"/>
  <c r="L79" i="16"/>
  <c r="H79" i="16"/>
  <c r="AM78" i="16"/>
  <c r="AE78" i="16"/>
  <c r="L78" i="16"/>
  <c r="H78" i="16"/>
  <c r="F78" i="16"/>
  <c r="D78" i="16"/>
  <c r="AM77" i="16"/>
  <c r="B77" i="16"/>
  <c r="AM76" i="16"/>
  <c r="AE76" i="16"/>
  <c r="D76" i="16"/>
  <c r="C72" i="16"/>
  <c r="AE71" i="16"/>
  <c r="G71" i="16"/>
  <c r="F71" i="16"/>
  <c r="E71" i="16"/>
  <c r="D71" i="16"/>
  <c r="C71" i="16"/>
  <c r="B71" i="16"/>
  <c r="AM70" i="16"/>
  <c r="AE70" i="16"/>
  <c r="G70" i="16"/>
  <c r="F70" i="16"/>
  <c r="E70" i="16"/>
  <c r="D70" i="16"/>
  <c r="AE69" i="16"/>
  <c r="G69" i="16"/>
  <c r="F69" i="16"/>
  <c r="E69" i="16"/>
  <c r="D69" i="16"/>
  <c r="C69" i="16"/>
  <c r="B69" i="16"/>
  <c r="AN68" i="16"/>
  <c r="G68" i="16"/>
  <c r="G72" i="16" s="1"/>
  <c r="F68" i="16"/>
  <c r="F72" i="16" s="1"/>
  <c r="E68" i="16"/>
  <c r="D68" i="16"/>
  <c r="C68" i="16"/>
  <c r="B68" i="16"/>
  <c r="AE65" i="16"/>
  <c r="G65" i="16"/>
  <c r="F65" i="16"/>
  <c r="E65" i="16"/>
  <c r="D65" i="16"/>
  <c r="C65" i="16"/>
  <c r="G64" i="16"/>
  <c r="G66" i="16" s="1"/>
  <c r="F64" i="16"/>
  <c r="F66" i="16" s="1"/>
  <c r="E64" i="16"/>
  <c r="E66" i="16" s="1"/>
  <c r="D64" i="16"/>
  <c r="D66" i="16" s="1"/>
  <c r="C64" i="16"/>
  <c r="C66" i="16" s="1"/>
  <c r="B64" i="16"/>
  <c r="C49" i="16"/>
  <c r="J43" i="16"/>
  <c r="I43" i="16"/>
  <c r="I45" i="16" s="1"/>
  <c r="G43" i="16"/>
  <c r="F43" i="16"/>
  <c r="D43" i="16"/>
  <c r="C43" i="16"/>
  <c r="J35" i="16"/>
  <c r="J45" i="16" s="1"/>
  <c r="I35" i="16"/>
  <c r="G35" i="16"/>
  <c r="F35" i="16"/>
  <c r="F45" i="16" s="1"/>
  <c r="D35" i="16"/>
  <c r="D45" i="16" s="1"/>
  <c r="C35" i="16"/>
  <c r="C45" i="16" s="1"/>
  <c r="F27" i="16"/>
  <c r="E27" i="16"/>
  <c r="D27" i="16"/>
  <c r="G27" i="16" s="1"/>
  <c r="B27" i="16"/>
  <c r="H24" i="16"/>
  <c r="X24" i="16" s="1"/>
  <c r="B24" i="16"/>
  <c r="B8" i="16" s="1"/>
  <c r="F22" i="16"/>
  <c r="AG20" i="16"/>
  <c r="Z20" i="16"/>
  <c r="J20" i="16"/>
  <c r="I20" i="16"/>
  <c r="I22" i="16" s="1"/>
  <c r="G20" i="16"/>
  <c r="F20" i="16"/>
  <c r="D20" i="16"/>
  <c r="C20" i="16"/>
  <c r="C22" i="16" s="1"/>
  <c r="Z19" i="16"/>
  <c r="U178" i="16" s="1"/>
  <c r="U180" i="16" s="1"/>
  <c r="Z18" i="16"/>
  <c r="Z17" i="16"/>
  <c r="Z16" i="16"/>
  <c r="Z15" i="16"/>
  <c r="Z14" i="16"/>
  <c r="AG12" i="16"/>
  <c r="AG21" i="16" s="1"/>
  <c r="Z12" i="16"/>
  <c r="J12" i="16"/>
  <c r="J22" i="16" s="1"/>
  <c r="G12" i="16"/>
  <c r="G22" i="16" s="1"/>
  <c r="F12" i="16"/>
  <c r="D12" i="16"/>
  <c r="D22" i="16" s="1"/>
  <c r="J4" i="16"/>
  <c r="J27" i="16" s="1"/>
  <c r="H4" i="16"/>
  <c r="H27" i="16" s="1"/>
  <c r="G4" i="16"/>
  <c r="E4" i="16"/>
  <c r="AE193" i="31"/>
  <c r="AD192" i="31"/>
  <c r="AD191" i="31"/>
  <c r="AD190" i="31"/>
  <c r="AD189" i="31"/>
  <c r="U189" i="31"/>
  <c r="AD188" i="31"/>
  <c r="AD187" i="31"/>
  <c r="AD186" i="31"/>
  <c r="AD193" i="31" s="1"/>
  <c r="C184" i="31"/>
  <c r="AE180" i="31"/>
  <c r="AD179" i="31"/>
  <c r="U179" i="31"/>
  <c r="AD178" i="31"/>
  <c r="AD180" i="31" s="1"/>
  <c r="D177" i="31"/>
  <c r="AE176" i="31"/>
  <c r="AD173" i="31" s="1"/>
  <c r="U173" i="31" s="1"/>
  <c r="E176" i="31"/>
  <c r="D176" i="31"/>
  <c r="AD171" i="31"/>
  <c r="U171" i="31" s="1"/>
  <c r="S161" i="31"/>
  <c r="J153" i="31"/>
  <c r="J152" i="31"/>
  <c r="H152" i="31"/>
  <c r="E152" i="31"/>
  <c r="G152" i="31" s="1"/>
  <c r="D152" i="31"/>
  <c r="J151" i="31"/>
  <c r="H151" i="31"/>
  <c r="E151" i="31"/>
  <c r="G151" i="31" s="1"/>
  <c r="G153" i="31" s="1"/>
  <c r="D151" i="31"/>
  <c r="D153" i="31" s="1"/>
  <c r="D147" i="31"/>
  <c r="J146" i="31"/>
  <c r="I146" i="31"/>
  <c r="F146" i="31"/>
  <c r="E146" i="31"/>
  <c r="B146" i="31"/>
  <c r="D146" i="31" s="1"/>
  <c r="I145" i="31"/>
  <c r="J145" i="31" s="1"/>
  <c r="J147" i="31" s="1"/>
  <c r="D145" i="31"/>
  <c r="B145" i="31"/>
  <c r="J141" i="31"/>
  <c r="G141" i="31"/>
  <c r="F145" i="31" s="1"/>
  <c r="T139" i="31"/>
  <c r="H136" i="31"/>
  <c r="H135" i="31"/>
  <c r="B135" i="31"/>
  <c r="T134" i="31"/>
  <c r="B131" i="31"/>
  <c r="B133" i="31" s="1"/>
  <c r="B138" i="31" s="1"/>
  <c r="H138" i="31" s="1"/>
  <c r="H130" i="31"/>
  <c r="H129" i="31"/>
  <c r="H131" i="31" s="1"/>
  <c r="H132" i="31" s="1"/>
  <c r="B129" i="31"/>
  <c r="D113" i="31"/>
  <c r="F113" i="31" s="1"/>
  <c r="B113" i="31"/>
  <c r="B112" i="31"/>
  <c r="AE110" i="31"/>
  <c r="F110" i="31"/>
  <c r="D110" i="31"/>
  <c r="F109" i="31"/>
  <c r="F107" i="31"/>
  <c r="D107" i="31"/>
  <c r="F106" i="31"/>
  <c r="D106" i="31"/>
  <c r="D109" i="31" s="1"/>
  <c r="H103" i="31"/>
  <c r="G103" i="31"/>
  <c r="F103" i="31"/>
  <c r="E103" i="31"/>
  <c r="D103" i="31"/>
  <c r="C103" i="31"/>
  <c r="B103" i="31"/>
  <c r="AE102" i="31"/>
  <c r="AE94" i="31"/>
  <c r="AD93" i="31"/>
  <c r="AD92" i="31"/>
  <c r="D88" i="31"/>
  <c r="AG86" i="31"/>
  <c r="AE86" i="31"/>
  <c r="J86" i="31"/>
  <c r="H86" i="31"/>
  <c r="F86" i="31"/>
  <c r="D86" i="31"/>
  <c r="AN86" i="31" s="1"/>
  <c r="AN85" i="31"/>
  <c r="AE85" i="31"/>
  <c r="D85" i="31"/>
  <c r="AE84" i="31"/>
  <c r="J84" i="31"/>
  <c r="AG84" i="31" s="1"/>
  <c r="D84" i="31"/>
  <c r="AN84" i="31" s="1"/>
  <c r="F82" i="31"/>
  <c r="B82" i="31"/>
  <c r="L79" i="31"/>
  <c r="H79" i="31"/>
  <c r="AM78" i="31"/>
  <c r="AE78" i="31"/>
  <c r="L78" i="31"/>
  <c r="H78" i="31"/>
  <c r="F78" i="31"/>
  <c r="D78" i="31"/>
  <c r="AM77" i="31"/>
  <c r="B77" i="31"/>
  <c r="AM76" i="31"/>
  <c r="AE76" i="31"/>
  <c r="D76" i="31"/>
  <c r="F72" i="31"/>
  <c r="AE71" i="31"/>
  <c r="G71" i="31"/>
  <c r="G72" i="31" s="1"/>
  <c r="F71" i="31"/>
  <c r="E71" i="31"/>
  <c r="D71" i="31"/>
  <c r="C71" i="31"/>
  <c r="C72" i="31" s="1"/>
  <c r="B71" i="31"/>
  <c r="AM70" i="31"/>
  <c r="AE70" i="31"/>
  <c r="G70" i="31"/>
  <c r="F70" i="31"/>
  <c r="E70" i="31"/>
  <c r="D70" i="31"/>
  <c r="AM69" i="31"/>
  <c r="AE69" i="31"/>
  <c r="G69" i="31"/>
  <c r="F69" i="31"/>
  <c r="E69" i="31"/>
  <c r="D69" i="31"/>
  <c r="C69" i="31"/>
  <c r="B69" i="31"/>
  <c r="AN68" i="31"/>
  <c r="G68" i="31"/>
  <c r="F68" i="31"/>
  <c r="E68" i="31"/>
  <c r="D68" i="31"/>
  <c r="D72" i="31" s="1"/>
  <c r="C68" i="31"/>
  <c r="B68" i="31"/>
  <c r="F66" i="31"/>
  <c r="E66" i="31"/>
  <c r="AM65" i="31"/>
  <c r="AE65" i="31"/>
  <c r="G65" i="31"/>
  <c r="F65" i="31"/>
  <c r="E65" i="31"/>
  <c r="D65" i="31"/>
  <c r="C65" i="31"/>
  <c r="AM64" i="31"/>
  <c r="G64" i="31"/>
  <c r="G66" i="31" s="1"/>
  <c r="F64" i="31"/>
  <c r="E64" i="31"/>
  <c r="D64" i="31"/>
  <c r="D66" i="31" s="1"/>
  <c r="C64" i="31"/>
  <c r="C66" i="31" s="1"/>
  <c r="B64" i="31"/>
  <c r="D55" i="31"/>
  <c r="C49" i="31"/>
  <c r="I45" i="31"/>
  <c r="J43" i="31"/>
  <c r="I43" i="31"/>
  <c r="G43" i="31"/>
  <c r="F43" i="31"/>
  <c r="D43" i="31"/>
  <c r="C43" i="31"/>
  <c r="J35" i="31"/>
  <c r="J45" i="31" s="1"/>
  <c r="I35" i="31"/>
  <c r="G35" i="31"/>
  <c r="F35" i="31"/>
  <c r="F45" i="31" s="1"/>
  <c r="D35" i="31"/>
  <c r="D45" i="31" s="1"/>
  <c r="C35" i="31"/>
  <c r="C45" i="31" s="1"/>
  <c r="F27" i="31"/>
  <c r="E27" i="31"/>
  <c r="D27" i="31"/>
  <c r="G27" i="31" s="1"/>
  <c r="B27" i="31"/>
  <c r="AG20" i="31"/>
  <c r="J20" i="31"/>
  <c r="I20" i="31"/>
  <c r="I22" i="31" s="1"/>
  <c r="G20" i="31"/>
  <c r="F20" i="31"/>
  <c r="D20" i="31"/>
  <c r="C20" i="31"/>
  <c r="C22" i="31" s="1"/>
  <c r="Z19" i="31"/>
  <c r="U178" i="31" s="1"/>
  <c r="U180" i="31" s="1"/>
  <c r="Z18" i="31"/>
  <c r="Z17" i="31"/>
  <c r="Z16" i="31"/>
  <c r="Z15" i="31"/>
  <c r="Z20" i="31" s="1"/>
  <c r="Z14" i="31"/>
  <c r="AG12" i="31"/>
  <c r="AG21" i="31" s="1"/>
  <c r="Z12" i="31"/>
  <c r="J12" i="31"/>
  <c r="J22" i="31" s="1"/>
  <c r="G12" i="31"/>
  <c r="G22" i="31" s="1"/>
  <c r="F12" i="31"/>
  <c r="D12" i="31"/>
  <c r="D22" i="31" s="1"/>
  <c r="J4" i="31"/>
  <c r="J27" i="31" s="1"/>
  <c r="H4" i="31"/>
  <c r="H27" i="31" s="1"/>
  <c r="G4" i="31"/>
  <c r="E4" i="31"/>
  <c r="D19" i="29"/>
  <c r="B59" i="30"/>
  <c r="D59" i="30" s="1"/>
  <c r="B58" i="30"/>
  <c r="H24" i="30" s="1"/>
  <c r="B57" i="30"/>
  <c r="E24" i="30" s="1"/>
  <c r="E18" i="30" s="1"/>
  <c r="V18" i="30" s="1"/>
  <c r="F12" i="30"/>
  <c r="B77" i="30"/>
  <c r="E19" i="29"/>
  <c r="B56" i="30"/>
  <c r="B55" i="30"/>
  <c r="AE193" i="30"/>
  <c r="AD192" i="30"/>
  <c r="AD191" i="30"/>
  <c r="AD190" i="30"/>
  <c r="AD189" i="30"/>
  <c r="U189" i="30"/>
  <c r="AD188" i="30"/>
  <c r="AD187" i="30"/>
  <c r="AD186" i="30"/>
  <c r="AD193" i="30" s="1"/>
  <c r="C184" i="30"/>
  <c r="AE180" i="30"/>
  <c r="AD179" i="30"/>
  <c r="U179" i="30"/>
  <c r="AD178" i="30"/>
  <c r="AD180" i="30" s="1"/>
  <c r="D177" i="30"/>
  <c r="AE176" i="30"/>
  <c r="E176" i="30"/>
  <c r="D176" i="30"/>
  <c r="AD171" i="30"/>
  <c r="U171" i="30" s="1"/>
  <c r="S161" i="30"/>
  <c r="J152" i="30"/>
  <c r="H152" i="30"/>
  <c r="E152" i="30"/>
  <c r="G152" i="30" s="1"/>
  <c r="D152" i="30"/>
  <c r="J151" i="30"/>
  <c r="J153" i="30" s="1"/>
  <c r="H151" i="30"/>
  <c r="E151" i="30"/>
  <c r="G151" i="30" s="1"/>
  <c r="G153" i="30" s="1"/>
  <c r="D151" i="30"/>
  <c r="D153" i="30" s="1"/>
  <c r="D147" i="30"/>
  <c r="J146" i="30"/>
  <c r="I146" i="30"/>
  <c r="F146" i="30"/>
  <c r="E146" i="30"/>
  <c r="G146" i="30" s="1"/>
  <c r="B146" i="30"/>
  <c r="D146" i="30" s="1"/>
  <c r="I145" i="30"/>
  <c r="J145" i="30" s="1"/>
  <c r="J147" i="30" s="1"/>
  <c r="D145" i="30"/>
  <c r="B145" i="30"/>
  <c r="J141" i="30"/>
  <c r="G141" i="30"/>
  <c r="F145" i="30" s="1"/>
  <c r="T139" i="30"/>
  <c r="H136" i="30"/>
  <c r="H135" i="30"/>
  <c r="B135" i="30"/>
  <c r="T134" i="30"/>
  <c r="B131" i="30"/>
  <c r="B133" i="30" s="1"/>
  <c r="B138" i="30" s="1"/>
  <c r="H138" i="30" s="1"/>
  <c r="H130" i="30"/>
  <c r="H129" i="30"/>
  <c r="H131" i="30" s="1"/>
  <c r="H132" i="30" s="1"/>
  <c r="B129" i="30"/>
  <c r="D113" i="30"/>
  <c r="F113" i="30" s="1"/>
  <c r="B113" i="30"/>
  <c r="B112" i="30"/>
  <c r="AE110" i="30"/>
  <c r="F110" i="30"/>
  <c r="D110" i="30"/>
  <c r="F109" i="30"/>
  <c r="F107" i="30"/>
  <c r="D107" i="30"/>
  <c r="F106" i="30"/>
  <c r="D106" i="30"/>
  <c r="D109" i="30" s="1"/>
  <c r="H103" i="30"/>
  <c r="G103" i="30"/>
  <c r="F103" i="30"/>
  <c r="E103" i="30"/>
  <c r="D103" i="30"/>
  <c r="C103" i="30"/>
  <c r="B103" i="30"/>
  <c r="AE102" i="30"/>
  <c r="AE94" i="30"/>
  <c r="AD93" i="30"/>
  <c r="AD92" i="30"/>
  <c r="D88" i="30"/>
  <c r="AG86" i="30"/>
  <c r="AE86" i="30"/>
  <c r="L86" i="30"/>
  <c r="AO86" i="30" s="1"/>
  <c r="J86" i="30"/>
  <c r="H86" i="30"/>
  <c r="F86" i="30"/>
  <c r="D86" i="30"/>
  <c r="AN86" i="30" s="1"/>
  <c r="AN85" i="30"/>
  <c r="AE85" i="30"/>
  <c r="H85" i="30"/>
  <c r="D85" i="30"/>
  <c r="AE84" i="30"/>
  <c r="D84" i="30"/>
  <c r="AN84" i="30" s="1"/>
  <c r="F82" i="30"/>
  <c r="B82" i="30"/>
  <c r="L79" i="30"/>
  <c r="H79" i="30"/>
  <c r="AM78" i="30"/>
  <c r="AE78" i="30"/>
  <c r="L78" i="30"/>
  <c r="H78" i="30"/>
  <c r="F78" i="30"/>
  <c r="D78" i="30"/>
  <c r="AM77" i="30"/>
  <c r="AM68" i="30" s="1"/>
  <c r="J77" i="30"/>
  <c r="L77" i="30" s="1"/>
  <c r="AM76" i="30"/>
  <c r="D72" i="30"/>
  <c r="C72" i="30"/>
  <c r="AE71" i="30"/>
  <c r="G71" i="30"/>
  <c r="F71" i="30"/>
  <c r="E71" i="30"/>
  <c r="D71" i="30"/>
  <c r="C71" i="30"/>
  <c r="B71" i="30"/>
  <c r="AM70" i="30"/>
  <c r="AE70" i="30"/>
  <c r="G70" i="30"/>
  <c r="F70" i="30"/>
  <c r="E70" i="30"/>
  <c r="D70" i="30"/>
  <c r="AN69" i="30"/>
  <c r="G69" i="30"/>
  <c r="F69" i="30"/>
  <c r="E69" i="30"/>
  <c r="D69" i="30"/>
  <c r="C69" i="30"/>
  <c r="B69" i="30"/>
  <c r="AE68" i="30"/>
  <c r="G68" i="30"/>
  <c r="G72" i="30" s="1"/>
  <c r="F68" i="30"/>
  <c r="F72" i="30" s="1"/>
  <c r="E68" i="30"/>
  <c r="E72" i="30" s="1"/>
  <c r="D68" i="30"/>
  <c r="C68" i="30"/>
  <c r="B68" i="30"/>
  <c r="F85" i="30" s="1"/>
  <c r="AE65" i="30"/>
  <c r="G65" i="30"/>
  <c r="F65" i="30"/>
  <c r="E65" i="30"/>
  <c r="D65" i="30"/>
  <c r="C65" i="30"/>
  <c r="G64" i="30"/>
  <c r="G66" i="30" s="1"/>
  <c r="F64" i="30"/>
  <c r="E64" i="30"/>
  <c r="E66" i="30" s="1"/>
  <c r="D64" i="30"/>
  <c r="D66" i="30" s="1"/>
  <c r="C64" i="30"/>
  <c r="C66" i="30" s="1"/>
  <c r="B64" i="30"/>
  <c r="C49" i="30"/>
  <c r="J45" i="30"/>
  <c r="I45" i="30"/>
  <c r="J43" i="30"/>
  <c r="I43" i="30"/>
  <c r="G43" i="30"/>
  <c r="F43" i="30"/>
  <c r="D43" i="30"/>
  <c r="C43" i="30"/>
  <c r="J35" i="30"/>
  <c r="I35" i="30"/>
  <c r="G35" i="30"/>
  <c r="F35" i="30"/>
  <c r="F45" i="30" s="1"/>
  <c r="D35" i="30"/>
  <c r="D45" i="30" s="1"/>
  <c r="C35" i="30"/>
  <c r="C45" i="30" s="1"/>
  <c r="G27" i="30"/>
  <c r="F27" i="30"/>
  <c r="D27" i="30"/>
  <c r="B27" i="30"/>
  <c r="AG20" i="30"/>
  <c r="J20" i="30"/>
  <c r="I20" i="30"/>
  <c r="I22" i="30" s="1"/>
  <c r="G20" i="30"/>
  <c r="F20" i="30"/>
  <c r="D20" i="30"/>
  <c r="C20" i="30"/>
  <c r="Z19" i="30"/>
  <c r="U178" i="30" s="1"/>
  <c r="U180" i="30" s="1"/>
  <c r="Z18" i="30"/>
  <c r="Z17" i="30"/>
  <c r="Z16" i="30"/>
  <c r="Z15" i="30"/>
  <c r="Z14" i="30"/>
  <c r="AG12" i="30"/>
  <c r="AG21" i="30" s="1"/>
  <c r="Z12" i="30"/>
  <c r="J12" i="30"/>
  <c r="G12" i="30"/>
  <c r="G22" i="30" s="1"/>
  <c r="F22" i="30"/>
  <c r="D12" i="30"/>
  <c r="D22" i="30" s="1"/>
  <c r="J4" i="30"/>
  <c r="J27" i="30" s="1"/>
  <c r="H4" i="30"/>
  <c r="H27" i="30" s="1"/>
  <c r="G4" i="30"/>
  <c r="E4" i="30"/>
  <c r="E27" i="30" s="1"/>
  <c r="E8" i="17" l="1"/>
  <c r="E6" i="17"/>
  <c r="V24" i="20"/>
  <c r="E8" i="20"/>
  <c r="G72" i="21"/>
  <c r="G66" i="20"/>
  <c r="F72" i="18"/>
  <c r="F66" i="30"/>
  <c r="AW7" i="17"/>
  <c r="S7" i="16"/>
  <c r="AL7" i="16"/>
  <c r="AR7" i="16" s="1"/>
  <c r="S8" i="16"/>
  <c r="B40" i="19"/>
  <c r="T17" i="19" s="1"/>
  <c r="B42" i="19"/>
  <c r="T19" i="19" s="1"/>
  <c r="AT16" i="16"/>
  <c r="H6" i="18"/>
  <c r="V24" i="16"/>
  <c r="E19" i="16"/>
  <c r="V19" i="16" s="1"/>
  <c r="E9" i="16"/>
  <c r="V9" i="16" s="1"/>
  <c r="AU15" i="16"/>
  <c r="E6" i="16"/>
  <c r="AU11" i="16"/>
  <c r="AU10" i="16"/>
  <c r="B7" i="20"/>
  <c r="H6" i="22"/>
  <c r="H9" i="22"/>
  <c r="X9" i="22" s="1"/>
  <c r="H14" i="22"/>
  <c r="X14" i="22" s="1"/>
  <c r="B7" i="16"/>
  <c r="B30" i="19"/>
  <c r="AW7" i="22"/>
  <c r="AW11" i="22"/>
  <c r="AU17" i="19"/>
  <c r="AU10" i="19"/>
  <c r="AU15" i="19"/>
  <c r="AU11" i="19"/>
  <c r="AV11" i="20"/>
  <c r="H39" i="20"/>
  <c r="W16" i="20" s="1"/>
  <c r="AP16" i="20" s="1"/>
  <c r="H31" i="20"/>
  <c r="AN8" i="18"/>
  <c r="AT10" i="18"/>
  <c r="AU17" i="28"/>
  <c r="E7" i="28"/>
  <c r="E6" i="28"/>
  <c r="V8" i="28"/>
  <c r="AT7" i="16"/>
  <c r="AW15" i="16"/>
  <c r="D59" i="20"/>
  <c r="S7" i="26"/>
  <c r="H47" i="16"/>
  <c r="W7" i="16" s="1"/>
  <c r="D59" i="18"/>
  <c r="B60" i="20"/>
  <c r="C57" i="20" s="1"/>
  <c r="AW7" i="16"/>
  <c r="AW10" i="16"/>
  <c r="X7" i="20"/>
  <c r="B8" i="21"/>
  <c r="S8" i="26"/>
  <c r="B7" i="26"/>
  <c r="AL8" i="26"/>
  <c r="AR8" i="26" s="1"/>
  <c r="X23" i="22"/>
  <c r="S7" i="20"/>
  <c r="AL7" i="20"/>
  <c r="AR7" i="20"/>
  <c r="B8" i="20"/>
  <c r="AT11" i="18"/>
  <c r="AT17" i="25"/>
  <c r="E37" i="25"/>
  <c r="U14" i="25" s="1"/>
  <c r="AN8" i="23"/>
  <c r="U8" i="25"/>
  <c r="AT18" i="25"/>
  <c r="AT8" i="25"/>
  <c r="E30" i="18"/>
  <c r="AT9" i="25"/>
  <c r="AT14" i="25"/>
  <c r="U8" i="23"/>
  <c r="E7" i="18"/>
  <c r="V8" i="18"/>
  <c r="E6" i="18"/>
  <c r="AO8" i="18"/>
  <c r="AU8" i="18" s="1"/>
  <c r="W8" i="28"/>
  <c r="H39" i="28"/>
  <c r="W16" i="28" s="1"/>
  <c r="AP16" i="28" s="1"/>
  <c r="AV16" i="28" s="1"/>
  <c r="H31" i="28"/>
  <c r="AP7" i="28"/>
  <c r="AV7" i="28" s="1"/>
  <c r="AP8" i="28"/>
  <c r="AV8" i="28" s="1"/>
  <c r="W7" i="28"/>
  <c r="X22" i="26"/>
  <c r="AW19" i="26"/>
  <c r="H17" i="26"/>
  <c r="X17" i="26" s="1"/>
  <c r="H14" i="26"/>
  <c r="X14" i="26" s="1"/>
  <c r="AQ14" i="26" s="1"/>
  <c r="H10" i="26"/>
  <c r="X10" i="26" s="1"/>
  <c r="AQ7" i="26"/>
  <c r="AW16" i="26"/>
  <c r="H9" i="26"/>
  <c r="X9" i="26" s="1"/>
  <c r="AW8" i="26"/>
  <c r="H7" i="26"/>
  <c r="AW18" i="26"/>
  <c r="H11" i="26"/>
  <c r="X11" i="26" s="1"/>
  <c r="AW15" i="26"/>
  <c r="AQ8" i="26"/>
  <c r="H8" i="26"/>
  <c r="H18" i="26"/>
  <c r="X18" i="26" s="1"/>
  <c r="AW17" i="26"/>
  <c r="AW14" i="26"/>
  <c r="T7" i="16"/>
  <c r="AM8" i="16"/>
  <c r="AS8" i="16" s="1"/>
  <c r="B29" i="16"/>
  <c r="V24" i="17"/>
  <c r="AO8" i="17"/>
  <c r="AU8" i="17" s="1"/>
  <c r="V8" i="17"/>
  <c r="E7" i="17"/>
  <c r="AP8" i="18"/>
  <c r="AV8" i="18" s="1"/>
  <c r="W7" i="18"/>
  <c r="H31" i="22"/>
  <c r="H30" i="22"/>
  <c r="AP7" i="22"/>
  <c r="AV7" i="22" s="1"/>
  <c r="AP8" i="22"/>
  <c r="AV8" i="22" s="1"/>
  <c r="W7" i="22"/>
  <c r="W8" i="22"/>
  <c r="S7" i="18"/>
  <c r="E6" i="20"/>
  <c r="H6" i="20"/>
  <c r="AQ7" i="20"/>
  <c r="AQ8" i="20"/>
  <c r="AW8" i="20" s="1"/>
  <c r="H7" i="22"/>
  <c r="AW9" i="22"/>
  <c r="AW14" i="22"/>
  <c r="AT8" i="23"/>
  <c r="E31" i="23"/>
  <c r="D55" i="16"/>
  <c r="X8" i="22"/>
  <c r="H10" i="22"/>
  <c r="X10" i="22" s="1"/>
  <c r="H15" i="22"/>
  <c r="X15" i="22" s="1"/>
  <c r="AQ15" i="22" s="1"/>
  <c r="AW16" i="22"/>
  <c r="T7" i="23"/>
  <c r="AT15" i="25"/>
  <c r="AP7" i="20"/>
  <c r="E7" i="20"/>
  <c r="AV8" i="20"/>
  <c r="B47" i="21"/>
  <c r="AM7" i="21" s="1"/>
  <c r="AS7" i="21" s="1"/>
  <c r="X7" i="22"/>
  <c r="H17" i="22"/>
  <c r="X17" i="22" s="1"/>
  <c r="AW19" i="22"/>
  <c r="D59" i="22"/>
  <c r="U7" i="23"/>
  <c r="AU18" i="28"/>
  <c r="H47" i="19"/>
  <c r="AP8" i="19" s="1"/>
  <c r="AV8" i="19" s="1"/>
  <c r="AQ8" i="22"/>
  <c r="AW10" i="22"/>
  <c r="B7" i="24"/>
  <c r="U7" i="25"/>
  <c r="AT16" i="25"/>
  <c r="H47" i="26"/>
  <c r="H30" i="26" s="1"/>
  <c r="AU10" i="28"/>
  <c r="H8" i="18"/>
  <c r="W7" i="20"/>
  <c r="H8" i="20"/>
  <c r="H38" i="20"/>
  <c r="W15" i="20" s="1"/>
  <c r="AP15" i="20" s="1"/>
  <c r="AQ7" i="22"/>
  <c r="H11" i="22"/>
  <c r="X11" i="22" s="1"/>
  <c r="AW15" i="22"/>
  <c r="T8" i="23"/>
  <c r="AN7" i="25"/>
  <c r="E8" i="28"/>
  <c r="AU14" i="28"/>
  <c r="X8" i="18"/>
  <c r="W8" i="20"/>
  <c r="X24" i="23"/>
  <c r="H18" i="23"/>
  <c r="X18" i="23" s="1"/>
  <c r="AW14" i="23"/>
  <c r="H10" i="23"/>
  <c r="X10" i="23" s="1"/>
  <c r="AW17" i="23"/>
  <c r="AW15" i="23"/>
  <c r="AW11" i="23"/>
  <c r="AW9" i="23"/>
  <c r="AQ8" i="23"/>
  <c r="X8" i="23"/>
  <c r="H8" i="23"/>
  <c r="H7" i="23"/>
  <c r="H19" i="23"/>
  <c r="X19" i="23" s="1"/>
  <c r="H14" i="23"/>
  <c r="X14" i="23" s="1"/>
  <c r="H11" i="23"/>
  <c r="X11" i="23" s="1"/>
  <c r="H9" i="23"/>
  <c r="X9" i="23" s="1"/>
  <c r="AW7" i="23"/>
  <c r="H6" i="23"/>
  <c r="AQ7" i="23"/>
  <c r="H15" i="23"/>
  <c r="X15" i="23" s="1"/>
  <c r="AQ15" i="23" s="1"/>
  <c r="AW10" i="23"/>
  <c r="AW16" i="23"/>
  <c r="AW8" i="23"/>
  <c r="AW16" i="28"/>
  <c r="H16" i="28"/>
  <c r="X16" i="28" s="1"/>
  <c r="AQ16" i="28" s="1"/>
  <c r="AW8" i="28"/>
  <c r="AQ8" i="28"/>
  <c r="AQ7" i="28"/>
  <c r="X24" i="28"/>
  <c r="AW19" i="28"/>
  <c r="H19" i="28"/>
  <c r="X19" i="28" s="1"/>
  <c r="AW15" i="28"/>
  <c r="H11" i="28"/>
  <c r="X11" i="28" s="1"/>
  <c r="H10" i="28"/>
  <c r="X10" i="28" s="1"/>
  <c r="X8" i="28"/>
  <c r="AW7" i="28"/>
  <c r="X22" i="28"/>
  <c r="AW18" i="28"/>
  <c r="H18" i="28"/>
  <c r="X18" i="28" s="1"/>
  <c r="H15" i="28"/>
  <c r="X15" i="28" s="1"/>
  <c r="AQ15" i="28" s="1"/>
  <c r="AW11" i="28"/>
  <c r="AW10" i="28"/>
  <c r="H8" i="28"/>
  <c r="H6" i="28"/>
  <c r="H17" i="28"/>
  <c r="X17" i="28" s="1"/>
  <c r="AW14" i="28"/>
  <c r="AW9" i="28"/>
  <c r="AW17" i="28"/>
  <c r="H9" i="28"/>
  <c r="X9" i="28" s="1"/>
  <c r="H7" i="28"/>
  <c r="H14" i="28"/>
  <c r="X14" i="28" s="1"/>
  <c r="AQ14" i="28" s="1"/>
  <c r="V24" i="22"/>
  <c r="AU15" i="22"/>
  <c r="AU9" i="22"/>
  <c r="AU16" i="22"/>
  <c r="E16" i="22"/>
  <c r="V16" i="22" s="1"/>
  <c r="AO16" i="22" s="1"/>
  <c r="E11" i="22"/>
  <c r="V11" i="22" s="1"/>
  <c r="E10" i="22"/>
  <c r="V10" i="22" s="1"/>
  <c r="V8" i="22"/>
  <c r="E18" i="22"/>
  <c r="V18" i="22" s="1"/>
  <c r="AO8" i="22"/>
  <c r="AQ7" i="21"/>
  <c r="AW7" i="21" s="1"/>
  <c r="H7" i="21"/>
  <c r="H8" i="21"/>
  <c r="AL7" i="23"/>
  <c r="AR7" i="23" s="1"/>
  <c r="AL8" i="23"/>
  <c r="AR8" i="23" s="1"/>
  <c r="S8" i="23"/>
  <c r="S7" i="23"/>
  <c r="AO8" i="16"/>
  <c r="AU17" i="16"/>
  <c r="AT8" i="18"/>
  <c r="AR8" i="18"/>
  <c r="AL8" i="18"/>
  <c r="S8" i="18"/>
  <c r="AL7" i="18"/>
  <c r="B7" i="18"/>
  <c r="AR7" i="18"/>
  <c r="X7" i="25"/>
  <c r="AQ7" i="31"/>
  <c r="E7" i="16"/>
  <c r="AM7" i="16"/>
  <c r="AS7" i="16" s="1"/>
  <c r="U8" i="16"/>
  <c r="AT8" i="16"/>
  <c r="E10" i="16"/>
  <c r="V10" i="16" s="1"/>
  <c r="E11" i="16"/>
  <c r="V11" i="16" s="1"/>
  <c r="E15" i="16"/>
  <c r="V15" i="16" s="1"/>
  <c r="AO15" i="16" s="1"/>
  <c r="E16" i="16"/>
  <c r="V16" i="16" s="1"/>
  <c r="AO16" i="16" s="1"/>
  <c r="E17" i="16"/>
  <c r="V17" i="16" s="1"/>
  <c r="E18" i="16"/>
  <c r="V18" i="16" s="1"/>
  <c r="AT19" i="16"/>
  <c r="V22" i="16"/>
  <c r="V23" i="16" s="1"/>
  <c r="T24" i="16"/>
  <c r="E30" i="16"/>
  <c r="AN7" i="18"/>
  <c r="E14" i="22"/>
  <c r="V14" i="22" s="1"/>
  <c r="AO14" i="22" s="1"/>
  <c r="B30" i="23"/>
  <c r="AM7" i="23"/>
  <c r="AS7" i="23" s="1"/>
  <c r="B29" i="23"/>
  <c r="T24" i="23"/>
  <c r="E37" i="18"/>
  <c r="U14" i="18" s="1"/>
  <c r="AN14" i="18" s="1"/>
  <c r="E34" i="18"/>
  <c r="U11" i="18" s="1"/>
  <c r="U24" i="18"/>
  <c r="U22" i="18"/>
  <c r="E38" i="18"/>
  <c r="U15" i="18" s="1"/>
  <c r="AN15" i="18" s="1"/>
  <c r="AT17" i="18"/>
  <c r="AT15" i="18"/>
  <c r="AT7" i="18"/>
  <c r="E42" i="18"/>
  <c r="U19" i="18" s="1"/>
  <c r="E31" i="18"/>
  <c r="AT19" i="18"/>
  <c r="AT9" i="18"/>
  <c r="U7" i="18"/>
  <c r="X8" i="17"/>
  <c r="H6" i="17"/>
  <c r="B24" i="19"/>
  <c r="S8" i="19" s="1"/>
  <c r="B60" i="19"/>
  <c r="C57" i="19" s="1"/>
  <c r="X24" i="19"/>
  <c r="H11" i="19"/>
  <c r="X11" i="19" s="1"/>
  <c r="H10" i="19"/>
  <c r="X10" i="19" s="1"/>
  <c r="AW8" i="19"/>
  <c r="X8" i="19"/>
  <c r="X22" i="19"/>
  <c r="H19" i="19"/>
  <c r="X19" i="19" s="1"/>
  <c r="H18" i="19"/>
  <c r="X18" i="19" s="1"/>
  <c r="H17" i="19"/>
  <c r="X17" i="19" s="1"/>
  <c r="H16" i="19"/>
  <c r="X16" i="19" s="1"/>
  <c r="AQ16" i="19" s="1"/>
  <c r="H15" i="19"/>
  <c r="X15" i="19" s="1"/>
  <c r="AQ15" i="19" s="1"/>
  <c r="AW11" i="19"/>
  <c r="AW10" i="19"/>
  <c r="AW9" i="19"/>
  <c r="H8" i="19"/>
  <c r="AQ7" i="19"/>
  <c r="H6" i="19"/>
  <c r="AW17" i="19"/>
  <c r="AW15" i="19"/>
  <c r="H14" i="19"/>
  <c r="X14" i="19" s="1"/>
  <c r="AQ14" i="19" s="1"/>
  <c r="AQ8" i="19"/>
  <c r="E47" i="26"/>
  <c r="U8" i="26" s="1"/>
  <c r="B60" i="26"/>
  <c r="C60" i="26" s="1"/>
  <c r="B60" i="28"/>
  <c r="C57" i="28" s="1"/>
  <c r="B24" i="28"/>
  <c r="S24" i="28" s="1"/>
  <c r="T8" i="16"/>
  <c r="AU9" i="16"/>
  <c r="AU14" i="16"/>
  <c r="AU16" i="16"/>
  <c r="B30" i="16"/>
  <c r="AT16" i="18"/>
  <c r="E41" i="18"/>
  <c r="U18" i="18" s="1"/>
  <c r="H9" i="19"/>
  <c r="X9" i="19" s="1"/>
  <c r="AW19" i="19"/>
  <c r="AU18" i="22"/>
  <c r="V24" i="26"/>
  <c r="E11" i="26"/>
  <c r="V11" i="26" s="1"/>
  <c r="AU18" i="26"/>
  <c r="E16" i="26"/>
  <c r="V16" i="26" s="1"/>
  <c r="AO16" i="26" s="1"/>
  <c r="E10" i="26"/>
  <c r="V10" i="26" s="1"/>
  <c r="AU8" i="26"/>
  <c r="E31" i="28"/>
  <c r="AT18" i="28"/>
  <c r="AT17" i="28"/>
  <c r="AT11" i="28"/>
  <c r="AT10" i="28"/>
  <c r="U8" i="28"/>
  <c r="E30" i="28"/>
  <c r="AT14" i="28"/>
  <c r="U7" i="28"/>
  <c r="E42" i="28"/>
  <c r="U19" i="28" s="1"/>
  <c r="E38" i="28"/>
  <c r="U15" i="28" s="1"/>
  <c r="AN15" i="28" s="1"/>
  <c r="E34" i="28"/>
  <c r="U11" i="28" s="1"/>
  <c r="U24" i="28"/>
  <c r="AT16" i="28"/>
  <c r="AT9" i="28"/>
  <c r="AN7" i="28"/>
  <c r="H16" i="31"/>
  <c r="X16" i="31" s="1"/>
  <c r="AQ16" i="31" s="1"/>
  <c r="AW18" i="31"/>
  <c r="E8" i="16"/>
  <c r="X8" i="16"/>
  <c r="AU8" i="16"/>
  <c r="AT10" i="16"/>
  <c r="E14" i="16"/>
  <c r="V14" i="16" s="1"/>
  <c r="AO14" i="16" s="1"/>
  <c r="H17" i="16"/>
  <c r="X17" i="16" s="1"/>
  <c r="AU19" i="16"/>
  <c r="U24" i="16"/>
  <c r="B31" i="16"/>
  <c r="B60" i="16"/>
  <c r="C57" i="16" s="1"/>
  <c r="U8" i="18"/>
  <c r="AT14" i="18"/>
  <c r="AT18" i="18"/>
  <c r="AW7" i="19"/>
  <c r="AW14" i="19"/>
  <c r="AW16" i="19"/>
  <c r="AW18" i="19"/>
  <c r="V24" i="19"/>
  <c r="AU14" i="19"/>
  <c r="E19" i="19"/>
  <c r="V19" i="19" s="1"/>
  <c r="E17" i="19"/>
  <c r="V17" i="19" s="1"/>
  <c r="E15" i="19"/>
  <c r="V15" i="19" s="1"/>
  <c r="AO15" i="19" s="1"/>
  <c r="AU9" i="19"/>
  <c r="E8" i="19"/>
  <c r="V24" i="21"/>
  <c r="AO8" i="21"/>
  <c r="AU8" i="21" s="1"/>
  <c r="E6" i="22"/>
  <c r="AT8" i="28"/>
  <c r="U22" i="28"/>
  <c r="V8" i="16"/>
  <c r="AM7" i="19"/>
  <c r="AS7" i="19" s="1"/>
  <c r="B31" i="19"/>
  <c r="B38" i="19"/>
  <c r="T15" i="19" s="1"/>
  <c r="AM15" i="19" s="1"/>
  <c r="AS15" i="19" s="1"/>
  <c r="H7" i="20"/>
  <c r="AW7" i="20"/>
  <c r="AO8" i="28"/>
  <c r="AU8" i="28"/>
  <c r="E10" i="28"/>
  <c r="V10" i="28" s="1"/>
  <c r="AU15" i="28"/>
  <c r="AU19" i="28"/>
  <c r="T24" i="19"/>
  <c r="B34" i="19"/>
  <c r="T11" i="19" s="1"/>
  <c r="B41" i="19"/>
  <c r="T18" i="19" s="1"/>
  <c r="H18" i="22"/>
  <c r="X18" i="22" s="1"/>
  <c r="AW18" i="22"/>
  <c r="AU9" i="28"/>
  <c r="AU16" i="28"/>
  <c r="H6" i="26"/>
  <c r="X8" i="26"/>
  <c r="AW10" i="26"/>
  <c r="AW11" i="26"/>
  <c r="H15" i="26"/>
  <c r="X15" i="26" s="1"/>
  <c r="AQ15" i="26" s="1"/>
  <c r="H19" i="26"/>
  <c r="X19" i="26" s="1"/>
  <c r="X24" i="26"/>
  <c r="AW7" i="26"/>
  <c r="AW9" i="26"/>
  <c r="H16" i="26"/>
  <c r="X16" i="26" s="1"/>
  <c r="AQ16" i="26" s="1"/>
  <c r="AO8" i="26"/>
  <c r="AU15" i="26"/>
  <c r="E18" i="26"/>
  <c r="V18" i="26" s="1"/>
  <c r="E7" i="26"/>
  <c r="V8" i="26"/>
  <c r="AU9" i="26"/>
  <c r="AU10" i="26"/>
  <c r="AU11" i="26"/>
  <c r="E15" i="26"/>
  <c r="V15" i="26" s="1"/>
  <c r="AO15" i="26" s="1"/>
  <c r="AU17" i="26"/>
  <c r="AU19" i="26"/>
  <c r="V22" i="26"/>
  <c r="E6" i="26"/>
  <c r="E8" i="26"/>
  <c r="E9" i="26"/>
  <c r="V9" i="26" s="1"/>
  <c r="E14" i="26"/>
  <c r="AU14" i="26"/>
  <c r="E17" i="26"/>
  <c r="V17" i="26" s="1"/>
  <c r="E19" i="26"/>
  <c r="V19" i="26" s="1"/>
  <c r="AR7" i="26"/>
  <c r="B8" i="26"/>
  <c r="S8" i="24"/>
  <c r="B8" i="24"/>
  <c r="S7" i="24"/>
  <c r="AL7" i="24"/>
  <c r="AL8" i="24"/>
  <c r="AR7" i="24"/>
  <c r="H17" i="23"/>
  <c r="X17" i="23" s="1"/>
  <c r="AW19" i="23"/>
  <c r="H16" i="23"/>
  <c r="X16" i="23" s="1"/>
  <c r="AQ16" i="23" s="1"/>
  <c r="AW18" i="23"/>
  <c r="X22" i="23"/>
  <c r="B31" i="23"/>
  <c r="B8" i="23"/>
  <c r="H19" i="22"/>
  <c r="X19" i="22" s="1"/>
  <c r="E9" i="22"/>
  <c r="V9" i="22" s="1"/>
  <c r="AU10" i="22"/>
  <c r="E15" i="22"/>
  <c r="V15" i="22" s="1"/>
  <c r="AO15" i="22" s="1"/>
  <c r="AU17" i="22"/>
  <c r="E7" i="22"/>
  <c r="E8" i="22"/>
  <c r="AU8" i="22"/>
  <c r="AU11" i="22"/>
  <c r="AU14" i="22"/>
  <c r="E17" i="22"/>
  <c r="V17" i="22" s="1"/>
  <c r="E19" i="22"/>
  <c r="V19" i="22" s="1"/>
  <c r="AU19" i="22"/>
  <c r="V22" i="22"/>
  <c r="AQ8" i="21"/>
  <c r="AW8" i="21" s="1"/>
  <c r="X8" i="21"/>
  <c r="X24" i="21"/>
  <c r="H6" i="21"/>
  <c r="AV9" i="20"/>
  <c r="AV7" i="20"/>
  <c r="X24" i="20"/>
  <c r="E7" i="19"/>
  <c r="AO8" i="19"/>
  <c r="E14" i="19"/>
  <c r="V14" i="19" s="1"/>
  <c r="AU16" i="19"/>
  <c r="E18" i="19"/>
  <c r="V18" i="19" s="1"/>
  <c r="AU18" i="19"/>
  <c r="V22" i="19"/>
  <c r="V8" i="19"/>
  <c r="E9" i="19"/>
  <c r="V9" i="19" s="1"/>
  <c r="E11" i="19"/>
  <c r="V11" i="19" s="1"/>
  <c r="E16" i="19"/>
  <c r="V16" i="19" s="1"/>
  <c r="AO16" i="19" s="1"/>
  <c r="AU19" i="19"/>
  <c r="T7" i="19"/>
  <c r="T8" i="19"/>
  <c r="AM8" i="19"/>
  <c r="AS8" i="19" s="1"/>
  <c r="B32" i="19"/>
  <c r="T9" i="19" s="1"/>
  <c r="B39" i="19"/>
  <c r="T16" i="19" s="1"/>
  <c r="AM16" i="19" s="1"/>
  <c r="AS16" i="19" s="1"/>
  <c r="T22" i="19"/>
  <c r="B29" i="19"/>
  <c r="B33" i="19"/>
  <c r="T10" i="19" s="1"/>
  <c r="B37" i="19"/>
  <c r="T14" i="19" s="1"/>
  <c r="AQ7" i="18"/>
  <c r="AW7" i="18"/>
  <c r="AQ8" i="18"/>
  <c r="AW8" i="18"/>
  <c r="X24" i="18"/>
  <c r="H7" i="18"/>
  <c r="X24" i="17"/>
  <c r="H7" i="17"/>
  <c r="H8" i="17"/>
  <c r="AQ8" i="17"/>
  <c r="AW8" i="17" s="1"/>
  <c r="AQ7" i="17"/>
  <c r="AQ7" i="16"/>
  <c r="H10" i="16"/>
  <c r="X10" i="16" s="1"/>
  <c r="H15" i="16"/>
  <c r="X15" i="16" s="1"/>
  <c r="AQ15" i="16" s="1"/>
  <c r="H18" i="16"/>
  <c r="X18" i="16" s="1"/>
  <c r="H19" i="16"/>
  <c r="X19" i="16" s="1"/>
  <c r="AW19" i="16"/>
  <c r="X22" i="16"/>
  <c r="H7" i="16"/>
  <c r="H11" i="16"/>
  <c r="X11" i="16" s="1"/>
  <c r="H16" i="16"/>
  <c r="X16" i="16" s="1"/>
  <c r="AQ16" i="16" s="1"/>
  <c r="AW16" i="16"/>
  <c r="H9" i="16"/>
  <c r="X9" i="16" s="1"/>
  <c r="H6" i="16"/>
  <c r="H8" i="16"/>
  <c r="AQ8" i="16"/>
  <c r="AW8" i="16"/>
  <c r="AW9" i="16"/>
  <c r="AW11" i="16"/>
  <c r="H14" i="16"/>
  <c r="AW14" i="16"/>
  <c r="AW17" i="16"/>
  <c r="AW18" i="16"/>
  <c r="AU18" i="16"/>
  <c r="U7" i="16"/>
  <c r="AN7" i="16"/>
  <c r="AN8" i="16"/>
  <c r="AT14" i="16"/>
  <c r="AT15" i="16"/>
  <c r="U22" i="16"/>
  <c r="E38" i="16"/>
  <c r="U15" i="16" s="1"/>
  <c r="AN15" i="16" s="1"/>
  <c r="AT18" i="16"/>
  <c r="E31" i="16"/>
  <c r="E41" i="16"/>
  <c r="U18" i="16" s="1"/>
  <c r="AT9" i="16"/>
  <c r="AT11" i="16"/>
  <c r="AT17" i="16"/>
  <c r="E34" i="16"/>
  <c r="U11" i="16" s="1"/>
  <c r="E37" i="16"/>
  <c r="U14" i="16" s="1"/>
  <c r="AN14" i="16" s="1"/>
  <c r="AQ8" i="31"/>
  <c r="H10" i="31"/>
  <c r="X10" i="31" s="1"/>
  <c r="AW14" i="31"/>
  <c r="AW7" i="31"/>
  <c r="AW8" i="31"/>
  <c r="AW10" i="31"/>
  <c r="H15" i="31"/>
  <c r="X15" i="31" s="1"/>
  <c r="AQ15" i="31" s="1"/>
  <c r="AW17" i="31"/>
  <c r="H19" i="31"/>
  <c r="X19" i="31" s="1"/>
  <c r="X24" i="31"/>
  <c r="H6" i="31"/>
  <c r="X23" i="31" s="1"/>
  <c r="H8" i="31"/>
  <c r="H9" i="31"/>
  <c r="X9" i="31" s="1"/>
  <c r="H11" i="31"/>
  <c r="X11" i="31" s="1"/>
  <c r="H14" i="31"/>
  <c r="X14" i="31" s="1"/>
  <c r="AQ14" i="31" s="1"/>
  <c r="AW16" i="31"/>
  <c r="H18" i="31"/>
  <c r="X18" i="31" s="1"/>
  <c r="H7" i="31"/>
  <c r="X8" i="31"/>
  <c r="AW9" i="31"/>
  <c r="AW11" i="31"/>
  <c r="AW15" i="31"/>
  <c r="H17" i="31"/>
  <c r="X17" i="31" s="1"/>
  <c r="AW19" i="31"/>
  <c r="AO85" i="28"/>
  <c r="L85" i="28"/>
  <c r="AG85" i="28"/>
  <c r="AE77" i="28"/>
  <c r="D77" i="28"/>
  <c r="D80" i="28" s="1"/>
  <c r="AD175" i="28"/>
  <c r="U175" i="28" s="1"/>
  <c r="AD169" i="28"/>
  <c r="AD172" i="28"/>
  <c r="U172" i="28" s="1"/>
  <c r="AD170" i="28"/>
  <c r="U170" i="28" s="1"/>
  <c r="AD174" i="28"/>
  <c r="U174" i="28" s="1"/>
  <c r="E9" i="28"/>
  <c r="V9" i="28" s="1"/>
  <c r="AU11" i="28"/>
  <c r="H29" i="28"/>
  <c r="W24" i="28"/>
  <c r="H30" i="28"/>
  <c r="H42" i="28"/>
  <c r="W19" i="28" s="1"/>
  <c r="D72" i="28"/>
  <c r="AM68" i="28"/>
  <c r="AM71" i="28"/>
  <c r="AM69" i="28"/>
  <c r="G146" i="28"/>
  <c r="AD173" i="28"/>
  <c r="U173" i="28" s="1"/>
  <c r="AM65" i="28"/>
  <c r="AM64" i="28"/>
  <c r="U109" i="28"/>
  <c r="F76" i="28"/>
  <c r="H76" i="28" s="1"/>
  <c r="AE64" i="28"/>
  <c r="F84" i="28"/>
  <c r="H84" i="28" s="1"/>
  <c r="H88" i="28" s="1"/>
  <c r="J76" i="28"/>
  <c r="L76" i="28" s="1"/>
  <c r="X7" i="28"/>
  <c r="V24" i="28"/>
  <c r="V22" i="28"/>
  <c r="E19" i="28"/>
  <c r="V19" i="28" s="1"/>
  <c r="E18" i="28"/>
  <c r="V18" i="28" s="1"/>
  <c r="E17" i="28"/>
  <c r="V17" i="28" s="1"/>
  <c r="E16" i="28"/>
  <c r="V16" i="28" s="1"/>
  <c r="AO16" i="28" s="1"/>
  <c r="E15" i="28"/>
  <c r="V15" i="28" s="1"/>
  <c r="AO15" i="28" s="1"/>
  <c r="E14" i="28"/>
  <c r="E11" i="28"/>
  <c r="V11" i="28" s="1"/>
  <c r="AM70" i="28"/>
  <c r="J84" i="28"/>
  <c r="AD109" i="28"/>
  <c r="AD107" i="28"/>
  <c r="AD108" i="28"/>
  <c r="U108" i="28" s="1"/>
  <c r="AD106" i="28"/>
  <c r="AD104" i="28"/>
  <c r="U104" i="28" s="1"/>
  <c r="Z21" i="28"/>
  <c r="D56" i="28"/>
  <c r="E72" i="28"/>
  <c r="U106" i="28"/>
  <c r="U107" i="28"/>
  <c r="E178" i="28"/>
  <c r="D178" i="28"/>
  <c r="E177" i="28"/>
  <c r="U92" i="28"/>
  <c r="U94" i="28" s="1"/>
  <c r="U93" i="28"/>
  <c r="U100" i="28"/>
  <c r="U102" i="28" s="1"/>
  <c r="U105" i="28"/>
  <c r="U190" i="28"/>
  <c r="U186" i="28"/>
  <c r="U191" i="28"/>
  <c r="U187" i="28"/>
  <c r="E39" i="28"/>
  <c r="E32" i="28"/>
  <c r="U9" i="28" s="1"/>
  <c r="T126" i="28"/>
  <c r="E40" i="28"/>
  <c r="U17" i="28" s="1"/>
  <c r="E33" i="28"/>
  <c r="U10" i="28" s="1"/>
  <c r="E29" i="28"/>
  <c r="F85" i="28"/>
  <c r="H85" i="28" s="1"/>
  <c r="F77" i="28"/>
  <c r="H77" i="28" s="1"/>
  <c r="AE68" i="28"/>
  <c r="J77" i="28"/>
  <c r="L77" i="28" s="1"/>
  <c r="AN71" i="28"/>
  <c r="AN70" i="28"/>
  <c r="AN69" i="28"/>
  <c r="AO86" i="28"/>
  <c r="K184" i="28"/>
  <c r="K185" i="28" s="1"/>
  <c r="U188" i="28"/>
  <c r="U192" i="28"/>
  <c r="D112" i="28"/>
  <c r="F112" i="28" s="1"/>
  <c r="B47" i="28"/>
  <c r="L86" i="28"/>
  <c r="F106" i="28"/>
  <c r="AM65" i="26"/>
  <c r="AM64" i="26"/>
  <c r="F76" i="26"/>
  <c r="H76" i="26" s="1"/>
  <c r="AE64" i="26"/>
  <c r="F84" i="26"/>
  <c r="H84" i="26" s="1"/>
  <c r="J76" i="26"/>
  <c r="L76" i="26" s="1"/>
  <c r="D72" i="26"/>
  <c r="AM68" i="26"/>
  <c r="AM71" i="26"/>
  <c r="AM69" i="26"/>
  <c r="G146" i="26"/>
  <c r="AO85" i="26"/>
  <c r="L85" i="26"/>
  <c r="AG85" i="26"/>
  <c r="X7" i="26"/>
  <c r="AE77" i="26"/>
  <c r="D77" i="26"/>
  <c r="D80" i="26" s="1"/>
  <c r="B6" i="26" s="1"/>
  <c r="AD175" i="26"/>
  <c r="U175" i="26" s="1"/>
  <c r="AD169" i="26"/>
  <c r="AD172" i="26"/>
  <c r="U172" i="26" s="1"/>
  <c r="AD170" i="26"/>
  <c r="U170" i="26" s="1"/>
  <c r="AD174" i="26"/>
  <c r="U174" i="26" s="1"/>
  <c r="J84" i="26"/>
  <c r="AD109" i="26"/>
  <c r="U109" i="26" s="1"/>
  <c r="AD107" i="26"/>
  <c r="AD108" i="26"/>
  <c r="AD106" i="26"/>
  <c r="U106" i="26" s="1"/>
  <c r="AD104" i="26"/>
  <c r="U104" i="26" s="1"/>
  <c r="U92" i="26"/>
  <c r="U93" i="26"/>
  <c r="U100" i="26"/>
  <c r="U102" i="26" s="1"/>
  <c r="U105" i="26"/>
  <c r="U190" i="26"/>
  <c r="U186" i="26"/>
  <c r="U191" i="26"/>
  <c r="U187" i="26"/>
  <c r="D56" i="26"/>
  <c r="E72" i="26"/>
  <c r="U107" i="26"/>
  <c r="E178" i="26"/>
  <c r="D178" i="26"/>
  <c r="E177" i="26"/>
  <c r="G22" i="26"/>
  <c r="Z20" i="26"/>
  <c r="Z21" i="26" s="1"/>
  <c r="S24" i="26"/>
  <c r="F85" i="26"/>
  <c r="H85" i="26" s="1"/>
  <c r="F77" i="26"/>
  <c r="H77" i="26" s="1"/>
  <c r="AE68" i="26"/>
  <c r="J77" i="26"/>
  <c r="L77" i="26" s="1"/>
  <c r="AN71" i="26"/>
  <c r="AN70" i="26"/>
  <c r="AN69" i="26"/>
  <c r="AO86" i="26"/>
  <c r="U108" i="26"/>
  <c r="K184" i="26"/>
  <c r="K185" i="26" s="1"/>
  <c r="U188" i="26"/>
  <c r="U192" i="26"/>
  <c r="D112" i="26"/>
  <c r="F112" i="26" s="1"/>
  <c r="B47" i="26"/>
  <c r="L86" i="26"/>
  <c r="F106" i="26"/>
  <c r="U106" i="25"/>
  <c r="H8" i="25"/>
  <c r="AD109" i="25"/>
  <c r="AD107" i="25"/>
  <c r="U107" i="25" s="1"/>
  <c r="AD108" i="25"/>
  <c r="AD106" i="25"/>
  <c r="AD104" i="25"/>
  <c r="AD105" i="25"/>
  <c r="U105" i="25" s="1"/>
  <c r="H7" i="25"/>
  <c r="AT7" i="25"/>
  <c r="AQ8" i="25"/>
  <c r="AW8" i="25" s="1"/>
  <c r="AT11" i="25"/>
  <c r="U92" i="25"/>
  <c r="U93" i="25"/>
  <c r="D59" i="25"/>
  <c r="H47" i="25"/>
  <c r="E72" i="25"/>
  <c r="AN71" i="25"/>
  <c r="AN70" i="25"/>
  <c r="AN69" i="25"/>
  <c r="AN68" i="25"/>
  <c r="E24" i="25"/>
  <c r="AW7" i="25"/>
  <c r="E39" i="25"/>
  <c r="U16" i="25" s="1"/>
  <c r="AN16" i="25" s="1"/>
  <c r="E32" i="25"/>
  <c r="U9" i="25" s="1"/>
  <c r="AT19" i="25"/>
  <c r="T126" i="25"/>
  <c r="E40" i="25"/>
  <c r="U17" i="25" s="1"/>
  <c r="E33" i="25"/>
  <c r="U10" i="25" s="1"/>
  <c r="E29" i="25"/>
  <c r="E42" i="25"/>
  <c r="U19" i="25" s="1"/>
  <c r="E34" i="25"/>
  <c r="U11" i="25" s="1"/>
  <c r="E41" i="25"/>
  <c r="U18" i="25" s="1"/>
  <c r="E31" i="25"/>
  <c r="U24" i="25"/>
  <c r="U22" i="25"/>
  <c r="AD175" i="25"/>
  <c r="U175" i="25" s="1"/>
  <c r="AD169" i="25"/>
  <c r="AD172" i="25"/>
  <c r="U172" i="25" s="1"/>
  <c r="AD170" i="25"/>
  <c r="U170" i="25" s="1"/>
  <c r="AD174" i="25"/>
  <c r="U174" i="25" s="1"/>
  <c r="H6" i="25"/>
  <c r="AQ7" i="25"/>
  <c r="X8" i="25"/>
  <c r="AN8" i="25"/>
  <c r="AT10" i="25"/>
  <c r="G22" i="25"/>
  <c r="U100" i="25"/>
  <c r="U99" i="25"/>
  <c r="U102" i="25" s="1"/>
  <c r="U104" i="25"/>
  <c r="U108" i="25"/>
  <c r="U190" i="25"/>
  <c r="U186" i="25"/>
  <c r="U193" i="25" s="1"/>
  <c r="U191" i="25"/>
  <c r="U187" i="25"/>
  <c r="U192" i="25"/>
  <c r="U188" i="25"/>
  <c r="B60" i="25"/>
  <c r="C56" i="25" s="1"/>
  <c r="B24" i="25"/>
  <c r="D56" i="25"/>
  <c r="E66" i="25"/>
  <c r="F85" i="25"/>
  <c r="H85" i="25" s="1"/>
  <c r="F77" i="25"/>
  <c r="H77" i="25" s="1"/>
  <c r="AE68" i="25"/>
  <c r="J85" i="25"/>
  <c r="J77" i="25"/>
  <c r="L77" i="25" s="1"/>
  <c r="U109" i="25"/>
  <c r="U179" i="25"/>
  <c r="U180" i="25" s="1"/>
  <c r="AM68" i="25"/>
  <c r="AM71" i="25"/>
  <c r="E178" i="25"/>
  <c r="D178" i="25"/>
  <c r="E177" i="25"/>
  <c r="F76" i="25"/>
  <c r="H76" i="25" s="1"/>
  <c r="H80" i="25" s="1"/>
  <c r="AE64" i="25"/>
  <c r="F84" i="25"/>
  <c r="H84" i="25" s="1"/>
  <c r="H88" i="25" s="1"/>
  <c r="D72" i="25"/>
  <c r="AE77" i="25"/>
  <c r="D77" i="25"/>
  <c r="D80" i="25" s="1"/>
  <c r="J84" i="25"/>
  <c r="F113" i="25"/>
  <c r="K184" i="25"/>
  <c r="K185" i="25" s="1"/>
  <c r="D112" i="25"/>
  <c r="F112" i="25" s="1"/>
  <c r="B47" i="25"/>
  <c r="L86" i="25"/>
  <c r="AO86" i="25" s="1"/>
  <c r="W7" i="24"/>
  <c r="F76" i="24"/>
  <c r="H76" i="24" s="1"/>
  <c r="AE64" i="24"/>
  <c r="F84" i="24"/>
  <c r="H84" i="24" s="1"/>
  <c r="J84" i="24"/>
  <c r="J76" i="24"/>
  <c r="L76" i="24" s="1"/>
  <c r="B138" i="24"/>
  <c r="H138" i="24" s="1"/>
  <c r="F85" i="24"/>
  <c r="H85" i="24" s="1"/>
  <c r="F77" i="24"/>
  <c r="H77" i="24" s="1"/>
  <c r="J85" i="24"/>
  <c r="AE68" i="24"/>
  <c r="J77" i="24"/>
  <c r="L77" i="24" s="1"/>
  <c r="V8" i="24"/>
  <c r="E178" i="24"/>
  <c r="E176" i="24"/>
  <c r="E177" i="24"/>
  <c r="D176" i="24"/>
  <c r="Z19" i="24"/>
  <c r="Z18" i="24"/>
  <c r="Z17" i="24"/>
  <c r="D178" i="24"/>
  <c r="K184" i="24"/>
  <c r="K185" i="24" s="1"/>
  <c r="E19" i="24"/>
  <c r="V19" i="24" s="1"/>
  <c r="E18" i="24"/>
  <c r="V18" i="24" s="1"/>
  <c r="E10" i="24"/>
  <c r="V10" i="24" s="1"/>
  <c r="AU8" i="24"/>
  <c r="E6" i="24"/>
  <c r="AU19" i="24"/>
  <c r="AU18" i="24"/>
  <c r="AU15" i="24"/>
  <c r="V24" i="24"/>
  <c r="V22" i="24"/>
  <c r="E17" i="24"/>
  <c r="V17" i="24" s="1"/>
  <c r="E16" i="24"/>
  <c r="V16" i="24" s="1"/>
  <c r="AO16" i="24" s="1"/>
  <c r="E15" i="24"/>
  <c r="V15" i="24" s="1"/>
  <c r="AO15" i="24" s="1"/>
  <c r="E14" i="24"/>
  <c r="E11" i="24"/>
  <c r="V11" i="24" s="1"/>
  <c r="AU9" i="24"/>
  <c r="E7" i="24"/>
  <c r="AU17" i="24"/>
  <c r="AU16" i="24"/>
  <c r="AU14" i="24"/>
  <c r="AU10" i="24"/>
  <c r="H29" i="24"/>
  <c r="W24" i="24"/>
  <c r="H31" i="24"/>
  <c r="W8" i="24"/>
  <c r="AP7" i="24"/>
  <c r="AV7" i="24" s="1"/>
  <c r="AP8" i="24"/>
  <c r="AV8" i="24" s="1"/>
  <c r="H30" i="24"/>
  <c r="E8" i="24"/>
  <c r="AO8" i="24"/>
  <c r="AU11" i="24"/>
  <c r="H24" i="24"/>
  <c r="AM65" i="24"/>
  <c r="AM64" i="24"/>
  <c r="L86" i="24"/>
  <c r="AO86" i="24" s="1"/>
  <c r="AG86" i="24"/>
  <c r="D109" i="24"/>
  <c r="F109" i="24" s="1"/>
  <c r="F106" i="24"/>
  <c r="D113" i="24"/>
  <c r="F113" i="24" s="1"/>
  <c r="J22" i="24"/>
  <c r="B60" i="24"/>
  <c r="C56" i="24" s="1"/>
  <c r="D59" i="24"/>
  <c r="AE77" i="24"/>
  <c r="D77" i="24"/>
  <c r="D80" i="24" s="1"/>
  <c r="B6" i="24" s="1"/>
  <c r="F22" i="24"/>
  <c r="U100" i="24"/>
  <c r="U99" i="24"/>
  <c r="U102" i="24" s="1"/>
  <c r="U105" i="24"/>
  <c r="U106" i="24"/>
  <c r="S24" i="24"/>
  <c r="E47" i="24"/>
  <c r="E72" i="24"/>
  <c r="AN85" i="24"/>
  <c r="AM77" i="24"/>
  <c r="U93" i="24"/>
  <c r="U94" i="24" s="1"/>
  <c r="AD99" i="24"/>
  <c r="D112" i="24"/>
  <c r="F112" i="24" s="1"/>
  <c r="G146" i="24"/>
  <c r="AD175" i="24"/>
  <c r="U175" i="24" s="1"/>
  <c r="AD169" i="24"/>
  <c r="AD174" i="24"/>
  <c r="U174" i="24" s="1"/>
  <c r="AD172" i="24"/>
  <c r="U172" i="24" s="1"/>
  <c r="AD171" i="24"/>
  <c r="U171" i="24" s="1"/>
  <c r="F45" i="24"/>
  <c r="B47" i="24"/>
  <c r="AD109" i="24"/>
  <c r="U109" i="24" s="1"/>
  <c r="AD107" i="24"/>
  <c r="U107" i="24" s="1"/>
  <c r="U92" i="23"/>
  <c r="U94" i="23" s="1"/>
  <c r="U93" i="23"/>
  <c r="E24" i="23"/>
  <c r="Z20" i="23"/>
  <c r="F85" i="23"/>
  <c r="H85" i="23" s="1"/>
  <c r="F77" i="23"/>
  <c r="H77" i="23" s="1"/>
  <c r="H80" i="23" s="1"/>
  <c r="AE68" i="23"/>
  <c r="J85" i="23"/>
  <c r="J77" i="23"/>
  <c r="L77" i="23" s="1"/>
  <c r="AM68" i="23"/>
  <c r="AM71" i="23"/>
  <c r="AM70" i="23"/>
  <c r="AM69" i="23"/>
  <c r="AG84" i="23"/>
  <c r="L84" i="23"/>
  <c r="AO84" i="23" s="1"/>
  <c r="AO64" i="23" s="1"/>
  <c r="AD109" i="23"/>
  <c r="AD107" i="23"/>
  <c r="AD108" i="23"/>
  <c r="AD106" i="23"/>
  <c r="U106" i="23" s="1"/>
  <c r="AD104" i="23"/>
  <c r="U104" i="23" s="1"/>
  <c r="AD105" i="23"/>
  <c r="B7" i="23"/>
  <c r="F22" i="23"/>
  <c r="Z21" i="23"/>
  <c r="U105" i="23"/>
  <c r="U109" i="23"/>
  <c r="U107" i="23"/>
  <c r="U108" i="23"/>
  <c r="J22" i="23"/>
  <c r="T126" i="23"/>
  <c r="E29" i="23"/>
  <c r="E30" i="23"/>
  <c r="U24" i="23"/>
  <c r="C72" i="23"/>
  <c r="G72" i="23"/>
  <c r="AD193" i="23"/>
  <c r="U190" i="23"/>
  <c r="U186" i="23"/>
  <c r="U191" i="23"/>
  <c r="U187" i="23"/>
  <c r="U192" i="23"/>
  <c r="U188" i="23"/>
  <c r="U178" i="23"/>
  <c r="U179" i="23"/>
  <c r="D59" i="23"/>
  <c r="H47" i="23"/>
  <c r="AD99" i="23"/>
  <c r="U99" i="23" s="1"/>
  <c r="AD100" i="23"/>
  <c r="U100" i="23" s="1"/>
  <c r="I145" i="23"/>
  <c r="AD175" i="23"/>
  <c r="U175" i="23" s="1"/>
  <c r="AD169" i="23"/>
  <c r="AD172" i="23"/>
  <c r="U172" i="23" s="1"/>
  <c r="AD170" i="23"/>
  <c r="U170" i="23" s="1"/>
  <c r="AD173" i="23"/>
  <c r="U173" i="23" s="1"/>
  <c r="AD171" i="23"/>
  <c r="U171" i="23" s="1"/>
  <c r="S24" i="23"/>
  <c r="D45" i="23"/>
  <c r="B60" i="23"/>
  <c r="C57" i="23" s="1"/>
  <c r="AE77" i="23"/>
  <c r="D77" i="23"/>
  <c r="D80" i="23"/>
  <c r="B6" i="23" s="1"/>
  <c r="AN71" i="23"/>
  <c r="AN70" i="23"/>
  <c r="AN69" i="23"/>
  <c r="T125" i="23"/>
  <c r="AD174" i="23"/>
  <c r="U174" i="23" s="1"/>
  <c r="E178" i="23"/>
  <c r="D178" i="23"/>
  <c r="E177" i="23"/>
  <c r="K184" i="23"/>
  <c r="K185" i="23" s="1"/>
  <c r="D177" i="23"/>
  <c r="E176" i="23"/>
  <c r="AE71" i="23"/>
  <c r="J76" i="23"/>
  <c r="L76" i="23" s="1"/>
  <c r="D113" i="23"/>
  <c r="F113" i="23" s="1"/>
  <c r="F84" i="23"/>
  <c r="H84" i="23" s="1"/>
  <c r="H88" i="23" s="1"/>
  <c r="D112" i="23"/>
  <c r="F112" i="23" s="1"/>
  <c r="Z21" i="22"/>
  <c r="E39" i="22"/>
  <c r="U16" i="22" s="1"/>
  <c r="AN16" i="22" s="1"/>
  <c r="E32" i="22"/>
  <c r="U9" i="22" s="1"/>
  <c r="T126" i="22"/>
  <c r="E38" i="22"/>
  <c r="U15" i="22" s="1"/>
  <c r="AN15" i="22" s="1"/>
  <c r="E31" i="22"/>
  <c r="E29" i="22"/>
  <c r="E41" i="22"/>
  <c r="U18" i="22" s="1"/>
  <c r="E34" i="22"/>
  <c r="U11" i="22" s="1"/>
  <c r="E40" i="22"/>
  <c r="U17" i="22" s="1"/>
  <c r="E30" i="22"/>
  <c r="AT16" i="22"/>
  <c r="AT10" i="22"/>
  <c r="AN8" i="22"/>
  <c r="AT18" i="22"/>
  <c r="E33" i="22"/>
  <c r="U10" i="22" s="1"/>
  <c r="AT19" i="22"/>
  <c r="AT15" i="22"/>
  <c r="U8" i="22"/>
  <c r="E37" i="22"/>
  <c r="U24" i="22"/>
  <c r="U22" i="22"/>
  <c r="AT17" i="22"/>
  <c r="AT11" i="22"/>
  <c r="AT7" i="22"/>
  <c r="E42" i="22"/>
  <c r="U19" i="22" s="1"/>
  <c r="AT14" i="22"/>
  <c r="AT8" i="22"/>
  <c r="U7" i="22"/>
  <c r="AT9" i="22"/>
  <c r="AN7" i="22"/>
  <c r="S24" i="22"/>
  <c r="B8" i="22"/>
  <c r="S7" i="22"/>
  <c r="B7" i="22"/>
  <c r="S8" i="22"/>
  <c r="AL7" i="22"/>
  <c r="AR7" i="22" s="1"/>
  <c r="AL8" i="22"/>
  <c r="AR8" i="22" s="1"/>
  <c r="L84" i="22"/>
  <c r="U105" i="22"/>
  <c r="U107" i="22"/>
  <c r="F76" i="22"/>
  <c r="H76" i="22" s="1"/>
  <c r="AE64" i="22"/>
  <c r="F84" i="22"/>
  <c r="H84" i="22" s="1"/>
  <c r="H88" i="22" s="1"/>
  <c r="J76" i="22"/>
  <c r="L76" i="22" s="1"/>
  <c r="F66" i="22"/>
  <c r="AM65" i="22"/>
  <c r="AM64" i="22"/>
  <c r="U190" i="22"/>
  <c r="U186" i="22"/>
  <c r="U191" i="22"/>
  <c r="U187" i="22"/>
  <c r="U192" i="22"/>
  <c r="U188" i="22"/>
  <c r="D56" i="22"/>
  <c r="AM68" i="22"/>
  <c r="AM71" i="22"/>
  <c r="AM69" i="22"/>
  <c r="B60" i="22"/>
  <c r="C56" i="22" s="1"/>
  <c r="AD175" i="22"/>
  <c r="U175" i="22" s="1"/>
  <c r="AD169" i="22"/>
  <c r="AD172" i="22"/>
  <c r="U172" i="22" s="1"/>
  <c r="AD170" i="22"/>
  <c r="U170" i="22" s="1"/>
  <c r="AD174" i="22"/>
  <c r="U174" i="22" s="1"/>
  <c r="U92" i="22"/>
  <c r="U93" i="22"/>
  <c r="U100" i="22"/>
  <c r="U102" i="22" s="1"/>
  <c r="U180" i="22"/>
  <c r="Z20" i="22"/>
  <c r="I45" i="22"/>
  <c r="D72" i="22"/>
  <c r="AE77" i="22"/>
  <c r="D77" i="22"/>
  <c r="D80" i="22" s="1"/>
  <c r="B6" i="22" s="1"/>
  <c r="AO84" i="22"/>
  <c r="AO64" i="22" s="1"/>
  <c r="AD109" i="22"/>
  <c r="U109" i="22" s="1"/>
  <c r="AD107" i="22"/>
  <c r="AD108" i="22"/>
  <c r="U108" i="22" s="1"/>
  <c r="AD106" i="22"/>
  <c r="U106" i="22" s="1"/>
  <c r="AD104" i="22"/>
  <c r="U104" i="22" s="1"/>
  <c r="U110" i="22" s="1"/>
  <c r="U179" i="22"/>
  <c r="H29" i="22"/>
  <c r="W24" i="22"/>
  <c r="E72" i="22"/>
  <c r="AN71" i="22"/>
  <c r="AN70" i="22"/>
  <c r="AN69" i="22"/>
  <c r="AO86" i="22"/>
  <c r="E178" i="22"/>
  <c r="D178" i="22"/>
  <c r="E177" i="22"/>
  <c r="X24" i="22"/>
  <c r="F45" i="22"/>
  <c r="B47" i="22"/>
  <c r="AD8" i="22" s="1"/>
  <c r="F85" i="22"/>
  <c r="H85" i="22" s="1"/>
  <c r="F77" i="22"/>
  <c r="H77" i="22" s="1"/>
  <c r="AE68" i="22"/>
  <c r="J77" i="22"/>
  <c r="L77" i="22" s="1"/>
  <c r="J85" i="22"/>
  <c r="K184" i="22"/>
  <c r="K185" i="22" s="1"/>
  <c r="D112" i="22"/>
  <c r="F112" i="22" s="1"/>
  <c r="F115" i="22" s="1"/>
  <c r="L86" i="22"/>
  <c r="F106" i="22"/>
  <c r="U108" i="21"/>
  <c r="U109" i="21"/>
  <c r="B7" i="21"/>
  <c r="X7" i="21"/>
  <c r="AR7" i="21"/>
  <c r="D59" i="21"/>
  <c r="H47" i="21"/>
  <c r="AD99" i="21"/>
  <c r="AD100" i="21"/>
  <c r="AD175" i="21"/>
  <c r="U175" i="21" s="1"/>
  <c r="AD169" i="21"/>
  <c r="AD172" i="21"/>
  <c r="U172" i="21" s="1"/>
  <c r="AD170" i="21"/>
  <c r="U170" i="21" s="1"/>
  <c r="AD174" i="21"/>
  <c r="U174" i="21" s="1"/>
  <c r="E7" i="21"/>
  <c r="V8" i="21"/>
  <c r="AL8" i="21"/>
  <c r="AR8" i="21" s="1"/>
  <c r="D56" i="21"/>
  <c r="E47" i="21"/>
  <c r="F76" i="21"/>
  <c r="H76" i="21" s="1"/>
  <c r="H80" i="21" s="1"/>
  <c r="AE64" i="21"/>
  <c r="F84" i="21"/>
  <c r="H84" i="21" s="1"/>
  <c r="AE77" i="21"/>
  <c r="D77" i="21"/>
  <c r="D80" i="21" s="1"/>
  <c r="B6" i="21" s="1"/>
  <c r="G146" i="21"/>
  <c r="AD173" i="21"/>
  <c r="U173" i="21" s="1"/>
  <c r="U100" i="21"/>
  <c r="Z20" i="21"/>
  <c r="Z21" i="21" s="1"/>
  <c r="S24" i="21"/>
  <c r="E6" i="21"/>
  <c r="AL7" i="21"/>
  <c r="S8" i="21"/>
  <c r="F22" i="21"/>
  <c r="U92" i="21"/>
  <c r="U93" i="21"/>
  <c r="B60" i="21"/>
  <c r="C54" i="21" s="1"/>
  <c r="J76" i="21"/>
  <c r="L76" i="21" s="1"/>
  <c r="U99" i="21"/>
  <c r="U102" i="21" s="1"/>
  <c r="AD109" i="21"/>
  <c r="AD107" i="21"/>
  <c r="U107" i="21" s="1"/>
  <c r="AD108" i="21"/>
  <c r="AD106" i="21"/>
  <c r="U106" i="21" s="1"/>
  <c r="AD104" i="21"/>
  <c r="U104" i="21" s="1"/>
  <c r="AD105" i="21"/>
  <c r="U105" i="21" s="1"/>
  <c r="U190" i="21"/>
  <c r="U186" i="21"/>
  <c r="U191" i="21"/>
  <c r="U187" i="21"/>
  <c r="F85" i="21"/>
  <c r="H85" i="21" s="1"/>
  <c r="F77" i="21"/>
  <c r="H77" i="21" s="1"/>
  <c r="AE68" i="21"/>
  <c r="J77" i="21"/>
  <c r="L77" i="21" s="1"/>
  <c r="AN71" i="21"/>
  <c r="AN70" i="21"/>
  <c r="AN69" i="21"/>
  <c r="E178" i="21"/>
  <c r="D178" i="21"/>
  <c r="E177" i="21"/>
  <c r="AM68" i="21"/>
  <c r="AM71" i="21"/>
  <c r="K184" i="21"/>
  <c r="K185" i="21" s="1"/>
  <c r="U188" i="21"/>
  <c r="U192" i="21"/>
  <c r="D112" i="21"/>
  <c r="F112" i="21" s="1"/>
  <c r="F115" i="21" s="1"/>
  <c r="AO86" i="21"/>
  <c r="AM68" i="20"/>
  <c r="AM71" i="20"/>
  <c r="AM69" i="20"/>
  <c r="AG84" i="20"/>
  <c r="AO84" i="20"/>
  <c r="AO64" i="20" s="1"/>
  <c r="U102" i="20"/>
  <c r="AD175" i="20"/>
  <c r="U175" i="20" s="1"/>
  <c r="AD169" i="20"/>
  <c r="AD172" i="20"/>
  <c r="U172" i="20" s="1"/>
  <c r="AD170" i="20"/>
  <c r="U170" i="20" s="1"/>
  <c r="AD174" i="20"/>
  <c r="U174" i="20" s="1"/>
  <c r="U100" i="20"/>
  <c r="F76" i="20"/>
  <c r="H76" i="20" s="1"/>
  <c r="H80" i="20" s="1"/>
  <c r="AE64" i="20"/>
  <c r="F84" i="20"/>
  <c r="H84" i="20" s="1"/>
  <c r="J76" i="20"/>
  <c r="L76" i="20" s="1"/>
  <c r="F66" i="20"/>
  <c r="AM65" i="20"/>
  <c r="AM64" i="20"/>
  <c r="AD173" i="20"/>
  <c r="U173" i="20" s="1"/>
  <c r="U92" i="20"/>
  <c r="U93" i="20"/>
  <c r="U190" i="20"/>
  <c r="U186" i="20"/>
  <c r="U191" i="20"/>
  <c r="U187" i="20"/>
  <c r="U192" i="20"/>
  <c r="U188" i="20"/>
  <c r="AO8" i="20"/>
  <c r="AU8" i="20" s="1"/>
  <c r="U105" i="20"/>
  <c r="U107" i="20"/>
  <c r="H40" i="20"/>
  <c r="W17" i="20" s="1"/>
  <c r="H33" i="20"/>
  <c r="W10" i="20" s="1"/>
  <c r="H29" i="20"/>
  <c r="W24" i="20"/>
  <c r="H41" i="20"/>
  <c r="W18" i="20" s="1"/>
  <c r="H37" i="20"/>
  <c r="H34" i="20"/>
  <c r="W11" i="20" s="1"/>
  <c r="H30" i="20"/>
  <c r="W22" i="20"/>
  <c r="AV19" i="20"/>
  <c r="AV18" i="20"/>
  <c r="AV17" i="20"/>
  <c r="AV16" i="20"/>
  <c r="AV15" i="20"/>
  <c r="AV14" i="20"/>
  <c r="AV10" i="20"/>
  <c r="AP8" i="20"/>
  <c r="H42" i="20"/>
  <c r="W19" i="20" s="1"/>
  <c r="H32" i="20"/>
  <c r="W9" i="20" s="1"/>
  <c r="D72" i="20"/>
  <c r="AE77" i="20"/>
  <c r="D77" i="20"/>
  <c r="D80" i="20" s="1"/>
  <c r="B6" i="20" s="1"/>
  <c r="AD109" i="20"/>
  <c r="U109" i="20" s="1"/>
  <c r="AD107" i="20"/>
  <c r="AD108" i="20"/>
  <c r="U108" i="20" s="1"/>
  <c r="AD106" i="20"/>
  <c r="U106" i="20" s="1"/>
  <c r="AD104" i="20"/>
  <c r="U104" i="20" s="1"/>
  <c r="V8" i="20"/>
  <c r="U179" i="20"/>
  <c r="U180" i="20" s="1"/>
  <c r="S24" i="20"/>
  <c r="D56" i="20"/>
  <c r="E72" i="20"/>
  <c r="AN71" i="20"/>
  <c r="AN70" i="20"/>
  <c r="AN69" i="20"/>
  <c r="E178" i="20"/>
  <c r="D178" i="20"/>
  <c r="E177" i="20"/>
  <c r="AL8" i="20"/>
  <c r="AR8" i="20" s="1"/>
  <c r="E47" i="20"/>
  <c r="F85" i="20"/>
  <c r="H85" i="20" s="1"/>
  <c r="F77" i="20"/>
  <c r="H77" i="20" s="1"/>
  <c r="AE68" i="20"/>
  <c r="J77" i="20"/>
  <c r="L77" i="20" s="1"/>
  <c r="K184" i="20"/>
  <c r="K185" i="20" s="1"/>
  <c r="D112" i="20"/>
  <c r="F112" i="20" s="1"/>
  <c r="B47" i="20"/>
  <c r="AO86" i="20"/>
  <c r="F106" i="20"/>
  <c r="AO85" i="19"/>
  <c r="L85" i="19"/>
  <c r="AG85" i="19"/>
  <c r="AM65" i="19"/>
  <c r="AM64" i="19"/>
  <c r="F76" i="19"/>
  <c r="H76" i="19" s="1"/>
  <c r="H80" i="19" s="1"/>
  <c r="AE64" i="19"/>
  <c r="F84" i="19"/>
  <c r="H84" i="19" s="1"/>
  <c r="J76" i="19"/>
  <c r="L76" i="19" s="1"/>
  <c r="F145" i="19"/>
  <c r="I145" i="19"/>
  <c r="AG84" i="19"/>
  <c r="L84" i="19"/>
  <c r="AO84" i="19"/>
  <c r="AO64" i="19" s="1"/>
  <c r="D72" i="19"/>
  <c r="AE77" i="19"/>
  <c r="D77" i="19"/>
  <c r="D80" i="19" s="1"/>
  <c r="AD175" i="19"/>
  <c r="U175" i="19" s="1"/>
  <c r="AD169" i="19"/>
  <c r="AD172" i="19"/>
  <c r="U172" i="19" s="1"/>
  <c r="AD170" i="19"/>
  <c r="U170" i="19" s="1"/>
  <c r="AD174" i="19"/>
  <c r="U174" i="19" s="1"/>
  <c r="AD173" i="19"/>
  <c r="U173" i="19" s="1"/>
  <c r="AD171" i="19"/>
  <c r="U171" i="19" s="1"/>
  <c r="Z21" i="19"/>
  <c r="AM68" i="19"/>
  <c r="AM71" i="19"/>
  <c r="AM69" i="19"/>
  <c r="J153" i="19"/>
  <c r="D56" i="19"/>
  <c r="E72" i="19"/>
  <c r="AD109" i="19"/>
  <c r="AD107" i="19"/>
  <c r="AD108" i="19"/>
  <c r="U108" i="19" s="1"/>
  <c r="AD106" i="19"/>
  <c r="U106" i="19" s="1"/>
  <c r="AD104" i="19"/>
  <c r="U104" i="19" s="1"/>
  <c r="E6" i="19"/>
  <c r="AU8" i="19"/>
  <c r="E10" i="19"/>
  <c r="V10" i="19" s="1"/>
  <c r="U92" i="19"/>
  <c r="U94" i="19" s="1"/>
  <c r="U93" i="19"/>
  <c r="U100" i="19"/>
  <c r="U102" i="19" s="1"/>
  <c r="U105" i="19"/>
  <c r="U190" i="19"/>
  <c r="U186" i="19"/>
  <c r="U191" i="19"/>
  <c r="U187" i="19"/>
  <c r="U178" i="19"/>
  <c r="U180" i="19" s="1"/>
  <c r="E47" i="19"/>
  <c r="F85" i="19"/>
  <c r="H85" i="19" s="1"/>
  <c r="F77" i="19"/>
  <c r="H77" i="19" s="1"/>
  <c r="AE68" i="19"/>
  <c r="J77" i="19"/>
  <c r="L77" i="19" s="1"/>
  <c r="AN71" i="19"/>
  <c r="AN70" i="19"/>
  <c r="AN69" i="19"/>
  <c r="AO86" i="19"/>
  <c r="U107" i="19"/>
  <c r="U109" i="19"/>
  <c r="H131" i="19"/>
  <c r="H132" i="19" s="1"/>
  <c r="B138" i="19" s="1"/>
  <c r="H138" i="19" s="1"/>
  <c r="E178" i="19"/>
  <c r="D178" i="19"/>
  <c r="E177" i="19"/>
  <c r="D112" i="19"/>
  <c r="F112" i="19" s="1"/>
  <c r="L86" i="19"/>
  <c r="AM65" i="18"/>
  <c r="AM64" i="18"/>
  <c r="X7" i="18"/>
  <c r="AD175" i="18"/>
  <c r="U175" i="18" s="1"/>
  <c r="AD169" i="18"/>
  <c r="AD172" i="18"/>
  <c r="U172" i="18" s="1"/>
  <c r="AD170" i="18"/>
  <c r="U170" i="18" s="1"/>
  <c r="AD174" i="18"/>
  <c r="U174" i="18" s="1"/>
  <c r="H29" i="18"/>
  <c r="W24" i="18"/>
  <c r="H30" i="18"/>
  <c r="AO85" i="18"/>
  <c r="AG85" i="18"/>
  <c r="F76" i="18"/>
  <c r="H76" i="18" s="1"/>
  <c r="AE64" i="18"/>
  <c r="F84" i="18"/>
  <c r="H84" i="18" s="1"/>
  <c r="J76" i="18"/>
  <c r="L76" i="18" s="1"/>
  <c r="AE77" i="18"/>
  <c r="D77" i="18"/>
  <c r="D80" i="18" s="1"/>
  <c r="B6" i="18" s="1"/>
  <c r="D72" i="18"/>
  <c r="AM68" i="18"/>
  <c r="AM71" i="18"/>
  <c r="AM69" i="18"/>
  <c r="AD173" i="18"/>
  <c r="U173" i="18" s="1"/>
  <c r="AP7" i="18"/>
  <c r="AV7" i="18" s="1"/>
  <c r="W8" i="18"/>
  <c r="V24" i="18"/>
  <c r="H31" i="18"/>
  <c r="AM70" i="18"/>
  <c r="AD109" i="18"/>
  <c r="U109" i="18" s="1"/>
  <c r="AD107" i="18"/>
  <c r="U107" i="18" s="1"/>
  <c r="AD108" i="18"/>
  <c r="AD106" i="18"/>
  <c r="U106" i="18" s="1"/>
  <c r="AD104" i="18"/>
  <c r="U104" i="18" s="1"/>
  <c r="B60" i="18"/>
  <c r="C56" i="18" s="1"/>
  <c r="D56" i="18"/>
  <c r="E72" i="18"/>
  <c r="E178" i="18"/>
  <c r="D178" i="18"/>
  <c r="E177" i="18"/>
  <c r="U92" i="18"/>
  <c r="U93" i="18"/>
  <c r="U100" i="18"/>
  <c r="U102" i="18" s="1"/>
  <c r="U105" i="18"/>
  <c r="U190" i="18"/>
  <c r="U186" i="18"/>
  <c r="U191" i="18"/>
  <c r="U187" i="18"/>
  <c r="S24" i="18"/>
  <c r="E39" i="18"/>
  <c r="E32" i="18"/>
  <c r="U9" i="18" s="1"/>
  <c r="T126" i="18"/>
  <c r="E40" i="18"/>
  <c r="U17" i="18" s="1"/>
  <c r="E33" i="18"/>
  <c r="U10" i="18" s="1"/>
  <c r="E29" i="18"/>
  <c r="F85" i="18"/>
  <c r="H85" i="18" s="1"/>
  <c r="F77" i="18"/>
  <c r="H77" i="18" s="1"/>
  <c r="AE68" i="18"/>
  <c r="J77" i="18"/>
  <c r="L77" i="18" s="1"/>
  <c r="AN71" i="18"/>
  <c r="AN70" i="18"/>
  <c r="AN69" i="18"/>
  <c r="AO86" i="18"/>
  <c r="U108" i="18"/>
  <c r="K184" i="18"/>
  <c r="K185" i="18" s="1"/>
  <c r="U188" i="18"/>
  <c r="U192" i="18"/>
  <c r="D112" i="18"/>
  <c r="F112" i="18" s="1"/>
  <c r="B47" i="18"/>
  <c r="B49" i="18" s="1"/>
  <c r="F106" i="18"/>
  <c r="X7" i="17"/>
  <c r="AD175" i="17"/>
  <c r="U175" i="17" s="1"/>
  <c r="AD169" i="17"/>
  <c r="AD172" i="17"/>
  <c r="U172" i="17" s="1"/>
  <c r="AD170" i="17"/>
  <c r="U170" i="17" s="1"/>
  <c r="AD174" i="17"/>
  <c r="U174" i="17" s="1"/>
  <c r="D56" i="17"/>
  <c r="E47" i="17"/>
  <c r="F76" i="17"/>
  <c r="H76" i="17" s="1"/>
  <c r="AE64" i="17"/>
  <c r="F84" i="17"/>
  <c r="H84" i="17" s="1"/>
  <c r="AE77" i="17"/>
  <c r="D77" i="17"/>
  <c r="D80" i="17" s="1"/>
  <c r="G146" i="17"/>
  <c r="AD173" i="17"/>
  <c r="U173" i="17" s="1"/>
  <c r="D59" i="17"/>
  <c r="H47" i="17"/>
  <c r="AD99" i="17"/>
  <c r="U99" i="17" s="1"/>
  <c r="U102" i="17" s="1"/>
  <c r="AD100" i="17"/>
  <c r="AG21" i="17"/>
  <c r="B60" i="17"/>
  <c r="C60" i="17" s="1"/>
  <c r="B24" i="17"/>
  <c r="G72" i="17"/>
  <c r="J76" i="17"/>
  <c r="L76" i="17" s="1"/>
  <c r="AD109" i="17"/>
  <c r="U109" i="17" s="1"/>
  <c r="AD107" i="17"/>
  <c r="AD108" i="17"/>
  <c r="AD106" i="17"/>
  <c r="AD104" i="17"/>
  <c r="U104" i="17" s="1"/>
  <c r="AD105" i="17"/>
  <c r="Z21" i="17"/>
  <c r="F85" i="17"/>
  <c r="H85" i="17" s="1"/>
  <c r="F77" i="17"/>
  <c r="H77" i="17" s="1"/>
  <c r="AE68" i="17"/>
  <c r="J77" i="17"/>
  <c r="L77" i="17" s="1"/>
  <c r="AN71" i="17"/>
  <c r="AN70" i="17"/>
  <c r="AN69" i="17"/>
  <c r="U106" i="17"/>
  <c r="U107" i="17"/>
  <c r="E178" i="17"/>
  <c r="D178" i="17"/>
  <c r="E177" i="17"/>
  <c r="U92" i="17"/>
  <c r="U94" i="17" s="1"/>
  <c r="U93" i="17"/>
  <c r="U100" i="17"/>
  <c r="U105" i="17"/>
  <c r="U190" i="17"/>
  <c r="U186" i="17"/>
  <c r="U191" i="17"/>
  <c r="U187" i="17"/>
  <c r="AM68" i="17"/>
  <c r="AM71" i="17"/>
  <c r="U108" i="17"/>
  <c r="K184" i="17"/>
  <c r="K185" i="17" s="1"/>
  <c r="U188" i="17"/>
  <c r="U192" i="17"/>
  <c r="D112" i="17"/>
  <c r="F112" i="17" s="1"/>
  <c r="F115" i="17" s="1"/>
  <c r="B47" i="17"/>
  <c r="AO86" i="17"/>
  <c r="AO85" i="16"/>
  <c r="L85" i="16"/>
  <c r="AG85" i="16"/>
  <c r="U102" i="16"/>
  <c r="F76" i="16"/>
  <c r="H76" i="16" s="1"/>
  <c r="H80" i="16" s="1"/>
  <c r="AE64" i="16"/>
  <c r="F84" i="16"/>
  <c r="H84" i="16" s="1"/>
  <c r="J76" i="16"/>
  <c r="L76" i="16" s="1"/>
  <c r="AE77" i="16"/>
  <c r="D77" i="16"/>
  <c r="D80" i="16" s="1"/>
  <c r="B6" i="16" s="1"/>
  <c r="X7" i="16"/>
  <c r="D72" i="16"/>
  <c r="AM68" i="16"/>
  <c r="AM71" i="16"/>
  <c r="AM69" i="16"/>
  <c r="AM65" i="16"/>
  <c r="AM64" i="16"/>
  <c r="AD175" i="16"/>
  <c r="U175" i="16" s="1"/>
  <c r="AD169" i="16"/>
  <c r="AD172" i="16"/>
  <c r="U172" i="16" s="1"/>
  <c r="AD170" i="16"/>
  <c r="U170" i="16" s="1"/>
  <c r="AD174" i="16"/>
  <c r="U174" i="16" s="1"/>
  <c r="S24" i="16"/>
  <c r="AL8" i="16"/>
  <c r="AR8" i="16" s="1"/>
  <c r="J84" i="16"/>
  <c r="AD109" i="16"/>
  <c r="U109" i="16" s="1"/>
  <c r="AD107" i="16"/>
  <c r="AD108" i="16"/>
  <c r="AD106" i="16"/>
  <c r="AD104" i="16"/>
  <c r="U104" i="16" s="1"/>
  <c r="T125" i="16"/>
  <c r="Z21" i="16"/>
  <c r="D56" i="16"/>
  <c r="E72" i="16"/>
  <c r="U106" i="16"/>
  <c r="U107" i="16"/>
  <c r="E178" i="16"/>
  <c r="D178" i="16"/>
  <c r="E177" i="16"/>
  <c r="U92" i="16"/>
  <c r="U94" i="16" s="1"/>
  <c r="U93" i="16"/>
  <c r="U100" i="16"/>
  <c r="U105" i="16"/>
  <c r="U190" i="16"/>
  <c r="U186" i="16"/>
  <c r="U191" i="16"/>
  <c r="U187" i="16"/>
  <c r="E39" i="16"/>
  <c r="E32" i="16"/>
  <c r="U9" i="16" s="1"/>
  <c r="T126" i="16"/>
  <c r="E40" i="16"/>
  <c r="U17" i="16" s="1"/>
  <c r="E33" i="16"/>
  <c r="U10" i="16" s="1"/>
  <c r="E29" i="16"/>
  <c r="F85" i="16"/>
  <c r="H85" i="16" s="1"/>
  <c r="F77" i="16"/>
  <c r="H77" i="16" s="1"/>
  <c r="AE68" i="16"/>
  <c r="J77" i="16"/>
  <c r="L77" i="16" s="1"/>
  <c r="AN71" i="16"/>
  <c r="AN70" i="16"/>
  <c r="AN69" i="16"/>
  <c r="AO86" i="16"/>
  <c r="U108" i="16"/>
  <c r="K184" i="16"/>
  <c r="K185" i="16" s="1"/>
  <c r="U188" i="16"/>
  <c r="U192" i="16"/>
  <c r="D112" i="16"/>
  <c r="F112" i="16" s="1"/>
  <c r="L86" i="16"/>
  <c r="F106" i="16"/>
  <c r="AD99" i="31"/>
  <c r="AD100" i="31"/>
  <c r="Z21" i="31"/>
  <c r="D56" i="31"/>
  <c r="E47" i="31"/>
  <c r="F76" i="31"/>
  <c r="H76" i="31" s="1"/>
  <c r="AE64" i="31"/>
  <c r="F84" i="31"/>
  <c r="H84" i="31" s="1"/>
  <c r="AE77" i="31"/>
  <c r="D77" i="31"/>
  <c r="D80" i="31" s="1"/>
  <c r="L84" i="31"/>
  <c r="G146" i="31"/>
  <c r="U100" i="31"/>
  <c r="U105" i="31"/>
  <c r="U107" i="31"/>
  <c r="U106" i="31"/>
  <c r="X7" i="31"/>
  <c r="D59" i="31"/>
  <c r="H47" i="31"/>
  <c r="E72" i="31"/>
  <c r="AD175" i="31"/>
  <c r="U175" i="31" s="1"/>
  <c r="AD169" i="31"/>
  <c r="AD172" i="31"/>
  <c r="U172" i="31" s="1"/>
  <c r="AD170" i="31"/>
  <c r="U170" i="31" s="1"/>
  <c r="AD174" i="31"/>
  <c r="U174" i="31" s="1"/>
  <c r="F22" i="31"/>
  <c r="U92" i="31"/>
  <c r="U94" i="31" s="1"/>
  <c r="U93" i="31"/>
  <c r="B60" i="31"/>
  <c r="C60" i="31" s="1"/>
  <c r="B24" i="31"/>
  <c r="J76" i="31"/>
  <c r="L76" i="31" s="1"/>
  <c r="U99" i="31"/>
  <c r="U102" i="31" s="1"/>
  <c r="AD109" i="31"/>
  <c r="U109" i="31" s="1"/>
  <c r="AD107" i="31"/>
  <c r="AD108" i="31"/>
  <c r="U108" i="31" s="1"/>
  <c r="AD106" i="31"/>
  <c r="AD104" i="31"/>
  <c r="U104" i="31" s="1"/>
  <c r="AD105" i="31"/>
  <c r="U190" i="31"/>
  <c r="U186" i="31"/>
  <c r="U191" i="31"/>
  <c r="U187" i="31"/>
  <c r="F85" i="31"/>
  <c r="H85" i="31" s="1"/>
  <c r="F77" i="31"/>
  <c r="H77" i="31" s="1"/>
  <c r="AE68" i="31"/>
  <c r="J77" i="31"/>
  <c r="L77" i="31" s="1"/>
  <c r="AN71" i="31"/>
  <c r="AN70" i="31"/>
  <c r="AN69" i="31"/>
  <c r="E178" i="31"/>
  <c r="D178" i="31"/>
  <c r="E177" i="31"/>
  <c r="E24" i="31"/>
  <c r="AM68" i="31"/>
  <c r="AM71" i="31"/>
  <c r="J85" i="31"/>
  <c r="K184" i="31"/>
  <c r="K185" i="31" s="1"/>
  <c r="U188" i="31"/>
  <c r="U192" i="31"/>
  <c r="D112" i="31"/>
  <c r="F112" i="31" s="1"/>
  <c r="F115" i="31" s="1"/>
  <c r="B47" i="31"/>
  <c r="L86" i="31"/>
  <c r="AO86" i="31" s="1"/>
  <c r="H47" i="30"/>
  <c r="H30" i="30" s="1"/>
  <c r="H8" i="30"/>
  <c r="H6" i="30"/>
  <c r="H7" i="30"/>
  <c r="AU11" i="30"/>
  <c r="AU17" i="30"/>
  <c r="V8" i="30"/>
  <c r="AU9" i="30"/>
  <c r="AU15" i="30"/>
  <c r="AU19" i="30"/>
  <c r="S24" i="30"/>
  <c r="B6" i="30"/>
  <c r="B8" i="30"/>
  <c r="AL8" i="30"/>
  <c r="AR8" i="30" s="1"/>
  <c r="B7" i="30"/>
  <c r="AL7" i="30"/>
  <c r="AR7" i="30" s="1"/>
  <c r="S8" i="30"/>
  <c r="S7" i="30"/>
  <c r="B60" i="30"/>
  <c r="C60" i="30" s="1"/>
  <c r="AQ8" i="30"/>
  <c r="E7" i="30"/>
  <c r="AU10" i="30"/>
  <c r="E11" i="30"/>
  <c r="V11" i="30" s="1"/>
  <c r="E15" i="30"/>
  <c r="V15" i="30" s="1"/>
  <c r="AO15" i="30" s="1"/>
  <c r="E17" i="30"/>
  <c r="V17" i="30" s="1"/>
  <c r="E19" i="30"/>
  <c r="V19" i="30" s="1"/>
  <c r="E8" i="30"/>
  <c r="E9" i="30"/>
  <c r="V9" i="30" s="1"/>
  <c r="AU14" i="30"/>
  <c r="AU16" i="30"/>
  <c r="AU18" i="30"/>
  <c r="E6" i="30"/>
  <c r="AO8" i="30"/>
  <c r="AU8" i="30"/>
  <c r="E10" i="30"/>
  <c r="V10" i="30" s="1"/>
  <c r="E14" i="30"/>
  <c r="V14" i="30" s="1"/>
  <c r="E16" i="30"/>
  <c r="V16" i="30" s="1"/>
  <c r="AO16" i="30" s="1"/>
  <c r="U100" i="30"/>
  <c r="U109" i="30"/>
  <c r="U107" i="30"/>
  <c r="Z20" i="30"/>
  <c r="Z21" i="30" s="1"/>
  <c r="X24" i="30"/>
  <c r="AQ7" i="30"/>
  <c r="AW7" i="30" s="1"/>
  <c r="X8" i="30"/>
  <c r="AD175" i="30"/>
  <c r="U175" i="30" s="1"/>
  <c r="AD169" i="30"/>
  <c r="AD172" i="30"/>
  <c r="U172" i="30" s="1"/>
  <c r="AD170" i="30"/>
  <c r="U170" i="30" s="1"/>
  <c r="AD174" i="30"/>
  <c r="U174" i="30" s="1"/>
  <c r="X7" i="30"/>
  <c r="AW8" i="30"/>
  <c r="U92" i="30"/>
  <c r="U93" i="30"/>
  <c r="E47" i="30"/>
  <c r="D56" i="30"/>
  <c r="AE69" i="30"/>
  <c r="AD173" i="30"/>
  <c r="U173" i="30" s="1"/>
  <c r="F76" i="30"/>
  <c r="H76" i="30" s="1"/>
  <c r="F84" i="30"/>
  <c r="H84" i="30" s="1"/>
  <c r="H88" i="30" s="1"/>
  <c r="AE64" i="30"/>
  <c r="J84" i="30"/>
  <c r="J22" i="30"/>
  <c r="J76" i="30"/>
  <c r="L76" i="30" s="1"/>
  <c r="AD99" i="30"/>
  <c r="U99" i="30" s="1"/>
  <c r="U102" i="30" s="1"/>
  <c r="AD100" i="30"/>
  <c r="U104" i="30"/>
  <c r="C22" i="30"/>
  <c r="V24" i="30"/>
  <c r="V22" i="30"/>
  <c r="AN68" i="30"/>
  <c r="AN71" i="30"/>
  <c r="AN70" i="30"/>
  <c r="AD109" i="30"/>
  <c r="AD107" i="30"/>
  <c r="AD108" i="30"/>
  <c r="U108" i="30" s="1"/>
  <c r="AD106" i="30"/>
  <c r="U106" i="30" s="1"/>
  <c r="AD104" i="30"/>
  <c r="AD105" i="30"/>
  <c r="U105" i="30" s="1"/>
  <c r="U190" i="30"/>
  <c r="U186" i="30"/>
  <c r="U191" i="30"/>
  <c r="U187" i="30"/>
  <c r="AM65" i="30"/>
  <c r="AM64" i="30"/>
  <c r="E178" i="30"/>
  <c r="D178" i="30"/>
  <c r="E177" i="30"/>
  <c r="D55" i="30"/>
  <c r="B47" i="30"/>
  <c r="AM69" i="30"/>
  <c r="AM71" i="30"/>
  <c r="K184" i="30"/>
  <c r="K185" i="30" s="1"/>
  <c r="U188" i="30"/>
  <c r="U192" i="30"/>
  <c r="D112" i="30"/>
  <c r="F112" i="30" s="1"/>
  <c r="F115" i="30" s="1"/>
  <c r="F77" i="30"/>
  <c r="H77" i="30" s="1"/>
  <c r="H40" i="18" l="1"/>
  <c r="W17" i="18" s="1"/>
  <c r="E19" i="18"/>
  <c r="V19" i="18" s="1"/>
  <c r="H19" i="18"/>
  <c r="X19" i="18" s="1"/>
  <c r="H18" i="18"/>
  <c r="X18" i="18" s="1"/>
  <c r="H14" i="18"/>
  <c r="E15" i="18"/>
  <c r="V15" i="18" s="1"/>
  <c r="AO15" i="18" s="1"/>
  <c r="AU15" i="18" s="1"/>
  <c r="E14" i="18"/>
  <c r="V14" i="18" s="1"/>
  <c r="AO14" i="18" s="1"/>
  <c r="AU14" i="18" s="1"/>
  <c r="E18" i="18"/>
  <c r="V18" i="18" s="1"/>
  <c r="H15" i="18"/>
  <c r="X15" i="18" s="1"/>
  <c r="AQ15" i="18" s="1"/>
  <c r="AW15" i="18" s="1"/>
  <c r="H17" i="18"/>
  <c r="X17" i="18" s="1"/>
  <c r="E17" i="18"/>
  <c r="V17" i="18" s="1"/>
  <c r="E16" i="18"/>
  <c r="V16" i="18" s="1"/>
  <c r="AO16" i="18" s="1"/>
  <c r="AU16" i="18" s="1"/>
  <c r="AP7" i="19"/>
  <c r="AV7" i="19" s="1"/>
  <c r="H16" i="18"/>
  <c r="X16" i="18" s="1"/>
  <c r="AQ16" i="18" s="1"/>
  <c r="AW16" i="18" s="1"/>
  <c r="AN7" i="26"/>
  <c r="S24" i="19"/>
  <c r="C59" i="26"/>
  <c r="AD8" i="16"/>
  <c r="AT15" i="26"/>
  <c r="T126" i="26"/>
  <c r="T128" i="26" s="1"/>
  <c r="H31" i="26"/>
  <c r="T125" i="19"/>
  <c r="T127" i="19" s="1"/>
  <c r="E39" i="26"/>
  <c r="U16" i="26" s="1"/>
  <c r="B8" i="19"/>
  <c r="E38" i="26"/>
  <c r="U15" i="26" s="1"/>
  <c r="AN15" i="26" s="1"/>
  <c r="AL7" i="19"/>
  <c r="AR7" i="19" s="1"/>
  <c r="B49" i="28"/>
  <c r="H41" i="28" s="1"/>
  <c r="W18" i="28" s="1"/>
  <c r="AR8" i="19"/>
  <c r="V23" i="22"/>
  <c r="X23" i="23"/>
  <c r="C58" i="26"/>
  <c r="U22" i="26"/>
  <c r="W7" i="26"/>
  <c r="H12" i="19"/>
  <c r="B49" i="19"/>
  <c r="H41" i="19" s="1"/>
  <c r="W18" i="19" s="1"/>
  <c r="H31" i="19"/>
  <c r="W8" i="19"/>
  <c r="W7" i="19"/>
  <c r="H29" i="19"/>
  <c r="B49" i="16"/>
  <c r="H163" i="16" s="1"/>
  <c r="H33" i="16" s="1"/>
  <c r="W10" i="16" s="1"/>
  <c r="C60" i="20"/>
  <c r="C56" i="20"/>
  <c r="C58" i="20"/>
  <c r="C59" i="20"/>
  <c r="C54" i="20"/>
  <c r="C55" i="20"/>
  <c r="C58" i="25"/>
  <c r="AP7" i="16"/>
  <c r="AV7" i="16" s="1"/>
  <c r="T125" i="21"/>
  <c r="T127" i="21" s="1"/>
  <c r="B29" i="21"/>
  <c r="H30" i="19"/>
  <c r="AP8" i="26"/>
  <c r="V23" i="28"/>
  <c r="B6" i="28"/>
  <c r="V23" i="26"/>
  <c r="T24" i="21"/>
  <c r="T7" i="21"/>
  <c r="AP8" i="16"/>
  <c r="AV8" i="16" s="1"/>
  <c r="H30" i="16"/>
  <c r="W24" i="16"/>
  <c r="Y24" i="16" s="1"/>
  <c r="H29" i="16"/>
  <c r="C56" i="19"/>
  <c r="W24" i="19"/>
  <c r="B49" i="21"/>
  <c r="E19" i="21" s="1"/>
  <c r="V19" i="21" s="1"/>
  <c r="H31" i="16"/>
  <c r="W8" i="16"/>
  <c r="Y8" i="16" s="1"/>
  <c r="AA8" i="16" s="1"/>
  <c r="X23" i="19"/>
  <c r="B40" i="21"/>
  <c r="T17" i="21" s="1"/>
  <c r="H40" i="28"/>
  <c r="W17" i="28" s="1"/>
  <c r="H37" i="28"/>
  <c r="W14" i="28" s="1"/>
  <c r="H38" i="28"/>
  <c r="W15" i="28" s="1"/>
  <c r="AP15" i="28" s="1"/>
  <c r="AV15" i="28" s="1"/>
  <c r="C56" i="26"/>
  <c r="U23" i="18"/>
  <c r="H37" i="18"/>
  <c r="W14" i="18" s="1"/>
  <c r="H38" i="18"/>
  <c r="W15" i="18" s="1"/>
  <c r="AP15" i="18" s="1"/>
  <c r="AV15" i="18" s="1"/>
  <c r="H41" i="18"/>
  <c r="W18" i="18" s="1"/>
  <c r="H39" i="18"/>
  <c r="W16" i="18" s="1"/>
  <c r="AP16" i="18" s="1"/>
  <c r="AV16" i="18" s="1"/>
  <c r="H42" i="18"/>
  <c r="W19" i="18" s="1"/>
  <c r="E12" i="16"/>
  <c r="U23" i="16"/>
  <c r="E20" i="16"/>
  <c r="B37" i="16"/>
  <c r="T14" i="16" s="1"/>
  <c r="AM14" i="16" s="1"/>
  <c r="AS14" i="16" s="1"/>
  <c r="B40" i="16"/>
  <c r="T17" i="16" s="1"/>
  <c r="B39" i="16"/>
  <c r="T16" i="16" s="1"/>
  <c r="AM16" i="16" s="1"/>
  <c r="AS16" i="16" s="1"/>
  <c r="B41" i="16"/>
  <c r="T18" i="16" s="1"/>
  <c r="B38" i="16"/>
  <c r="T15" i="16" s="1"/>
  <c r="AM15" i="16" s="1"/>
  <c r="AS15" i="16" s="1"/>
  <c r="H12" i="28"/>
  <c r="X23" i="28"/>
  <c r="H12" i="23"/>
  <c r="X23" i="26"/>
  <c r="E32" i="26"/>
  <c r="U9" i="26" s="1"/>
  <c r="E34" i="26"/>
  <c r="U11" i="26" s="1"/>
  <c r="E31" i="26"/>
  <c r="C60" i="28"/>
  <c r="X20" i="28"/>
  <c r="X12" i="28"/>
  <c r="AT18" i="26"/>
  <c r="AT10" i="26"/>
  <c r="X12" i="31"/>
  <c r="C59" i="16"/>
  <c r="C54" i="19"/>
  <c r="U23" i="25"/>
  <c r="C55" i="19"/>
  <c r="H12" i="22"/>
  <c r="U24" i="26"/>
  <c r="AT11" i="26"/>
  <c r="E42" i="26"/>
  <c r="U19" i="26" s="1"/>
  <c r="E12" i="26"/>
  <c r="E29" i="26"/>
  <c r="W8" i="26"/>
  <c r="AT17" i="26"/>
  <c r="AT8" i="26"/>
  <c r="B41" i="21"/>
  <c r="T18" i="21" s="1"/>
  <c r="AM8" i="21"/>
  <c r="AS8" i="21" s="1"/>
  <c r="T8" i="21"/>
  <c r="B30" i="21"/>
  <c r="B42" i="21"/>
  <c r="T19" i="21" s="1"/>
  <c r="B39" i="21"/>
  <c r="T16" i="21" s="1"/>
  <c r="AM16" i="21" s="1"/>
  <c r="AS16" i="21" s="1"/>
  <c r="B38" i="21"/>
  <c r="B31" i="21"/>
  <c r="X12" i="22"/>
  <c r="B49" i="26"/>
  <c r="H37" i="26" s="1"/>
  <c r="W14" i="26" s="1"/>
  <c r="E33" i="26"/>
  <c r="U10" i="26" s="1"/>
  <c r="AP7" i="26"/>
  <c r="AV7" i="26" s="1"/>
  <c r="W24" i="26"/>
  <c r="E37" i="26"/>
  <c r="U14" i="26" s="1"/>
  <c r="AN14" i="26" s="1"/>
  <c r="AN8" i="26"/>
  <c r="E40" i="26"/>
  <c r="U17" i="26" s="1"/>
  <c r="H38" i="26"/>
  <c r="W15" i="26" s="1"/>
  <c r="AP15" i="26" s="1"/>
  <c r="AV15" i="26" s="1"/>
  <c r="H29" i="26"/>
  <c r="AT19" i="26"/>
  <c r="AV8" i="26"/>
  <c r="C55" i="17"/>
  <c r="C54" i="16"/>
  <c r="H20" i="16"/>
  <c r="V23" i="19"/>
  <c r="C58" i="28"/>
  <c r="V20" i="16"/>
  <c r="X20" i="19"/>
  <c r="C59" i="28"/>
  <c r="C58" i="16"/>
  <c r="C60" i="19"/>
  <c r="T20" i="19"/>
  <c r="T12" i="19"/>
  <c r="H20" i="22"/>
  <c r="C57" i="26"/>
  <c r="C54" i="26"/>
  <c r="H20" i="28"/>
  <c r="E41" i="26"/>
  <c r="U18" i="26" s="1"/>
  <c r="AT16" i="26"/>
  <c r="AT7" i="26"/>
  <c r="E30" i="26"/>
  <c r="AT14" i="26"/>
  <c r="U7" i="26"/>
  <c r="AT9" i="26"/>
  <c r="C56" i="28"/>
  <c r="C60" i="16"/>
  <c r="S7" i="19"/>
  <c r="B7" i="19"/>
  <c r="AL8" i="19"/>
  <c r="W8" i="30"/>
  <c r="C56" i="16"/>
  <c r="C59" i="19"/>
  <c r="AD8" i="19"/>
  <c r="B6" i="19"/>
  <c r="C54" i="28"/>
  <c r="C55" i="16"/>
  <c r="H20" i="19"/>
  <c r="C58" i="19"/>
  <c r="E12" i="22"/>
  <c r="C55" i="26"/>
  <c r="H12" i="26"/>
  <c r="C55" i="28"/>
  <c r="AL8" i="28"/>
  <c r="AR8" i="28" s="1"/>
  <c r="B8" i="28"/>
  <c r="S8" i="28"/>
  <c r="B7" i="28"/>
  <c r="S7" i="28"/>
  <c r="AL7" i="28"/>
  <c r="AR7" i="28" s="1"/>
  <c r="W24" i="30"/>
  <c r="W7" i="30"/>
  <c r="H29" i="30"/>
  <c r="H31" i="30"/>
  <c r="E35" i="28"/>
  <c r="U12" i="28"/>
  <c r="H20" i="26"/>
  <c r="E20" i="26"/>
  <c r="X12" i="26"/>
  <c r="X20" i="26"/>
  <c r="V14" i="26"/>
  <c r="V20" i="26" s="1"/>
  <c r="H20" i="23"/>
  <c r="C55" i="22"/>
  <c r="E20" i="22"/>
  <c r="U12" i="22"/>
  <c r="U23" i="22"/>
  <c r="B49" i="22"/>
  <c r="T125" i="22"/>
  <c r="U125" i="22" s="1"/>
  <c r="V20" i="22"/>
  <c r="C59" i="21"/>
  <c r="C55" i="21"/>
  <c r="C57" i="21"/>
  <c r="W23" i="20"/>
  <c r="B49" i="20"/>
  <c r="E19" i="20" s="1"/>
  <c r="V19" i="20" s="1"/>
  <c r="E20" i="19"/>
  <c r="B35" i="19"/>
  <c r="B43" i="19"/>
  <c r="AM14" i="19"/>
  <c r="AS14" i="19" s="1"/>
  <c r="T23" i="19"/>
  <c r="C55" i="18"/>
  <c r="X14" i="18"/>
  <c r="AQ14" i="18" s="1"/>
  <c r="AW14" i="18" s="1"/>
  <c r="C58" i="18"/>
  <c r="E35" i="18"/>
  <c r="X14" i="16"/>
  <c r="X20" i="16" s="1"/>
  <c r="H12" i="16"/>
  <c r="X12" i="16"/>
  <c r="X23" i="16"/>
  <c r="H12" i="31"/>
  <c r="H20" i="31"/>
  <c r="X20" i="31"/>
  <c r="C55" i="31"/>
  <c r="C59" i="31"/>
  <c r="C54" i="31"/>
  <c r="B15" i="28"/>
  <c r="S15" i="28" s="1"/>
  <c r="B18" i="28"/>
  <c r="S18" i="28" s="1"/>
  <c r="B19" i="28"/>
  <c r="S19" i="28" s="1"/>
  <c r="B17" i="28"/>
  <c r="S17" i="28" s="1"/>
  <c r="AD176" i="28"/>
  <c r="U169" i="28"/>
  <c r="U176" i="28" s="1"/>
  <c r="AO69" i="28"/>
  <c r="AO67" i="28"/>
  <c r="AO68" i="28"/>
  <c r="AO71" i="28"/>
  <c r="AO65" i="28"/>
  <c r="T128" i="28"/>
  <c r="U193" i="28"/>
  <c r="E12" i="28"/>
  <c r="B42" i="28"/>
  <c r="T19" i="28" s="1"/>
  <c r="B38" i="28"/>
  <c r="T15" i="28" s="1"/>
  <c r="AM15" i="28" s="1"/>
  <c r="AS15" i="28" s="1"/>
  <c r="B31" i="28"/>
  <c r="T22" i="28"/>
  <c r="B39" i="28"/>
  <c r="T16" i="28" s="1"/>
  <c r="AM16" i="28" s="1"/>
  <c r="AS16" i="28" s="1"/>
  <c r="B32" i="28"/>
  <c r="T9" i="28" s="1"/>
  <c r="B41" i="28"/>
  <c r="T18" i="28" s="1"/>
  <c r="B33" i="28"/>
  <c r="T10" i="28" s="1"/>
  <c r="B40" i="28"/>
  <c r="T17" i="28" s="1"/>
  <c r="B30" i="28"/>
  <c r="T24" i="28"/>
  <c r="Y24" i="28" s="1"/>
  <c r="T125" i="28"/>
  <c r="U126" i="28" s="1"/>
  <c r="T7" i="28"/>
  <c r="T8" i="28"/>
  <c r="AM7" i="28"/>
  <c r="AS7" i="28" s="1"/>
  <c r="AM8" i="28"/>
  <c r="AS8" i="28" s="1"/>
  <c r="AD8" i="28"/>
  <c r="B37" i="28"/>
  <c r="B34" i="28"/>
  <c r="T11" i="28" s="1"/>
  <c r="B29" i="28"/>
  <c r="U110" i="28"/>
  <c r="V14" i="28"/>
  <c r="E20" i="28"/>
  <c r="H80" i="28"/>
  <c r="F115" i="28"/>
  <c r="B16" i="28" s="1"/>
  <c r="S16" i="28" s="1"/>
  <c r="B14" i="28"/>
  <c r="U16" i="28"/>
  <c r="E43" i="28"/>
  <c r="U23" i="28"/>
  <c r="AG84" i="28"/>
  <c r="L84" i="28"/>
  <c r="L88" i="28" s="1"/>
  <c r="AO84" i="28"/>
  <c r="AO64" i="28" s="1"/>
  <c r="F115" i="26"/>
  <c r="B16" i="26" s="1"/>
  <c r="S16" i="26" s="1"/>
  <c r="B14" i="26"/>
  <c r="U110" i="26"/>
  <c r="B19" i="26"/>
  <c r="S19" i="26" s="1"/>
  <c r="B18" i="26"/>
  <c r="S18" i="26" s="1"/>
  <c r="U193" i="26"/>
  <c r="AG84" i="26"/>
  <c r="L84" i="26"/>
  <c r="L88" i="26" s="1"/>
  <c r="AO84" i="26"/>
  <c r="AO64" i="26" s="1"/>
  <c r="H88" i="26"/>
  <c r="U94" i="26"/>
  <c r="AO69" i="26"/>
  <c r="AO67" i="26"/>
  <c r="AO68" i="26"/>
  <c r="AO71" i="26"/>
  <c r="AO65" i="26"/>
  <c r="B42" i="26"/>
  <c r="T19" i="26" s="1"/>
  <c r="B38" i="26"/>
  <c r="T15" i="26" s="1"/>
  <c r="AM15" i="26" s="1"/>
  <c r="AS15" i="26" s="1"/>
  <c r="B31" i="26"/>
  <c r="B41" i="26"/>
  <c r="T18" i="26" s="1"/>
  <c r="B40" i="26"/>
  <c r="T17" i="26" s="1"/>
  <c r="B30" i="26"/>
  <c r="T24" i="26"/>
  <c r="T125" i="26"/>
  <c r="B29" i="26"/>
  <c r="AM8" i="26"/>
  <c r="AS8" i="26" s="1"/>
  <c r="AD8" i="26"/>
  <c r="T7" i="26"/>
  <c r="T8" i="26"/>
  <c r="AM7" i="26"/>
  <c r="AS7" i="26" s="1"/>
  <c r="AD176" i="26"/>
  <c r="U169" i="26"/>
  <c r="U176" i="26" s="1"/>
  <c r="H80" i="26"/>
  <c r="S24" i="25"/>
  <c r="B49" i="25"/>
  <c r="H41" i="25" s="1"/>
  <c r="W18" i="25" s="1"/>
  <c r="B8" i="25"/>
  <c r="S7" i="25"/>
  <c r="T125" i="25"/>
  <c r="U126" i="25" s="1"/>
  <c r="B6" i="25"/>
  <c r="AD8" i="25"/>
  <c r="S8" i="25"/>
  <c r="AL7" i="25"/>
  <c r="AR7" i="25" s="1"/>
  <c r="AL8" i="25"/>
  <c r="AR8" i="25" s="1"/>
  <c r="B7" i="25"/>
  <c r="U20" i="25"/>
  <c r="AN14" i="25"/>
  <c r="V24" i="25"/>
  <c r="V22" i="25"/>
  <c r="E19" i="25"/>
  <c r="V19" i="25" s="1"/>
  <c r="E18" i="25"/>
  <c r="V18" i="25" s="1"/>
  <c r="E17" i="25"/>
  <c r="V17" i="25" s="1"/>
  <c r="E16" i="25"/>
  <c r="V16" i="25" s="1"/>
  <c r="AO16" i="25" s="1"/>
  <c r="E15" i="25"/>
  <c r="V15" i="25" s="1"/>
  <c r="AO15" i="25" s="1"/>
  <c r="AU18" i="25"/>
  <c r="AU17" i="25"/>
  <c r="AU16" i="25"/>
  <c r="AU15" i="25"/>
  <c r="AU14" i="25"/>
  <c r="AU11" i="25"/>
  <c r="E9" i="25"/>
  <c r="V9" i="25" s="1"/>
  <c r="E14" i="25"/>
  <c r="E11" i="25"/>
  <c r="V11" i="25" s="1"/>
  <c r="E7" i="25"/>
  <c r="E10" i="25"/>
  <c r="V10" i="25" s="1"/>
  <c r="AU8" i="25"/>
  <c r="E6" i="25"/>
  <c r="AU9" i="25"/>
  <c r="V8" i="25"/>
  <c r="AU19" i="25"/>
  <c r="AU10" i="25"/>
  <c r="E8" i="25"/>
  <c r="AO8" i="25"/>
  <c r="B42" i="25"/>
  <c r="T19" i="25" s="1"/>
  <c r="B38" i="25"/>
  <c r="T15" i="25" s="1"/>
  <c r="AM15" i="25" s="1"/>
  <c r="AS15" i="25" s="1"/>
  <c r="B31" i="25"/>
  <c r="T22" i="25"/>
  <c r="B39" i="25"/>
  <c r="T16" i="25" s="1"/>
  <c r="AM16" i="25" s="1"/>
  <c r="AS16" i="25" s="1"/>
  <c r="B32" i="25"/>
  <c r="T9" i="25" s="1"/>
  <c r="B37" i="25"/>
  <c r="B29" i="25"/>
  <c r="B34" i="25"/>
  <c r="T11" i="25" s="1"/>
  <c r="B41" i="25"/>
  <c r="T18" i="25" s="1"/>
  <c r="T8" i="25"/>
  <c r="AM7" i="25"/>
  <c r="AS7" i="25" s="1"/>
  <c r="B30" i="25"/>
  <c r="T24" i="25"/>
  <c r="B33" i="25"/>
  <c r="T10" i="25" s="1"/>
  <c r="B40" i="25"/>
  <c r="T17" i="25" s="1"/>
  <c r="AM8" i="25"/>
  <c r="AS8" i="25" s="1"/>
  <c r="T7" i="25"/>
  <c r="C59" i="25"/>
  <c r="T128" i="25"/>
  <c r="U94" i="25"/>
  <c r="F115" i="25"/>
  <c r="C55" i="25"/>
  <c r="AD176" i="25"/>
  <c r="U169" i="25"/>
  <c r="U176" i="25" s="1"/>
  <c r="E35" i="25"/>
  <c r="H29" i="25"/>
  <c r="W24" i="25"/>
  <c r="H30" i="25"/>
  <c r="H31" i="25"/>
  <c r="W7" i="25"/>
  <c r="AP8" i="25"/>
  <c r="AV8" i="25" s="1"/>
  <c r="W8" i="25"/>
  <c r="AP7" i="25"/>
  <c r="AV7" i="25" s="1"/>
  <c r="AO85" i="25"/>
  <c r="L85" i="25"/>
  <c r="AG85" i="25"/>
  <c r="AG84" i="25"/>
  <c r="L84" i="25"/>
  <c r="L88" i="25" s="1"/>
  <c r="C60" i="25"/>
  <c r="C54" i="25"/>
  <c r="U110" i="25"/>
  <c r="C57" i="25"/>
  <c r="E43" i="25"/>
  <c r="U12" i="25"/>
  <c r="C57" i="24"/>
  <c r="C60" i="24"/>
  <c r="E12" i="24"/>
  <c r="U190" i="24"/>
  <c r="U186" i="24"/>
  <c r="U191" i="24"/>
  <c r="U188" i="24"/>
  <c r="U189" i="24"/>
  <c r="U192" i="24"/>
  <c r="U187" i="24"/>
  <c r="B31" i="24"/>
  <c r="B30" i="24"/>
  <c r="T24" i="24"/>
  <c r="B29" i="24"/>
  <c r="AM8" i="24"/>
  <c r="AS8" i="24" s="1"/>
  <c r="AD8" i="24"/>
  <c r="T125" i="24"/>
  <c r="AM7" i="24"/>
  <c r="AS7" i="24" s="1"/>
  <c r="T8" i="24"/>
  <c r="T7" i="24"/>
  <c r="AM68" i="24"/>
  <c r="AM69" i="24"/>
  <c r="AM71" i="24"/>
  <c r="AM70" i="24"/>
  <c r="C54" i="24"/>
  <c r="U178" i="24"/>
  <c r="U180" i="24" s="1"/>
  <c r="U179" i="24"/>
  <c r="H88" i="24"/>
  <c r="C55" i="24"/>
  <c r="F115" i="24"/>
  <c r="AN71" i="24"/>
  <c r="AN69" i="24"/>
  <c r="AN70" i="24"/>
  <c r="AN68" i="24"/>
  <c r="T126" i="24"/>
  <c r="E31" i="24"/>
  <c r="E29" i="24"/>
  <c r="U24" i="24"/>
  <c r="U7" i="24"/>
  <c r="E30" i="24"/>
  <c r="AN8" i="24"/>
  <c r="AT8" i="24" s="1"/>
  <c r="U8" i="24"/>
  <c r="AN7" i="24"/>
  <c r="AT7" i="24" s="1"/>
  <c r="B49" i="24"/>
  <c r="H17" i="24" s="1"/>
  <c r="X17" i="24" s="1"/>
  <c r="C59" i="24"/>
  <c r="AG85" i="24"/>
  <c r="AO85" i="24"/>
  <c r="L85" i="24"/>
  <c r="C58" i="24"/>
  <c r="AG84" i="24"/>
  <c r="L84" i="24"/>
  <c r="L88" i="24" s="1"/>
  <c r="AD176" i="24"/>
  <c r="U169" i="24"/>
  <c r="U176" i="24" s="1"/>
  <c r="U110" i="24"/>
  <c r="X24" i="24"/>
  <c r="AQ8" i="24"/>
  <c r="AW8" i="24" s="1"/>
  <c r="H7" i="24"/>
  <c r="H8" i="24"/>
  <c r="X8" i="24"/>
  <c r="AQ7" i="24"/>
  <c r="AW7" i="24" s="1"/>
  <c r="X7" i="24"/>
  <c r="H6" i="24"/>
  <c r="E20" i="24"/>
  <c r="V14" i="24"/>
  <c r="V23" i="24"/>
  <c r="Z20" i="24"/>
  <c r="Z21" i="24" s="1"/>
  <c r="H80" i="24"/>
  <c r="U110" i="23"/>
  <c r="U125" i="23"/>
  <c r="T127" i="23"/>
  <c r="H30" i="23"/>
  <c r="H31" i="23"/>
  <c r="W24" i="23"/>
  <c r="AP8" i="23"/>
  <c r="AV8" i="23" s="1"/>
  <c r="W7" i="23"/>
  <c r="W8" i="23"/>
  <c r="AP7" i="23"/>
  <c r="AV7" i="23" s="1"/>
  <c r="H29" i="23"/>
  <c r="B49" i="23"/>
  <c r="H37" i="23" s="1"/>
  <c r="F115" i="23"/>
  <c r="J145" i="23"/>
  <c r="J147" i="23" s="1"/>
  <c r="X7" i="23"/>
  <c r="X12" i="23" s="1"/>
  <c r="C59" i="23"/>
  <c r="U180" i="23"/>
  <c r="V24" i="23"/>
  <c r="V22" i="23"/>
  <c r="AU11" i="23"/>
  <c r="E19" i="23"/>
  <c r="V19" i="23" s="1"/>
  <c r="E18" i="23"/>
  <c r="V18" i="23" s="1"/>
  <c r="E17" i="23"/>
  <c r="V17" i="23" s="1"/>
  <c r="E16" i="23"/>
  <c r="V16" i="23" s="1"/>
  <c r="AO16" i="23" s="1"/>
  <c r="E15" i="23"/>
  <c r="V15" i="23" s="1"/>
  <c r="AO15" i="23" s="1"/>
  <c r="E14" i="23"/>
  <c r="E11" i="23"/>
  <c r="V11" i="23" s="1"/>
  <c r="AU19" i="23"/>
  <c r="AU10" i="23"/>
  <c r="E8" i="23"/>
  <c r="V8" i="23"/>
  <c r="E7" i="23"/>
  <c r="AU18" i="23"/>
  <c r="AU17" i="23"/>
  <c r="AU14" i="23"/>
  <c r="E9" i="23"/>
  <c r="V9" i="23" s="1"/>
  <c r="AU9" i="23"/>
  <c r="AU16" i="23"/>
  <c r="E10" i="23"/>
  <c r="V10" i="23" s="1"/>
  <c r="AU8" i="23"/>
  <c r="E6" i="23"/>
  <c r="AU15" i="23"/>
  <c r="U193" i="23"/>
  <c r="AO85" i="23"/>
  <c r="L85" i="23"/>
  <c r="L88" i="23" s="1"/>
  <c r="AG85" i="23"/>
  <c r="C58" i="23"/>
  <c r="C55" i="23"/>
  <c r="C56" i="23"/>
  <c r="C60" i="23"/>
  <c r="C54" i="23"/>
  <c r="AD176" i="23"/>
  <c r="U169" i="23"/>
  <c r="U176" i="23" s="1"/>
  <c r="U102" i="23"/>
  <c r="U126" i="23"/>
  <c r="T128" i="23"/>
  <c r="X20" i="23"/>
  <c r="AQ14" i="23"/>
  <c r="AO8" i="23"/>
  <c r="AD8" i="23"/>
  <c r="AO85" i="22"/>
  <c r="L85" i="22"/>
  <c r="AG85" i="22"/>
  <c r="U94" i="22"/>
  <c r="U14" i="22"/>
  <c r="E43" i="22"/>
  <c r="T128" i="22"/>
  <c r="C59" i="22"/>
  <c r="H80" i="22"/>
  <c r="E35" i="22"/>
  <c r="C60" i="22"/>
  <c r="C57" i="22"/>
  <c r="U193" i="22"/>
  <c r="C58" i="22"/>
  <c r="AD176" i="22"/>
  <c r="U169" i="22"/>
  <c r="U176" i="22" s="1"/>
  <c r="X20" i="22"/>
  <c r="AQ14" i="22"/>
  <c r="B31" i="22"/>
  <c r="B29" i="22"/>
  <c r="T8" i="22"/>
  <c r="Y8" i="22" s="1"/>
  <c r="AM7" i="22"/>
  <c r="AS7" i="22" s="1"/>
  <c r="T24" i="22"/>
  <c r="Y24" i="22" s="1"/>
  <c r="T7" i="22"/>
  <c r="B30" i="22"/>
  <c r="AM8" i="22"/>
  <c r="AS8" i="22" s="1"/>
  <c r="C54" i="22"/>
  <c r="L88" i="22"/>
  <c r="U110" i="21"/>
  <c r="B18" i="21"/>
  <c r="S18" i="21" s="1"/>
  <c r="B17" i="21"/>
  <c r="S17" i="21" s="1"/>
  <c r="B15" i="21"/>
  <c r="S15" i="21" s="1"/>
  <c r="B14" i="21"/>
  <c r="B19" i="21"/>
  <c r="S19" i="21" s="1"/>
  <c r="E39" i="21"/>
  <c r="U16" i="21" s="1"/>
  <c r="AN16" i="21" s="1"/>
  <c r="E32" i="21"/>
  <c r="U9" i="21" s="1"/>
  <c r="T126" i="21"/>
  <c r="E40" i="21"/>
  <c r="U17" i="21" s="1"/>
  <c r="E33" i="21"/>
  <c r="U10" i="21" s="1"/>
  <c r="E29" i="21"/>
  <c r="E42" i="21"/>
  <c r="U19" i="21" s="1"/>
  <c r="E38" i="21"/>
  <c r="U15" i="21" s="1"/>
  <c r="AN15" i="21" s="1"/>
  <c r="U22" i="21"/>
  <c r="AT19" i="21"/>
  <c r="AT18" i="21"/>
  <c r="AT17" i="21"/>
  <c r="AT16" i="21"/>
  <c r="AT15" i="21"/>
  <c r="AT14" i="21"/>
  <c r="E31" i="21"/>
  <c r="E34" i="21"/>
  <c r="U11" i="21" s="1"/>
  <c r="AT11" i="21"/>
  <c r="AT7" i="21"/>
  <c r="E30" i="21"/>
  <c r="AN7" i="21"/>
  <c r="E37" i="21"/>
  <c r="AN8" i="21"/>
  <c r="E41" i="21"/>
  <c r="U18" i="21" s="1"/>
  <c r="AT8" i="21"/>
  <c r="U7" i="21"/>
  <c r="AT9" i="21"/>
  <c r="U8" i="21"/>
  <c r="U24" i="21"/>
  <c r="AT10" i="21"/>
  <c r="B16" i="21"/>
  <c r="S16" i="21" s="1"/>
  <c r="AO85" i="21"/>
  <c r="AG85" i="21"/>
  <c r="C58" i="21"/>
  <c r="C60" i="21"/>
  <c r="H88" i="21"/>
  <c r="C56" i="21"/>
  <c r="U193" i="21"/>
  <c r="U94" i="21"/>
  <c r="H29" i="21"/>
  <c r="W24" i="21"/>
  <c r="H30" i="21"/>
  <c r="H31" i="21"/>
  <c r="W8" i="21"/>
  <c r="AP7" i="21"/>
  <c r="AV7" i="21" s="1"/>
  <c r="W7" i="21"/>
  <c r="AP8" i="21"/>
  <c r="AV8" i="21" s="1"/>
  <c r="AD8" i="21"/>
  <c r="AO84" i="21"/>
  <c r="AO64" i="21" s="1"/>
  <c r="AD176" i="21"/>
  <c r="U169" i="21"/>
  <c r="U176" i="21" s="1"/>
  <c r="B19" i="20"/>
  <c r="S19" i="20" s="1"/>
  <c r="B18" i="20"/>
  <c r="S18" i="20" s="1"/>
  <c r="AO85" i="20"/>
  <c r="AG85" i="20"/>
  <c r="U193" i="20"/>
  <c r="AD176" i="20"/>
  <c r="U169" i="20"/>
  <c r="U176" i="20" s="1"/>
  <c r="F115" i="20"/>
  <c r="H88" i="20"/>
  <c r="W14" i="20"/>
  <c r="H43" i="20"/>
  <c r="B42" i="20"/>
  <c r="T19" i="20" s="1"/>
  <c r="B31" i="20"/>
  <c r="B40" i="20"/>
  <c r="T17" i="20" s="1"/>
  <c r="B30" i="20"/>
  <c r="T125" i="20"/>
  <c r="T24" i="20"/>
  <c r="AD8" i="20"/>
  <c r="AM8" i="20"/>
  <c r="AS8" i="20" s="1"/>
  <c r="T7" i="20"/>
  <c r="T8" i="20"/>
  <c r="B29" i="20"/>
  <c r="AM7" i="20"/>
  <c r="AS7" i="20" s="1"/>
  <c r="T126" i="20"/>
  <c r="E29" i="20"/>
  <c r="E30" i="20"/>
  <c r="U7" i="20"/>
  <c r="U24" i="20"/>
  <c r="U8" i="20"/>
  <c r="E31" i="20"/>
  <c r="AN8" i="20"/>
  <c r="AT8" i="20" s="1"/>
  <c r="AN7" i="20"/>
  <c r="AT7" i="20" s="1"/>
  <c r="U110" i="20"/>
  <c r="W12" i="20"/>
  <c r="H35" i="20"/>
  <c r="U94" i="20"/>
  <c r="B19" i="19"/>
  <c r="S19" i="19" s="1"/>
  <c r="B18" i="19"/>
  <c r="S18" i="19" s="1"/>
  <c r="B17" i="19"/>
  <c r="S17" i="19" s="1"/>
  <c r="E39" i="19"/>
  <c r="U16" i="19" s="1"/>
  <c r="AN16" i="19" s="1"/>
  <c r="E32" i="19"/>
  <c r="U9" i="19" s="1"/>
  <c r="T126" i="19"/>
  <c r="E40" i="19"/>
  <c r="U17" i="19" s="1"/>
  <c r="E33" i="19"/>
  <c r="U10" i="19" s="1"/>
  <c r="E29" i="19"/>
  <c r="E31" i="19"/>
  <c r="AT11" i="19"/>
  <c r="AT7" i="19"/>
  <c r="E41" i="19"/>
  <c r="U18" i="19" s="1"/>
  <c r="E37" i="19"/>
  <c r="E34" i="19"/>
  <c r="U11" i="19" s="1"/>
  <c r="U24" i="19"/>
  <c r="AT19" i="19"/>
  <c r="AT18" i="19"/>
  <c r="AT17" i="19"/>
  <c r="AT9" i="19"/>
  <c r="AT8" i="19"/>
  <c r="E42" i="19"/>
  <c r="U19" i="19" s="1"/>
  <c r="AT14" i="19"/>
  <c r="AT10" i="19"/>
  <c r="U7" i="19"/>
  <c r="U22" i="19"/>
  <c r="AT15" i="19"/>
  <c r="AN8" i="19"/>
  <c r="E30" i="19"/>
  <c r="AT16" i="19"/>
  <c r="U8" i="19"/>
  <c r="E38" i="19"/>
  <c r="U15" i="19" s="1"/>
  <c r="AN15" i="19" s="1"/>
  <c r="AN7" i="19"/>
  <c r="L88" i="19"/>
  <c r="F115" i="19"/>
  <c r="B16" i="19" s="1"/>
  <c r="S16" i="19" s="1"/>
  <c r="B14" i="19"/>
  <c r="B15" i="19"/>
  <c r="S15" i="19" s="1"/>
  <c r="J145" i="19"/>
  <c r="J147" i="19" s="1"/>
  <c r="X7" i="19"/>
  <c r="X12" i="19" s="1"/>
  <c r="AO69" i="19"/>
  <c r="AO67" i="19"/>
  <c r="AO68" i="19"/>
  <c r="AO71" i="19"/>
  <c r="AO65" i="19"/>
  <c r="U193" i="19"/>
  <c r="E12" i="19"/>
  <c r="U110" i="19"/>
  <c r="AD176" i="19"/>
  <c r="U169" i="19"/>
  <c r="U176" i="19" s="1"/>
  <c r="H88" i="19"/>
  <c r="AO14" i="19"/>
  <c r="V20" i="19"/>
  <c r="H163" i="18"/>
  <c r="E10" i="18" s="1"/>
  <c r="V10" i="18" s="1"/>
  <c r="D172" i="18"/>
  <c r="G178" i="18" s="1"/>
  <c r="H159" i="18"/>
  <c r="B19" i="18"/>
  <c r="S19" i="18" s="1"/>
  <c r="H166" i="18"/>
  <c r="E11" i="18" s="1"/>
  <c r="V11" i="18" s="1"/>
  <c r="B17" i="18"/>
  <c r="S17" i="18" s="1"/>
  <c r="B18" i="18"/>
  <c r="S18" i="18" s="1"/>
  <c r="J142" i="18"/>
  <c r="E145" i="18" s="1"/>
  <c r="B15" i="18"/>
  <c r="S15" i="18" s="1"/>
  <c r="F178" i="18"/>
  <c r="H178" i="18" s="1"/>
  <c r="H80" i="18"/>
  <c r="T128" i="18"/>
  <c r="U94" i="18"/>
  <c r="AG84" i="18"/>
  <c r="AO84" i="18"/>
  <c r="AO64" i="18" s="1"/>
  <c r="H88" i="18"/>
  <c r="AO69" i="18"/>
  <c r="AO67" i="18"/>
  <c r="AO68" i="18"/>
  <c r="AO71" i="18"/>
  <c r="AO65" i="18"/>
  <c r="U12" i="18"/>
  <c r="B42" i="18"/>
  <c r="T19" i="18" s="1"/>
  <c r="B38" i="18"/>
  <c r="T15" i="18" s="1"/>
  <c r="AM15" i="18" s="1"/>
  <c r="AS15" i="18" s="1"/>
  <c r="B31" i="18"/>
  <c r="B39" i="18"/>
  <c r="T16" i="18" s="1"/>
  <c r="AM16" i="18" s="1"/>
  <c r="AS16" i="18" s="1"/>
  <c r="B41" i="18"/>
  <c r="T18" i="18" s="1"/>
  <c r="B40" i="18"/>
  <c r="T17" i="18" s="1"/>
  <c r="T125" i="18"/>
  <c r="B29" i="18"/>
  <c r="AM8" i="18"/>
  <c r="AS8" i="18" s="1"/>
  <c r="AD8" i="18"/>
  <c r="B37" i="18"/>
  <c r="B30" i="18"/>
  <c r="T24" i="18"/>
  <c r="Y24" i="18" s="1"/>
  <c r="T7" i="18"/>
  <c r="T8" i="18"/>
  <c r="Y8" i="18" s="1"/>
  <c r="AM7" i="18"/>
  <c r="AS7" i="18" s="1"/>
  <c r="F115" i="18"/>
  <c r="B16" i="18" s="1"/>
  <c r="S16" i="18" s="1"/>
  <c r="B14" i="18"/>
  <c r="U193" i="18"/>
  <c r="U110" i="18"/>
  <c r="U16" i="18"/>
  <c r="E43" i="18"/>
  <c r="C59" i="18"/>
  <c r="C54" i="18"/>
  <c r="C60" i="18"/>
  <c r="C57" i="18"/>
  <c r="AD176" i="18"/>
  <c r="U169" i="18"/>
  <c r="U176" i="18" s="1"/>
  <c r="H80" i="17"/>
  <c r="C59" i="17"/>
  <c r="C58" i="17"/>
  <c r="U110" i="17"/>
  <c r="S24" i="17"/>
  <c r="B49" i="17"/>
  <c r="E19" i="17" s="1"/>
  <c r="V19" i="17" s="1"/>
  <c r="T125" i="17"/>
  <c r="AD8" i="17"/>
  <c r="S8" i="17"/>
  <c r="AL7" i="17"/>
  <c r="AR7" i="17" s="1"/>
  <c r="S7" i="17"/>
  <c r="AL8" i="17"/>
  <c r="AR8" i="17" s="1"/>
  <c r="B6" i="17"/>
  <c r="B7" i="17"/>
  <c r="B8" i="17"/>
  <c r="H29" i="17"/>
  <c r="W24" i="17"/>
  <c r="H30" i="17"/>
  <c r="W8" i="17"/>
  <c r="AP7" i="17"/>
  <c r="AV7" i="17" s="1"/>
  <c r="H42" i="17"/>
  <c r="W19" i="17" s="1"/>
  <c r="W7" i="17"/>
  <c r="AP8" i="17"/>
  <c r="AV8" i="17" s="1"/>
  <c r="H31" i="17"/>
  <c r="H88" i="17"/>
  <c r="C56" i="17"/>
  <c r="AD176" i="17"/>
  <c r="U169" i="17"/>
  <c r="U176" i="17" s="1"/>
  <c r="AO85" i="17"/>
  <c r="AG85" i="17"/>
  <c r="C57" i="17"/>
  <c r="T126" i="17"/>
  <c r="E29" i="17"/>
  <c r="E41" i="17"/>
  <c r="U18" i="17" s="1"/>
  <c r="E31" i="17"/>
  <c r="E30" i="17"/>
  <c r="U24" i="17"/>
  <c r="AN7" i="17"/>
  <c r="AT7" i="17" s="1"/>
  <c r="U7" i="17"/>
  <c r="U8" i="17"/>
  <c r="AN8" i="17"/>
  <c r="AT8" i="17" s="1"/>
  <c r="B31" i="17"/>
  <c r="B29" i="17"/>
  <c r="T24" i="17"/>
  <c r="AM8" i="17"/>
  <c r="AS8" i="17" s="1"/>
  <c r="T7" i="17"/>
  <c r="AM7" i="17"/>
  <c r="AS7" i="17" s="1"/>
  <c r="B30" i="17"/>
  <c r="T8" i="17"/>
  <c r="U193" i="17"/>
  <c r="C54" i="17"/>
  <c r="AO84" i="17"/>
  <c r="AO64" i="17" s="1"/>
  <c r="U110" i="16"/>
  <c r="AD176" i="16"/>
  <c r="U169" i="16"/>
  <c r="U176" i="16" s="1"/>
  <c r="AO69" i="16"/>
  <c r="AO67" i="16"/>
  <c r="AO68" i="16"/>
  <c r="AO71" i="16"/>
  <c r="AO65" i="16"/>
  <c r="E35" i="16"/>
  <c r="U12" i="16"/>
  <c r="B19" i="16"/>
  <c r="S19" i="16" s="1"/>
  <c r="B15" i="16"/>
  <c r="S15" i="16" s="1"/>
  <c r="B18" i="16"/>
  <c r="S18" i="16" s="1"/>
  <c r="B17" i="16"/>
  <c r="S17" i="16" s="1"/>
  <c r="H88" i="16"/>
  <c r="U126" i="16"/>
  <c r="T128" i="16"/>
  <c r="AG84" i="16"/>
  <c r="L84" i="16"/>
  <c r="L88" i="16" s="1"/>
  <c r="F115" i="16"/>
  <c r="B16" i="16" s="1"/>
  <c r="S16" i="16" s="1"/>
  <c r="B14" i="16"/>
  <c r="U16" i="16"/>
  <c r="E43" i="16"/>
  <c r="U193" i="16"/>
  <c r="T127" i="16"/>
  <c r="U125" i="16"/>
  <c r="U110" i="31"/>
  <c r="S24" i="31"/>
  <c r="B49" i="31"/>
  <c r="B16" i="31" s="1"/>
  <c r="S16" i="31" s="1"/>
  <c r="T125" i="31"/>
  <c r="AD8" i="31"/>
  <c r="S8" i="31"/>
  <c r="AL7" i="31"/>
  <c r="B7" i="31"/>
  <c r="AL8" i="31"/>
  <c r="B6" i="31"/>
  <c r="AR7" i="31"/>
  <c r="AR8" i="31"/>
  <c r="B8" i="31"/>
  <c r="S7" i="31"/>
  <c r="B31" i="31"/>
  <c r="B29" i="31"/>
  <c r="T24" i="31"/>
  <c r="AM8" i="31"/>
  <c r="AS8" i="31" s="1"/>
  <c r="B30" i="31"/>
  <c r="B40" i="31"/>
  <c r="T17" i="31" s="1"/>
  <c r="T7" i="31"/>
  <c r="AM7" i="31"/>
  <c r="AS7" i="31" s="1"/>
  <c r="T8" i="31"/>
  <c r="AO85" i="31"/>
  <c r="L85" i="31"/>
  <c r="AG85" i="31"/>
  <c r="H40" i="31"/>
  <c r="W17" i="31" s="1"/>
  <c r="H33" i="31"/>
  <c r="W10" i="31" s="1"/>
  <c r="H29" i="31"/>
  <c r="W24" i="31"/>
  <c r="H41" i="31"/>
  <c r="W18" i="31" s="1"/>
  <c r="H37" i="31"/>
  <c r="H34" i="31"/>
  <c r="W11" i="31" s="1"/>
  <c r="H30" i="31"/>
  <c r="W22" i="31"/>
  <c r="H38" i="31"/>
  <c r="W15" i="31" s="1"/>
  <c r="AP15" i="31" s="1"/>
  <c r="AV9" i="31"/>
  <c r="W8" i="31"/>
  <c r="AP7" i="31"/>
  <c r="H31" i="31"/>
  <c r="AV18" i="31"/>
  <c r="AV7" i="31"/>
  <c r="H32" i="31"/>
  <c r="W9" i="31" s="1"/>
  <c r="AV17" i="31"/>
  <c r="AV16" i="31"/>
  <c r="AV15" i="31"/>
  <c r="AV14" i="31"/>
  <c r="AV10" i="31"/>
  <c r="AP8" i="31"/>
  <c r="H39" i="31"/>
  <c r="W16" i="31" s="1"/>
  <c r="AP16" i="31" s="1"/>
  <c r="AV11" i="31"/>
  <c r="H42" i="31"/>
  <c r="W19" i="31" s="1"/>
  <c r="AV19" i="31"/>
  <c r="AV8" i="31"/>
  <c r="W7" i="31"/>
  <c r="T126" i="31"/>
  <c r="E29" i="31"/>
  <c r="E31" i="31"/>
  <c r="E30" i="31"/>
  <c r="U24" i="31"/>
  <c r="AT7" i="31"/>
  <c r="AN7" i="31"/>
  <c r="AT8" i="31"/>
  <c r="U7" i="31"/>
  <c r="U8" i="31"/>
  <c r="AN8" i="31"/>
  <c r="U193" i="31"/>
  <c r="L88" i="31"/>
  <c r="AO84" i="31"/>
  <c r="AO64" i="31" s="1"/>
  <c r="AD176" i="31"/>
  <c r="U169" i="31"/>
  <c r="U176" i="31" s="1"/>
  <c r="H80" i="31"/>
  <c r="V24" i="31"/>
  <c r="V22" i="31"/>
  <c r="AU19" i="31"/>
  <c r="E10" i="31"/>
  <c r="V10" i="31" s="1"/>
  <c r="AU8" i="31"/>
  <c r="E6" i="31"/>
  <c r="E18" i="31"/>
  <c r="V18" i="31" s="1"/>
  <c r="AU17" i="31"/>
  <c r="E17" i="31"/>
  <c r="V17" i="31" s="1"/>
  <c r="AU16" i="31"/>
  <c r="AU15" i="31"/>
  <c r="AU14" i="31"/>
  <c r="AO8" i="31"/>
  <c r="E8" i="31"/>
  <c r="E19" i="31"/>
  <c r="V19" i="31" s="1"/>
  <c r="E14" i="31"/>
  <c r="E11" i="31"/>
  <c r="V11" i="31" s="1"/>
  <c r="AU9" i="31"/>
  <c r="V8" i="31"/>
  <c r="E7" i="31"/>
  <c r="E16" i="31"/>
  <c r="V16" i="31" s="1"/>
  <c r="AO16" i="31" s="1"/>
  <c r="E15" i="31"/>
  <c r="V15" i="31" s="1"/>
  <c r="AO15" i="31" s="1"/>
  <c r="AU10" i="31"/>
  <c r="AU18" i="31"/>
  <c r="AU11" i="31"/>
  <c r="E9" i="31"/>
  <c r="V9" i="31" s="1"/>
  <c r="C57" i="31"/>
  <c r="C58" i="31"/>
  <c r="H88" i="31"/>
  <c r="C56" i="31"/>
  <c r="AP8" i="30"/>
  <c r="AV8" i="30" s="1"/>
  <c r="AP7" i="30"/>
  <c r="AV7" i="30" s="1"/>
  <c r="C58" i="30"/>
  <c r="C54" i="30"/>
  <c r="C55" i="30"/>
  <c r="C56" i="30"/>
  <c r="C59" i="30"/>
  <c r="C57" i="30"/>
  <c r="E12" i="30"/>
  <c r="E20" i="30"/>
  <c r="V23" i="30"/>
  <c r="L85" i="30"/>
  <c r="AO85" i="30" s="1"/>
  <c r="AG85" i="30"/>
  <c r="E42" i="30"/>
  <c r="U19" i="30" s="1"/>
  <c r="E38" i="30"/>
  <c r="U15" i="30" s="1"/>
  <c r="AN15" i="30" s="1"/>
  <c r="E31" i="30"/>
  <c r="T126" i="30"/>
  <c r="E39" i="30"/>
  <c r="U16" i="30" s="1"/>
  <c r="AN16" i="30" s="1"/>
  <c r="E32" i="30"/>
  <c r="U9" i="30" s="1"/>
  <c r="E41" i="30"/>
  <c r="U18" i="30" s="1"/>
  <c r="E34" i="30"/>
  <c r="U11" i="30" s="1"/>
  <c r="AT19" i="30"/>
  <c r="AT18" i="30"/>
  <c r="AT17" i="30"/>
  <c r="AT16" i="30"/>
  <c r="AT15" i="30"/>
  <c r="E40" i="30"/>
  <c r="U17" i="30" s="1"/>
  <c r="E33" i="30"/>
  <c r="U10" i="30" s="1"/>
  <c r="U24" i="30"/>
  <c r="E37" i="30"/>
  <c r="E29" i="30"/>
  <c r="AT14" i="30"/>
  <c r="AT8" i="30"/>
  <c r="U7" i="30"/>
  <c r="AT10" i="30"/>
  <c r="AN8" i="30"/>
  <c r="E30" i="30"/>
  <c r="AT7" i="30"/>
  <c r="AT9" i="30"/>
  <c r="U8" i="30"/>
  <c r="AN7" i="30"/>
  <c r="U22" i="30"/>
  <c r="AT11" i="30"/>
  <c r="U94" i="30"/>
  <c r="B30" i="30"/>
  <c r="T24" i="30"/>
  <c r="B31" i="30"/>
  <c r="B29" i="30"/>
  <c r="T125" i="30"/>
  <c r="T8" i="30"/>
  <c r="AM8" i="30"/>
  <c r="AS8" i="30" s="1"/>
  <c r="T7" i="30"/>
  <c r="AM7" i="30"/>
  <c r="AS7" i="30" s="1"/>
  <c r="AD8" i="30"/>
  <c r="U193" i="30"/>
  <c r="AE76" i="30"/>
  <c r="D76" i="30"/>
  <c r="D80" i="30" s="1"/>
  <c r="H80" i="30"/>
  <c r="AE77" i="30"/>
  <c r="D77" i="30"/>
  <c r="V20" i="30"/>
  <c r="AO14" i="30"/>
  <c r="U110" i="30"/>
  <c r="B49" i="30"/>
  <c r="H42" i="30" s="1"/>
  <c r="W19" i="30" s="1"/>
  <c r="AG84" i="30"/>
  <c r="L84" i="30"/>
  <c r="AD176" i="30"/>
  <c r="U169" i="30"/>
  <c r="U176" i="30" s="1"/>
  <c r="H39" i="25" l="1"/>
  <c r="W16" i="25" s="1"/>
  <c r="AP16" i="25" s="1"/>
  <c r="AV16" i="25" s="1"/>
  <c r="H41" i="23"/>
  <c r="W18" i="23" s="1"/>
  <c r="U23" i="26"/>
  <c r="H37" i="16"/>
  <c r="W14" i="16" s="1"/>
  <c r="AP14" i="16" s="1"/>
  <c r="AV14" i="16" s="1"/>
  <c r="H38" i="16"/>
  <c r="W15" i="16" s="1"/>
  <c r="AP15" i="16" s="1"/>
  <c r="AV15" i="16" s="1"/>
  <c r="H42" i="16"/>
  <c r="W19" i="16" s="1"/>
  <c r="H41" i="16"/>
  <c r="W18" i="16" s="1"/>
  <c r="Y18" i="16" s="1"/>
  <c r="H20" i="18"/>
  <c r="E39" i="20"/>
  <c r="U16" i="20" s="1"/>
  <c r="AN16" i="20" s="1"/>
  <c r="AT16" i="20" s="1"/>
  <c r="E15" i="20"/>
  <c r="V15" i="20" s="1"/>
  <c r="AO15" i="20" s="1"/>
  <c r="AU15" i="20" s="1"/>
  <c r="E17" i="20"/>
  <c r="V17" i="20" s="1"/>
  <c r="E16" i="20"/>
  <c r="V16" i="20" s="1"/>
  <c r="AO16" i="20" s="1"/>
  <c r="AU16" i="20" s="1"/>
  <c r="E14" i="20"/>
  <c r="E18" i="20"/>
  <c r="V18" i="20" s="1"/>
  <c r="H40" i="21"/>
  <c r="W17" i="21" s="1"/>
  <c r="E17" i="21"/>
  <c r="V17" i="21" s="1"/>
  <c r="E14" i="21"/>
  <c r="E16" i="21"/>
  <c r="V16" i="21" s="1"/>
  <c r="AO16" i="21" s="1"/>
  <c r="AU16" i="21" s="1"/>
  <c r="E15" i="21"/>
  <c r="V15" i="21" s="1"/>
  <c r="AO15" i="21" s="1"/>
  <c r="AU15" i="21" s="1"/>
  <c r="E18" i="21"/>
  <c r="V18" i="21" s="1"/>
  <c r="H9" i="18"/>
  <c r="X9" i="18" s="1"/>
  <c r="E9" i="18"/>
  <c r="V20" i="18"/>
  <c r="E18" i="17"/>
  <c r="V18" i="17" s="1"/>
  <c r="E15" i="17"/>
  <c r="V15" i="17" s="1"/>
  <c r="AO15" i="17" s="1"/>
  <c r="AU15" i="17" s="1"/>
  <c r="E17" i="17"/>
  <c r="V17" i="17" s="1"/>
  <c r="E14" i="17"/>
  <c r="E16" i="17"/>
  <c r="V16" i="17" s="1"/>
  <c r="AO16" i="17" s="1"/>
  <c r="AU16" i="17" s="1"/>
  <c r="E20" i="18"/>
  <c r="L88" i="30"/>
  <c r="AO84" i="30"/>
  <c r="AO64" i="30" s="1"/>
  <c r="Y8" i="19"/>
  <c r="AA8" i="19" s="1"/>
  <c r="H42" i="25"/>
  <c r="W19" i="25" s="1"/>
  <c r="H41" i="26"/>
  <c r="W18" i="26" s="1"/>
  <c r="H38" i="19"/>
  <c r="W15" i="19" s="1"/>
  <c r="AP15" i="19" s="1"/>
  <c r="AV15" i="19" s="1"/>
  <c r="B16" i="17"/>
  <c r="S16" i="17" s="1"/>
  <c r="AL16" i="17" s="1"/>
  <c r="AR16" i="17" s="1"/>
  <c r="H14" i="17"/>
  <c r="H19" i="17"/>
  <c r="X19" i="17" s="1"/>
  <c r="H16" i="17"/>
  <c r="X16" i="17" s="1"/>
  <c r="AQ16" i="17" s="1"/>
  <c r="AW16" i="17" s="1"/>
  <c r="H18" i="17"/>
  <c r="X18" i="17" s="1"/>
  <c r="H17" i="17"/>
  <c r="X17" i="17" s="1"/>
  <c r="H15" i="17"/>
  <c r="X15" i="17" s="1"/>
  <c r="AQ15" i="17" s="1"/>
  <c r="AW15" i="17" s="1"/>
  <c r="H159" i="16"/>
  <c r="H32" i="16" s="1"/>
  <c r="W9" i="16" s="1"/>
  <c r="B34" i="18"/>
  <c r="T11" i="18" s="1"/>
  <c r="H11" i="18"/>
  <c r="X11" i="18" s="1"/>
  <c r="B33" i="18"/>
  <c r="T10" i="18" s="1"/>
  <c r="H10" i="18"/>
  <c r="X10" i="18" s="1"/>
  <c r="B32" i="18"/>
  <c r="T9" i="18" s="1"/>
  <c r="B19" i="25"/>
  <c r="S19" i="25" s="1"/>
  <c r="H16" i="25"/>
  <c r="X16" i="25" s="1"/>
  <c r="AQ16" i="25" s="1"/>
  <c r="AW16" i="25" s="1"/>
  <c r="H18" i="25"/>
  <c r="X18" i="25" s="1"/>
  <c r="H15" i="25"/>
  <c r="X15" i="25" s="1"/>
  <c r="AQ15" i="25" s="1"/>
  <c r="AW15" i="25" s="1"/>
  <c r="H14" i="25"/>
  <c r="H17" i="25"/>
  <c r="X17" i="25" s="1"/>
  <c r="H19" i="25"/>
  <c r="X19" i="25" s="1"/>
  <c r="E41" i="20"/>
  <c r="U18" i="20" s="1"/>
  <c r="E40" i="20"/>
  <c r="U17" i="20" s="1"/>
  <c r="H166" i="16"/>
  <c r="H34" i="16" s="1"/>
  <c r="W11" i="16" s="1"/>
  <c r="D172" i="16"/>
  <c r="F178" i="16" s="1"/>
  <c r="AD18" i="16" s="1"/>
  <c r="J142" i="16"/>
  <c r="E145" i="16" s="1"/>
  <c r="G145" i="16" s="1"/>
  <c r="G147" i="16" s="1"/>
  <c r="D172" i="21"/>
  <c r="G177" i="21" s="1"/>
  <c r="B17" i="25"/>
  <c r="S17" i="25" s="1"/>
  <c r="AE8" i="16"/>
  <c r="U125" i="19"/>
  <c r="D172" i="19"/>
  <c r="G177" i="19" s="1"/>
  <c r="H22" i="19"/>
  <c r="P9" i="29" s="1"/>
  <c r="H159" i="28"/>
  <c r="J142" i="19"/>
  <c r="E145" i="19" s="1"/>
  <c r="V7" i="19" s="1"/>
  <c r="V12" i="19" s="1"/>
  <c r="V21" i="19" s="1"/>
  <c r="T21" i="19"/>
  <c r="H39" i="16"/>
  <c r="W16" i="16" s="1"/>
  <c r="AP16" i="16" s="1"/>
  <c r="AV16" i="16" s="1"/>
  <c r="W12" i="16"/>
  <c r="B41" i="20"/>
  <c r="T18" i="20" s="1"/>
  <c r="E42" i="20"/>
  <c r="U19" i="20" s="1"/>
  <c r="E38" i="20"/>
  <c r="U15" i="20" s="1"/>
  <c r="AN15" i="20" s="1"/>
  <c r="AT15" i="20" s="1"/>
  <c r="H166" i="19"/>
  <c r="H34" i="19" s="1"/>
  <c r="W11" i="19" s="1"/>
  <c r="H159" i="19"/>
  <c r="H32" i="19" s="1"/>
  <c r="B38" i="20"/>
  <c r="T15" i="20" s="1"/>
  <c r="AM15" i="20" s="1"/>
  <c r="AS15" i="20" s="1"/>
  <c r="H38" i="25"/>
  <c r="W15" i="25" s="1"/>
  <c r="AP15" i="25" s="1"/>
  <c r="AV15" i="25" s="1"/>
  <c r="H37" i="25"/>
  <c r="W14" i="25" s="1"/>
  <c r="H40" i="25"/>
  <c r="W17" i="25" s="1"/>
  <c r="B14" i="25"/>
  <c r="S14" i="25" s="1"/>
  <c r="H37" i="19"/>
  <c r="W14" i="19" s="1"/>
  <c r="H163" i="19"/>
  <c r="H33" i="19" s="1"/>
  <c r="W10" i="19" s="1"/>
  <c r="D172" i="28"/>
  <c r="F176" i="28" s="1"/>
  <c r="H40" i="19"/>
  <c r="W17" i="19" s="1"/>
  <c r="Y17" i="19" s="1"/>
  <c r="X21" i="19"/>
  <c r="Y24" i="19"/>
  <c r="AK24" i="19" s="1"/>
  <c r="E37" i="20"/>
  <c r="U14" i="20" s="1"/>
  <c r="H42" i="21"/>
  <c r="W19" i="21" s="1"/>
  <c r="B16" i="25"/>
  <c r="S16" i="25" s="1"/>
  <c r="H43" i="28"/>
  <c r="J142" i="28"/>
  <c r="E145" i="28" s="1"/>
  <c r="AD7" i="28" s="1"/>
  <c r="H166" i="28"/>
  <c r="H163" i="28"/>
  <c r="H39" i="19"/>
  <c r="W16" i="19" s="1"/>
  <c r="AP16" i="19" s="1"/>
  <c r="AV16" i="19" s="1"/>
  <c r="H42" i="19"/>
  <c r="W19" i="19" s="1"/>
  <c r="Y19" i="19" s="1"/>
  <c r="H18" i="24"/>
  <c r="X18" i="24" s="1"/>
  <c r="H40" i="23"/>
  <c r="W17" i="23" s="1"/>
  <c r="H42" i="23"/>
  <c r="W19" i="23" s="1"/>
  <c r="H38" i="23"/>
  <c r="W15" i="23" s="1"/>
  <c r="AP15" i="23" s="1"/>
  <c r="AV15" i="23" s="1"/>
  <c r="H39" i="23"/>
  <c r="W16" i="23" s="1"/>
  <c r="AP16" i="23" s="1"/>
  <c r="AV16" i="23" s="1"/>
  <c r="B17" i="22"/>
  <c r="S17" i="22" s="1"/>
  <c r="H37" i="22"/>
  <c r="H40" i="22"/>
  <c r="W17" i="22" s="1"/>
  <c r="H41" i="22"/>
  <c r="W18" i="22" s="1"/>
  <c r="H42" i="22"/>
  <c r="W19" i="22" s="1"/>
  <c r="H38" i="22"/>
  <c r="W15" i="22" s="1"/>
  <c r="AP15" i="22" s="1"/>
  <c r="AV15" i="22" s="1"/>
  <c r="H39" i="22"/>
  <c r="W16" i="22" s="1"/>
  <c r="AP16" i="22" s="1"/>
  <c r="AV16" i="22" s="1"/>
  <c r="H38" i="21"/>
  <c r="W15" i="21" s="1"/>
  <c r="AP15" i="21" s="1"/>
  <c r="AV15" i="21" s="1"/>
  <c r="H37" i="21"/>
  <c r="W14" i="21" s="1"/>
  <c r="J142" i="21"/>
  <c r="E145" i="21" s="1"/>
  <c r="AD7" i="21" s="1"/>
  <c r="Y24" i="21"/>
  <c r="AA24" i="21" s="1"/>
  <c r="H39" i="21"/>
  <c r="W16" i="21" s="1"/>
  <c r="AP16" i="21" s="1"/>
  <c r="AV16" i="21" s="1"/>
  <c r="H41" i="21"/>
  <c r="W18" i="21" s="1"/>
  <c r="H35" i="16"/>
  <c r="B42" i="16"/>
  <c r="T19" i="16" s="1"/>
  <c r="Y19" i="16" s="1"/>
  <c r="H40" i="16"/>
  <c r="W17" i="16" s="1"/>
  <c r="Y17" i="16" s="1"/>
  <c r="H19" i="24"/>
  <c r="X19" i="24" s="1"/>
  <c r="H14" i="24"/>
  <c r="X14" i="24" s="1"/>
  <c r="H16" i="24"/>
  <c r="X16" i="24" s="1"/>
  <c r="AQ16" i="24" s="1"/>
  <c r="AW16" i="24" s="1"/>
  <c r="H15" i="24"/>
  <c r="X15" i="24" s="1"/>
  <c r="AQ15" i="24" s="1"/>
  <c r="AW15" i="24" s="1"/>
  <c r="B37" i="21"/>
  <c r="T14" i="21" s="1"/>
  <c r="AM14" i="21" s="1"/>
  <c r="AS14" i="21" s="1"/>
  <c r="H19" i="21"/>
  <c r="X19" i="21" s="1"/>
  <c r="H14" i="21"/>
  <c r="H16" i="21"/>
  <c r="X16" i="21" s="1"/>
  <c r="AQ16" i="21" s="1"/>
  <c r="AW16" i="21" s="1"/>
  <c r="H17" i="21"/>
  <c r="X17" i="21" s="1"/>
  <c r="H18" i="21"/>
  <c r="X18" i="21" s="1"/>
  <c r="H15" i="21"/>
  <c r="X15" i="21" s="1"/>
  <c r="AQ15" i="21" s="1"/>
  <c r="AW15" i="21" s="1"/>
  <c r="D172" i="20"/>
  <c r="H172" i="20" s="1"/>
  <c r="H17" i="20"/>
  <c r="X17" i="20" s="1"/>
  <c r="H14" i="20"/>
  <c r="H19" i="20"/>
  <c r="X19" i="20" s="1"/>
  <c r="H15" i="20"/>
  <c r="X15" i="20" s="1"/>
  <c r="AQ15" i="20" s="1"/>
  <c r="AW15" i="20" s="1"/>
  <c r="H18" i="20"/>
  <c r="X18" i="20" s="1"/>
  <c r="H16" i="20"/>
  <c r="X16" i="20" s="1"/>
  <c r="AQ16" i="20" s="1"/>
  <c r="AW16" i="20" s="1"/>
  <c r="B37" i="20"/>
  <c r="T14" i="20" s="1"/>
  <c r="B39" i="20"/>
  <c r="T16" i="20" s="1"/>
  <c r="AM16" i="20" s="1"/>
  <c r="AS16" i="20" s="1"/>
  <c r="B19" i="17"/>
  <c r="S19" i="17" s="1"/>
  <c r="W23" i="31"/>
  <c r="U125" i="21"/>
  <c r="H166" i="21"/>
  <c r="Y24" i="23"/>
  <c r="AF24" i="23" s="1"/>
  <c r="Y8" i="28"/>
  <c r="AE8" i="28" s="1"/>
  <c r="X21" i="28"/>
  <c r="H22" i="28"/>
  <c r="P17" i="29" s="1"/>
  <c r="H163" i="21"/>
  <c r="E10" i="21" s="1"/>
  <c r="V10" i="21" s="1"/>
  <c r="H159" i="21"/>
  <c r="H32" i="21" s="1"/>
  <c r="W9" i="21" s="1"/>
  <c r="B9" i="21"/>
  <c r="S9" i="21" s="1"/>
  <c r="B32" i="21"/>
  <c r="T9" i="21" s="1"/>
  <c r="B10" i="21"/>
  <c r="S10" i="21" s="1"/>
  <c r="B33" i="21"/>
  <c r="T10" i="21" s="1"/>
  <c r="B34" i="21"/>
  <c r="T11" i="21" s="1"/>
  <c r="B37" i="26"/>
  <c r="B39" i="26"/>
  <c r="T16" i="26" s="1"/>
  <c r="AM16" i="26" s="1"/>
  <c r="AS16" i="26" s="1"/>
  <c r="B15" i="26"/>
  <c r="S15" i="26" s="1"/>
  <c r="Y15" i="26" s="1"/>
  <c r="B17" i="26"/>
  <c r="S17" i="26" s="1"/>
  <c r="B11" i="28"/>
  <c r="S11" i="28" s="1"/>
  <c r="H34" i="28"/>
  <c r="W11" i="28" s="1"/>
  <c r="E45" i="28"/>
  <c r="B9" i="28"/>
  <c r="S9" i="28" s="1"/>
  <c r="H32" i="28"/>
  <c r="B10" i="28"/>
  <c r="S10" i="28" s="1"/>
  <c r="H33" i="28"/>
  <c r="W10" i="28" s="1"/>
  <c r="AO14" i="26"/>
  <c r="X21" i="26"/>
  <c r="U12" i="26"/>
  <c r="J142" i="26"/>
  <c r="E145" i="26" s="1"/>
  <c r="AD7" i="26" s="1"/>
  <c r="H42" i="26"/>
  <c r="W19" i="26" s="1"/>
  <c r="Y19" i="26" s="1"/>
  <c r="H40" i="26"/>
  <c r="W17" i="26" s="1"/>
  <c r="H39" i="26"/>
  <c r="W16" i="26" s="1"/>
  <c r="AP16" i="26" s="1"/>
  <c r="AV16" i="26" s="1"/>
  <c r="H22" i="23"/>
  <c r="P13" i="29" s="1"/>
  <c r="B14" i="22"/>
  <c r="S14" i="22" s="1"/>
  <c r="B15" i="22"/>
  <c r="S15" i="22" s="1"/>
  <c r="AL15" i="22" s="1"/>
  <c r="AR15" i="22" s="1"/>
  <c r="B19" i="22"/>
  <c r="S19" i="22" s="1"/>
  <c r="B18" i="22"/>
  <c r="S18" i="22" s="1"/>
  <c r="B16" i="22"/>
  <c r="S16" i="22" s="1"/>
  <c r="AL16" i="22" s="1"/>
  <c r="AR16" i="22" s="1"/>
  <c r="T127" i="22"/>
  <c r="B14" i="20"/>
  <c r="S14" i="20" s="1"/>
  <c r="J142" i="20"/>
  <c r="E145" i="20" s="1"/>
  <c r="AD7" i="20" s="1"/>
  <c r="B16" i="20"/>
  <c r="S16" i="20" s="1"/>
  <c r="AL16" i="20" s="1"/>
  <c r="AR16" i="20" s="1"/>
  <c r="B17" i="20"/>
  <c r="S17" i="20" s="1"/>
  <c r="B15" i="20"/>
  <c r="S15" i="20" s="1"/>
  <c r="AL15" i="20" s="1"/>
  <c r="AR15" i="20" s="1"/>
  <c r="B15" i="24"/>
  <c r="S15" i="24" s="1"/>
  <c r="AL15" i="24" s="1"/>
  <c r="AR15" i="24" s="1"/>
  <c r="H41" i="24"/>
  <c r="W18" i="24" s="1"/>
  <c r="H40" i="24"/>
  <c r="W17" i="24" s="1"/>
  <c r="H39" i="24"/>
  <c r="W16" i="24" s="1"/>
  <c r="AP16" i="24" s="1"/>
  <c r="AV16" i="24" s="1"/>
  <c r="H42" i="24"/>
  <c r="W19" i="24" s="1"/>
  <c r="H38" i="24"/>
  <c r="W15" i="24" s="1"/>
  <c r="AP15" i="24" s="1"/>
  <c r="AV15" i="24" s="1"/>
  <c r="H37" i="24"/>
  <c r="B9" i="19"/>
  <c r="S9" i="19" s="1"/>
  <c r="B10" i="19"/>
  <c r="S10" i="19" s="1"/>
  <c r="B11" i="19"/>
  <c r="S11" i="19" s="1"/>
  <c r="H43" i="18"/>
  <c r="B9" i="18"/>
  <c r="S9" i="18" s="1"/>
  <c r="H32" i="18"/>
  <c r="B10" i="18"/>
  <c r="S10" i="18" s="1"/>
  <c r="H33" i="18"/>
  <c r="W10" i="18" s="1"/>
  <c r="B11" i="18"/>
  <c r="S11" i="18" s="1"/>
  <c r="H34" i="18"/>
  <c r="W11" i="18" s="1"/>
  <c r="H38" i="17"/>
  <c r="W15" i="17" s="1"/>
  <c r="AP15" i="17" s="1"/>
  <c r="AV15" i="17" s="1"/>
  <c r="H40" i="17"/>
  <c r="W17" i="17" s="1"/>
  <c r="H37" i="17"/>
  <c r="W14" i="17" s="1"/>
  <c r="H39" i="17"/>
  <c r="W16" i="17" s="1"/>
  <c r="AP16" i="17" s="1"/>
  <c r="AV16" i="17" s="1"/>
  <c r="H41" i="17"/>
  <c r="W18" i="17" s="1"/>
  <c r="E22" i="16"/>
  <c r="H22" i="16"/>
  <c r="P6" i="29" s="1"/>
  <c r="B39" i="31"/>
  <c r="T16" i="31" s="1"/>
  <c r="AM16" i="31" s="1"/>
  <c r="AS16" i="31" s="1"/>
  <c r="B37" i="31"/>
  <c r="T14" i="31" s="1"/>
  <c r="B38" i="31"/>
  <c r="T15" i="31" s="1"/>
  <c r="AM15" i="31" s="1"/>
  <c r="AS15" i="31" s="1"/>
  <c r="B42" i="31"/>
  <c r="T19" i="31" s="1"/>
  <c r="B41" i="31"/>
  <c r="T18" i="31" s="1"/>
  <c r="X21" i="31"/>
  <c r="B9" i="16"/>
  <c r="S9" i="16" s="1"/>
  <c r="B32" i="16"/>
  <c r="B10" i="16"/>
  <c r="S10" i="16" s="1"/>
  <c r="B33" i="16"/>
  <c r="T10" i="16" s="1"/>
  <c r="B11" i="16"/>
  <c r="S11" i="16" s="1"/>
  <c r="B34" i="16"/>
  <c r="T11" i="16" s="1"/>
  <c r="H159" i="26"/>
  <c r="B32" i="26" s="1"/>
  <c r="T9" i="26" s="1"/>
  <c r="E35" i="26"/>
  <c r="D172" i="26"/>
  <c r="F178" i="26" s="1"/>
  <c r="AD18" i="26" s="1"/>
  <c r="H163" i="26"/>
  <c r="B33" i="26" s="1"/>
  <c r="T10" i="26" s="1"/>
  <c r="H166" i="26"/>
  <c r="B34" i="26" s="1"/>
  <c r="T11" i="26" s="1"/>
  <c r="E22" i="26"/>
  <c r="E22" i="22"/>
  <c r="T15" i="21"/>
  <c r="Y8" i="26"/>
  <c r="AE8" i="26" s="1"/>
  <c r="Y24" i="26"/>
  <c r="AI24" i="26" s="1"/>
  <c r="H22" i="22"/>
  <c r="P12" i="29" s="1"/>
  <c r="H163" i="20"/>
  <c r="E10" i="20" s="1"/>
  <c r="V10" i="20" s="1"/>
  <c r="X21" i="22"/>
  <c r="H22" i="26"/>
  <c r="P16" i="29" s="1"/>
  <c r="E43" i="26"/>
  <c r="V23" i="25"/>
  <c r="U23" i="19"/>
  <c r="U21" i="25"/>
  <c r="T12" i="25"/>
  <c r="E42" i="24"/>
  <c r="U19" i="24" s="1"/>
  <c r="E39" i="24"/>
  <c r="U16" i="24" s="1"/>
  <c r="AN16" i="24" s="1"/>
  <c r="AT16" i="24" s="1"/>
  <c r="E38" i="24"/>
  <c r="U15" i="24" s="1"/>
  <c r="AN15" i="24" s="1"/>
  <c r="AT15" i="24" s="1"/>
  <c r="E41" i="24"/>
  <c r="U18" i="24" s="1"/>
  <c r="Y24" i="24"/>
  <c r="AF24" i="24" s="1"/>
  <c r="E37" i="24"/>
  <c r="U14" i="24" s="1"/>
  <c r="E40" i="24"/>
  <c r="U17" i="24" s="1"/>
  <c r="Y8" i="24"/>
  <c r="AA8" i="24" s="1"/>
  <c r="B41" i="24"/>
  <c r="T18" i="24" s="1"/>
  <c r="B38" i="24"/>
  <c r="T15" i="24" s="1"/>
  <c r="AM15" i="24" s="1"/>
  <c r="AS15" i="24" s="1"/>
  <c r="B37" i="24"/>
  <c r="T14" i="24" s="1"/>
  <c r="B42" i="24"/>
  <c r="T19" i="24" s="1"/>
  <c r="B39" i="24"/>
  <c r="T16" i="24" s="1"/>
  <c r="AM16" i="24" s="1"/>
  <c r="AS16" i="24" s="1"/>
  <c r="B40" i="24"/>
  <c r="T17" i="24" s="1"/>
  <c r="Y8" i="23"/>
  <c r="AE8" i="23" s="1"/>
  <c r="V23" i="23"/>
  <c r="E42" i="23"/>
  <c r="U19" i="23" s="1"/>
  <c r="E38" i="23"/>
  <c r="U15" i="23" s="1"/>
  <c r="AN15" i="23" s="1"/>
  <c r="AT15" i="23" s="1"/>
  <c r="E41" i="23"/>
  <c r="U18" i="23" s="1"/>
  <c r="E39" i="23"/>
  <c r="U16" i="23" s="1"/>
  <c r="AN16" i="23" s="1"/>
  <c r="AT16" i="23" s="1"/>
  <c r="E40" i="23"/>
  <c r="U17" i="23" s="1"/>
  <c r="E37" i="23"/>
  <c r="B42" i="23"/>
  <c r="T19" i="23" s="1"/>
  <c r="B37" i="23"/>
  <c r="B41" i="23"/>
  <c r="T18" i="23" s="1"/>
  <c r="B40" i="23"/>
  <c r="T17" i="23" s="1"/>
  <c r="B38" i="23"/>
  <c r="T15" i="23" s="1"/>
  <c r="AM15" i="23" s="1"/>
  <c r="AS15" i="23" s="1"/>
  <c r="B39" i="23"/>
  <c r="T16" i="23" s="1"/>
  <c r="AM16" i="23" s="1"/>
  <c r="AS16" i="23" s="1"/>
  <c r="B39" i="22"/>
  <c r="T16" i="22" s="1"/>
  <c r="AM16" i="22" s="1"/>
  <c r="AS16" i="22" s="1"/>
  <c r="H159" i="22"/>
  <c r="B40" i="22"/>
  <c r="T17" i="22" s="1"/>
  <c r="B42" i="22"/>
  <c r="T19" i="22" s="1"/>
  <c r="H163" i="22"/>
  <c r="J142" i="22"/>
  <c r="E145" i="22" s="1"/>
  <c r="V7" i="22" s="1"/>
  <c r="B41" i="22"/>
  <c r="T18" i="22" s="1"/>
  <c r="B38" i="22"/>
  <c r="T15" i="22" s="1"/>
  <c r="AM15" i="22" s="1"/>
  <c r="AS15" i="22" s="1"/>
  <c r="H166" i="22"/>
  <c r="B37" i="22"/>
  <c r="T14" i="22" s="1"/>
  <c r="D172" i="22"/>
  <c r="F176" i="22" s="1"/>
  <c r="U126" i="22"/>
  <c r="Y8" i="21"/>
  <c r="AE8" i="21" s="1"/>
  <c r="U23" i="21"/>
  <c r="H159" i="20"/>
  <c r="E9" i="20" s="1"/>
  <c r="H166" i="20"/>
  <c r="E11" i="20" s="1"/>
  <c r="V11" i="20" s="1"/>
  <c r="Y24" i="20"/>
  <c r="AF24" i="20" s="1"/>
  <c r="H45" i="20"/>
  <c r="E22" i="19"/>
  <c r="B45" i="19"/>
  <c r="X20" i="18"/>
  <c r="G177" i="18"/>
  <c r="E45" i="18"/>
  <c r="B38" i="17"/>
  <c r="T15" i="17" s="1"/>
  <c r="AM15" i="17" s="1"/>
  <c r="AS15" i="17" s="1"/>
  <c r="B42" i="17"/>
  <c r="T19" i="17" s="1"/>
  <c r="E40" i="17"/>
  <c r="U17" i="17" s="1"/>
  <c r="B37" i="17"/>
  <c r="T14" i="17" s="1"/>
  <c r="B39" i="17"/>
  <c r="T16" i="17" s="1"/>
  <c r="AM16" i="17" s="1"/>
  <c r="AS16" i="17" s="1"/>
  <c r="E38" i="17"/>
  <c r="U15" i="17" s="1"/>
  <c r="AN15" i="17" s="1"/>
  <c r="AT15" i="17" s="1"/>
  <c r="E37" i="17"/>
  <c r="U14" i="17" s="1"/>
  <c r="E42" i="17"/>
  <c r="U19" i="17" s="1"/>
  <c r="E39" i="17"/>
  <c r="U16" i="17" s="1"/>
  <c r="AN16" i="17" s="1"/>
  <c r="AT16" i="17" s="1"/>
  <c r="B40" i="17"/>
  <c r="T17" i="17" s="1"/>
  <c r="B41" i="17"/>
  <c r="T18" i="17" s="1"/>
  <c r="X21" i="16"/>
  <c r="AQ14" i="16"/>
  <c r="E45" i="16"/>
  <c r="E42" i="31"/>
  <c r="U19" i="31" s="1"/>
  <c r="H22" i="31"/>
  <c r="P5" i="29" s="1"/>
  <c r="Y8" i="31"/>
  <c r="AE8" i="31" s="1"/>
  <c r="V23" i="31"/>
  <c r="E39" i="31"/>
  <c r="U16" i="31" s="1"/>
  <c r="AN16" i="31" s="1"/>
  <c r="AT16" i="31" s="1"/>
  <c r="E37" i="31"/>
  <c r="U14" i="31" s="1"/>
  <c r="E40" i="31"/>
  <c r="U17" i="31" s="1"/>
  <c r="E38" i="31"/>
  <c r="U15" i="31" s="1"/>
  <c r="AN15" i="31" s="1"/>
  <c r="AT15" i="31" s="1"/>
  <c r="E41" i="31"/>
  <c r="U18" i="31" s="1"/>
  <c r="AF24" i="28"/>
  <c r="AA24" i="28"/>
  <c r="AK24" i="28"/>
  <c r="AI24" i="28"/>
  <c r="AN16" i="28"/>
  <c r="U20" i="28"/>
  <c r="U21" i="28" s="1"/>
  <c r="W20" i="28"/>
  <c r="AP14" i="28"/>
  <c r="AV14" i="28" s="1"/>
  <c r="Y19" i="28"/>
  <c r="AO14" i="28"/>
  <c r="V20" i="28"/>
  <c r="Y18" i="28"/>
  <c r="B20" i="28"/>
  <c r="S14" i="28"/>
  <c r="B35" i="28"/>
  <c r="T12" i="28"/>
  <c r="B43" i="28"/>
  <c r="T14" i="28"/>
  <c r="Y16" i="28"/>
  <c r="AD16" i="28"/>
  <c r="AL16" i="28"/>
  <c r="AR16" i="28" s="1"/>
  <c r="T127" i="28"/>
  <c r="U125" i="28"/>
  <c r="T23" i="28"/>
  <c r="E22" i="28"/>
  <c r="Y17" i="28"/>
  <c r="Y15" i="28"/>
  <c r="AL15" i="28"/>
  <c r="AR15" i="28" s="1"/>
  <c r="AD15" i="28"/>
  <c r="Y18" i="26"/>
  <c r="S14" i="26"/>
  <c r="T127" i="26"/>
  <c r="U125" i="26"/>
  <c r="AP14" i="26"/>
  <c r="AV14" i="26" s="1"/>
  <c r="AL16" i="26"/>
  <c r="AR16" i="26" s="1"/>
  <c r="AN16" i="26"/>
  <c r="U20" i="26"/>
  <c r="U126" i="26"/>
  <c r="Y8" i="25"/>
  <c r="E12" i="25"/>
  <c r="B18" i="25"/>
  <c r="S18" i="25" s="1"/>
  <c r="E45" i="25"/>
  <c r="B35" i="25"/>
  <c r="T23" i="25"/>
  <c r="B15" i="25"/>
  <c r="S15" i="25" s="1"/>
  <c r="Y24" i="25"/>
  <c r="AO84" i="25"/>
  <c r="AO64" i="25" s="1"/>
  <c r="AO69" i="25"/>
  <c r="AO67" i="25"/>
  <c r="AO71" i="25"/>
  <c r="AO65" i="25"/>
  <c r="AO68" i="25"/>
  <c r="T127" i="25"/>
  <c r="U125" i="25"/>
  <c r="H163" i="25"/>
  <c r="H10" i="25" s="1"/>
  <c r="X10" i="25" s="1"/>
  <c r="D172" i="25"/>
  <c r="H159" i="25"/>
  <c r="H9" i="25" s="1"/>
  <c r="H166" i="25"/>
  <c r="H11" i="25" s="1"/>
  <c r="X11" i="25" s="1"/>
  <c r="J142" i="25"/>
  <c r="E145" i="25" s="1"/>
  <c r="B43" i="25"/>
  <c r="T14" i="25"/>
  <c r="E20" i="25"/>
  <c r="V14" i="25"/>
  <c r="AO69" i="24"/>
  <c r="AO67" i="24"/>
  <c r="AO71" i="24"/>
  <c r="AO68" i="24"/>
  <c r="AO65" i="24"/>
  <c r="H163" i="24"/>
  <c r="H10" i="24" s="1"/>
  <c r="X10" i="24" s="1"/>
  <c r="H159" i="24"/>
  <c r="H9" i="24" s="1"/>
  <c r="X9" i="24" s="1"/>
  <c r="D172" i="24"/>
  <c r="H166" i="24"/>
  <c r="H11" i="24" s="1"/>
  <c r="X11" i="24" s="1"/>
  <c r="J142" i="24"/>
  <c r="E145" i="24" s="1"/>
  <c r="B17" i="24"/>
  <c r="S17" i="24" s="1"/>
  <c r="B19" i="24"/>
  <c r="S19" i="24" s="1"/>
  <c r="B18" i="24"/>
  <c r="S18" i="24" s="1"/>
  <c r="B16" i="24"/>
  <c r="S16" i="24" s="1"/>
  <c r="AO84" i="24"/>
  <c r="AO64" i="24" s="1"/>
  <c r="U126" i="24"/>
  <c r="T128" i="24"/>
  <c r="U193" i="24"/>
  <c r="AO14" i="24"/>
  <c r="V20" i="24"/>
  <c r="B14" i="24"/>
  <c r="T127" i="24"/>
  <c r="U125" i="24"/>
  <c r="E22" i="24"/>
  <c r="H163" i="23"/>
  <c r="D172" i="23"/>
  <c r="J142" i="23"/>
  <c r="E145" i="23" s="1"/>
  <c r="H159" i="23"/>
  <c r="H166" i="23"/>
  <c r="B17" i="23"/>
  <c r="S17" i="23" s="1"/>
  <c r="B18" i="23"/>
  <c r="S18" i="23" s="1"/>
  <c r="B19" i="23"/>
  <c r="S19" i="23" s="1"/>
  <c r="AO69" i="23"/>
  <c r="AO67" i="23"/>
  <c r="AO68" i="23"/>
  <c r="AO65" i="23"/>
  <c r="AO71" i="23"/>
  <c r="X21" i="23"/>
  <c r="B14" i="23"/>
  <c r="B16" i="23"/>
  <c r="S16" i="23" s="1"/>
  <c r="E12" i="23"/>
  <c r="E20" i="23"/>
  <c r="V14" i="23"/>
  <c r="B15" i="23"/>
  <c r="S15" i="23" s="1"/>
  <c r="W14" i="23"/>
  <c r="AF24" i="22"/>
  <c r="AF8" i="22" s="1"/>
  <c r="AK24" i="22"/>
  <c r="AI24" i="22"/>
  <c r="AA24" i="22"/>
  <c r="AE8" i="22"/>
  <c r="AA8" i="22"/>
  <c r="E45" i="22"/>
  <c r="AO69" i="22"/>
  <c r="AO67" i="22"/>
  <c r="AO68" i="22"/>
  <c r="AO65" i="22"/>
  <c r="AO71" i="22"/>
  <c r="U20" i="22"/>
  <c r="U21" i="22" s="1"/>
  <c r="AN14" i="22"/>
  <c r="AL16" i="21"/>
  <c r="AR16" i="21" s="1"/>
  <c r="U126" i="21"/>
  <c r="T128" i="21"/>
  <c r="S14" i="21"/>
  <c r="B20" i="21"/>
  <c r="AO69" i="21"/>
  <c r="AO67" i="21"/>
  <c r="AO71" i="21"/>
  <c r="AO65" i="21"/>
  <c r="AO68" i="21"/>
  <c r="U12" i="21"/>
  <c r="E43" i="21"/>
  <c r="U14" i="21"/>
  <c r="E35" i="21"/>
  <c r="AL15" i="21"/>
  <c r="AR15" i="21" s="1"/>
  <c r="T127" i="20"/>
  <c r="U125" i="20"/>
  <c r="AO69" i="20"/>
  <c r="AO67" i="20"/>
  <c r="AO68" i="20"/>
  <c r="AO65" i="20"/>
  <c r="AO71" i="20"/>
  <c r="W20" i="20"/>
  <c r="W21" i="20" s="1"/>
  <c r="AP14" i="20"/>
  <c r="U126" i="20"/>
  <c r="T128" i="20"/>
  <c r="Y8" i="20"/>
  <c r="AL15" i="19"/>
  <c r="AR15" i="19" s="1"/>
  <c r="AL16" i="19"/>
  <c r="AR16" i="19" s="1"/>
  <c r="E43" i="19"/>
  <c r="U14" i="19"/>
  <c r="U126" i="19"/>
  <c r="T128" i="19"/>
  <c r="B20" i="19"/>
  <c r="S14" i="19"/>
  <c r="U12" i="19"/>
  <c r="E35" i="19"/>
  <c r="Y18" i="19"/>
  <c r="AF24" i="18"/>
  <c r="AF8" i="18" s="1"/>
  <c r="AA24" i="18"/>
  <c r="AK24" i="18"/>
  <c r="AI24" i="18"/>
  <c r="AD18" i="18"/>
  <c r="Y18" i="18"/>
  <c r="Y16" i="18"/>
  <c r="AD16" i="18"/>
  <c r="AL16" i="18"/>
  <c r="AR16" i="18" s="1"/>
  <c r="Y19" i="18"/>
  <c r="B43" i="18"/>
  <c r="T14" i="18"/>
  <c r="T127" i="18"/>
  <c r="U125" i="18"/>
  <c r="U126" i="18"/>
  <c r="AP14" i="18"/>
  <c r="AV14" i="18" s="1"/>
  <c r="W20" i="18"/>
  <c r="Y17" i="18"/>
  <c r="H172" i="18"/>
  <c r="G176" i="18"/>
  <c r="G179" i="18" s="1"/>
  <c r="F177" i="18"/>
  <c r="F176" i="18"/>
  <c r="AA8" i="18"/>
  <c r="AE8" i="18"/>
  <c r="G145" i="18"/>
  <c r="G147" i="18" s="1"/>
  <c r="V7" i="18"/>
  <c r="AO7" i="18"/>
  <c r="AU7" i="18" s="1"/>
  <c r="AN16" i="18"/>
  <c r="U20" i="18"/>
  <c r="U21" i="18" s="1"/>
  <c r="S14" i="18"/>
  <c r="B20" i="18"/>
  <c r="AD7" i="18"/>
  <c r="AL15" i="18"/>
  <c r="AR15" i="18" s="1"/>
  <c r="Y15" i="18"/>
  <c r="AD15" i="18"/>
  <c r="B14" i="17"/>
  <c r="B15" i="17"/>
  <c r="S15" i="17" s="1"/>
  <c r="Y8" i="17"/>
  <c r="H163" i="17"/>
  <c r="D172" i="17"/>
  <c r="H159" i="17"/>
  <c r="H166" i="17"/>
  <c r="J142" i="17"/>
  <c r="E145" i="17" s="1"/>
  <c r="U126" i="17"/>
  <c r="T128" i="17"/>
  <c r="Y24" i="17"/>
  <c r="AO69" i="17"/>
  <c r="AO67" i="17"/>
  <c r="AO71" i="17"/>
  <c r="AO65" i="17"/>
  <c r="AO68" i="17"/>
  <c r="B17" i="17"/>
  <c r="S17" i="17" s="1"/>
  <c r="B18" i="17"/>
  <c r="S18" i="17" s="1"/>
  <c r="T127" i="17"/>
  <c r="U125" i="17"/>
  <c r="Y15" i="16"/>
  <c r="AL15" i="16"/>
  <c r="AR15" i="16" s="1"/>
  <c r="AD15" i="16"/>
  <c r="AF24" i="16"/>
  <c r="AF8" i="16" s="1"/>
  <c r="AA24" i="16"/>
  <c r="AI24" i="16"/>
  <c r="AK24" i="16"/>
  <c r="B20" i="16"/>
  <c r="S14" i="16"/>
  <c r="AN16" i="16"/>
  <c r="U20" i="16"/>
  <c r="U21" i="16" s="1"/>
  <c r="G176" i="16"/>
  <c r="AL16" i="16"/>
  <c r="AR16" i="16" s="1"/>
  <c r="AO84" i="16"/>
  <c r="AO64" i="16" s="1"/>
  <c r="AL16" i="31"/>
  <c r="AR16" i="31" s="1"/>
  <c r="E20" i="31"/>
  <c r="V14" i="31"/>
  <c r="AO69" i="31"/>
  <c r="AO67" i="31"/>
  <c r="AO71" i="31"/>
  <c r="AO65" i="31"/>
  <c r="AO68" i="31"/>
  <c r="W12" i="31"/>
  <c r="B15" i="31"/>
  <c r="S15" i="31" s="1"/>
  <c r="B14" i="31"/>
  <c r="B19" i="31"/>
  <c r="S19" i="31" s="1"/>
  <c r="Y24" i="31"/>
  <c r="E12" i="31"/>
  <c r="U126" i="31"/>
  <c r="T128" i="31"/>
  <c r="T127" i="31"/>
  <c r="U125" i="31"/>
  <c r="H43" i="31"/>
  <c r="W14" i="31"/>
  <c r="H163" i="31"/>
  <c r="B33" i="31" s="1"/>
  <c r="T10" i="31" s="1"/>
  <c r="D172" i="31"/>
  <c r="H159" i="31"/>
  <c r="B32" i="31" s="1"/>
  <c r="T9" i="31" s="1"/>
  <c r="H166" i="31"/>
  <c r="B34" i="31" s="1"/>
  <c r="T11" i="31" s="1"/>
  <c r="J142" i="31"/>
  <c r="E145" i="31" s="1"/>
  <c r="H35" i="31"/>
  <c r="B17" i="31"/>
  <c r="S17" i="31" s="1"/>
  <c r="B18" i="31"/>
  <c r="S18" i="31" s="1"/>
  <c r="H19" i="30"/>
  <c r="X19" i="30" s="1"/>
  <c r="H39" i="30"/>
  <c r="W16" i="30" s="1"/>
  <c r="AP16" i="30" s="1"/>
  <c r="AV16" i="30" s="1"/>
  <c r="H38" i="30"/>
  <c r="W15" i="30" s="1"/>
  <c r="AP15" i="30" s="1"/>
  <c r="AV15" i="30" s="1"/>
  <c r="H40" i="30"/>
  <c r="W17" i="30" s="1"/>
  <c r="H37" i="30"/>
  <c r="H41" i="30"/>
  <c r="W18" i="30" s="1"/>
  <c r="B19" i="30"/>
  <c r="S19" i="30" s="1"/>
  <c r="H17" i="30"/>
  <c r="X17" i="30" s="1"/>
  <c r="H14" i="30"/>
  <c r="H16" i="30"/>
  <c r="X16" i="30" s="1"/>
  <c r="AQ16" i="30" s="1"/>
  <c r="AW16" i="30" s="1"/>
  <c r="H15" i="30"/>
  <c r="X15" i="30" s="1"/>
  <c r="AQ15" i="30" s="1"/>
  <c r="AW15" i="30" s="1"/>
  <c r="H18" i="30"/>
  <c r="X18" i="30" s="1"/>
  <c r="B42" i="30"/>
  <c r="T19" i="30" s="1"/>
  <c r="B15" i="30"/>
  <c r="S15" i="30" s="1"/>
  <c r="AL15" i="30" s="1"/>
  <c r="AR15" i="30" s="1"/>
  <c r="B16" i="30"/>
  <c r="S16" i="30" s="1"/>
  <c r="AL16" i="30" s="1"/>
  <c r="AR16" i="30" s="1"/>
  <c r="B17" i="30"/>
  <c r="S17" i="30" s="1"/>
  <c r="B14" i="30"/>
  <c r="B18" i="30"/>
  <c r="S18" i="30" s="1"/>
  <c r="Y8" i="30"/>
  <c r="AE8" i="30" s="1"/>
  <c r="Y24" i="30"/>
  <c r="AI24" i="30" s="1"/>
  <c r="U23" i="30"/>
  <c r="E22" i="30"/>
  <c r="B39" i="30"/>
  <c r="T16" i="30" s="1"/>
  <c r="AM16" i="30" s="1"/>
  <c r="AS16" i="30" s="1"/>
  <c r="U12" i="30"/>
  <c r="B37" i="30"/>
  <c r="T14" i="30" s="1"/>
  <c r="U126" i="30"/>
  <c r="T128" i="30"/>
  <c r="E43" i="30"/>
  <c r="U14" i="30"/>
  <c r="H163" i="30"/>
  <c r="H33" i="30" s="1"/>
  <c r="W10" i="30" s="1"/>
  <c r="D172" i="30"/>
  <c r="H159" i="30"/>
  <c r="H32" i="30" s="1"/>
  <c r="H166" i="30"/>
  <c r="H34" i="30" s="1"/>
  <c r="W11" i="30" s="1"/>
  <c r="J142" i="30"/>
  <c r="E145" i="30" s="1"/>
  <c r="B41" i="30"/>
  <c r="T18" i="30" s="1"/>
  <c r="B40" i="30"/>
  <c r="T17" i="30" s="1"/>
  <c r="T127" i="30"/>
  <c r="U125" i="30"/>
  <c r="B38" i="30"/>
  <c r="T15" i="30" s="1"/>
  <c r="E35" i="30"/>
  <c r="AO71" i="30"/>
  <c r="AO69" i="30"/>
  <c r="AO67" i="30"/>
  <c r="AO68" i="30"/>
  <c r="AO65" i="30"/>
  <c r="T20" i="16" l="1"/>
  <c r="H177" i="18"/>
  <c r="Y19" i="25"/>
  <c r="AA19" i="25" s="1"/>
  <c r="V14" i="17"/>
  <c r="E20" i="17"/>
  <c r="AO7" i="20"/>
  <c r="AU7" i="20" s="1"/>
  <c r="V9" i="20"/>
  <c r="E12" i="20"/>
  <c r="H9" i="21"/>
  <c r="E9" i="21"/>
  <c r="Y17" i="21"/>
  <c r="AA17" i="21" s="1"/>
  <c r="V9" i="18"/>
  <c r="V12" i="18" s="1"/>
  <c r="V21" i="18" s="1"/>
  <c r="V22" i="18" s="1"/>
  <c r="V23" i="18" s="1"/>
  <c r="E12" i="18"/>
  <c r="E22" i="18" s="1"/>
  <c r="O8" i="29" s="1"/>
  <c r="H34" i="21"/>
  <c r="W11" i="21" s="1"/>
  <c r="E11" i="21"/>
  <c r="V11" i="21" s="1"/>
  <c r="H10" i="17"/>
  <c r="X10" i="17" s="1"/>
  <c r="E10" i="17"/>
  <c r="V10" i="17" s="1"/>
  <c r="AE8" i="19"/>
  <c r="H11" i="17"/>
  <c r="X11" i="17" s="1"/>
  <c r="E11" i="17"/>
  <c r="V11" i="17" s="1"/>
  <c r="H9" i="17"/>
  <c r="E9" i="17"/>
  <c r="Y15" i="19"/>
  <c r="AA15" i="19" s="1"/>
  <c r="V14" i="21"/>
  <c r="E20" i="21"/>
  <c r="V14" i="20"/>
  <c r="E20" i="20"/>
  <c r="G176" i="19"/>
  <c r="G179" i="19" s="1"/>
  <c r="X12" i="18"/>
  <c r="AD7" i="16"/>
  <c r="AD15" i="19"/>
  <c r="AA8" i="26"/>
  <c r="T12" i="18"/>
  <c r="X9" i="25"/>
  <c r="X12" i="25" s="1"/>
  <c r="H12" i="25"/>
  <c r="H20" i="25"/>
  <c r="X14" i="25"/>
  <c r="X14" i="17"/>
  <c r="H20" i="17"/>
  <c r="G176" i="21"/>
  <c r="G176" i="28"/>
  <c r="G179" i="28" s="1"/>
  <c r="X21" i="18"/>
  <c r="X22" i="18" s="1"/>
  <c r="X23" i="18" s="1"/>
  <c r="H12" i="18"/>
  <c r="H22" i="18" s="1"/>
  <c r="P8" i="29" s="1"/>
  <c r="B35" i="18"/>
  <c r="B45" i="18" s="1"/>
  <c r="V7" i="16"/>
  <c r="Y7" i="16" s="1"/>
  <c r="X9" i="17"/>
  <c r="S12" i="19"/>
  <c r="Y17" i="20"/>
  <c r="AA17" i="20" s="1"/>
  <c r="AD16" i="25"/>
  <c r="F177" i="16"/>
  <c r="AD19" i="16" s="1"/>
  <c r="AE19" i="16" s="1"/>
  <c r="G178" i="16"/>
  <c r="H178" i="16" s="1"/>
  <c r="F176" i="16"/>
  <c r="AD17" i="16" s="1"/>
  <c r="AE17" i="16" s="1"/>
  <c r="F176" i="19"/>
  <c r="F177" i="20"/>
  <c r="AD19" i="20" s="1"/>
  <c r="H172" i="21"/>
  <c r="G178" i="19"/>
  <c r="G178" i="20"/>
  <c r="G178" i="21"/>
  <c r="AO7" i="16"/>
  <c r="AU7" i="16" s="1"/>
  <c r="H172" i="19"/>
  <c r="F176" i="20"/>
  <c r="AD17" i="20" s="1"/>
  <c r="F178" i="21"/>
  <c r="F177" i="21"/>
  <c r="H177" i="21" s="1"/>
  <c r="F178" i="19"/>
  <c r="AD18" i="19" s="1"/>
  <c r="AE18" i="19" s="1"/>
  <c r="F178" i="20"/>
  <c r="H178" i="20" s="1"/>
  <c r="G177" i="28"/>
  <c r="Y19" i="21"/>
  <c r="AA19" i="21" s="1"/>
  <c r="H172" i="16"/>
  <c r="G177" i="16"/>
  <c r="Y7" i="19"/>
  <c r="F177" i="19"/>
  <c r="H177" i="19" s="1"/>
  <c r="AO7" i="19"/>
  <c r="AU7" i="19" s="1"/>
  <c r="F176" i="21"/>
  <c r="AK24" i="21"/>
  <c r="AK24" i="23"/>
  <c r="V7" i="28"/>
  <c r="V12" i="28" s="1"/>
  <c r="V21" i="28" s="1"/>
  <c r="Y18" i="20"/>
  <c r="AA18" i="20" s="1"/>
  <c r="Y17" i="25"/>
  <c r="AA17" i="25" s="1"/>
  <c r="AO7" i="21"/>
  <c r="AU7" i="21" s="1"/>
  <c r="Y16" i="16"/>
  <c r="AF16" i="16" s="1"/>
  <c r="AA24" i="19"/>
  <c r="G145" i="26"/>
  <c r="G147" i="26" s="1"/>
  <c r="G145" i="21"/>
  <c r="G147" i="21" s="1"/>
  <c r="AD15" i="26"/>
  <c r="AE15" i="26" s="1"/>
  <c r="Y18" i="21"/>
  <c r="AA18" i="21" s="1"/>
  <c r="Y16" i="19"/>
  <c r="AA16" i="19" s="1"/>
  <c r="AF24" i="19"/>
  <c r="AF8" i="19" s="1"/>
  <c r="Y16" i="25"/>
  <c r="G145" i="19"/>
  <c r="G147" i="19" s="1"/>
  <c r="AO7" i="28"/>
  <c r="AU7" i="28" s="1"/>
  <c r="AI24" i="19"/>
  <c r="V7" i="21"/>
  <c r="AF24" i="21"/>
  <c r="AF8" i="21" s="1"/>
  <c r="G145" i="28"/>
  <c r="G147" i="28" s="1"/>
  <c r="H172" i="28"/>
  <c r="AI24" i="21"/>
  <c r="F177" i="28"/>
  <c r="H177" i="28" s="1"/>
  <c r="AD7" i="19"/>
  <c r="AE7" i="19" s="1"/>
  <c r="B43" i="16"/>
  <c r="AD16" i="16"/>
  <c r="AE16" i="16" s="1"/>
  <c r="AD11" i="19"/>
  <c r="Y16" i="20"/>
  <c r="Y17" i="26"/>
  <c r="AA17" i="26" s="1"/>
  <c r="S12" i="28"/>
  <c r="Y10" i="28"/>
  <c r="AF10" i="28" s="1"/>
  <c r="AD16" i="19"/>
  <c r="H43" i="19"/>
  <c r="W20" i="19"/>
  <c r="E43" i="20"/>
  <c r="AP14" i="19"/>
  <c r="AV14" i="19" s="1"/>
  <c r="B43" i="20"/>
  <c r="G176" i="20"/>
  <c r="H43" i="21"/>
  <c r="AL16" i="25"/>
  <c r="AR16" i="25" s="1"/>
  <c r="Y19" i="20"/>
  <c r="AF19" i="20" s="1"/>
  <c r="G178" i="28"/>
  <c r="F178" i="28"/>
  <c r="G177" i="20"/>
  <c r="H177" i="20" s="1"/>
  <c r="H43" i="25"/>
  <c r="T12" i="26"/>
  <c r="AD10" i="18"/>
  <c r="AD10" i="19"/>
  <c r="Y11" i="28"/>
  <c r="AF11" i="28" s="1"/>
  <c r="X12" i="24"/>
  <c r="H12" i="24"/>
  <c r="AA24" i="23"/>
  <c r="H43" i="23"/>
  <c r="Y17" i="22"/>
  <c r="AF17" i="22" s="1"/>
  <c r="W14" i="22"/>
  <c r="Y14" i="22" s="1"/>
  <c r="H43" i="22"/>
  <c r="B11" i="22"/>
  <c r="S11" i="22" s="1"/>
  <c r="H34" i="22"/>
  <c r="W11" i="22" s="1"/>
  <c r="B10" i="22"/>
  <c r="S10" i="22" s="1"/>
  <c r="H33" i="22"/>
  <c r="W10" i="22" s="1"/>
  <c r="B9" i="22"/>
  <c r="S9" i="22" s="1"/>
  <c r="H32" i="22"/>
  <c r="H10" i="21"/>
  <c r="X10" i="21" s="1"/>
  <c r="H33" i="21"/>
  <c r="W10" i="21" s="1"/>
  <c r="B43" i="21"/>
  <c r="Y11" i="19"/>
  <c r="Y10" i="18"/>
  <c r="AF10" i="18" s="1"/>
  <c r="AD11" i="16"/>
  <c r="W20" i="16"/>
  <c r="W21" i="16" s="1"/>
  <c r="W22" i="16" s="1"/>
  <c r="W23" i="16" s="1"/>
  <c r="H43" i="16"/>
  <c r="H45" i="16" s="1"/>
  <c r="H20" i="24"/>
  <c r="X9" i="21"/>
  <c r="Y16" i="21"/>
  <c r="AD16" i="21"/>
  <c r="X14" i="21"/>
  <c r="H20" i="21"/>
  <c r="B11" i="21"/>
  <c r="S11" i="21" s="1"/>
  <c r="H11" i="21"/>
  <c r="X11" i="21" s="1"/>
  <c r="E33" i="20"/>
  <c r="U10" i="20" s="1"/>
  <c r="H10" i="20"/>
  <c r="X10" i="20" s="1"/>
  <c r="X14" i="20"/>
  <c r="H20" i="20"/>
  <c r="E34" i="20"/>
  <c r="U11" i="20" s="1"/>
  <c r="H11" i="20"/>
  <c r="X11" i="20" s="1"/>
  <c r="E32" i="20"/>
  <c r="H9" i="20"/>
  <c r="B20" i="20"/>
  <c r="G145" i="20"/>
  <c r="G147" i="20" s="1"/>
  <c r="AD16" i="20"/>
  <c r="V7" i="20"/>
  <c r="Y10" i="19"/>
  <c r="AI24" i="23"/>
  <c r="AO7" i="26"/>
  <c r="AU7" i="26" s="1"/>
  <c r="B20" i="26"/>
  <c r="AA24" i="26"/>
  <c r="AD11" i="28"/>
  <c r="AA8" i="28"/>
  <c r="AF8" i="28"/>
  <c r="B43" i="26"/>
  <c r="T12" i="21"/>
  <c r="AL15" i="26"/>
  <c r="AR15" i="26" s="1"/>
  <c r="B35" i="26"/>
  <c r="AK24" i="26"/>
  <c r="AD10" i="28"/>
  <c r="Y18" i="22"/>
  <c r="AA18" i="22" s="1"/>
  <c r="Z191" i="22" s="1"/>
  <c r="V7" i="26"/>
  <c r="V12" i="26" s="1"/>
  <c r="V21" i="26" s="1"/>
  <c r="AF24" i="26"/>
  <c r="AF15" i="26" s="1"/>
  <c r="B12" i="28"/>
  <c r="B22" i="28" s="1"/>
  <c r="L17" i="29" s="1"/>
  <c r="AD10" i="16"/>
  <c r="B35" i="21"/>
  <c r="T12" i="31"/>
  <c r="B43" i="31"/>
  <c r="Y16" i="26"/>
  <c r="AD16" i="26"/>
  <c r="G177" i="26"/>
  <c r="T14" i="26"/>
  <c r="T20" i="26" s="1"/>
  <c r="H43" i="26"/>
  <c r="U21" i="26"/>
  <c r="W20" i="26"/>
  <c r="W9" i="28"/>
  <c r="W12" i="28" s="1"/>
  <c r="W21" i="28" s="1"/>
  <c r="W22" i="28" s="1"/>
  <c r="W23" i="28" s="1"/>
  <c r="H35" i="28"/>
  <c r="H45" i="28" s="1"/>
  <c r="G176" i="26"/>
  <c r="F177" i="26"/>
  <c r="AD19" i="26" s="1"/>
  <c r="AE19" i="26" s="1"/>
  <c r="F176" i="26"/>
  <c r="AD17" i="26" s="1"/>
  <c r="H172" i="26"/>
  <c r="G178" i="26"/>
  <c r="H178" i="26" s="1"/>
  <c r="B11" i="26"/>
  <c r="S11" i="26" s="1"/>
  <c r="H34" i="26"/>
  <c r="W11" i="26" s="1"/>
  <c r="B9" i="26"/>
  <c r="H32" i="26"/>
  <c r="B11" i="25"/>
  <c r="S11" i="25" s="1"/>
  <c r="H34" i="25"/>
  <c r="W11" i="25" s="1"/>
  <c r="B10" i="26"/>
  <c r="S10" i="26" s="1"/>
  <c r="H33" i="26"/>
  <c r="W10" i="26" s="1"/>
  <c r="B10" i="25"/>
  <c r="S10" i="25" s="1"/>
  <c r="H33" i="25"/>
  <c r="W10" i="25" s="1"/>
  <c r="B9" i="25"/>
  <c r="S9" i="25" s="1"/>
  <c r="H32" i="25"/>
  <c r="E34" i="23"/>
  <c r="U11" i="23" s="1"/>
  <c r="H34" i="23"/>
  <c r="W11" i="23" s="1"/>
  <c r="E32" i="23"/>
  <c r="U9" i="23" s="1"/>
  <c r="H32" i="23"/>
  <c r="E33" i="23"/>
  <c r="U10" i="23" s="1"/>
  <c r="H33" i="23"/>
  <c r="W10" i="23" s="1"/>
  <c r="AA8" i="23"/>
  <c r="Y19" i="22"/>
  <c r="AA19" i="22" s="1"/>
  <c r="Z179" i="22" s="1"/>
  <c r="AD16" i="22"/>
  <c r="AD7" i="22"/>
  <c r="B34" i="22"/>
  <c r="T11" i="22" s="1"/>
  <c r="B20" i="22"/>
  <c r="B32" i="22"/>
  <c r="T9" i="22" s="1"/>
  <c r="B11" i="20"/>
  <c r="S11" i="20" s="1"/>
  <c r="B34" i="20"/>
  <c r="T11" i="20" s="1"/>
  <c r="AK24" i="20"/>
  <c r="Y15" i="20"/>
  <c r="AA15" i="20" s="1"/>
  <c r="B9" i="20"/>
  <c r="S9" i="20" s="1"/>
  <c r="B32" i="20"/>
  <c r="B10" i="20"/>
  <c r="S10" i="20" s="1"/>
  <c r="B33" i="20"/>
  <c r="T10" i="20" s="1"/>
  <c r="S12" i="18"/>
  <c r="AD15" i="20"/>
  <c r="E34" i="24"/>
  <c r="U11" i="24" s="1"/>
  <c r="H34" i="24"/>
  <c r="W11" i="24" s="1"/>
  <c r="H43" i="24"/>
  <c r="W14" i="24"/>
  <c r="E32" i="24"/>
  <c r="U9" i="24" s="1"/>
  <c r="H32" i="24"/>
  <c r="E33" i="24"/>
  <c r="U10" i="24" s="1"/>
  <c r="H33" i="24"/>
  <c r="W10" i="24" s="1"/>
  <c r="AA8" i="21"/>
  <c r="B12" i="19"/>
  <c r="B22" i="19" s="1"/>
  <c r="L9" i="29" s="1"/>
  <c r="W9" i="19"/>
  <c r="H35" i="19"/>
  <c r="B12" i="18"/>
  <c r="B22" i="18" s="1"/>
  <c r="L8" i="29" s="1"/>
  <c r="Y11" i="18"/>
  <c r="AF11" i="18" s="1"/>
  <c r="AD11" i="18"/>
  <c r="W9" i="18"/>
  <c r="H35" i="18"/>
  <c r="H45" i="18" s="1"/>
  <c r="E33" i="17"/>
  <c r="U10" i="17" s="1"/>
  <c r="H33" i="17"/>
  <c r="W10" i="17" s="1"/>
  <c r="H43" i="17"/>
  <c r="E34" i="17"/>
  <c r="U11" i="17" s="1"/>
  <c r="H34" i="17"/>
  <c r="W11" i="17" s="1"/>
  <c r="E32" i="17"/>
  <c r="U9" i="17" s="1"/>
  <c r="H32" i="17"/>
  <c r="Y10" i="16"/>
  <c r="AF10" i="16" s="1"/>
  <c r="Y11" i="16"/>
  <c r="AF11" i="16" s="1"/>
  <c r="B35" i="31"/>
  <c r="Y16" i="31"/>
  <c r="AA16" i="31" s="1"/>
  <c r="S12" i="16"/>
  <c r="H177" i="16"/>
  <c r="T9" i="16"/>
  <c r="T12" i="16" s="1"/>
  <c r="T21" i="16" s="1"/>
  <c r="T22" i="16" s="1"/>
  <c r="T23" i="16" s="1"/>
  <c r="B35" i="16"/>
  <c r="B12" i="16"/>
  <c r="B22" i="16" s="1"/>
  <c r="L6" i="29" s="1"/>
  <c r="E45" i="26"/>
  <c r="AA24" i="24"/>
  <c r="AM15" i="21"/>
  <c r="AS15" i="21" s="1"/>
  <c r="T20" i="21"/>
  <c r="F177" i="22"/>
  <c r="AD15" i="21"/>
  <c r="Y15" i="21"/>
  <c r="AA8" i="31"/>
  <c r="Y16" i="22"/>
  <c r="AF16" i="22" s="1"/>
  <c r="AF8" i="23"/>
  <c r="AI24" i="24"/>
  <c r="Y19" i="17"/>
  <c r="AA19" i="17" s="1"/>
  <c r="AK24" i="24"/>
  <c r="AE8" i="24"/>
  <c r="AD15" i="24"/>
  <c r="Y15" i="24"/>
  <c r="AF15" i="24" s="1"/>
  <c r="E43" i="24"/>
  <c r="AF8" i="24"/>
  <c r="B11" i="24"/>
  <c r="S11" i="24" s="1"/>
  <c r="B34" i="24"/>
  <c r="T11" i="24" s="1"/>
  <c r="B43" i="24"/>
  <c r="B9" i="24"/>
  <c r="S9" i="24" s="1"/>
  <c r="B32" i="24"/>
  <c r="B10" i="24"/>
  <c r="S10" i="24" s="1"/>
  <c r="B33" i="24"/>
  <c r="T10" i="24" s="1"/>
  <c r="E43" i="23"/>
  <c r="U14" i="23"/>
  <c r="B10" i="23"/>
  <c r="S10" i="23" s="1"/>
  <c r="B33" i="23"/>
  <c r="T10" i="23" s="1"/>
  <c r="B9" i="23"/>
  <c r="S9" i="23" s="1"/>
  <c r="B32" i="23"/>
  <c r="T14" i="23"/>
  <c r="B43" i="23"/>
  <c r="B11" i="23"/>
  <c r="S11" i="23" s="1"/>
  <c r="B34" i="23"/>
  <c r="T11" i="23" s="1"/>
  <c r="E22" i="23"/>
  <c r="AO7" i="22"/>
  <c r="AU7" i="22" s="1"/>
  <c r="G145" i="22"/>
  <c r="G147" i="22" s="1"/>
  <c r="B43" i="22"/>
  <c r="AD17" i="22"/>
  <c r="B33" i="22"/>
  <c r="T10" i="22" s="1"/>
  <c r="AD15" i="22"/>
  <c r="Y15" i="22"/>
  <c r="AF15" i="22" s="1"/>
  <c r="G177" i="22"/>
  <c r="G178" i="22"/>
  <c r="F178" i="22"/>
  <c r="AD18" i="22" s="1"/>
  <c r="H172" i="22"/>
  <c r="G176" i="22"/>
  <c r="E45" i="21"/>
  <c r="AI24" i="20"/>
  <c r="AA24" i="20"/>
  <c r="Y16" i="17"/>
  <c r="AA16" i="17" s="1"/>
  <c r="E43" i="17"/>
  <c r="AD16" i="17"/>
  <c r="B43" i="17"/>
  <c r="B11" i="17"/>
  <c r="S11" i="17" s="1"/>
  <c r="B34" i="17"/>
  <c r="T11" i="17" s="1"/>
  <c r="B9" i="17"/>
  <c r="S9" i="17" s="1"/>
  <c r="B32" i="17"/>
  <c r="B10" i="17"/>
  <c r="S10" i="17" s="1"/>
  <c r="B33" i="17"/>
  <c r="T10" i="17" s="1"/>
  <c r="AD16" i="31"/>
  <c r="B9" i="31"/>
  <c r="S9" i="31" s="1"/>
  <c r="E32" i="31"/>
  <c r="E43" i="31"/>
  <c r="B10" i="31"/>
  <c r="S10" i="31" s="1"/>
  <c r="E33" i="31"/>
  <c r="U10" i="31" s="1"/>
  <c r="B11" i="31"/>
  <c r="S11" i="31" s="1"/>
  <c r="E34" i="31"/>
  <c r="U11" i="31" s="1"/>
  <c r="H45" i="31"/>
  <c r="Q5" i="29" s="1"/>
  <c r="AF15" i="28"/>
  <c r="AE15" i="28"/>
  <c r="AA15" i="28"/>
  <c r="AF16" i="28"/>
  <c r="AE16" i="28"/>
  <c r="AA16" i="28"/>
  <c r="F179" i="28"/>
  <c r="H176" i="28"/>
  <c r="H179" i="28" s="1"/>
  <c r="T20" i="28"/>
  <c r="T21" i="28" s="1"/>
  <c r="AM14" i="28"/>
  <c r="AS14" i="28" s="1"/>
  <c r="B45" i="28"/>
  <c r="AF19" i="28"/>
  <c r="AA19" i="28"/>
  <c r="AD17" i="28"/>
  <c r="AE17" i="28" s="1"/>
  <c r="S20" i="28"/>
  <c r="Y14" i="28"/>
  <c r="AL14" i="28"/>
  <c r="AR14" i="28" s="1"/>
  <c r="AD14" i="28"/>
  <c r="AF18" i="28"/>
  <c r="AA18" i="28"/>
  <c r="AF17" i="28"/>
  <c r="AA17" i="28"/>
  <c r="AA15" i="26"/>
  <c r="AL14" i="26"/>
  <c r="AR14" i="26" s="1"/>
  <c r="S20" i="26"/>
  <c r="AA18" i="26"/>
  <c r="AE18" i="26"/>
  <c r="AA19" i="26"/>
  <c r="V20" i="25"/>
  <c r="AO14" i="25"/>
  <c r="Y15" i="25"/>
  <c r="AD15" i="25"/>
  <c r="AL15" i="25"/>
  <c r="AR15" i="25" s="1"/>
  <c r="G145" i="25"/>
  <c r="G147" i="25" s="1"/>
  <c r="AO7" i="25"/>
  <c r="AU7" i="25" s="1"/>
  <c r="AD7" i="25"/>
  <c r="V7" i="25"/>
  <c r="B20" i="25"/>
  <c r="Y18" i="25"/>
  <c r="AE8" i="25"/>
  <c r="AA8" i="25"/>
  <c r="AF24" i="25"/>
  <c r="AF8" i="25" s="1"/>
  <c r="AI24" i="25"/>
  <c r="AA24" i="25"/>
  <c r="AK24" i="25"/>
  <c r="H172" i="25"/>
  <c r="F177" i="25"/>
  <c r="G176" i="25"/>
  <c r="F176" i="25"/>
  <c r="G177" i="25"/>
  <c r="G178" i="25"/>
  <c r="F178" i="25"/>
  <c r="AM14" i="25"/>
  <c r="AS14" i="25" s="1"/>
  <c r="T20" i="25"/>
  <c r="T21" i="25" s="1"/>
  <c r="W20" i="25"/>
  <c r="AP14" i="25"/>
  <c r="AV14" i="25" s="1"/>
  <c r="AL14" i="25"/>
  <c r="AR14" i="25" s="1"/>
  <c r="S20" i="25"/>
  <c r="B45" i="25"/>
  <c r="E22" i="25"/>
  <c r="Y19" i="24"/>
  <c r="H172" i="24"/>
  <c r="F177" i="24"/>
  <c r="F176" i="24"/>
  <c r="AD17" i="24" s="1"/>
  <c r="G176" i="24"/>
  <c r="G177" i="24"/>
  <c r="G178" i="24"/>
  <c r="F178" i="24"/>
  <c r="AD18" i="24" s="1"/>
  <c r="Y17" i="24"/>
  <c r="S14" i="24"/>
  <c r="B20" i="24"/>
  <c r="Y18" i="24"/>
  <c r="T20" i="24"/>
  <c r="AM14" i="24"/>
  <c r="AS14" i="24" s="1"/>
  <c r="U20" i="24"/>
  <c r="AN14" i="24"/>
  <c r="AT14" i="24" s="1"/>
  <c r="X20" i="24"/>
  <c r="AQ14" i="24"/>
  <c r="AW14" i="24" s="1"/>
  <c r="AD16" i="24"/>
  <c r="Y16" i="24"/>
  <c r="AL16" i="24"/>
  <c r="AR16" i="24" s="1"/>
  <c r="G145" i="24"/>
  <c r="G147" i="24" s="1"/>
  <c r="AO7" i="24"/>
  <c r="AU7" i="24" s="1"/>
  <c r="V7" i="24"/>
  <c r="AD7" i="24"/>
  <c r="Y18" i="23"/>
  <c r="G145" i="23"/>
  <c r="G147" i="23" s="1"/>
  <c r="AD7" i="23"/>
  <c r="AO7" i="23"/>
  <c r="AU7" i="23" s="1"/>
  <c r="V7" i="23"/>
  <c r="AP14" i="23"/>
  <c r="AV14" i="23" s="1"/>
  <c r="W20" i="23"/>
  <c r="Y17" i="23"/>
  <c r="H172" i="23"/>
  <c r="F176" i="23"/>
  <c r="F178" i="23"/>
  <c r="G177" i="23"/>
  <c r="G176" i="23"/>
  <c r="F177" i="23"/>
  <c r="G178" i="23"/>
  <c r="AL16" i="23"/>
  <c r="AR16" i="23" s="1"/>
  <c r="Y16" i="23"/>
  <c r="AD16" i="23"/>
  <c r="AL15" i="23"/>
  <c r="AR15" i="23" s="1"/>
  <c r="Y15" i="23"/>
  <c r="AD15" i="23"/>
  <c r="S14" i="23"/>
  <c r="B20" i="23"/>
  <c r="AO14" i="23"/>
  <c r="V20" i="23"/>
  <c r="Y19" i="23"/>
  <c r="AM14" i="22"/>
  <c r="AS14" i="22" s="1"/>
  <c r="T20" i="22"/>
  <c r="S20" i="22"/>
  <c r="AL14" i="22"/>
  <c r="AR14" i="22" s="1"/>
  <c r="V12" i="22"/>
  <c r="V21" i="22" s="1"/>
  <c r="Y7" i="22"/>
  <c r="U20" i="21"/>
  <c r="U21" i="21" s="1"/>
  <c r="AN14" i="21"/>
  <c r="AL14" i="21"/>
  <c r="AR14" i="21" s="1"/>
  <c r="S20" i="21"/>
  <c r="AP14" i="21"/>
  <c r="AV14" i="21" s="1"/>
  <c r="W20" i="21"/>
  <c r="AM14" i="20"/>
  <c r="AS14" i="20" s="1"/>
  <c r="T20" i="20"/>
  <c r="U20" i="20"/>
  <c r="AN14" i="20"/>
  <c r="AT14" i="20" s="1"/>
  <c r="S20" i="20"/>
  <c r="AL14" i="20"/>
  <c r="AR14" i="20" s="1"/>
  <c r="AA8" i="20"/>
  <c r="AF8" i="20"/>
  <c r="AE8" i="20"/>
  <c r="S20" i="19"/>
  <c r="AD14" i="19"/>
  <c r="AL14" i="19"/>
  <c r="AR14" i="19" s="1"/>
  <c r="Y14" i="19"/>
  <c r="AA17" i="19"/>
  <c r="AE15" i="19"/>
  <c r="AA19" i="19"/>
  <c r="AA18" i="19"/>
  <c r="E45" i="19"/>
  <c r="U20" i="19"/>
  <c r="U21" i="19" s="1"/>
  <c r="AN14" i="19"/>
  <c r="T20" i="18"/>
  <c r="AM14" i="18"/>
  <c r="AS14" i="18" s="1"/>
  <c r="AD19" i="18"/>
  <c r="AE19" i="18" s="1"/>
  <c r="AF18" i="18"/>
  <c r="AA18" i="18"/>
  <c r="AE18" i="18"/>
  <c r="F179" i="18"/>
  <c r="H176" i="18"/>
  <c r="H179" i="18" s="1"/>
  <c r="AD17" i="18"/>
  <c r="AE17" i="18" s="1"/>
  <c r="AF19" i="18"/>
  <c r="AA19" i="18"/>
  <c r="AF15" i="18"/>
  <c r="AE15" i="18"/>
  <c r="AA15" i="18"/>
  <c r="AD14" i="18"/>
  <c r="S20" i="18"/>
  <c r="AL14" i="18"/>
  <c r="AR14" i="18" s="1"/>
  <c r="Y14" i="18"/>
  <c r="AF17" i="18"/>
  <c r="AA17" i="18"/>
  <c r="Y7" i="18"/>
  <c r="AF16" i="18"/>
  <c r="AA16" i="18"/>
  <c r="AE16" i="18"/>
  <c r="Y17" i="17"/>
  <c r="AF24" i="17"/>
  <c r="AA24" i="17"/>
  <c r="AK24" i="17"/>
  <c r="AI24" i="17"/>
  <c r="T20" i="17"/>
  <c r="AM14" i="17"/>
  <c r="AS14" i="17" s="1"/>
  <c r="B20" i="17"/>
  <c r="S14" i="17"/>
  <c r="W20" i="17"/>
  <c r="AP14" i="17"/>
  <c r="AV14" i="17" s="1"/>
  <c r="H172" i="17"/>
  <c r="F177" i="17"/>
  <c r="G176" i="17"/>
  <c r="F176" i="17"/>
  <c r="AD17" i="17" s="1"/>
  <c r="F178" i="17"/>
  <c r="AD18" i="17" s="1"/>
  <c r="G177" i="17"/>
  <c r="G178" i="17"/>
  <c r="AA8" i="17"/>
  <c r="AE8" i="17"/>
  <c r="G145" i="17"/>
  <c r="G147" i="17" s="1"/>
  <c r="V7" i="17"/>
  <c r="AO7" i="17"/>
  <c r="AU7" i="17" s="1"/>
  <c r="AD7" i="17"/>
  <c r="Y15" i="17"/>
  <c r="AD15" i="17"/>
  <c r="AL15" i="17"/>
  <c r="AR15" i="17" s="1"/>
  <c r="Y18" i="17"/>
  <c r="AN14" i="17"/>
  <c r="AT14" i="17" s="1"/>
  <c r="U20" i="17"/>
  <c r="AF18" i="16"/>
  <c r="AE18" i="16"/>
  <c r="AA18" i="16"/>
  <c r="AF17" i="16"/>
  <c r="AA17" i="16"/>
  <c r="AF15" i="16"/>
  <c r="AE15" i="16"/>
  <c r="AA15" i="16"/>
  <c r="AF19" i="16"/>
  <c r="AA19" i="16"/>
  <c r="S20" i="16"/>
  <c r="Y14" i="16"/>
  <c r="AD14" i="16"/>
  <c r="AL14" i="16"/>
  <c r="AR14" i="16" s="1"/>
  <c r="V12" i="16"/>
  <c r="V21" i="16" s="1"/>
  <c r="H172" i="31"/>
  <c r="F177" i="31"/>
  <c r="G176" i="31"/>
  <c r="F176" i="31"/>
  <c r="AD17" i="31" s="1"/>
  <c r="G177" i="31"/>
  <c r="F178" i="31"/>
  <c r="AD18" i="31" s="1"/>
  <c r="G178" i="31"/>
  <c r="Y19" i="31"/>
  <c r="U20" i="31"/>
  <c r="AN14" i="31"/>
  <c r="AT14" i="31" s="1"/>
  <c r="T20" i="31"/>
  <c r="T21" i="31" s="1"/>
  <c r="T22" i="31" s="1"/>
  <c r="T23" i="31" s="1"/>
  <c r="AM14" i="31"/>
  <c r="AS14" i="31" s="1"/>
  <c r="G145" i="31"/>
  <c r="G147" i="31" s="1"/>
  <c r="AO7" i="31"/>
  <c r="AU7" i="31" s="1"/>
  <c r="V7" i="31"/>
  <c r="AD7" i="31"/>
  <c r="E22" i="31"/>
  <c r="B20" i="31"/>
  <c r="S14" i="31"/>
  <c r="Y17" i="31"/>
  <c r="AF24" i="31"/>
  <c r="AF8" i="31" s="1"/>
  <c r="AA24" i="31"/>
  <c r="AK24" i="31"/>
  <c r="AI24" i="31"/>
  <c r="Y18" i="31"/>
  <c r="AP14" i="31"/>
  <c r="W20" i="31"/>
  <c r="W21" i="31" s="1"/>
  <c r="AL15" i="31"/>
  <c r="AR15" i="31" s="1"/>
  <c r="Y15" i="31"/>
  <c r="AD15" i="31"/>
  <c r="AO14" i="31"/>
  <c r="V20" i="31"/>
  <c r="AA8" i="30"/>
  <c r="W9" i="30"/>
  <c r="W12" i="30" s="1"/>
  <c r="H35" i="30"/>
  <c r="W14" i="30"/>
  <c r="H43" i="30"/>
  <c r="Y19" i="30"/>
  <c r="AA19" i="30" s="1"/>
  <c r="B10" i="30"/>
  <c r="S10" i="30" s="1"/>
  <c r="H10" i="30"/>
  <c r="X10" i="30" s="1"/>
  <c r="B11" i="30"/>
  <c r="S11" i="30" s="1"/>
  <c r="H11" i="30"/>
  <c r="X11" i="30" s="1"/>
  <c r="B9" i="30"/>
  <c r="S9" i="30" s="1"/>
  <c r="H9" i="30"/>
  <c r="H20" i="30"/>
  <c r="X14" i="30"/>
  <c r="S14" i="30"/>
  <c r="B20" i="30"/>
  <c r="AF24" i="30"/>
  <c r="AF8" i="30" s="1"/>
  <c r="AA24" i="30"/>
  <c r="AK24" i="30"/>
  <c r="Y16" i="30"/>
  <c r="AA16" i="30" s="1"/>
  <c r="AD16" i="30"/>
  <c r="Y18" i="30"/>
  <c r="H172" i="30"/>
  <c r="G176" i="30"/>
  <c r="F177" i="30"/>
  <c r="F176" i="30"/>
  <c r="F178" i="30"/>
  <c r="G178" i="30"/>
  <c r="G177" i="30"/>
  <c r="B43" i="30"/>
  <c r="G145" i="30"/>
  <c r="G147" i="30" s="1"/>
  <c r="AO7" i="30"/>
  <c r="AU7" i="30" s="1"/>
  <c r="V7" i="30"/>
  <c r="AD7" i="30"/>
  <c r="B33" i="30"/>
  <c r="T10" i="30" s="1"/>
  <c r="AM15" i="30"/>
  <c r="AS15" i="30" s="1"/>
  <c r="Y15" i="30"/>
  <c r="AD15" i="30"/>
  <c r="B32" i="30"/>
  <c r="U20" i="30"/>
  <c r="U21" i="30" s="1"/>
  <c r="AN14" i="30"/>
  <c r="T20" i="30"/>
  <c r="AM14" i="30"/>
  <c r="AS14" i="30" s="1"/>
  <c r="E45" i="30"/>
  <c r="N4" i="29" s="1"/>
  <c r="Y17" i="30"/>
  <c r="B34" i="30"/>
  <c r="T11" i="30" s="1"/>
  <c r="F19" i="29"/>
  <c r="G19" i="29"/>
  <c r="H19" i="29"/>
  <c r="AA17" i="22" l="1"/>
  <c r="AD14" i="21"/>
  <c r="X12" i="17"/>
  <c r="G179" i="16"/>
  <c r="F179" i="19"/>
  <c r="H12" i="17"/>
  <c r="H22" i="17" s="1"/>
  <c r="P7" i="29" s="1"/>
  <c r="AO14" i="20"/>
  <c r="AU14" i="20" s="1"/>
  <c r="V20" i="20"/>
  <c r="V12" i="20"/>
  <c r="V9" i="17"/>
  <c r="V12" i="17" s="1"/>
  <c r="E12" i="17"/>
  <c r="E22" i="17" s="1"/>
  <c r="O7" i="29" s="1"/>
  <c r="AD14" i="20"/>
  <c r="AO14" i="21"/>
  <c r="AU14" i="21" s="1"/>
  <c r="V20" i="21"/>
  <c r="V9" i="21"/>
  <c r="V12" i="21" s="1"/>
  <c r="E12" i="21"/>
  <c r="E22" i="21" s="1"/>
  <c r="O11" i="29" s="1"/>
  <c r="T21" i="18"/>
  <c r="T22" i="18" s="1"/>
  <c r="T23" i="18" s="1"/>
  <c r="AF17" i="20"/>
  <c r="Y9" i="21"/>
  <c r="AA9" i="21" s="1"/>
  <c r="W12" i="21"/>
  <c r="W21" i="21" s="1"/>
  <c r="W22" i="21" s="1"/>
  <c r="W23" i="21" s="1"/>
  <c r="AF7" i="19"/>
  <c r="E22" i="20"/>
  <c r="O10" i="29" s="1"/>
  <c r="AO14" i="17"/>
  <c r="AU14" i="17" s="1"/>
  <c r="V20" i="17"/>
  <c r="H178" i="21"/>
  <c r="AA7" i="19"/>
  <c r="AF18" i="20"/>
  <c r="AE16" i="25"/>
  <c r="AD18" i="21"/>
  <c r="F179" i="20"/>
  <c r="AF17" i="21"/>
  <c r="AF16" i="21"/>
  <c r="G179" i="21"/>
  <c r="AQ14" i="25"/>
  <c r="AW14" i="25" s="1"/>
  <c r="X20" i="25"/>
  <c r="X21" i="25" s="1"/>
  <c r="X22" i="25" s="1"/>
  <c r="X23" i="25" s="1"/>
  <c r="Y7" i="28"/>
  <c r="AA7" i="28" s="1"/>
  <c r="AA12" i="28" s="1"/>
  <c r="F179" i="16"/>
  <c r="Y14" i="25"/>
  <c r="AA14" i="25" s="1"/>
  <c r="H22" i="25"/>
  <c r="P15" i="29" s="1"/>
  <c r="H176" i="16"/>
  <c r="H179" i="16" s="1"/>
  <c r="AD14" i="25"/>
  <c r="S21" i="19"/>
  <c r="S22" i="19" s="1"/>
  <c r="S23" i="19" s="1"/>
  <c r="AF15" i="20"/>
  <c r="B45" i="21"/>
  <c r="B45" i="26"/>
  <c r="H176" i="21"/>
  <c r="AE17" i="20"/>
  <c r="AP17" i="20" s="1"/>
  <c r="AQ14" i="17"/>
  <c r="AW14" i="17" s="1"/>
  <c r="X20" i="17"/>
  <c r="H176" i="19"/>
  <c r="Y14" i="20"/>
  <c r="AF14" i="20" s="1"/>
  <c r="F179" i="21"/>
  <c r="AF18" i="21"/>
  <c r="AA10" i="28"/>
  <c r="AD18" i="20"/>
  <c r="AE18" i="20" s="1"/>
  <c r="AN18" i="20" s="1"/>
  <c r="AT18" i="20" s="1"/>
  <c r="AD17" i="21"/>
  <c r="AE17" i="21" s="1"/>
  <c r="AQ17" i="21" s="1"/>
  <c r="AW17" i="21" s="1"/>
  <c r="AA11" i="28"/>
  <c r="Z172" i="28" s="1"/>
  <c r="H176" i="20"/>
  <c r="H179" i="20" s="1"/>
  <c r="AD17" i="19"/>
  <c r="AE17" i="19" s="1"/>
  <c r="AM17" i="19" s="1"/>
  <c r="AS17" i="19" s="1"/>
  <c r="Z188" i="22"/>
  <c r="AD19" i="28"/>
  <c r="AE19" i="28" s="1"/>
  <c r="AP19" i="28" s="1"/>
  <c r="AV19" i="28" s="1"/>
  <c r="AF15" i="21"/>
  <c r="AE11" i="28"/>
  <c r="AQ11" i="28" s="1"/>
  <c r="AE11" i="19"/>
  <c r="AO11" i="19" s="1"/>
  <c r="AE16" i="20"/>
  <c r="Z192" i="22"/>
  <c r="H178" i="19"/>
  <c r="Z186" i="22"/>
  <c r="AD19" i="19"/>
  <c r="AE19" i="19" s="1"/>
  <c r="AP19" i="19" s="1"/>
  <c r="AV19" i="19" s="1"/>
  <c r="Z190" i="22"/>
  <c r="AA16" i="25"/>
  <c r="Z108" i="25" s="1"/>
  <c r="AA16" i="16"/>
  <c r="Z106" i="16" s="1"/>
  <c r="Z187" i="22"/>
  <c r="Y14" i="26"/>
  <c r="Y20" i="26" s="1"/>
  <c r="AF16" i="19"/>
  <c r="AF17" i="19"/>
  <c r="AD19" i="21"/>
  <c r="AE19" i="21" s="1"/>
  <c r="AO19" i="21" s="1"/>
  <c r="AU19" i="21" s="1"/>
  <c r="Z189" i="22"/>
  <c r="Y7" i="21"/>
  <c r="AA7" i="21" s="1"/>
  <c r="AE18" i="22"/>
  <c r="AQ18" i="22" s="1"/>
  <c r="AF18" i="22"/>
  <c r="AF10" i="19"/>
  <c r="X21" i="24"/>
  <c r="X22" i="24" s="1"/>
  <c r="X23" i="24" s="1"/>
  <c r="AF11" i="19"/>
  <c r="AA10" i="19"/>
  <c r="AF19" i="21"/>
  <c r="Y7" i="26"/>
  <c r="AE7" i="26" s="1"/>
  <c r="Y9" i="28"/>
  <c r="AA9" i="28" s="1"/>
  <c r="AE16" i="19"/>
  <c r="AA11" i="19"/>
  <c r="Z169" i="19" s="1"/>
  <c r="AA16" i="20"/>
  <c r="Z107" i="20" s="1"/>
  <c r="AE18" i="21"/>
  <c r="AN18" i="21" s="1"/>
  <c r="U12" i="23"/>
  <c r="AD9" i="28"/>
  <c r="AE10" i="28"/>
  <c r="AP10" i="28" s="1"/>
  <c r="AV10" i="28" s="1"/>
  <c r="S12" i="22"/>
  <c r="S21" i="22" s="1"/>
  <c r="S22" i="22" s="1"/>
  <c r="S23" i="22" s="1"/>
  <c r="AF16" i="20"/>
  <c r="B12" i="22"/>
  <c r="B22" i="22" s="1"/>
  <c r="L12" i="29" s="1"/>
  <c r="AE17" i="26"/>
  <c r="AN17" i="26" s="1"/>
  <c r="AF18" i="19"/>
  <c r="AF19" i="19"/>
  <c r="AF15" i="19"/>
  <c r="AE17" i="22"/>
  <c r="AQ17" i="22" s="1"/>
  <c r="T21" i="26"/>
  <c r="T22" i="26" s="1"/>
  <c r="T23" i="26" s="1"/>
  <c r="B45" i="16"/>
  <c r="M6" i="29" s="1"/>
  <c r="S21" i="28"/>
  <c r="S22" i="28" s="1"/>
  <c r="S23" i="28" s="1"/>
  <c r="H22" i="24"/>
  <c r="P14" i="29" s="1"/>
  <c r="AE11" i="16"/>
  <c r="AQ11" i="16" s="1"/>
  <c r="AF17" i="26"/>
  <c r="AD14" i="22"/>
  <c r="AE14" i="22" s="1"/>
  <c r="AA10" i="18"/>
  <c r="AF19" i="26"/>
  <c r="AF8" i="26"/>
  <c r="B45" i="31"/>
  <c r="M5" i="29" s="1"/>
  <c r="S21" i="18"/>
  <c r="S22" i="18" s="1"/>
  <c r="S23" i="18" s="1"/>
  <c r="Y14" i="21"/>
  <c r="AF14" i="21" s="1"/>
  <c r="T21" i="21"/>
  <c r="T22" i="21" s="1"/>
  <c r="T23" i="21" s="1"/>
  <c r="AE10" i="19"/>
  <c r="AP10" i="19" s="1"/>
  <c r="AV10" i="19" s="1"/>
  <c r="H45" i="19"/>
  <c r="Y7" i="20"/>
  <c r="AA7" i="20" s="1"/>
  <c r="AE19" i="20"/>
  <c r="AL19" i="20" s="1"/>
  <c r="AR19" i="20" s="1"/>
  <c r="AA11" i="16"/>
  <c r="Z175" i="16" s="1"/>
  <c r="AA19" i="20"/>
  <c r="Z179" i="20" s="1"/>
  <c r="G179" i="20"/>
  <c r="AM14" i="26"/>
  <c r="AS14" i="26" s="1"/>
  <c r="AD14" i="26"/>
  <c r="H178" i="28"/>
  <c r="AD18" i="28"/>
  <c r="AE18" i="28" s="1"/>
  <c r="AN18" i="28" s="1"/>
  <c r="AE16" i="22"/>
  <c r="Y10" i="25"/>
  <c r="AA10" i="25" s="1"/>
  <c r="AD11" i="25"/>
  <c r="Y10" i="21"/>
  <c r="AF10" i="21" s="1"/>
  <c r="Y11" i="25"/>
  <c r="AA11" i="25" s="1"/>
  <c r="B12" i="25"/>
  <c r="B22" i="25" s="1"/>
  <c r="L15" i="29" s="1"/>
  <c r="S12" i="25"/>
  <c r="S21" i="25" s="1"/>
  <c r="S22" i="25" s="1"/>
  <c r="S23" i="25" s="1"/>
  <c r="AD10" i="25"/>
  <c r="U12" i="24"/>
  <c r="U21" i="24" s="1"/>
  <c r="U22" i="24" s="1"/>
  <c r="U23" i="24" s="1"/>
  <c r="Y11" i="22"/>
  <c r="AA11" i="22" s="1"/>
  <c r="Z169" i="22" s="1"/>
  <c r="AP14" i="22"/>
  <c r="AV14" i="22" s="1"/>
  <c r="W20" i="22"/>
  <c r="Y10" i="22"/>
  <c r="AF10" i="22" s="1"/>
  <c r="W9" i="22"/>
  <c r="W12" i="22" s="1"/>
  <c r="H35" i="22"/>
  <c r="H45" i="22" s="1"/>
  <c r="AD10" i="21"/>
  <c r="AE10" i="21" s="1"/>
  <c r="AD11" i="21"/>
  <c r="AE16" i="21"/>
  <c r="H35" i="21"/>
  <c r="H45" i="21" s="1"/>
  <c r="AE10" i="18"/>
  <c r="AN10" i="18" s="1"/>
  <c r="H12" i="21"/>
  <c r="H22" i="21" s="1"/>
  <c r="P11" i="29" s="1"/>
  <c r="AA16" i="21"/>
  <c r="Z107" i="21" s="1"/>
  <c r="Y11" i="21"/>
  <c r="B12" i="21"/>
  <c r="B22" i="21" s="1"/>
  <c r="L11" i="29" s="1"/>
  <c r="AQ14" i="21"/>
  <c r="AW14" i="21" s="1"/>
  <c r="X20" i="21"/>
  <c r="S12" i="21"/>
  <c r="S21" i="21" s="1"/>
  <c r="S22" i="21" s="1"/>
  <c r="S23" i="21" s="1"/>
  <c r="X12" i="21"/>
  <c r="U9" i="20"/>
  <c r="U12" i="20" s="1"/>
  <c r="U21" i="20" s="1"/>
  <c r="U22" i="20" s="1"/>
  <c r="U23" i="20" s="1"/>
  <c r="E35" i="20"/>
  <c r="E45" i="20" s="1"/>
  <c r="AQ14" i="20"/>
  <c r="AW14" i="20" s="1"/>
  <c r="X20" i="20"/>
  <c r="X9" i="20"/>
  <c r="X12" i="20" s="1"/>
  <c r="H12" i="20"/>
  <c r="H22" i="20" s="1"/>
  <c r="P10" i="29" s="1"/>
  <c r="Y10" i="20"/>
  <c r="AA10" i="20" s="1"/>
  <c r="Y11" i="20"/>
  <c r="AF11" i="20" s="1"/>
  <c r="AE15" i="20"/>
  <c r="S21" i="16"/>
  <c r="S22" i="16" s="1"/>
  <c r="S23" i="16" s="1"/>
  <c r="AD11" i="20"/>
  <c r="E35" i="23"/>
  <c r="E45" i="23" s="1"/>
  <c r="AE16" i="26"/>
  <c r="AE10" i="16"/>
  <c r="AM10" i="16" s="1"/>
  <c r="AS10" i="16" s="1"/>
  <c r="AF18" i="26"/>
  <c r="B12" i="20"/>
  <c r="B22" i="20" s="1"/>
  <c r="L10" i="29" s="1"/>
  <c r="AA15" i="21"/>
  <c r="Z100" i="21" s="1"/>
  <c r="U12" i="17"/>
  <c r="U21" i="17" s="1"/>
  <c r="U22" i="17" s="1"/>
  <c r="U23" i="17" s="1"/>
  <c r="E35" i="24"/>
  <c r="E45" i="24" s="1"/>
  <c r="AD11" i="22"/>
  <c r="AA16" i="22"/>
  <c r="Z106" i="22" s="1"/>
  <c r="F179" i="26"/>
  <c r="AF16" i="26"/>
  <c r="G179" i="26"/>
  <c r="H177" i="26"/>
  <c r="AA16" i="26"/>
  <c r="Z106" i="26" s="1"/>
  <c r="H176" i="26"/>
  <c r="H179" i="26" s="1"/>
  <c r="AD10" i="26"/>
  <c r="Y10" i="26"/>
  <c r="H178" i="25"/>
  <c r="W9" i="25"/>
  <c r="H35" i="25"/>
  <c r="H45" i="25" s="1"/>
  <c r="W9" i="26"/>
  <c r="W12" i="26" s="1"/>
  <c r="W21" i="26" s="1"/>
  <c r="W22" i="26" s="1"/>
  <c r="W23" i="26" s="1"/>
  <c r="H35" i="26"/>
  <c r="H45" i="26" s="1"/>
  <c r="S9" i="26"/>
  <c r="B12" i="26"/>
  <c r="B22" i="26" s="1"/>
  <c r="L16" i="29" s="1"/>
  <c r="AD11" i="26"/>
  <c r="Y11" i="26"/>
  <c r="Y11" i="23"/>
  <c r="AA11" i="23" s="1"/>
  <c r="W9" i="23"/>
  <c r="W12" i="23" s="1"/>
  <c r="W21" i="23" s="1"/>
  <c r="W22" i="23" s="1"/>
  <c r="W23" i="23" s="1"/>
  <c r="H35" i="23"/>
  <c r="H45" i="23" s="1"/>
  <c r="Z178" i="22"/>
  <c r="Z180" i="22" s="1"/>
  <c r="AF19" i="22"/>
  <c r="H177" i="22"/>
  <c r="AA15" i="22"/>
  <c r="Z100" i="22" s="1"/>
  <c r="AD19" i="22"/>
  <c r="AE19" i="22" s="1"/>
  <c r="AQ19" i="22" s="1"/>
  <c r="AE15" i="22"/>
  <c r="AD10" i="20"/>
  <c r="S12" i="20"/>
  <c r="S21" i="20" s="1"/>
  <c r="S22" i="20" s="1"/>
  <c r="S23" i="20" s="1"/>
  <c r="T9" i="20"/>
  <c r="B35" i="20"/>
  <c r="B45" i="20" s="1"/>
  <c r="AE11" i="18"/>
  <c r="AQ11" i="18" s="1"/>
  <c r="AW11" i="18" s="1"/>
  <c r="W9" i="24"/>
  <c r="W12" i="24" s="1"/>
  <c r="H35" i="24"/>
  <c r="H45" i="24" s="1"/>
  <c r="W20" i="24"/>
  <c r="AP14" i="24"/>
  <c r="AV14" i="24" s="1"/>
  <c r="W12" i="19"/>
  <c r="W21" i="19" s="1"/>
  <c r="W22" i="19" s="1"/>
  <c r="W23" i="19" s="1"/>
  <c r="AD9" i="19"/>
  <c r="Y9" i="19"/>
  <c r="AA11" i="18"/>
  <c r="Z175" i="18" s="1"/>
  <c r="W12" i="18"/>
  <c r="W21" i="18" s="1"/>
  <c r="W22" i="18" s="1"/>
  <c r="W23" i="18" s="1"/>
  <c r="AD9" i="18"/>
  <c r="Y9" i="18"/>
  <c r="Y12" i="18" s="1"/>
  <c r="E35" i="17"/>
  <c r="E45" i="17" s="1"/>
  <c r="W9" i="17"/>
  <c r="W12" i="17" s="1"/>
  <c r="W21" i="17" s="1"/>
  <c r="W22" i="17" s="1"/>
  <c r="W23" i="17" s="1"/>
  <c r="H35" i="17"/>
  <c r="H45" i="17" s="1"/>
  <c r="AA10" i="16"/>
  <c r="AD9" i="16"/>
  <c r="AE16" i="31"/>
  <c r="Y9" i="16"/>
  <c r="Y12" i="16" s="1"/>
  <c r="Y10" i="23"/>
  <c r="AE16" i="17"/>
  <c r="Y11" i="24"/>
  <c r="AA11" i="24" s="1"/>
  <c r="AD10" i="23"/>
  <c r="H177" i="23"/>
  <c r="S12" i="30"/>
  <c r="AE15" i="21"/>
  <c r="B12" i="23"/>
  <c r="B22" i="23" s="1"/>
  <c r="L13" i="29" s="1"/>
  <c r="B12" i="30"/>
  <c r="B22" i="30" s="1"/>
  <c r="L4" i="29" s="1"/>
  <c r="AF19" i="17"/>
  <c r="H45" i="30"/>
  <c r="Q4" i="29" s="1"/>
  <c r="AF17" i="25"/>
  <c r="Y10" i="24"/>
  <c r="AF10" i="24" s="1"/>
  <c r="AE15" i="24"/>
  <c r="AA15" i="24"/>
  <c r="Z100" i="24" s="1"/>
  <c r="AD11" i="24"/>
  <c r="B12" i="24"/>
  <c r="B22" i="24" s="1"/>
  <c r="L14" i="29" s="1"/>
  <c r="H177" i="24"/>
  <c r="AD10" i="24"/>
  <c r="T9" i="24"/>
  <c r="T12" i="24" s="1"/>
  <c r="T21" i="24" s="1"/>
  <c r="T22" i="24" s="1"/>
  <c r="T23" i="24" s="1"/>
  <c r="B35" i="24"/>
  <c r="B45" i="24" s="1"/>
  <c r="AD11" i="23"/>
  <c r="U20" i="23"/>
  <c r="AN14" i="23"/>
  <c r="AT14" i="23" s="1"/>
  <c r="T9" i="23"/>
  <c r="T12" i="23" s="1"/>
  <c r="B35" i="23"/>
  <c r="B45" i="23" s="1"/>
  <c r="AD19" i="23"/>
  <c r="AE19" i="23" s="1"/>
  <c r="AM14" i="23"/>
  <c r="AS14" i="23" s="1"/>
  <c r="T20" i="23"/>
  <c r="T12" i="22"/>
  <c r="T21" i="22" s="1"/>
  <c r="T22" i="22" s="1"/>
  <c r="T23" i="22" s="1"/>
  <c r="B35" i="22"/>
  <c r="B45" i="22" s="1"/>
  <c r="AD10" i="22"/>
  <c r="G179" i="22"/>
  <c r="H176" i="22"/>
  <c r="F179" i="22"/>
  <c r="H178" i="22"/>
  <c r="Y10" i="17"/>
  <c r="AF10" i="17" s="1"/>
  <c r="AF16" i="17"/>
  <c r="AD10" i="17"/>
  <c r="AD11" i="17"/>
  <c r="S12" i="17"/>
  <c r="B12" i="17"/>
  <c r="B22" i="17" s="1"/>
  <c r="L7" i="29" s="1"/>
  <c r="Y11" i="17"/>
  <c r="AF11" i="17" s="1"/>
  <c r="T9" i="17"/>
  <c r="B35" i="17"/>
  <c r="B45" i="17" s="1"/>
  <c r="S12" i="31"/>
  <c r="H177" i="31"/>
  <c r="AD11" i="31"/>
  <c r="Y11" i="31"/>
  <c r="AA11" i="31" s="1"/>
  <c r="Y10" i="31"/>
  <c r="AF10" i="31" s="1"/>
  <c r="G179" i="31"/>
  <c r="B12" i="31"/>
  <c r="B22" i="31" s="1"/>
  <c r="L5" i="29" s="1"/>
  <c r="AD10" i="31"/>
  <c r="U9" i="31"/>
  <c r="E35" i="31"/>
  <c r="E45" i="31" s="1"/>
  <c r="N5" i="29" s="1"/>
  <c r="AD19" i="31"/>
  <c r="AE19" i="31" s="1"/>
  <c r="Z109" i="28"/>
  <c r="Z107" i="28"/>
  <c r="Z106" i="28"/>
  <c r="Z105" i="28"/>
  <c r="Z104" i="28"/>
  <c r="Z108" i="28"/>
  <c r="Z100" i="28"/>
  <c r="Z99" i="28"/>
  <c r="Z191" i="28"/>
  <c r="Z187" i="28"/>
  <c r="Z192" i="28"/>
  <c r="Z188" i="28"/>
  <c r="Z189" i="28"/>
  <c r="Z186" i="28"/>
  <c r="Z190" i="28"/>
  <c r="AQ17" i="28"/>
  <c r="AP17" i="28"/>
  <c r="AV17" i="28" s="1"/>
  <c r="AN17" i="28"/>
  <c r="AO17" i="28"/>
  <c r="AM17" i="28"/>
  <c r="AS17" i="28" s="1"/>
  <c r="AL17" i="28"/>
  <c r="AR17" i="28" s="1"/>
  <c r="AM18" i="28"/>
  <c r="AS18" i="28" s="1"/>
  <c r="Z179" i="28"/>
  <c r="Z178" i="28"/>
  <c r="AQ10" i="28"/>
  <c r="AO11" i="28"/>
  <c r="AF14" i="28"/>
  <c r="AF20" i="28" s="1"/>
  <c r="AE14" i="28"/>
  <c r="AA14" i="28"/>
  <c r="Y20" i="28"/>
  <c r="Z179" i="26"/>
  <c r="Z178" i="26"/>
  <c r="AF14" i="26"/>
  <c r="AF20" i="26" s="1"/>
  <c r="AN18" i="26"/>
  <c r="AO18" i="26"/>
  <c r="AQ18" i="26"/>
  <c r="AP18" i="26"/>
  <c r="AV18" i="26" s="1"/>
  <c r="AM18" i="26"/>
  <c r="AS18" i="26" s="1"/>
  <c r="AL18" i="26"/>
  <c r="AR18" i="26" s="1"/>
  <c r="Z100" i="26"/>
  <c r="Z99" i="26"/>
  <c r="AN19" i="26"/>
  <c r="AO19" i="26"/>
  <c r="AQ19" i="26"/>
  <c r="AP19" i="26"/>
  <c r="AV19" i="26" s="1"/>
  <c r="AL19" i="26"/>
  <c r="AR19" i="26" s="1"/>
  <c r="AM19" i="26"/>
  <c r="AS19" i="26" s="1"/>
  <c r="Z191" i="26"/>
  <c r="Z187" i="26"/>
  <c r="Z192" i="26"/>
  <c r="Z188" i="26"/>
  <c r="Z189" i="26"/>
  <c r="Z190" i="26"/>
  <c r="Z186" i="26"/>
  <c r="AF18" i="25"/>
  <c r="AA18" i="25"/>
  <c r="Z179" i="25"/>
  <c r="Z178" i="25"/>
  <c r="AE15" i="25"/>
  <c r="AF15" i="25"/>
  <c r="AA15" i="25"/>
  <c r="AF16" i="25"/>
  <c r="G179" i="25"/>
  <c r="AF19" i="25"/>
  <c r="Z105" i="25"/>
  <c r="F179" i="25"/>
  <c r="H176" i="25"/>
  <c r="AD17" i="25"/>
  <c r="AE17" i="25" s="1"/>
  <c r="Y20" i="25"/>
  <c r="H177" i="25"/>
  <c r="AD19" i="25"/>
  <c r="AE19" i="25" s="1"/>
  <c r="AD18" i="25"/>
  <c r="AE18" i="25" s="1"/>
  <c r="V12" i="25"/>
  <c r="V21" i="25" s="1"/>
  <c r="Y7" i="25"/>
  <c r="AE17" i="24"/>
  <c r="AF17" i="24"/>
  <c r="AA17" i="24"/>
  <c r="AF19" i="24"/>
  <c r="AA19" i="24"/>
  <c r="S20" i="24"/>
  <c r="AD14" i="24"/>
  <c r="Y14" i="24"/>
  <c r="AL14" i="24"/>
  <c r="AR14" i="24" s="1"/>
  <c r="V12" i="24"/>
  <c r="V21" i="24" s="1"/>
  <c r="Y7" i="24"/>
  <c r="AF16" i="24"/>
  <c r="AE16" i="24"/>
  <c r="AA16" i="24"/>
  <c r="G179" i="24"/>
  <c r="AD19" i="24"/>
  <c r="AE19" i="24" s="1"/>
  <c r="AE18" i="24"/>
  <c r="AF18" i="24"/>
  <c r="AA18" i="24"/>
  <c r="S12" i="24"/>
  <c r="H178" i="24"/>
  <c r="F179" i="24"/>
  <c r="H176" i="24"/>
  <c r="S12" i="23"/>
  <c r="H178" i="23"/>
  <c r="AA17" i="23"/>
  <c r="AF17" i="23"/>
  <c r="V12" i="23"/>
  <c r="V21" i="23" s="1"/>
  <c r="Y7" i="23"/>
  <c r="AD18" i="23"/>
  <c r="AE18" i="23" s="1"/>
  <c r="AL14" i="23"/>
  <c r="AR14" i="23" s="1"/>
  <c r="S20" i="23"/>
  <c r="Y14" i="23"/>
  <c r="AD14" i="23"/>
  <c r="F179" i="23"/>
  <c r="H176" i="23"/>
  <c r="AA18" i="23"/>
  <c r="AF18" i="23"/>
  <c r="AA19" i="23"/>
  <c r="AF19" i="23"/>
  <c r="AA16" i="23"/>
  <c r="AE16" i="23"/>
  <c r="AF16" i="23"/>
  <c r="G179" i="23"/>
  <c r="AA15" i="23"/>
  <c r="AE15" i="23"/>
  <c r="AF15" i="23"/>
  <c r="AD17" i="23"/>
  <c r="AE17" i="23" s="1"/>
  <c r="AE7" i="22"/>
  <c r="AA7" i="22"/>
  <c r="AF7" i="22"/>
  <c r="Y20" i="22"/>
  <c r="AF14" i="22"/>
  <c r="AA14" i="22"/>
  <c r="Z179" i="21"/>
  <c r="Z178" i="21"/>
  <c r="Z191" i="21"/>
  <c r="Z187" i="21"/>
  <c r="Z192" i="21"/>
  <c r="Z188" i="21"/>
  <c r="Z189" i="21"/>
  <c r="Z190" i="21"/>
  <c r="Z186" i="21"/>
  <c r="AL17" i="20"/>
  <c r="AR17" i="20" s="1"/>
  <c r="AN17" i="20"/>
  <c r="AT17" i="20" s="1"/>
  <c r="Z100" i="20"/>
  <c r="Z99" i="20"/>
  <c r="Z191" i="20"/>
  <c r="Z187" i="20"/>
  <c r="Z192" i="20"/>
  <c r="Z188" i="20"/>
  <c r="Z189" i="20"/>
  <c r="Z190" i="20"/>
  <c r="Z186" i="20"/>
  <c r="AM18" i="19"/>
  <c r="AS18" i="19" s="1"/>
  <c r="AO18" i="19"/>
  <c r="AQ18" i="19"/>
  <c r="AP18" i="19"/>
  <c r="AV18" i="19" s="1"/>
  <c r="AN18" i="19"/>
  <c r="AL18" i="19"/>
  <c r="AR18" i="19" s="1"/>
  <c r="AF14" i="19"/>
  <c r="AA14" i="19"/>
  <c r="Y20" i="19"/>
  <c r="AE14" i="19"/>
  <c r="Z179" i="19"/>
  <c r="Z178" i="19"/>
  <c r="Z109" i="19"/>
  <c r="Z107" i="19"/>
  <c r="Z105" i="19"/>
  <c r="Z104" i="19"/>
  <c r="Z108" i="19"/>
  <c r="Z106" i="19"/>
  <c r="Z191" i="19"/>
  <c r="Z187" i="19"/>
  <c r="Z192" i="19"/>
  <c r="Z188" i="19"/>
  <c r="Z189" i="19"/>
  <c r="Z186" i="19"/>
  <c r="Z190" i="19"/>
  <c r="Z100" i="19"/>
  <c r="Z99" i="19"/>
  <c r="AO19" i="18"/>
  <c r="AU19" i="18" s="1"/>
  <c r="AN19" i="18"/>
  <c r="AQ19" i="18"/>
  <c r="AW19" i="18" s="1"/>
  <c r="AP19" i="18"/>
  <c r="AV19" i="18" s="1"/>
  <c r="AL19" i="18"/>
  <c r="AR19" i="18" s="1"/>
  <c r="AM19" i="18"/>
  <c r="AS19" i="18" s="1"/>
  <c r="AQ17" i="18"/>
  <c r="AW17" i="18" s="1"/>
  <c r="AO17" i="18"/>
  <c r="AU17" i="18" s="1"/>
  <c r="AP17" i="18"/>
  <c r="AV17" i="18" s="1"/>
  <c r="AN17" i="18"/>
  <c r="AM17" i="18"/>
  <c r="AS17" i="18" s="1"/>
  <c r="AL17" i="18"/>
  <c r="AR17" i="18" s="1"/>
  <c r="Z191" i="18"/>
  <c r="Z187" i="18"/>
  <c r="Z192" i="18"/>
  <c r="Z188" i="18"/>
  <c r="Z189" i="18"/>
  <c r="Z190" i="18"/>
  <c r="Z186" i="18"/>
  <c r="AA7" i="18"/>
  <c r="AF7" i="18"/>
  <c r="AE7" i="18"/>
  <c r="Z179" i="18"/>
  <c r="Z178" i="18"/>
  <c r="Z109" i="18"/>
  <c r="Z107" i="18"/>
  <c r="Z106" i="18"/>
  <c r="Z105" i="18"/>
  <c r="Z104" i="18"/>
  <c r="Z108" i="18"/>
  <c r="AF14" i="18"/>
  <c r="AF20" i="18" s="1"/>
  <c r="Y20" i="18"/>
  <c r="AA14" i="18"/>
  <c r="AE14" i="18"/>
  <c r="Z100" i="18"/>
  <c r="Z99" i="18"/>
  <c r="AQ18" i="18"/>
  <c r="AW18" i="18" s="1"/>
  <c r="AN18" i="18"/>
  <c r="AO18" i="18"/>
  <c r="AU18" i="18" s="1"/>
  <c r="AP18" i="18"/>
  <c r="AV18" i="18" s="1"/>
  <c r="AL18" i="18"/>
  <c r="AR18" i="18" s="1"/>
  <c r="AM18" i="18"/>
  <c r="AS18" i="18" s="1"/>
  <c r="AF17" i="17"/>
  <c r="AE17" i="17"/>
  <c r="AA17" i="17"/>
  <c r="Y7" i="17"/>
  <c r="AF18" i="17"/>
  <c r="AE18" i="17"/>
  <c r="AA18" i="17"/>
  <c r="AF8" i="17"/>
  <c r="H178" i="17"/>
  <c r="G179" i="17"/>
  <c r="Z179" i="17"/>
  <c r="Z178" i="17"/>
  <c r="AF15" i="17"/>
  <c r="AE15" i="17"/>
  <c r="AA15" i="17"/>
  <c r="H177" i="17"/>
  <c r="AD19" i="17"/>
  <c r="AE19" i="17" s="1"/>
  <c r="S20" i="17"/>
  <c r="Y14" i="17"/>
  <c r="AD14" i="17"/>
  <c r="AL14" i="17"/>
  <c r="AR14" i="17" s="1"/>
  <c r="Z109" i="17"/>
  <c r="Z107" i="17"/>
  <c r="Z106" i="17"/>
  <c r="Z105" i="17"/>
  <c r="Z108" i="17"/>
  <c r="Z104" i="17"/>
  <c r="F179" i="17"/>
  <c r="H176" i="17"/>
  <c r="Z179" i="16"/>
  <c r="Z178" i="16"/>
  <c r="Z100" i="16"/>
  <c r="Z99" i="16"/>
  <c r="AQ17" i="16"/>
  <c r="AM17" i="16"/>
  <c r="AS17" i="16" s="1"/>
  <c r="AO17" i="16"/>
  <c r="AN17" i="16"/>
  <c r="AP17" i="16"/>
  <c r="AV17" i="16" s="1"/>
  <c r="AL17" i="16"/>
  <c r="AR17" i="16" s="1"/>
  <c r="Z107" i="16"/>
  <c r="AF7" i="16"/>
  <c r="AE7" i="16"/>
  <c r="AA7" i="16"/>
  <c r="Z191" i="16"/>
  <c r="Z187" i="16"/>
  <c r="Z192" i="16"/>
  <c r="Z188" i="16"/>
  <c r="Z189" i="16"/>
  <c r="Z190" i="16"/>
  <c r="Z186" i="16"/>
  <c r="AF14" i="16"/>
  <c r="AF20" i="16" s="1"/>
  <c r="AE14" i="16"/>
  <c r="AA14" i="16"/>
  <c r="Y20" i="16"/>
  <c r="AM19" i="16"/>
  <c r="AS19" i="16" s="1"/>
  <c r="AO19" i="16"/>
  <c r="AN19" i="16"/>
  <c r="AQ19" i="16"/>
  <c r="AP19" i="16"/>
  <c r="AV19" i="16" s="1"/>
  <c r="AL19" i="16"/>
  <c r="AR19" i="16" s="1"/>
  <c r="AM18" i="16"/>
  <c r="AS18" i="16" s="1"/>
  <c r="AQ18" i="16"/>
  <c r="AN18" i="16"/>
  <c r="AO18" i="16"/>
  <c r="AP18" i="16"/>
  <c r="AV18" i="16" s="1"/>
  <c r="AL18" i="16"/>
  <c r="AR18" i="16" s="1"/>
  <c r="V12" i="31"/>
  <c r="V21" i="31" s="1"/>
  <c r="Y7" i="31"/>
  <c r="AA15" i="31"/>
  <c r="AF15" i="31"/>
  <c r="AE15" i="31"/>
  <c r="Z109" i="31"/>
  <c r="Z107" i="31"/>
  <c r="Z106" i="31"/>
  <c r="Z105" i="31"/>
  <c r="Z108" i="31"/>
  <c r="Z104" i="31"/>
  <c r="AA19" i="31"/>
  <c r="AF19" i="31"/>
  <c r="AL14" i="31"/>
  <c r="AR14" i="31" s="1"/>
  <c r="AD14" i="31"/>
  <c r="Y14" i="31"/>
  <c r="S20" i="31"/>
  <c r="H178" i="31"/>
  <c r="AA18" i="31"/>
  <c r="AF18" i="31"/>
  <c r="AE18" i="31"/>
  <c r="AA17" i="31"/>
  <c r="AF17" i="31"/>
  <c r="AE17" i="31"/>
  <c r="AF16" i="31"/>
  <c r="F179" i="31"/>
  <c r="H176" i="31"/>
  <c r="AP14" i="30"/>
  <c r="AV14" i="30" s="1"/>
  <c r="W20" i="30"/>
  <c r="W21" i="30" s="1"/>
  <c r="W22" i="30" s="1"/>
  <c r="W23" i="30" s="1"/>
  <c r="AD10" i="30"/>
  <c r="X9" i="30"/>
  <c r="X12" i="30" s="1"/>
  <c r="H12" i="30"/>
  <c r="H22" i="30" s="1"/>
  <c r="P4" i="29" s="1"/>
  <c r="AQ14" i="30"/>
  <c r="AW14" i="30" s="1"/>
  <c r="X20" i="30"/>
  <c r="AE16" i="30"/>
  <c r="AL14" i="30"/>
  <c r="AR14" i="30" s="1"/>
  <c r="S20" i="30"/>
  <c r="Y14" i="30"/>
  <c r="AA14" i="30" s="1"/>
  <c r="AD14" i="30"/>
  <c r="AF19" i="30"/>
  <c r="AF16" i="30"/>
  <c r="Y11" i="30"/>
  <c r="AD11" i="30"/>
  <c r="AA17" i="30"/>
  <c r="AF17" i="30"/>
  <c r="AA15" i="30"/>
  <c r="AF15" i="30"/>
  <c r="AE15" i="30"/>
  <c r="F179" i="30"/>
  <c r="H176" i="30"/>
  <c r="AD17" i="30"/>
  <c r="AE17" i="30" s="1"/>
  <c r="AA18" i="30"/>
  <c r="AF18" i="30"/>
  <c r="Y10" i="30"/>
  <c r="G179" i="30"/>
  <c r="H178" i="30"/>
  <c r="AD18" i="30"/>
  <c r="AE18" i="30" s="1"/>
  <c r="T9" i="30"/>
  <c r="B35" i="30"/>
  <c r="B45" i="30" s="1"/>
  <c r="M4" i="29" s="1"/>
  <c r="Z179" i="30"/>
  <c r="Z178" i="30"/>
  <c r="V12" i="30"/>
  <c r="V21" i="30" s="1"/>
  <c r="Y7" i="30"/>
  <c r="H177" i="30"/>
  <c r="AD19" i="30"/>
  <c r="AE19" i="30" s="1"/>
  <c r="Z109" i="30"/>
  <c r="Z107" i="30"/>
  <c r="Z106" i="30"/>
  <c r="Z105" i="30"/>
  <c r="Z108" i="30"/>
  <c r="Z104" i="30"/>
  <c r="AP11" i="18" l="1"/>
  <c r="AV11" i="18" s="1"/>
  <c r="AP17" i="19"/>
  <c r="AV17" i="19" s="1"/>
  <c r="AO17" i="20"/>
  <c r="AU17" i="20" s="1"/>
  <c r="AF7" i="26"/>
  <c r="AF7" i="28"/>
  <c r="AF12" i="28" s="1"/>
  <c r="AD9" i="21"/>
  <c r="AE9" i="21" s="1"/>
  <c r="AQ9" i="21" s="1"/>
  <c r="AW9" i="21" s="1"/>
  <c r="V21" i="17"/>
  <c r="V22" i="17" s="1"/>
  <c r="V23" i="17" s="1"/>
  <c r="AQ17" i="20"/>
  <c r="AW17" i="20" s="1"/>
  <c r="AF9" i="21"/>
  <c r="X21" i="17"/>
  <c r="X22" i="17" s="1"/>
  <c r="X23" i="17" s="1"/>
  <c r="V21" i="20"/>
  <c r="V22" i="20" s="1"/>
  <c r="V23" i="20" s="1"/>
  <c r="Z173" i="28"/>
  <c r="AE14" i="25"/>
  <c r="H179" i="21"/>
  <c r="AO19" i="19"/>
  <c r="Z108" i="21"/>
  <c r="AF14" i="25"/>
  <c r="AA14" i="26"/>
  <c r="AA20" i="26" s="1"/>
  <c r="Z169" i="28"/>
  <c r="AL19" i="28"/>
  <c r="AR19" i="28" s="1"/>
  <c r="AQ19" i="28"/>
  <c r="AF20" i="20"/>
  <c r="V21" i="21"/>
  <c r="V22" i="21" s="1"/>
  <c r="V23" i="21" s="1"/>
  <c r="AM11" i="19"/>
  <c r="AS11" i="19" s="1"/>
  <c r="AO18" i="20"/>
  <c r="AU18" i="20" s="1"/>
  <c r="AM17" i="21"/>
  <c r="AS17" i="21" s="1"/>
  <c r="AQ18" i="21"/>
  <c r="AW18" i="21" s="1"/>
  <c r="AF20" i="19"/>
  <c r="AQ17" i="19"/>
  <c r="AO17" i="22"/>
  <c r="Z107" i="25"/>
  <c r="AA7" i="26"/>
  <c r="AA14" i="20"/>
  <c r="AA20" i="20" s="1"/>
  <c r="AM18" i="20"/>
  <c r="AS18" i="20" s="1"/>
  <c r="AM10" i="28"/>
  <c r="AS10" i="28" s="1"/>
  <c r="AN10" i="19"/>
  <c r="Z104" i="20"/>
  <c r="AL17" i="26"/>
  <c r="AR17" i="26" s="1"/>
  <c r="AP11" i="28"/>
  <c r="AV11" i="28" s="1"/>
  <c r="AO10" i="28"/>
  <c r="AP18" i="28"/>
  <c r="AV18" i="28" s="1"/>
  <c r="AA10" i="21"/>
  <c r="H179" i="19"/>
  <c r="AQ10" i="19"/>
  <c r="Z170" i="19"/>
  <c r="Z105" i="20"/>
  <c r="AM17" i="20"/>
  <c r="AS17" i="20" s="1"/>
  <c r="Z109" i="25"/>
  <c r="AE14" i="26"/>
  <c r="AF20" i="21"/>
  <c r="Z175" i="19"/>
  <c r="Z109" i="20"/>
  <c r="AE14" i="20"/>
  <c r="AP18" i="20"/>
  <c r="Z104" i="25"/>
  <c r="Z110" i="25" s="1"/>
  <c r="AL10" i="28"/>
  <c r="AR10" i="28" s="1"/>
  <c r="Y12" i="28"/>
  <c r="AF7" i="21"/>
  <c r="AE7" i="21"/>
  <c r="Z109" i="16"/>
  <c r="AM18" i="21"/>
  <c r="AS18" i="21" s="1"/>
  <c r="AL18" i="22"/>
  <c r="AR18" i="22" s="1"/>
  <c r="AN11" i="19"/>
  <c r="AL17" i="19"/>
  <c r="AR17" i="19" s="1"/>
  <c r="AO17" i="19"/>
  <c r="Z106" i="20"/>
  <c r="Y20" i="20"/>
  <c r="AL18" i="20"/>
  <c r="AR18" i="20" s="1"/>
  <c r="AQ18" i="20"/>
  <c r="AW18" i="20" s="1"/>
  <c r="AP17" i="21"/>
  <c r="AV17" i="21" s="1"/>
  <c r="AM17" i="22"/>
  <c r="AS17" i="22" s="1"/>
  <c r="Z106" i="25"/>
  <c r="AP17" i="26"/>
  <c r="AV17" i="26" s="1"/>
  <c r="AM11" i="28"/>
  <c r="AS11" i="28" s="1"/>
  <c r="AN11" i="28"/>
  <c r="AN10" i="28"/>
  <c r="AE7" i="28"/>
  <c r="AL11" i="19"/>
  <c r="AR11" i="19" s="1"/>
  <c r="Z108" i="16"/>
  <c r="Z170" i="18"/>
  <c r="AQ11" i="19"/>
  <c r="AN17" i="19"/>
  <c r="Z108" i="20"/>
  <c r="AL17" i="21"/>
  <c r="AR17" i="21" s="1"/>
  <c r="AN17" i="22"/>
  <c r="AO17" i="26"/>
  <c r="AL11" i="28"/>
  <c r="AR11" i="28" s="1"/>
  <c r="AF9" i="28"/>
  <c r="AA14" i="21"/>
  <c r="Z175" i="28"/>
  <c r="AM19" i="28"/>
  <c r="AS19" i="28" s="1"/>
  <c r="Z193" i="22"/>
  <c r="Z104" i="16"/>
  <c r="AP11" i="19"/>
  <c r="AV11" i="19" s="1"/>
  <c r="AO17" i="21"/>
  <c r="AU17" i="21" s="1"/>
  <c r="AM19" i="21"/>
  <c r="AS19" i="21" s="1"/>
  <c r="AN18" i="22"/>
  <c r="Z170" i="28"/>
  <c r="Z174" i="28"/>
  <c r="AO19" i="28"/>
  <c r="AN19" i="21"/>
  <c r="Z171" i="28"/>
  <c r="AN19" i="28"/>
  <c r="AN17" i="21"/>
  <c r="AP18" i="21"/>
  <c r="AV18" i="21" s="1"/>
  <c r="AO18" i="22"/>
  <c r="AF10" i="25"/>
  <c r="Z109" i="26"/>
  <c r="Z170" i="16"/>
  <c r="AN19" i="19"/>
  <c r="Z105" i="21"/>
  <c r="AA10" i="22"/>
  <c r="AM11" i="16"/>
  <c r="AS11" i="16" s="1"/>
  <c r="Z172" i="16"/>
  <c r="Z105" i="16"/>
  <c r="AL19" i="19"/>
  <c r="AR19" i="19" s="1"/>
  <c r="AM19" i="19"/>
  <c r="AS19" i="19" s="1"/>
  <c r="AP19" i="20"/>
  <c r="Z109" i="21"/>
  <c r="AQ19" i="21"/>
  <c r="AW19" i="21" s="1"/>
  <c r="AL18" i="21"/>
  <c r="AR18" i="21" s="1"/>
  <c r="AO18" i="21"/>
  <c r="AU18" i="21" s="1"/>
  <c r="AP18" i="22"/>
  <c r="AV18" i="22" s="1"/>
  <c r="AE10" i="22"/>
  <c r="AQ10" i="22" s="1"/>
  <c r="AN11" i="16"/>
  <c r="AQ19" i="19"/>
  <c r="Y20" i="21"/>
  <c r="AL19" i="21"/>
  <c r="AR19" i="21" s="1"/>
  <c r="Z174" i="16"/>
  <c r="AP19" i="21"/>
  <c r="AV19" i="21" s="1"/>
  <c r="AM18" i="22"/>
  <c r="AS18" i="22" s="1"/>
  <c r="AE9" i="28"/>
  <c r="AP9" i="28" s="1"/>
  <c r="AV9" i="28" s="1"/>
  <c r="Z173" i="19"/>
  <c r="Z174" i="19"/>
  <c r="AL10" i="18"/>
  <c r="AR10" i="18" s="1"/>
  <c r="Z171" i="19"/>
  <c r="AE14" i="21"/>
  <c r="Z106" i="21"/>
  <c r="Z171" i="22"/>
  <c r="Z108" i="26"/>
  <c r="AE11" i="24"/>
  <c r="AO11" i="24" s="1"/>
  <c r="AN9" i="21"/>
  <c r="AL11" i="16"/>
  <c r="AR11" i="16" s="1"/>
  <c r="AO11" i="16"/>
  <c r="Z173" i="16"/>
  <c r="Z169" i="16"/>
  <c r="AO11" i="18"/>
  <c r="AU11" i="18" s="1"/>
  <c r="Z172" i="18"/>
  <c r="AP11" i="16"/>
  <c r="AV11" i="16" s="1"/>
  <c r="Z171" i="16"/>
  <c r="Z172" i="19"/>
  <c r="Z104" i="21"/>
  <c r="Z107" i="26"/>
  <c r="U21" i="23"/>
  <c r="U22" i="23" s="1"/>
  <c r="U23" i="23" s="1"/>
  <c r="Y9" i="20"/>
  <c r="Y12" i="20" s="1"/>
  <c r="Y21" i="20" s="1"/>
  <c r="Y22" i="20" s="1"/>
  <c r="Y23" i="20" s="1"/>
  <c r="AM10" i="19"/>
  <c r="AS10" i="19" s="1"/>
  <c r="AP17" i="22"/>
  <c r="AV17" i="22" s="1"/>
  <c r="AM17" i="26"/>
  <c r="AS17" i="26" s="1"/>
  <c r="AQ17" i="26"/>
  <c r="AQ18" i="28"/>
  <c r="AL10" i="19"/>
  <c r="AR10" i="19" s="1"/>
  <c r="AL17" i="22"/>
  <c r="AR17" i="22" s="1"/>
  <c r="AE11" i="20"/>
  <c r="AP11" i="20" s="1"/>
  <c r="AO10" i="19"/>
  <c r="Z108" i="22"/>
  <c r="AO18" i="28"/>
  <c r="AE11" i="25"/>
  <c r="AO11" i="25" s="1"/>
  <c r="Z99" i="21"/>
  <c r="Z102" i="21" s="1"/>
  <c r="Z104" i="22"/>
  <c r="AL18" i="28"/>
  <c r="AR18" i="28" s="1"/>
  <c r="AP10" i="16"/>
  <c r="AV10" i="16" s="1"/>
  <c r="AP10" i="18"/>
  <c r="AV10" i="18" s="1"/>
  <c r="Z178" i="20"/>
  <c r="Z180" i="20" s="1"/>
  <c r="AL9" i="21"/>
  <c r="AR9" i="21" s="1"/>
  <c r="Z170" i="22"/>
  <c r="AQ10" i="16"/>
  <c r="AQ10" i="18"/>
  <c r="AW10" i="18" s="1"/>
  <c r="AM9" i="21"/>
  <c r="AS9" i="21" s="1"/>
  <c r="Z175" i="22"/>
  <c r="AF7" i="20"/>
  <c r="AF11" i="22"/>
  <c r="AO9" i="21"/>
  <c r="AU9" i="21" s="1"/>
  <c r="Z174" i="22"/>
  <c r="AF11" i="24"/>
  <c r="AE7" i="20"/>
  <c r="AE10" i="25"/>
  <c r="AN10" i="25" s="1"/>
  <c r="AM19" i="20"/>
  <c r="AS19" i="20" s="1"/>
  <c r="AF11" i="25"/>
  <c r="AO19" i="20"/>
  <c r="AU19" i="20" s="1"/>
  <c r="AL10" i="16"/>
  <c r="AR10" i="16" s="1"/>
  <c r="AO10" i="16"/>
  <c r="Z174" i="18"/>
  <c r="AN19" i="20"/>
  <c r="AT19" i="20" s="1"/>
  <c r="AQ19" i="20"/>
  <c r="AW19" i="20" s="1"/>
  <c r="AF10" i="20"/>
  <c r="W21" i="22"/>
  <c r="W22" i="22" s="1"/>
  <c r="W23" i="22" s="1"/>
  <c r="AN10" i="16"/>
  <c r="AF20" i="22"/>
  <c r="AE11" i="23"/>
  <c r="AQ11" i="23" s="1"/>
  <c r="AF11" i="23"/>
  <c r="AD9" i="22"/>
  <c r="Z99" i="22"/>
  <c r="Z102" i="22" s="1"/>
  <c r="Z172" i="22"/>
  <c r="Z107" i="22"/>
  <c r="AE11" i="22"/>
  <c r="AO11" i="22" s="1"/>
  <c r="Z173" i="22"/>
  <c r="Z109" i="22"/>
  <c r="Y9" i="22"/>
  <c r="AQ10" i="21"/>
  <c r="AW10" i="21" s="1"/>
  <c r="AN10" i="21"/>
  <c r="AO10" i="21"/>
  <c r="AU10" i="21" s="1"/>
  <c r="AL10" i="21"/>
  <c r="AR10" i="21" s="1"/>
  <c r="AM10" i="21"/>
  <c r="AS10" i="21" s="1"/>
  <c r="AP10" i="21"/>
  <c r="AV10" i="21" s="1"/>
  <c r="AP9" i="21"/>
  <c r="AV9" i="21" s="1"/>
  <c r="AM11" i="18"/>
  <c r="AS11" i="18" s="1"/>
  <c r="AN11" i="18"/>
  <c r="Z173" i="18"/>
  <c r="Z169" i="18"/>
  <c r="AM10" i="18"/>
  <c r="AS10" i="18" s="1"/>
  <c r="AO10" i="18"/>
  <c r="AU10" i="18" s="1"/>
  <c r="AL11" i="18"/>
  <c r="AR11" i="18" s="1"/>
  <c r="Z171" i="18"/>
  <c r="Z99" i="24"/>
  <c r="Z102" i="24" s="1"/>
  <c r="AE11" i="21"/>
  <c r="AA11" i="21"/>
  <c r="AF11" i="21"/>
  <c r="AF12" i="21" s="1"/>
  <c r="Y12" i="21"/>
  <c r="X21" i="21"/>
  <c r="X22" i="21" s="1"/>
  <c r="X23" i="21" s="1"/>
  <c r="AE10" i="20"/>
  <c r="AP10" i="20" s="1"/>
  <c r="X21" i="20"/>
  <c r="X22" i="20" s="1"/>
  <c r="X23" i="20" s="1"/>
  <c r="AA11" i="20"/>
  <c r="H179" i="25"/>
  <c r="Z105" i="22"/>
  <c r="AE10" i="17"/>
  <c r="AM10" i="17" s="1"/>
  <c r="AS10" i="17" s="1"/>
  <c r="AA10" i="24"/>
  <c r="AE10" i="23"/>
  <c r="AO10" i="23" s="1"/>
  <c r="W21" i="24"/>
  <c r="W22" i="24" s="1"/>
  <c r="W23" i="24" s="1"/>
  <c r="S21" i="30"/>
  <c r="S22" i="30" s="1"/>
  <c r="S23" i="30" s="1"/>
  <c r="Z104" i="26"/>
  <c r="Z105" i="26"/>
  <c r="AF20" i="25"/>
  <c r="AA11" i="26"/>
  <c r="AF11" i="26"/>
  <c r="AE11" i="26"/>
  <c r="Y9" i="26"/>
  <c r="AD9" i="26"/>
  <c r="S12" i="26"/>
  <c r="S21" i="26" s="1"/>
  <c r="S22" i="26" s="1"/>
  <c r="S23" i="26" s="1"/>
  <c r="W12" i="25"/>
  <c r="W21" i="25" s="1"/>
  <c r="W22" i="25" s="1"/>
  <c r="W23" i="25" s="1"/>
  <c r="AD9" i="25"/>
  <c r="Y9" i="25"/>
  <c r="Y12" i="25" s="1"/>
  <c r="Y21" i="25" s="1"/>
  <c r="Y22" i="25" s="1"/>
  <c r="Y23" i="25" s="1"/>
  <c r="AF10" i="26"/>
  <c r="AA10" i="26"/>
  <c r="AE10" i="26"/>
  <c r="AF10" i="23"/>
  <c r="AA10" i="23"/>
  <c r="AN19" i="22"/>
  <c r="AL19" i="22"/>
  <c r="AR19" i="22" s="1"/>
  <c r="AM19" i="22"/>
  <c r="AS19" i="22" s="1"/>
  <c r="AO19" i="22"/>
  <c r="AP19" i="22"/>
  <c r="AV19" i="22" s="1"/>
  <c r="T12" i="20"/>
  <c r="T21" i="20" s="1"/>
  <c r="T22" i="20" s="1"/>
  <c r="T23" i="20" s="1"/>
  <c r="AD9" i="20"/>
  <c r="AE9" i="19"/>
  <c r="AA9" i="19"/>
  <c r="AA12" i="19" s="1"/>
  <c r="AF9" i="19"/>
  <c r="AF12" i="19" s="1"/>
  <c r="Y12" i="19"/>
  <c r="Y21" i="19" s="1"/>
  <c r="Y22" i="19" s="1"/>
  <c r="Y23" i="19" s="1"/>
  <c r="AF9" i="18"/>
  <c r="AF12" i="18" s="1"/>
  <c r="AF21" i="18" s="1"/>
  <c r="AH16" i="18" s="1"/>
  <c r="AI16" i="18" s="1"/>
  <c r="AE9" i="18"/>
  <c r="AA9" i="18"/>
  <c r="AA12" i="18" s="1"/>
  <c r="AE9" i="16"/>
  <c r="AF9" i="16"/>
  <c r="AF12" i="16" s="1"/>
  <c r="AF21" i="16" s="1"/>
  <c r="AA9" i="16"/>
  <c r="AA12" i="16" s="1"/>
  <c r="AE10" i="24"/>
  <c r="AN10" i="24" s="1"/>
  <c r="AT10" i="24" s="1"/>
  <c r="Y20" i="30"/>
  <c r="AA10" i="31"/>
  <c r="AA10" i="17"/>
  <c r="Z102" i="20"/>
  <c r="Z102" i="26"/>
  <c r="Z180" i="26"/>
  <c r="H179" i="22"/>
  <c r="Z110" i="28"/>
  <c r="Z180" i="28"/>
  <c r="Z180" i="25"/>
  <c r="S21" i="24"/>
  <c r="S22" i="24" s="1"/>
  <c r="S23" i="24" s="1"/>
  <c r="AD9" i="24"/>
  <c r="Y9" i="24"/>
  <c r="Y12" i="24" s="1"/>
  <c r="AD9" i="23"/>
  <c r="Y9" i="23"/>
  <c r="AF9" i="23" s="1"/>
  <c r="H179" i="23"/>
  <c r="T21" i="23"/>
  <c r="T22" i="23" s="1"/>
  <c r="T23" i="23" s="1"/>
  <c r="S21" i="23"/>
  <c r="S22" i="23" s="1"/>
  <c r="S23" i="23" s="1"/>
  <c r="Z180" i="21"/>
  <c r="Z193" i="21"/>
  <c r="Z193" i="20"/>
  <c r="Z102" i="19"/>
  <c r="Z110" i="19"/>
  <c r="Z180" i="19"/>
  <c r="Z102" i="18"/>
  <c r="Z180" i="18"/>
  <c r="Z110" i="18"/>
  <c r="S21" i="17"/>
  <c r="S22" i="17" s="1"/>
  <c r="S23" i="17" s="1"/>
  <c r="AE11" i="17"/>
  <c r="AQ11" i="17" s="1"/>
  <c r="AW11" i="17" s="1"/>
  <c r="AA11" i="17"/>
  <c r="Z175" i="17" s="1"/>
  <c r="T12" i="17"/>
  <c r="T21" i="17" s="1"/>
  <c r="T22" i="17" s="1"/>
  <c r="T23" i="17" s="1"/>
  <c r="AD9" i="17"/>
  <c r="Y9" i="17"/>
  <c r="Y12" i="17" s="1"/>
  <c r="Z180" i="17"/>
  <c r="Z102" i="16"/>
  <c r="Z180" i="16"/>
  <c r="S21" i="31"/>
  <c r="S22" i="31" s="1"/>
  <c r="S23" i="31" s="1"/>
  <c r="AF11" i="31"/>
  <c r="AE11" i="31"/>
  <c r="AQ11" i="31" s="1"/>
  <c r="AE10" i="31"/>
  <c r="AO10" i="31" s="1"/>
  <c r="H179" i="31"/>
  <c r="U12" i="31"/>
  <c r="U21" i="31" s="1"/>
  <c r="U22" i="31" s="1"/>
  <c r="U23" i="31" s="1"/>
  <c r="AD9" i="31"/>
  <c r="Y9" i="31"/>
  <c r="AF21" i="28"/>
  <c r="Z102" i="28"/>
  <c r="Z93" i="28"/>
  <c r="AA20" i="28"/>
  <c r="AA21" i="28" s="1"/>
  <c r="AA22" i="28" s="1"/>
  <c r="AA23" i="28" s="1"/>
  <c r="Z92" i="28"/>
  <c r="Z193" i="28"/>
  <c r="Y21" i="28"/>
  <c r="Y22" i="28" s="1"/>
  <c r="Y23" i="28" s="1"/>
  <c r="Z93" i="26"/>
  <c r="Z193" i="26"/>
  <c r="AN18" i="25"/>
  <c r="AQ18" i="25"/>
  <c r="AW18" i="25" s="1"/>
  <c r="AP18" i="25"/>
  <c r="AV18" i="25" s="1"/>
  <c r="AM18" i="25"/>
  <c r="AS18" i="25" s="1"/>
  <c r="AO18" i="25"/>
  <c r="AL18" i="25"/>
  <c r="AR18" i="25" s="1"/>
  <c r="AQ17" i="25"/>
  <c r="AW17" i="25" s="1"/>
  <c r="AN17" i="25"/>
  <c r="AL17" i="25"/>
  <c r="AR17" i="25" s="1"/>
  <c r="AM17" i="25"/>
  <c r="AS17" i="25" s="1"/>
  <c r="AP17" i="25"/>
  <c r="AV17" i="25" s="1"/>
  <c r="AO17" i="25"/>
  <c r="AQ19" i="25"/>
  <c r="AW19" i="25" s="1"/>
  <c r="AN19" i="25"/>
  <c r="AM19" i="25"/>
  <c r="AS19" i="25" s="1"/>
  <c r="AO19" i="25"/>
  <c r="AL19" i="25"/>
  <c r="AR19" i="25" s="1"/>
  <c r="AP19" i="25"/>
  <c r="AV19" i="25" s="1"/>
  <c r="AA7" i="25"/>
  <c r="AF7" i="25"/>
  <c r="AE7" i="25"/>
  <c r="Z93" i="25"/>
  <c r="Z92" i="25"/>
  <c r="AA20" i="25"/>
  <c r="Z99" i="25"/>
  <c r="Z100" i="25"/>
  <c r="Z174" i="25"/>
  <c r="Z175" i="25"/>
  <c r="Z169" i="25"/>
  <c r="Z172" i="25"/>
  <c r="Z170" i="25"/>
  <c r="Z171" i="25"/>
  <c r="Z173" i="25"/>
  <c r="Z191" i="25"/>
  <c r="Z187" i="25"/>
  <c r="Z192" i="25"/>
  <c r="Z188" i="25"/>
  <c r="Z189" i="25"/>
  <c r="Z186" i="25"/>
  <c r="Z190" i="25"/>
  <c r="AP19" i="24"/>
  <c r="AV19" i="24" s="1"/>
  <c r="AO19" i="24"/>
  <c r="AN19" i="24"/>
  <c r="AT19" i="24" s="1"/>
  <c r="AM19" i="24"/>
  <c r="AS19" i="24" s="1"/>
  <c r="AQ19" i="24"/>
  <c r="AW19" i="24" s="1"/>
  <c r="AL19" i="24"/>
  <c r="AR19" i="24" s="1"/>
  <c r="AP18" i="24"/>
  <c r="AV18" i="24" s="1"/>
  <c r="AO18" i="24"/>
  <c r="AN18" i="24"/>
  <c r="AT18" i="24" s="1"/>
  <c r="AM18" i="24"/>
  <c r="AS18" i="24" s="1"/>
  <c r="AQ18" i="24"/>
  <c r="AW18" i="24" s="1"/>
  <c r="AL18" i="24"/>
  <c r="AR18" i="24" s="1"/>
  <c r="H179" i="24"/>
  <c r="Z179" i="24"/>
  <c r="Z178" i="24"/>
  <c r="Z174" i="24"/>
  <c r="Z172" i="24"/>
  <c r="Z171" i="24"/>
  <c r="Z169" i="24"/>
  <c r="Z173" i="24"/>
  <c r="Z170" i="24"/>
  <c r="Z175" i="24"/>
  <c r="Z106" i="24"/>
  <c r="Z105" i="24"/>
  <c r="Z109" i="24"/>
  <c r="Z108" i="24"/>
  <c r="Z107" i="24"/>
  <c r="Z104" i="24"/>
  <c r="AA7" i="24"/>
  <c r="AF7" i="24"/>
  <c r="AE7" i="24"/>
  <c r="Z191" i="24"/>
  <c r="Z187" i="24"/>
  <c r="Z189" i="24"/>
  <c r="Z186" i="24"/>
  <c r="Z192" i="24"/>
  <c r="Z188" i="24"/>
  <c r="Z190" i="24"/>
  <c r="AN11" i="24"/>
  <c r="AT11" i="24" s="1"/>
  <c r="AM11" i="24"/>
  <c r="AS11" i="24" s="1"/>
  <c r="AO17" i="24"/>
  <c r="AP17" i="24"/>
  <c r="AV17" i="24" s="1"/>
  <c r="AM17" i="24"/>
  <c r="AS17" i="24" s="1"/>
  <c r="AN17" i="24"/>
  <c r="AT17" i="24" s="1"/>
  <c r="AQ17" i="24"/>
  <c r="AW17" i="24" s="1"/>
  <c r="AL17" i="24"/>
  <c r="AR17" i="24" s="1"/>
  <c r="Y20" i="24"/>
  <c r="AF14" i="24"/>
  <c r="AF20" i="24" s="1"/>
  <c r="AE14" i="24"/>
  <c r="AA14" i="24"/>
  <c r="AQ17" i="23"/>
  <c r="AN17" i="23"/>
  <c r="AT17" i="23" s="1"/>
  <c r="AM17" i="23"/>
  <c r="AS17" i="23" s="1"/>
  <c r="AO17" i="23"/>
  <c r="AP17" i="23"/>
  <c r="AV17" i="23" s="1"/>
  <c r="AL17" i="23"/>
  <c r="AR17" i="23" s="1"/>
  <c r="AQ18" i="23"/>
  <c r="AM18" i="23"/>
  <c r="AS18" i="23" s="1"/>
  <c r="AN18" i="23"/>
  <c r="AT18" i="23" s="1"/>
  <c r="AO18" i="23"/>
  <c r="AP18" i="23"/>
  <c r="AV18" i="23" s="1"/>
  <c r="AL18" i="23"/>
  <c r="AR18" i="23" s="1"/>
  <c r="Z109" i="23"/>
  <c r="Z107" i="23"/>
  <c r="Z108" i="23"/>
  <c r="Z106" i="23"/>
  <c r="Z104" i="23"/>
  <c r="Z105" i="23"/>
  <c r="Z179" i="23"/>
  <c r="Z178" i="23"/>
  <c r="Z191" i="23"/>
  <c r="Z187" i="23"/>
  <c r="Z192" i="23"/>
  <c r="Z188" i="23"/>
  <c r="Z189" i="23"/>
  <c r="Z190" i="23"/>
  <c r="Z186" i="23"/>
  <c r="Y20" i="23"/>
  <c r="AA14" i="23"/>
  <c r="AE14" i="23"/>
  <c r="AF14" i="23"/>
  <c r="AF20" i="23" s="1"/>
  <c r="AE7" i="23"/>
  <c r="AA7" i="23"/>
  <c r="AF7" i="23"/>
  <c r="Z174" i="23"/>
  <c r="Z175" i="23"/>
  <c r="Z169" i="23"/>
  <c r="Z172" i="23"/>
  <c r="Z170" i="23"/>
  <c r="Z173" i="23"/>
  <c r="Z171" i="23"/>
  <c r="AM19" i="23"/>
  <c r="AS19" i="23" s="1"/>
  <c r="AQ19" i="23"/>
  <c r="AN19" i="23"/>
  <c r="AT19" i="23" s="1"/>
  <c r="AO19" i="23"/>
  <c r="AP19" i="23"/>
  <c r="AV19" i="23" s="1"/>
  <c r="AL19" i="23"/>
  <c r="AR19" i="23" s="1"/>
  <c r="Z99" i="23"/>
  <c r="Z100" i="23"/>
  <c r="Z93" i="22"/>
  <c r="Z92" i="22"/>
  <c r="AA20" i="22"/>
  <c r="Z93" i="21"/>
  <c r="Z92" i="21"/>
  <c r="AA20" i="21"/>
  <c r="Z93" i="20"/>
  <c r="Z93" i="19"/>
  <c r="AA20" i="19"/>
  <c r="Z92" i="19"/>
  <c r="Z193" i="19"/>
  <c r="Y21" i="18"/>
  <c r="Y22" i="18" s="1"/>
  <c r="Y23" i="18" s="1"/>
  <c r="Z193" i="18"/>
  <c r="Z93" i="18"/>
  <c r="Z92" i="18"/>
  <c r="AA20" i="18"/>
  <c r="Z110" i="17"/>
  <c r="Z100" i="17"/>
  <c r="Z99" i="17"/>
  <c r="AQ17" i="17"/>
  <c r="AW17" i="17" s="1"/>
  <c r="AO17" i="17"/>
  <c r="AU17" i="17" s="1"/>
  <c r="AN17" i="17"/>
  <c r="AT17" i="17" s="1"/>
  <c r="AM17" i="17"/>
  <c r="AS17" i="17" s="1"/>
  <c r="AP17" i="17"/>
  <c r="AV17" i="17" s="1"/>
  <c r="AL17" i="17"/>
  <c r="AR17" i="17" s="1"/>
  <c r="Z191" i="17"/>
  <c r="Z187" i="17"/>
  <c r="Z192" i="17"/>
  <c r="Z188" i="17"/>
  <c r="Z189" i="17"/>
  <c r="Z186" i="17"/>
  <c r="Z190" i="17"/>
  <c r="AA7" i="17"/>
  <c r="AE7" i="17"/>
  <c r="AF7" i="17"/>
  <c r="AF14" i="17"/>
  <c r="AF20" i="17" s="1"/>
  <c r="AE14" i="17"/>
  <c r="Y20" i="17"/>
  <c r="AA14" i="17"/>
  <c r="H179" i="17"/>
  <c r="AQ19" i="17"/>
  <c r="AW19" i="17" s="1"/>
  <c r="AO19" i="17"/>
  <c r="AU19" i="17" s="1"/>
  <c r="AM19" i="17"/>
  <c r="AS19" i="17" s="1"/>
  <c r="AL19" i="17"/>
  <c r="AR19" i="17" s="1"/>
  <c r="AN19" i="17"/>
  <c r="AT19" i="17" s="1"/>
  <c r="AP19" i="17"/>
  <c r="AV19" i="17" s="1"/>
  <c r="AQ18" i="17"/>
  <c r="AW18" i="17" s="1"/>
  <c r="AO18" i="17"/>
  <c r="AU18" i="17" s="1"/>
  <c r="AN18" i="17"/>
  <c r="AT18" i="17" s="1"/>
  <c r="AM18" i="17"/>
  <c r="AS18" i="17" s="1"/>
  <c r="AP18" i="17"/>
  <c r="AV18" i="17" s="1"/>
  <c r="AL18" i="17"/>
  <c r="AR18" i="17" s="1"/>
  <c r="Y21" i="16"/>
  <c r="Y22" i="16" s="1"/>
  <c r="Y23" i="16" s="1"/>
  <c r="Z93" i="16"/>
  <c r="AA20" i="16"/>
  <c r="Z92" i="16"/>
  <c r="Z193" i="16"/>
  <c r="Z100" i="31"/>
  <c r="Z99" i="31"/>
  <c r="AQ17" i="31"/>
  <c r="AP17" i="31"/>
  <c r="AO17" i="31"/>
  <c r="AM17" i="31"/>
  <c r="AS17" i="31" s="1"/>
  <c r="AN17" i="31"/>
  <c r="AT17" i="31" s="1"/>
  <c r="AL17" i="31"/>
  <c r="AR17" i="31" s="1"/>
  <c r="AQ18" i="31"/>
  <c r="AN18" i="31"/>
  <c r="AT18" i="31" s="1"/>
  <c r="AM18" i="31"/>
  <c r="AS18" i="31" s="1"/>
  <c r="AP18" i="31"/>
  <c r="AO18" i="31"/>
  <c r="AL18" i="31"/>
  <c r="AR18" i="31" s="1"/>
  <c r="Z174" i="31"/>
  <c r="Z175" i="31"/>
  <c r="Z169" i="31"/>
  <c r="Z172" i="31"/>
  <c r="Z170" i="31"/>
  <c r="Z171" i="31"/>
  <c r="Z173" i="31"/>
  <c r="Z179" i="31"/>
  <c r="Z178" i="31"/>
  <c r="AA7" i="31"/>
  <c r="AF7" i="31"/>
  <c r="AE7" i="31"/>
  <c r="Y20" i="31"/>
  <c r="AF14" i="31"/>
  <c r="AF20" i="31" s="1"/>
  <c r="AE14" i="31"/>
  <c r="AA14" i="31"/>
  <c r="Z191" i="31"/>
  <c r="Z187" i="31"/>
  <c r="Z192" i="31"/>
  <c r="Z188" i="31"/>
  <c r="Z189" i="31"/>
  <c r="Z186" i="31"/>
  <c r="Z190" i="31"/>
  <c r="AQ19" i="31"/>
  <c r="AO19" i="31"/>
  <c r="AP19" i="31"/>
  <c r="AM19" i="31"/>
  <c r="AS19" i="31" s="1"/>
  <c r="AN19" i="31"/>
  <c r="AT19" i="31" s="1"/>
  <c r="AL19" i="31"/>
  <c r="AR19" i="31" s="1"/>
  <c r="Z110" i="31"/>
  <c r="X21" i="30"/>
  <c r="X22" i="30" s="1"/>
  <c r="X23" i="30" s="1"/>
  <c r="AF14" i="30"/>
  <c r="AF20" i="30" s="1"/>
  <c r="AE14" i="30"/>
  <c r="Z180" i="30"/>
  <c r="AO18" i="30"/>
  <c r="AL18" i="30"/>
  <c r="AR18" i="30" s="1"/>
  <c r="AP18" i="30"/>
  <c r="AV18" i="30" s="1"/>
  <c r="AQ18" i="30"/>
  <c r="AW18" i="30" s="1"/>
  <c r="AN18" i="30"/>
  <c r="AM18" i="30"/>
  <c r="AS18" i="30" s="1"/>
  <c r="H179" i="30"/>
  <c r="AF11" i="30"/>
  <c r="AE11" i="30"/>
  <c r="AA11" i="30"/>
  <c r="AO19" i="30"/>
  <c r="AL19" i="30"/>
  <c r="AR19" i="30" s="1"/>
  <c r="AP19" i="30"/>
  <c r="AV19" i="30" s="1"/>
  <c r="AQ19" i="30"/>
  <c r="AW19" i="30" s="1"/>
  <c r="AM19" i="30"/>
  <c r="AS19" i="30" s="1"/>
  <c r="AN19" i="30"/>
  <c r="Z191" i="30"/>
  <c r="Z187" i="30"/>
  <c r="Z192" i="30"/>
  <c r="Z188" i="30"/>
  <c r="Z189" i="30"/>
  <c r="Z190" i="30"/>
  <c r="Z186" i="30"/>
  <c r="AO17" i="30"/>
  <c r="AL17" i="30"/>
  <c r="AR17" i="30" s="1"/>
  <c r="AP17" i="30"/>
  <c r="AV17" i="30" s="1"/>
  <c r="AQ17" i="30"/>
  <c r="AW17" i="30" s="1"/>
  <c r="AN17" i="30"/>
  <c r="AM17" i="30"/>
  <c r="AS17" i="30" s="1"/>
  <c r="Z110" i="30"/>
  <c r="AF7" i="30"/>
  <c r="AE7" i="30"/>
  <c r="AA7" i="30"/>
  <c r="Y9" i="30"/>
  <c r="Y12" i="30" s="1"/>
  <c r="T12" i="30"/>
  <c r="T21" i="30" s="1"/>
  <c r="T22" i="30" s="1"/>
  <c r="T23" i="30" s="1"/>
  <c r="AD9" i="30"/>
  <c r="AE10" i="30"/>
  <c r="AF10" i="30"/>
  <c r="AA10" i="30"/>
  <c r="Z100" i="30"/>
  <c r="Z99" i="30"/>
  <c r="Z93" i="30"/>
  <c r="Z92" i="30"/>
  <c r="AA20" i="30"/>
  <c r="Z110" i="16" l="1"/>
  <c r="Z176" i="28"/>
  <c r="AF21" i="19"/>
  <c r="AH16" i="19" s="1"/>
  <c r="AI16" i="19" s="1"/>
  <c r="AK16" i="19" s="1"/>
  <c r="AM10" i="31"/>
  <c r="AS10" i="31" s="1"/>
  <c r="AL10" i="22"/>
  <c r="AR10" i="22" s="1"/>
  <c r="Z92" i="26"/>
  <c r="Z92" i="20"/>
  <c r="Z94" i="20" s="1"/>
  <c r="AF21" i="21"/>
  <c r="AH16" i="21" s="1"/>
  <c r="AI16" i="21" s="1"/>
  <c r="AK16" i="21" s="1"/>
  <c r="Z110" i="20"/>
  <c r="Z110" i="21"/>
  <c r="AO11" i="23"/>
  <c r="AF9" i="20"/>
  <c r="AF12" i="20" s="1"/>
  <c r="AF21" i="20" s="1"/>
  <c r="AH16" i="20" s="1"/>
  <c r="AI16" i="20" s="1"/>
  <c r="Z176" i="19"/>
  <c r="AL11" i="23"/>
  <c r="AR11" i="23" s="1"/>
  <c r="AM11" i="23"/>
  <c r="AS11" i="23" s="1"/>
  <c r="AP11" i="25"/>
  <c r="AV11" i="25" s="1"/>
  <c r="AN11" i="23"/>
  <c r="AT11" i="23" s="1"/>
  <c r="AA9" i="20"/>
  <c r="AM11" i="20"/>
  <c r="AS11" i="20" s="1"/>
  <c r="Z176" i="22"/>
  <c r="Z176" i="16"/>
  <c r="AP11" i="23"/>
  <c r="AV11" i="23" s="1"/>
  <c r="AQ11" i="25"/>
  <c r="AW11" i="25" s="1"/>
  <c r="AE9" i="20"/>
  <c r="AQ9" i="20" s="1"/>
  <c r="AW9" i="20" s="1"/>
  <c r="AN9" i="28"/>
  <c r="AO9" i="28"/>
  <c r="AP11" i="24"/>
  <c r="AV11" i="24" s="1"/>
  <c r="AL9" i="28"/>
  <c r="AR9" i="28" s="1"/>
  <c r="AM9" i="28"/>
  <c r="AS9" i="28" s="1"/>
  <c r="AO10" i="22"/>
  <c r="AL11" i="24"/>
  <c r="AR11" i="24" s="1"/>
  <c r="AP10" i="22"/>
  <c r="AV10" i="22" s="1"/>
  <c r="AM10" i="22"/>
  <c r="AS10" i="22" s="1"/>
  <c r="Y21" i="21"/>
  <c r="Y22" i="21" s="1"/>
  <c r="Y23" i="21" s="1"/>
  <c r="AQ11" i="24"/>
  <c r="AW11" i="24" s="1"/>
  <c r="AN10" i="22"/>
  <c r="Z110" i="22"/>
  <c r="AQ9" i="28"/>
  <c r="AM10" i="25"/>
  <c r="AS10" i="25" s="1"/>
  <c r="AQ10" i="20"/>
  <c r="AW10" i="20" s="1"/>
  <c r="AO11" i="20"/>
  <c r="AU11" i="20" s="1"/>
  <c r="AL11" i="20"/>
  <c r="AR11" i="20" s="1"/>
  <c r="AN10" i="23"/>
  <c r="AT10" i="23" s="1"/>
  <c r="AL11" i="25"/>
  <c r="AR11" i="25" s="1"/>
  <c r="AL10" i="20"/>
  <c r="AR10" i="20" s="1"/>
  <c r="AM11" i="25"/>
  <c r="AS11" i="25" s="1"/>
  <c r="AN11" i="25"/>
  <c r="AL10" i="17"/>
  <c r="AR10" i="17" s="1"/>
  <c r="AM10" i="20"/>
  <c r="AS10" i="20" s="1"/>
  <c r="AN11" i="20"/>
  <c r="AT11" i="20" s="1"/>
  <c r="AQ11" i="20"/>
  <c r="AW11" i="20" s="1"/>
  <c r="AO10" i="25"/>
  <c r="Z110" i="26"/>
  <c r="AL10" i="24"/>
  <c r="AR10" i="24" s="1"/>
  <c r="AL10" i="25"/>
  <c r="AR10" i="25" s="1"/>
  <c r="AQ10" i="25"/>
  <c r="AW10" i="25" s="1"/>
  <c r="AP10" i="25"/>
  <c r="AV10" i="25" s="1"/>
  <c r="AQ11" i="22"/>
  <c r="AN11" i="22"/>
  <c r="AM11" i="22"/>
  <c r="AS11" i="22" s="1"/>
  <c r="AP11" i="22"/>
  <c r="AV11" i="22" s="1"/>
  <c r="Z176" i="18"/>
  <c r="AL11" i="22"/>
  <c r="AR11" i="22" s="1"/>
  <c r="AP10" i="24"/>
  <c r="AV10" i="24" s="1"/>
  <c r="AO10" i="24"/>
  <c r="AF9" i="22"/>
  <c r="AF12" i="22" s="1"/>
  <c r="AF21" i="22" s="1"/>
  <c r="AH11" i="22" s="1"/>
  <c r="AI11" i="22" s="1"/>
  <c r="AJ11" i="22" s="1"/>
  <c r="AX11" i="22" s="1"/>
  <c r="AA9" i="22"/>
  <c r="AA12" i="22" s="1"/>
  <c r="AA21" i="22" s="1"/>
  <c r="AA22" i="22" s="1"/>
  <c r="AA23" i="22" s="1"/>
  <c r="Y12" i="22"/>
  <c r="Y21" i="22" s="1"/>
  <c r="Y22" i="22" s="1"/>
  <c r="Y23" i="22" s="1"/>
  <c r="AE9" i="22"/>
  <c r="AA21" i="19"/>
  <c r="AA22" i="19" s="1"/>
  <c r="AA23" i="19" s="1"/>
  <c r="Z174" i="21"/>
  <c r="Z170" i="21"/>
  <c r="AA12" i="21"/>
  <c r="AA21" i="21" s="1"/>
  <c r="AA22" i="21" s="1"/>
  <c r="AA23" i="21" s="1"/>
  <c r="Z173" i="21"/>
  <c r="Z175" i="21"/>
  <c r="Z171" i="21"/>
  <c r="Z169" i="21"/>
  <c r="Z172" i="21"/>
  <c r="AQ11" i="21"/>
  <c r="AW11" i="21" s="1"/>
  <c r="AN11" i="21"/>
  <c r="AO11" i="21"/>
  <c r="AU11" i="21" s="1"/>
  <c r="AL11" i="21"/>
  <c r="AR11" i="21" s="1"/>
  <c r="AM11" i="21"/>
  <c r="AS11" i="21" s="1"/>
  <c r="AP11" i="21"/>
  <c r="AV11" i="21" s="1"/>
  <c r="AO10" i="20"/>
  <c r="AU10" i="20" s="1"/>
  <c r="AN10" i="20"/>
  <c r="AT10" i="20" s="1"/>
  <c r="Z172" i="20"/>
  <c r="Z174" i="20"/>
  <c r="Z170" i="20"/>
  <c r="Z175" i="20"/>
  <c r="Z171" i="20"/>
  <c r="Z169" i="20"/>
  <c r="Z173" i="20"/>
  <c r="AA12" i="20"/>
  <c r="AA21" i="20" s="1"/>
  <c r="AA22" i="20" s="1"/>
  <c r="AA23" i="20" s="1"/>
  <c r="AP10" i="17"/>
  <c r="AV10" i="17" s="1"/>
  <c r="AQ10" i="17"/>
  <c r="AW10" i="17" s="1"/>
  <c r="AN10" i="17"/>
  <c r="AT10" i="17" s="1"/>
  <c r="AO10" i="17"/>
  <c r="AU10" i="17" s="1"/>
  <c r="AN11" i="17"/>
  <c r="AT11" i="17" s="1"/>
  <c r="AL10" i="23"/>
  <c r="AR10" i="23" s="1"/>
  <c r="AM10" i="23"/>
  <c r="AS10" i="23" s="1"/>
  <c r="AP10" i="23"/>
  <c r="AV10" i="23" s="1"/>
  <c r="AQ10" i="23"/>
  <c r="AM10" i="24"/>
  <c r="AS10" i="24" s="1"/>
  <c r="AQ10" i="24"/>
  <c r="AW10" i="24" s="1"/>
  <c r="Y21" i="30"/>
  <c r="Y22" i="30" s="1"/>
  <c r="Y23" i="30" s="1"/>
  <c r="AE9" i="26"/>
  <c r="AF9" i="26"/>
  <c r="AF12" i="26" s="1"/>
  <c r="AF21" i="26" s="1"/>
  <c r="AH19" i="26" s="1"/>
  <c r="AI19" i="26" s="1"/>
  <c r="AA9" i="26"/>
  <c r="AA12" i="26" s="1"/>
  <c r="AA21" i="26" s="1"/>
  <c r="AA22" i="26" s="1"/>
  <c r="AA23" i="26" s="1"/>
  <c r="Y12" i="26"/>
  <c r="Y21" i="26" s="1"/>
  <c r="Y22" i="26" s="1"/>
  <c r="Y23" i="26" s="1"/>
  <c r="AO10" i="26"/>
  <c r="AQ10" i="26"/>
  <c r="AP10" i="26"/>
  <c r="AV10" i="26" s="1"/>
  <c r="AN10" i="26"/>
  <c r="AL10" i="26"/>
  <c r="AR10" i="26" s="1"/>
  <c r="AM10" i="26"/>
  <c r="AS10" i="26" s="1"/>
  <c r="AO11" i="26"/>
  <c r="AN11" i="26"/>
  <c r="AP11" i="26"/>
  <c r="AV11" i="26" s="1"/>
  <c r="AQ11" i="26"/>
  <c r="AM11" i="26"/>
  <c r="AS11" i="26" s="1"/>
  <c r="AL11" i="26"/>
  <c r="AR11" i="26" s="1"/>
  <c r="AA9" i="25"/>
  <c r="AA12" i="25" s="1"/>
  <c r="AA21" i="25" s="1"/>
  <c r="AA22" i="25" s="1"/>
  <c r="AA23" i="25" s="1"/>
  <c r="AE9" i="25"/>
  <c r="AF9" i="25"/>
  <c r="AF12" i="25" s="1"/>
  <c r="AF21" i="25" s="1"/>
  <c r="Z174" i="26"/>
  <c r="Z175" i="26"/>
  <c r="Z173" i="26"/>
  <c r="Z169" i="26"/>
  <c r="Z172" i="26"/>
  <c r="Z170" i="26"/>
  <c r="Z171" i="26"/>
  <c r="AH17" i="19"/>
  <c r="AI17" i="19" s="1"/>
  <c r="AJ17" i="19" s="1"/>
  <c r="AX17" i="19" s="1"/>
  <c r="AH9" i="19"/>
  <c r="AI9" i="19" s="1"/>
  <c r="AK9" i="19" s="1"/>
  <c r="AH18" i="19"/>
  <c r="AI18" i="19" s="1"/>
  <c r="AJ18" i="19" s="1"/>
  <c r="AX18" i="19" s="1"/>
  <c r="AH10" i="19"/>
  <c r="AI10" i="19" s="1"/>
  <c r="AK10" i="19" s="1"/>
  <c r="AH8" i="19"/>
  <c r="AI8" i="19" s="1"/>
  <c r="AK8" i="19" s="1"/>
  <c r="AM9" i="19"/>
  <c r="AS9" i="19" s="1"/>
  <c r="AO9" i="19"/>
  <c r="AQ9" i="19"/>
  <c r="AP9" i="19"/>
  <c r="AV9" i="19" s="1"/>
  <c r="AN9" i="19"/>
  <c r="AL9" i="19"/>
  <c r="AR9" i="19" s="1"/>
  <c r="AH8" i="18"/>
  <c r="AI8" i="18" s="1"/>
  <c r="AK8" i="18" s="1"/>
  <c r="AP9" i="18"/>
  <c r="AV9" i="18" s="1"/>
  <c r="AN9" i="18"/>
  <c r="AM9" i="18"/>
  <c r="AS9" i="18" s="1"/>
  <c r="AO9" i="18"/>
  <c r="AU9" i="18" s="1"/>
  <c r="AL9" i="18"/>
  <c r="AR9" i="18" s="1"/>
  <c r="AQ9" i="18"/>
  <c r="AW9" i="18" s="1"/>
  <c r="AA21" i="18"/>
  <c r="AA22" i="18" s="1"/>
  <c r="AA23" i="18" s="1"/>
  <c r="AA21" i="16"/>
  <c r="AA22" i="16" s="1"/>
  <c r="AA23" i="16" s="1"/>
  <c r="AQ9" i="16"/>
  <c r="AM9" i="16"/>
  <c r="AS9" i="16" s="1"/>
  <c r="AP9" i="16"/>
  <c r="AV9" i="16" s="1"/>
  <c r="AN9" i="16"/>
  <c r="AL9" i="16"/>
  <c r="AR9" i="16" s="1"/>
  <c r="AO9" i="16"/>
  <c r="AE9" i="23"/>
  <c r="AQ9" i="23" s="1"/>
  <c r="AH10" i="18"/>
  <c r="AI10" i="18" s="1"/>
  <c r="AJ10" i="18" s="1"/>
  <c r="AX10" i="18" s="1"/>
  <c r="AH19" i="18"/>
  <c r="AI19" i="18" s="1"/>
  <c r="AJ19" i="18" s="1"/>
  <c r="AX19" i="18" s="1"/>
  <c r="AH7" i="18"/>
  <c r="AI7" i="18" s="1"/>
  <c r="Z94" i="22"/>
  <c r="AH17" i="18"/>
  <c r="AI17" i="18" s="1"/>
  <c r="AJ17" i="18" s="1"/>
  <c r="AX17" i="18" s="1"/>
  <c r="Y12" i="23"/>
  <c r="Y21" i="23" s="1"/>
  <c r="Y22" i="23" s="1"/>
  <c r="Y23" i="23" s="1"/>
  <c r="AA9" i="23"/>
  <c r="AA12" i="23" s="1"/>
  <c r="Z172" i="17"/>
  <c r="AP11" i="17"/>
  <c r="AV11" i="17" s="1"/>
  <c r="Z94" i="18"/>
  <c r="AH9" i="18"/>
  <c r="AI9" i="18" s="1"/>
  <c r="AK9" i="18" s="1"/>
  <c r="Z94" i="25"/>
  <c r="AA9" i="24"/>
  <c r="AA12" i="24" s="1"/>
  <c r="AF9" i="24"/>
  <c r="AF12" i="24" s="1"/>
  <c r="AF21" i="24" s="1"/>
  <c r="AE9" i="24"/>
  <c r="AQ9" i="24" s="1"/>
  <c r="AW9" i="24" s="1"/>
  <c r="Y21" i="24"/>
  <c r="Y22" i="24" s="1"/>
  <c r="Y23" i="24" s="1"/>
  <c r="Z180" i="24"/>
  <c r="Z110" i="24"/>
  <c r="Z180" i="23"/>
  <c r="Z94" i="21"/>
  <c r="AH10" i="21"/>
  <c r="AI10" i="21" s="1"/>
  <c r="AK10" i="21" s="1"/>
  <c r="Z94" i="19"/>
  <c r="AH18" i="18"/>
  <c r="AI18" i="18" s="1"/>
  <c r="AK18" i="18" s="1"/>
  <c r="AH11" i="18"/>
  <c r="AI11" i="18" s="1"/>
  <c r="AJ11" i="18" s="1"/>
  <c r="AX11" i="18" s="1"/>
  <c r="AH15" i="18"/>
  <c r="AI15" i="18" s="1"/>
  <c r="AK15" i="18" s="1"/>
  <c r="AH14" i="18"/>
  <c r="Z169" i="17"/>
  <c r="Z173" i="17"/>
  <c r="Z174" i="17"/>
  <c r="AL11" i="17"/>
  <c r="AR11" i="17" s="1"/>
  <c r="AO11" i="17"/>
  <c r="AU11" i="17" s="1"/>
  <c r="Z170" i="17"/>
  <c r="AM11" i="17"/>
  <c r="AS11" i="17" s="1"/>
  <c r="Z171" i="17"/>
  <c r="Z102" i="17"/>
  <c r="AF9" i="17"/>
  <c r="AF12" i="17" s="1"/>
  <c r="AF21" i="17" s="1"/>
  <c r="AA9" i="17"/>
  <c r="AA12" i="17" s="1"/>
  <c r="AE9" i="17"/>
  <c r="Y21" i="17"/>
  <c r="Y22" i="17" s="1"/>
  <c r="Y23" i="17" s="1"/>
  <c r="AP11" i="31"/>
  <c r="AO11" i="31"/>
  <c r="Z102" i="31"/>
  <c r="AN10" i="31"/>
  <c r="AT10" i="31" s="1"/>
  <c r="AQ10" i="31"/>
  <c r="AL11" i="31"/>
  <c r="AR11" i="31" s="1"/>
  <c r="AM11" i="31"/>
  <c r="AS11" i="31" s="1"/>
  <c r="AP10" i="31"/>
  <c r="AN11" i="31"/>
  <c r="AT11" i="31" s="1"/>
  <c r="AL10" i="31"/>
  <c r="AR10" i="31" s="1"/>
  <c r="AE9" i="31"/>
  <c r="AA9" i="31"/>
  <c r="AA12" i="31" s="1"/>
  <c r="AF9" i="31"/>
  <c r="AF12" i="31" s="1"/>
  <c r="AF21" i="31" s="1"/>
  <c r="Y12" i="31"/>
  <c r="Y21" i="31" s="1"/>
  <c r="Y22" i="31" s="1"/>
  <c r="Y23" i="31" s="1"/>
  <c r="Z94" i="28"/>
  <c r="AH11" i="28"/>
  <c r="AI11" i="28" s="1"/>
  <c r="AH17" i="28"/>
  <c r="AI17" i="28" s="1"/>
  <c r="AH9" i="28"/>
  <c r="AI9" i="28" s="1"/>
  <c r="AH19" i="28"/>
  <c r="AI19" i="28" s="1"/>
  <c r="AH14" i="28"/>
  <c r="AH16" i="28"/>
  <c r="AI16" i="28" s="1"/>
  <c r="AH8" i="28"/>
  <c r="AI8" i="28" s="1"/>
  <c r="AH18" i="28"/>
  <c r="AI18" i="28" s="1"/>
  <c r="AH15" i="28"/>
  <c r="AI15" i="28" s="1"/>
  <c r="AH10" i="28"/>
  <c r="AI10" i="28" s="1"/>
  <c r="AH7" i="28"/>
  <c r="Z94" i="26"/>
  <c r="Z102" i="25"/>
  <c r="Z176" i="25"/>
  <c r="Z193" i="25"/>
  <c r="Z176" i="24"/>
  <c r="Z93" i="24"/>
  <c r="Z92" i="24"/>
  <c r="AA20" i="24"/>
  <c r="Z193" i="24"/>
  <c r="AF12" i="23"/>
  <c r="AF21" i="23" s="1"/>
  <c r="Z93" i="23"/>
  <c r="Z92" i="23"/>
  <c r="AA20" i="23"/>
  <c r="Z110" i="23"/>
  <c r="Z176" i="23"/>
  <c r="Z102" i="23"/>
  <c r="Z193" i="23"/>
  <c r="AJ16" i="21"/>
  <c r="AX16" i="21" s="1"/>
  <c r="AJ16" i="18"/>
  <c r="AX16" i="18" s="1"/>
  <c r="AK16" i="18"/>
  <c r="Z93" i="17"/>
  <c r="Z92" i="17"/>
  <c r="AA20" i="17"/>
  <c r="Z193" i="17"/>
  <c r="AH11" i="16"/>
  <c r="AI11" i="16" s="1"/>
  <c r="AH8" i="16"/>
  <c r="AI8" i="16" s="1"/>
  <c r="AH17" i="16"/>
  <c r="AI17" i="16" s="1"/>
  <c r="AH19" i="16"/>
  <c r="AI19" i="16" s="1"/>
  <c r="AH18" i="16"/>
  <c r="AI18" i="16" s="1"/>
  <c r="AH9" i="16"/>
  <c r="AI9" i="16" s="1"/>
  <c r="AH14" i="16"/>
  <c r="AH10" i="16"/>
  <c r="AI10" i="16" s="1"/>
  <c r="AH16" i="16"/>
  <c r="AI16" i="16" s="1"/>
  <c r="AH15" i="16"/>
  <c r="AI15" i="16" s="1"/>
  <c r="AH7" i="16"/>
  <c r="Z94" i="16"/>
  <c r="Z176" i="31"/>
  <c r="Z193" i="31"/>
  <c r="Z93" i="31"/>
  <c r="Z92" i="31"/>
  <c r="AA20" i="31"/>
  <c r="Z180" i="31"/>
  <c r="Z102" i="30"/>
  <c r="Z193" i="30"/>
  <c r="Z174" i="30"/>
  <c r="Z175" i="30"/>
  <c r="Z169" i="30"/>
  <c r="Z172" i="30"/>
  <c r="Z170" i="30"/>
  <c r="Z171" i="30"/>
  <c r="Z173" i="30"/>
  <c r="AO10" i="30"/>
  <c r="AL10" i="30"/>
  <c r="AR10" i="30" s="1"/>
  <c r="AP10" i="30"/>
  <c r="AV10" i="30" s="1"/>
  <c r="AQ10" i="30"/>
  <c r="AW10" i="30" s="1"/>
  <c r="AN10" i="30"/>
  <c r="AM10" i="30"/>
  <c r="AS10" i="30" s="1"/>
  <c r="AL11" i="30"/>
  <c r="AR11" i="30" s="1"/>
  <c r="AO11" i="30"/>
  <c r="AQ11" i="30"/>
  <c r="AW11" i="30" s="1"/>
  <c r="AP11" i="30"/>
  <c r="AV11" i="30" s="1"/>
  <c r="AN11" i="30"/>
  <c r="AM11" i="30"/>
  <c r="AS11" i="30" s="1"/>
  <c r="AE9" i="30"/>
  <c r="AA9" i="30"/>
  <c r="AA12" i="30" s="1"/>
  <c r="AA21" i="30" s="1"/>
  <c r="AA22" i="30" s="1"/>
  <c r="AA23" i="30" s="1"/>
  <c r="AF9" i="30"/>
  <c r="AF12" i="30" s="1"/>
  <c r="AF21" i="30" s="1"/>
  <c r="Z94" i="30"/>
  <c r="AH11" i="21" l="1"/>
  <c r="AI11" i="21" s="1"/>
  <c r="AK11" i="21" s="1"/>
  <c r="AH19" i="21"/>
  <c r="AI19" i="21" s="1"/>
  <c r="AJ19" i="21" s="1"/>
  <c r="AX19" i="21" s="1"/>
  <c r="AH11" i="19"/>
  <c r="AI11" i="19" s="1"/>
  <c r="AJ11" i="19" s="1"/>
  <c r="AX11" i="19" s="1"/>
  <c r="AH15" i="19"/>
  <c r="AI15" i="19" s="1"/>
  <c r="AK15" i="19" s="1"/>
  <c r="AH14" i="19"/>
  <c r="AI14" i="19" s="1"/>
  <c r="AH10" i="20"/>
  <c r="AI10" i="20" s="1"/>
  <c r="AK10" i="20" s="1"/>
  <c r="AH15" i="21"/>
  <c r="AI15" i="21" s="1"/>
  <c r="AK15" i="21" s="1"/>
  <c r="AH8" i="21"/>
  <c r="AI8" i="21" s="1"/>
  <c r="AJ8" i="21" s="1"/>
  <c r="AX8" i="21" s="1"/>
  <c r="AH7" i="19"/>
  <c r="AH19" i="19"/>
  <c r="AI19" i="19" s="1"/>
  <c r="AJ19" i="19" s="1"/>
  <c r="AX19" i="19" s="1"/>
  <c r="AH8" i="20"/>
  <c r="AI8" i="20" s="1"/>
  <c r="AJ8" i="20" s="1"/>
  <c r="AX8" i="20" s="1"/>
  <c r="AH7" i="21"/>
  <c r="AH12" i="21" s="1"/>
  <c r="AH9" i="21"/>
  <c r="AI9" i="21" s="1"/>
  <c r="AJ9" i="21" s="1"/>
  <c r="AX9" i="21" s="1"/>
  <c r="AH17" i="21"/>
  <c r="AI17" i="21" s="1"/>
  <c r="AJ17" i="21" s="1"/>
  <c r="AX17" i="21" s="1"/>
  <c r="AH14" i="21"/>
  <c r="AI14" i="21" s="1"/>
  <c r="AH18" i="21"/>
  <c r="AI18" i="21" s="1"/>
  <c r="AK18" i="21" s="1"/>
  <c r="AH9" i="20"/>
  <c r="AI9" i="20" s="1"/>
  <c r="AK9" i="20" s="1"/>
  <c r="AL9" i="20"/>
  <c r="AR9" i="20" s="1"/>
  <c r="AH14" i="20"/>
  <c r="AH19" i="20"/>
  <c r="AI19" i="20" s="1"/>
  <c r="AJ19" i="20" s="1"/>
  <c r="AX19" i="20" s="1"/>
  <c r="AH7" i="20"/>
  <c r="AI7" i="20" s="1"/>
  <c r="AH18" i="20"/>
  <c r="AI18" i="20" s="1"/>
  <c r="AK18" i="20" s="1"/>
  <c r="AH11" i="20"/>
  <c r="AI11" i="20" s="1"/>
  <c r="AK11" i="20" s="1"/>
  <c r="AH17" i="20"/>
  <c r="AI17" i="20" s="1"/>
  <c r="AJ17" i="20" s="1"/>
  <c r="AX17" i="20" s="1"/>
  <c r="AH15" i="20"/>
  <c r="AI15" i="20" s="1"/>
  <c r="AK15" i="20" s="1"/>
  <c r="AH11" i="26"/>
  <c r="AI11" i="26" s="1"/>
  <c r="AK11" i="26" s="1"/>
  <c r="AH16" i="26"/>
  <c r="AI16" i="26" s="1"/>
  <c r="AJ16" i="26" s="1"/>
  <c r="AX16" i="26" s="1"/>
  <c r="AN9" i="20"/>
  <c r="AT9" i="20" s="1"/>
  <c r="AM9" i="20"/>
  <c r="AS9" i="20" s="1"/>
  <c r="AP9" i="20"/>
  <c r="AJ8" i="18"/>
  <c r="AX8" i="18" s="1"/>
  <c r="AO9" i="20"/>
  <c r="AU9" i="20" s="1"/>
  <c r="AH10" i="26"/>
  <c r="AI10" i="26" s="1"/>
  <c r="AJ10" i="26" s="1"/>
  <c r="AX10" i="26" s="1"/>
  <c r="AH17" i="26"/>
  <c r="AI17" i="26" s="1"/>
  <c r="AJ17" i="26" s="1"/>
  <c r="AX17" i="26" s="1"/>
  <c r="AH7" i="26"/>
  <c r="AJ9" i="19"/>
  <c r="AX9" i="19" s="1"/>
  <c r="AH19" i="22"/>
  <c r="AI19" i="22" s="1"/>
  <c r="AJ19" i="22" s="1"/>
  <c r="AX19" i="22" s="1"/>
  <c r="AH8" i="22"/>
  <c r="AI8" i="22" s="1"/>
  <c r="AJ8" i="22" s="1"/>
  <c r="AX8" i="22" s="1"/>
  <c r="AH7" i="22"/>
  <c r="AI7" i="22" s="1"/>
  <c r="AK19" i="19"/>
  <c r="AH8" i="26"/>
  <c r="AI8" i="26" s="1"/>
  <c r="AK8" i="26" s="1"/>
  <c r="AH14" i="26"/>
  <c r="AH18" i="26"/>
  <c r="AI18" i="26" s="1"/>
  <c r="AJ18" i="26" s="1"/>
  <c r="AX18" i="26" s="1"/>
  <c r="AH9" i="26"/>
  <c r="AI9" i="26" s="1"/>
  <c r="AJ9" i="26" s="1"/>
  <c r="AX9" i="26" s="1"/>
  <c r="AH15" i="26"/>
  <c r="AI15" i="26" s="1"/>
  <c r="AJ15" i="26" s="1"/>
  <c r="AX15" i="26" s="1"/>
  <c r="AJ10" i="21"/>
  <c r="AX10" i="21" s="1"/>
  <c r="AJ10" i="19"/>
  <c r="AX10" i="19" s="1"/>
  <c r="AK18" i="19"/>
  <c r="AJ8" i="19"/>
  <c r="AX8" i="19" s="1"/>
  <c r="AO9" i="23"/>
  <c r="AH16" i="22"/>
  <c r="AI16" i="22" s="1"/>
  <c r="AJ16" i="22" s="1"/>
  <c r="AX16" i="22" s="1"/>
  <c r="AH17" i="22"/>
  <c r="AI17" i="22" s="1"/>
  <c r="AJ17" i="22" s="1"/>
  <c r="AX17" i="22" s="1"/>
  <c r="AH18" i="22"/>
  <c r="AI18" i="22" s="1"/>
  <c r="AK18" i="22" s="1"/>
  <c r="AH10" i="22"/>
  <c r="AI10" i="22" s="1"/>
  <c r="AJ10" i="22" s="1"/>
  <c r="AX10" i="22" s="1"/>
  <c r="AH9" i="22"/>
  <c r="AI9" i="22" s="1"/>
  <c r="AJ9" i="22" s="1"/>
  <c r="AX9" i="22" s="1"/>
  <c r="AH14" i="22"/>
  <c r="AI14" i="22" s="1"/>
  <c r="AH15" i="22"/>
  <c r="AI15" i="22" s="1"/>
  <c r="AJ15" i="22" s="1"/>
  <c r="AX15" i="22" s="1"/>
  <c r="AN9" i="22"/>
  <c r="AQ9" i="22"/>
  <c r="AL9" i="22"/>
  <c r="AR9" i="22" s="1"/>
  <c r="AO9" i="22"/>
  <c r="AM9" i="22"/>
  <c r="AS9" i="22" s="1"/>
  <c r="AP9" i="22"/>
  <c r="AV9" i="22" s="1"/>
  <c r="AH12" i="19"/>
  <c r="AK10" i="18"/>
  <c r="Z176" i="21"/>
  <c r="Z176" i="20"/>
  <c r="AM9" i="23"/>
  <c r="AS9" i="23" s="1"/>
  <c r="AK17" i="19"/>
  <c r="AL9" i="23"/>
  <c r="AR9" i="23" s="1"/>
  <c r="AN9" i="23"/>
  <c r="AT9" i="23" s="1"/>
  <c r="AP9" i="23"/>
  <c r="AV9" i="23" s="1"/>
  <c r="AJ11" i="21"/>
  <c r="AX11" i="21" s="1"/>
  <c r="AH10" i="25"/>
  <c r="AI10" i="25" s="1"/>
  <c r="AJ10" i="25" s="1"/>
  <c r="AX10" i="25" s="1"/>
  <c r="AH7" i="25"/>
  <c r="AH11" i="25"/>
  <c r="AI11" i="25" s="1"/>
  <c r="AK11" i="25" s="1"/>
  <c r="AH8" i="25"/>
  <c r="AI8" i="25" s="1"/>
  <c r="AK8" i="25" s="1"/>
  <c r="AH9" i="25"/>
  <c r="AI9" i="25" s="1"/>
  <c r="AJ9" i="25" s="1"/>
  <c r="AX9" i="25" s="1"/>
  <c r="AH19" i="25"/>
  <c r="AI19" i="25" s="1"/>
  <c r="AK19" i="25" s="1"/>
  <c r="AH18" i="25"/>
  <c r="AI18" i="25" s="1"/>
  <c r="AJ18" i="25" s="1"/>
  <c r="AX18" i="25" s="1"/>
  <c r="AH17" i="25"/>
  <c r="AI17" i="25" s="1"/>
  <c r="AJ17" i="25" s="1"/>
  <c r="AX17" i="25" s="1"/>
  <c r="AH16" i="25"/>
  <c r="AI16" i="25" s="1"/>
  <c r="AJ16" i="25" s="1"/>
  <c r="AX16" i="25" s="1"/>
  <c r="AH14" i="25"/>
  <c r="AI14" i="25" s="1"/>
  <c r="AH15" i="25"/>
  <c r="AI15" i="25" s="1"/>
  <c r="AJ15" i="25" s="1"/>
  <c r="AX15" i="25" s="1"/>
  <c r="AN9" i="25"/>
  <c r="AQ9" i="25"/>
  <c r="AW9" i="25" s="1"/>
  <c r="AM9" i="25"/>
  <c r="AS9" i="25" s="1"/>
  <c r="AP9" i="25"/>
  <c r="AV9" i="25" s="1"/>
  <c r="AO9" i="25"/>
  <c r="AL9" i="25"/>
  <c r="AR9" i="25" s="1"/>
  <c r="Z176" i="26"/>
  <c r="AO9" i="26"/>
  <c r="AP9" i="26"/>
  <c r="AV9" i="26" s="1"/>
  <c r="AQ9" i="26"/>
  <c r="AN9" i="26"/>
  <c r="AM9" i="26"/>
  <c r="AS9" i="26" s="1"/>
  <c r="AL9" i="26"/>
  <c r="AR9" i="26" s="1"/>
  <c r="AK16" i="22"/>
  <c r="AK19" i="18"/>
  <c r="AJ16" i="19"/>
  <c r="AX16" i="19" s="1"/>
  <c r="AI7" i="19"/>
  <c r="AK7" i="19" s="1"/>
  <c r="AJ9" i="18"/>
  <c r="AX9" i="18" s="1"/>
  <c r="AH20" i="18"/>
  <c r="AH12" i="18"/>
  <c r="Z176" i="17"/>
  <c r="AK17" i="18"/>
  <c r="AK11" i="18"/>
  <c r="AA21" i="23"/>
  <c r="AA22" i="23" s="1"/>
  <c r="AA23" i="23" s="1"/>
  <c r="Z94" i="17"/>
  <c r="AJ18" i="18"/>
  <c r="AX18" i="18" s="1"/>
  <c r="AA21" i="24"/>
  <c r="AA22" i="24" s="1"/>
  <c r="AA23" i="24" s="1"/>
  <c r="AN9" i="24"/>
  <c r="AT9" i="24" s="1"/>
  <c r="AP9" i="24"/>
  <c r="AV9" i="24" s="1"/>
  <c r="AL9" i="24"/>
  <c r="AR9" i="24" s="1"/>
  <c r="AM9" i="24"/>
  <c r="AS9" i="24" s="1"/>
  <c r="AO9" i="24"/>
  <c r="Z94" i="24"/>
  <c r="Z94" i="23"/>
  <c r="AK11" i="22"/>
  <c r="AK19" i="21"/>
  <c r="AJ15" i="18"/>
  <c r="AX15" i="18" s="1"/>
  <c r="AI14" i="18"/>
  <c r="AI20" i="18" s="1"/>
  <c r="AO9" i="17"/>
  <c r="AU9" i="17" s="1"/>
  <c r="AM9" i="17"/>
  <c r="AS9" i="17" s="1"/>
  <c r="AQ9" i="17"/>
  <c r="AW9" i="17" s="1"/>
  <c r="AL9" i="17"/>
  <c r="AR9" i="17" s="1"/>
  <c r="AP9" i="17"/>
  <c r="AV9" i="17" s="1"/>
  <c r="AN9" i="17"/>
  <c r="AT9" i="17" s="1"/>
  <c r="AA21" i="17"/>
  <c r="AA22" i="17" s="1"/>
  <c r="AA23" i="17" s="1"/>
  <c r="Z94" i="31"/>
  <c r="AO9" i="31"/>
  <c r="AN9" i="31"/>
  <c r="AT9" i="31" s="1"/>
  <c r="AQ9" i="31"/>
  <c r="AM9" i="31"/>
  <c r="AS9" i="31" s="1"/>
  <c r="AP9" i="31"/>
  <c r="AL9" i="31"/>
  <c r="AR9" i="31" s="1"/>
  <c r="AA21" i="31"/>
  <c r="AA22" i="31" s="1"/>
  <c r="AA23" i="31" s="1"/>
  <c r="AJ9" i="28"/>
  <c r="AX9" i="28" s="1"/>
  <c r="AK9" i="28"/>
  <c r="AJ10" i="28"/>
  <c r="AX10" i="28" s="1"/>
  <c r="AK10" i="28"/>
  <c r="AJ16" i="28"/>
  <c r="AX16" i="28" s="1"/>
  <c r="AK16" i="28"/>
  <c r="AJ17" i="28"/>
  <c r="AX17" i="28" s="1"/>
  <c r="AK17" i="28"/>
  <c r="AH12" i="28"/>
  <c r="AI7" i="28"/>
  <c r="AJ15" i="28"/>
  <c r="AX15" i="28" s="1"/>
  <c r="AK15" i="28"/>
  <c r="AI14" i="28"/>
  <c r="AH20" i="28"/>
  <c r="AJ11" i="28"/>
  <c r="AX11" i="28" s="1"/>
  <c r="AK11" i="28"/>
  <c r="AJ8" i="28"/>
  <c r="AX8" i="28" s="1"/>
  <c r="AK8" i="28"/>
  <c r="AJ18" i="28"/>
  <c r="AX18" i="28" s="1"/>
  <c r="AK18" i="28"/>
  <c r="AJ19" i="28"/>
  <c r="AX19" i="28" s="1"/>
  <c r="AK19" i="28"/>
  <c r="AJ19" i="26"/>
  <c r="AX19" i="26" s="1"/>
  <c r="AK19" i="26"/>
  <c r="AJ11" i="26"/>
  <c r="AX11" i="26" s="1"/>
  <c r="AH19" i="24"/>
  <c r="AI19" i="24" s="1"/>
  <c r="AH18" i="24"/>
  <c r="AI18" i="24" s="1"/>
  <c r="AH17" i="24"/>
  <c r="AI17" i="24" s="1"/>
  <c r="AH11" i="24"/>
  <c r="AI11" i="24" s="1"/>
  <c r="AH7" i="24"/>
  <c r="AH8" i="24"/>
  <c r="AI8" i="24" s="1"/>
  <c r="AH14" i="24"/>
  <c r="AH9" i="24"/>
  <c r="AI9" i="24" s="1"/>
  <c r="AH10" i="24"/>
  <c r="AI10" i="24" s="1"/>
  <c r="AH16" i="24"/>
  <c r="AI16" i="24" s="1"/>
  <c r="AH15" i="24"/>
  <c r="AI15" i="24" s="1"/>
  <c r="AH19" i="23"/>
  <c r="AI19" i="23" s="1"/>
  <c r="AH18" i="23"/>
  <c r="AI18" i="23" s="1"/>
  <c r="AH17" i="23"/>
  <c r="AI17" i="23" s="1"/>
  <c r="AH16" i="23"/>
  <c r="AI16" i="23" s="1"/>
  <c r="AH15" i="23"/>
  <c r="AI15" i="23" s="1"/>
  <c r="AH14" i="23"/>
  <c r="AH9" i="23"/>
  <c r="AI9" i="23" s="1"/>
  <c r="AH10" i="23"/>
  <c r="AI10" i="23" s="1"/>
  <c r="AH7" i="23"/>
  <c r="AH11" i="23"/>
  <c r="AI11" i="23" s="1"/>
  <c r="AH8" i="23"/>
  <c r="AI8" i="23" s="1"/>
  <c r="AJ9" i="20"/>
  <c r="AX9" i="20" s="1"/>
  <c r="AI14" i="20"/>
  <c r="AJ15" i="20"/>
  <c r="AX15" i="20" s="1"/>
  <c r="AJ16" i="20"/>
  <c r="AX16" i="20" s="1"/>
  <c r="AK16" i="20"/>
  <c r="AJ10" i="20"/>
  <c r="AX10" i="20" s="1"/>
  <c r="AK8" i="20"/>
  <c r="AI20" i="19"/>
  <c r="AJ14" i="19"/>
  <c r="AX14" i="19" s="1"/>
  <c r="AK14" i="19"/>
  <c r="AI12" i="18"/>
  <c r="AJ7" i="18"/>
  <c r="AX7" i="18" s="1"/>
  <c r="AK7" i="18"/>
  <c r="AH11" i="17"/>
  <c r="AI11" i="17" s="1"/>
  <c r="AH19" i="17"/>
  <c r="AI19" i="17" s="1"/>
  <c r="AH18" i="17"/>
  <c r="AI18" i="17" s="1"/>
  <c r="AH17" i="17"/>
  <c r="AI17" i="17" s="1"/>
  <c r="AH16" i="17"/>
  <c r="AI16" i="17" s="1"/>
  <c r="AH15" i="17"/>
  <c r="AI15" i="17" s="1"/>
  <c r="AH14" i="17"/>
  <c r="AH7" i="17"/>
  <c r="AH9" i="17"/>
  <c r="AI9" i="17" s="1"/>
  <c r="AH8" i="17"/>
  <c r="AI8" i="17" s="1"/>
  <c r="AH10" i="17"/>
  <c r="AI10" i="17" s="1"/>
  <c r="AJ10" i="16"/>
  <c r="AX10" i="16" s="1"/>
  <c r="AK10" i="16"/>
  <c r="AJ17" i="16"/>
  <c r="AX17" i="16" s="1"/>
  <c r="AK17" i="16"/>
  <c r="AJ15" i="16"/>
  <c r="AX15" i="16" s="1"/>
  <c r="AK15" i="16"/>
  <c r="AJ9" i="16"/>
  <c r="AX9" i="16" s="1"/>
  <c r="AK9" i="16"/>
  <c r="AJ8" i="16"/>
  <c r="AX8" i="16" s="1"/>
  <c r="AK8" i="16"/>
  <c r="AJ19" i="16"/>
  <c r="AX19" i="16" s="1"/>
  <c r="AK19" i="16"/>
  <c r="AH12" i="16"/>
  <c r="AI7" i="16"/>
  <c r="AI14" i="16"/>
  <c r="AH20" i="16"/>
  <c r="AJ16" i="16"/>
  <c r="AX16" i="16" s="1"/>
  <c r="AK16" i="16"/>
  <c r="AJ18" i="16"/>
  <c r="AX18" i="16" s="1"/>
  <c r="AK18" i="16"/>
  <c r="AJ11" i="16"/>
  <c r="AX11" i="16" s="1"/>
  <c r="AK11" i="16"/>
  <c r="AH19" i="31"/>
  <c r="AI19" i="31" s="1"/>
  <c r="AH18" i="31"/>
  <c r="AI18" i="31" s="1"/>
  <c r="AH17" i="31"/>
  <c r="AI17" i="31" s="1"/>
  <c r="AH16" i="31"/>
  <c r="AI16" i="31" s="1"/>
  <c r="AH15" i="31"/>
  <c r="AI15" i="31" s="1"/>
  <c r="AH14" i="31"/>
  <c r="AH11" i="31"/>
  <c r="AI11" i="31" s="1"/>
  <c r="AH7" i="31"/>
  <c r="AH9" i="31"/>
  <c r="AI9" i="31" s="1"/>
  <c r="AH8" i="31"/>
  <c r="AI8" i="31" s="1"/>
  <c r="AH10" i="31"/>
  <c r="AI10" i="31" s="1"/>
  <c r="AH19" i="30"/>
  <c r="AI19" i="30" s="1"/>
  <c r="AH18" i="30"/>
  <c r="AI18" i="30" s="1"/>
  <c r="AH17" i="30"/>
  <c r="AI17" i="30" s="1"/>
  <c r="AH16" i="30"/>
  <c r="AI16" i="30" s="1"/>
  <c r="AH15" i="30"/>
  <c r="AI15" i="30" s="1"/>
  <c r="AH14" i="30"/>
  <c r="AH8" i="30"/>
  <c r="AI8" i="30" s="1"/>
  <c r="AH10" i="30"/>
  <c r="AI10" i="30" s="1"/>
  <c r="AH7" i="30"/>
  <c r="AH9" i="30"/>
  <c r="AI9" i="30" s="1"/>
  <c r="AH11" i="30"/>
  <c r="AI11" i="30" s="1"/>
  <c r="Z176" i="30"/>
  <c r="AO9" i="30"/>
  <c r="AL9" i="30"/>
  <c r="AR9" i="30" s="1"/>
  <c r="AP9" i="30"/>
  <c r="AV9" i="30" s="1"/>
  <c r="AQ9" i="30"/>
  <c r="AW9" i="30" s="1"/>
  <c r="AN9" i="30"/>
  <c r="AM9" i="30"/>
  <c r="AS9" i="30" s="1"/>
  <c r="AJ18" i="21" l="1"/>
  <c r="AX18" i="21" s="1"/>
  <c r="AJ15" i="21"/>
  <c r="AX15" i="21" s="1"/>
  <c r="AI7" i="21"/>
  <c r="AK7" i="21" s="1"/>
  <c r="AK12" i="21" s="1"/>
  <c r="AK11" i="19"/>
  <c r="AK12" i="19" s="1"/>
  <c r="AH20" i="21"/>
  <c r="AK8" i="21"/>
  <c r="AH20" i="19"/>
  <c r="AJ15" i="19"/>
  <c r="AX15" i="19" s="1"/>
  <c r="AK17" i="21"/>
  <c r="AJ18" i="20"/>
  <c r="AX18" i="20" s="1"/>
  <c r="AJ8" i="25"/>
  <c r="AX8" i="25" s="1"/>
  <c r="AI20" i="21"/>
  <c r="AK9" i="21"/>
  <c r="AK16" i="26"/>
  <c r="AK17" i="26"/>
  <c r="AJ11" i="20"/>
  <c r="AX11" i="20" s="1"/>
  <c r="AH12" i="20"/>
  <c r="AK19" i="20"/>
  <c r="AI20" i="22"/>
  <c r="AK15" i="26"/>
  <c r="AK19" i="22"/>
  <c r="AH20" i="26"/>
  <c r="AJ8" i="26"/>
  <c r="AX8" i="26" s="1"/>
  <c r="AI12" i="22"/>
  <c r="AI21" i="22" s="1"/>
  <c r="AI22" i="22" s="1"/>
  <c r="AH12" i="26"/>
  <c r="AK17" i="20"/>
  <c r="AH20" i="20"/>
  <c r="AH21" i="20" s="1"/>
  <c r="AI7" i="26"/>
  <c r="AK7" i="26" s="1"/>
  <c r="AK9" i="26"/>
  <c r="AI14" i="26"/>
  <c r="AK14" i="26" s="1"/>
  <c r="AK20" i="26" s="1"/>
  <c r="AK10" i="26"/>
  <c r="AK10" i="22"/>
  <c r="AK8" i="22"/>
  <c r="AK9" i="22"/>
  <c r="AK12" i="18"/>
  <c r="AK7" i="22"/>
  <c r="AJ7" i="22"/>
  <c r="AX7" i="22" s="1"/>
  <c r="AH12" i="22"/>
  <c r="AK10" i="25"/>
  <c r="AK9" i="25"/>
  <c r="AK16" i="25"/>
  <c r="AK18" i="26"/>
  <c r="AJ14" i="22"/>
  <c r="AX14" i="22" s="1"/>
  <c r="AI12" i="21"/>
  <c r="AI21" i="21" s="1"/>
  <c r="AI22" i="21" s="1"/>
  <c r="AJ11" i="25"/>
  <c r="AX11" i="25" s="1"/>
  <c r="AJ18" i="22"/>
  <c r="AX18" i="22" s="1"/>
  <c r="AK15" i="22"/>
  <c r="AK20" i="19"/>
  <c r="AK17" i="22"/>
  <c r="AK14" i="22"/>
  <c r="AH20" i="22"/>
  <c r="AH21" i="19"/>
  <c r="AK18" i="25"/>
  <c r="AH12" i="25"/>
  <c r="AK15" i="25"/>
  <c r="AH21" i="21"/>
  <c r="AI7" i="25"/>
  <c r="AI12" i="25" s="1"/>
  <c r="AJ19" i="25"/>
  <c r="AX19" i="25" s="1"/>
  <c r="AH20" i="25"/>
  <c r="AK17" i="25"/>
  <c r="AJ7" i="19"/>
  <c r="AX7" i="19" s="1"/>
  <c r="AI12" i="19"/>
  <c r="AI21" i="19" s="1"/>
  <c r="AI22" i="19" s="1"/>
  <c r="AH21" i="18"/>
  <c r="AK14" i="21"/>
  <c r="AK20" i="21" s="1"/>
  <c r="AJ14" i="21"/>
  <c r="AX14" i="21" s="1"/>
  <c r="AK14" i="18"/>
  <c r="AK20" i="18" s="1"/>
  <c r="AJ14" i="18"/>
  <c r="AX14" i="18" s="1"/>
  <c r="AI21" i="18"/>
  <c r="AI22" i="18" s="1"/>
  <c r="AI12" i="28"/>
  <c r="AJ7" i="28"/>
  <c r="AX7" i="28" s="1"/>
  <c r="AK7" i="28"/>
  <c r="AK12" i="28" s="1"/>
  <c r="AI20" i="28"/>
  <c r="AJ14" i="28"/>
  <c r="AX14" i="28" s="1"/>
  <c r="AK14" i="28"/>
  <c r="AK20" i="28" s="1"/>
  <c r="AH21" i="28"/>
  <c r="AJ14" i="26"/>
  <c r="AX14" i="26" s="1"/>
  <c r="AJ14" i="25"/>
  <c r="AX14" i="25" s="1"/>
  <c r="AI20" i="25"/>
  <c r="AK14" i="25"/>
  <c r="AJ9" i="24"/>
  <c r="AX9" i="24" s="1"/>
  <c r="AK9" i="24"/>
  <c r="AJ15" i="24"/>
  <c r="AX15" i="24" s="1"/>
  <c r="AK15" i="24"/>
  <c r="AJ17" i="24"/>
  <c r="AX17" i="24" s="1"/>
  <c r="AK17" i="24"/>
  <c r="AJ16" i="24"/>
  <c r="AX16" i="24" s="1"/>
  <c r="AK16" i="24"/>
  <c r="AJ8" i="24"/>
  <c r="AX8" i="24" s="1"/>
  <c r="AK8" i="24"/>
  <c r="AJ18" i="24"/>
  <c r="AX18" i="24" s="1"/>
  <c r="AK18" i="24"/>
  <c r="AJ11" i="24"/>
  <c r="AX11" i="24" s="1"/>
  <c r="AK11" i="24"/>
  <c r="AI14" i="24"/>
  <c r="AH20" i="24"/>
  <c r="AJ10" i="24"/>
  <c r="AX10" i="24" s="1"/>
  <c r="AK10" i="24"/>
  <c r="AH12" i="24"/>
  <c r="AI7" i="24"/>
  <c r="AJ19" i="24"/>
  <c r="AX19" i="24" s="1"/>
  <c r="AK19" i="24"/>
  <c r="AJ16" i="23"/>
  <c r="AX16" i="23" s="1"/>
  <c r="AK16" i="23"/>
  <c r="AJ8" i="23"/>
  <c r="AX8" i="23" s="1"/>
  <c r="AK8" i="23"/>
  <c r="AJ9" i="23"/>
  <c r="AX9" i="23" s="1"/>
  <c r="AK9" i="23"/>
  <c r="AJ17" i="23"/>
  <c r="AX17" i="23" s="1"/>
  <c r="AK17" i="23"/>
  <c r="AJ11" i="23"/>
  <c r="AX11" i="23" s="1"/>
  <c r="AK11" i="23"/>
  <c r="AH20" i="23"/>
  <c r="AI14" i="23"/>
  <c r="AJ18" i="23"/>
  <c r="AX18" i="23" s="1"/>
  <c r="AK18" i="23"/>
  <c r="AJ10" i="23"/>
  <c r="AX10" i="23" s="1"/>
  <c r="AK10" i="23"/>
  <c r="AH12" i="23"/>
  <c r="AI7" i="23"/>
  <c r="AJ15" i="23"/>
  <c r="AX15" i="23" s="1"/>
  <c r="AK15" i="23"/>
  <c r="AJ19" i="23"/>
  <c r="AX19" i="23" s="1"/>
  <c r="AK19" i="23"/>
  <c r="AI12" i="20"/>
  <c r="AJ7" i="20"/>
  <c r="AX7" i="20" s="1"/>
  <c r="AK7" i="20"/>
  <c r="AK12" i="20" s="1"/>
  <c r="AJ14" i="20"/>
  <c r="AX14" i="20" s="1"/>
  <c r="AI20" i="20"/>
  <c r="AK14" i="20"/>
  <c r="AH12" i="17"/>
  <c r="AI7" i="17"/>
  <c r="AJ18" i="17"/>
  <c r="AX18" i="17" s="1"/>
  <c r="AK18" i="17"/>
  <c r="AJ8" i="17"/>
  <c r="AX8" i="17" s="1"/>
  <c r="AK8" i="17"/>
  <c r="AJ15" i="17"/>
  <c r="AX15" i="17" s="1"/>
  <c r="AK15" i="17"/>
  <c r="AJ19" i="17"/>
  <c r="AX19" i="17" s="1"/>
  <c r="AK19" i="17"/>
  <c r="AJ17" i="17"/>
  <c r="AX17" i="17" s="1"/>
  <c r="AK17" i="17"/>
  <c r="AJ10" i="17"/>
  <c r="AX10" i="17" s="1"/>
  <c r="AK10" i="17"/>
  <c r="AH20" i="17"/>
  <c r="AI14" i="17"/>
  <c r="AJ9" i="17"/>
  <c r="AX9" i="17" s="1"/>
  <c r="AK9" i="17"/>
  <c r="AJ16" i="17"/>
  <c r="AX16" i="17" s="1"/>
  <c r="AK16" i="17"/>
  <c r="AJ11" i="17"/>
  <c r="AX11" i="17" s="1"/>
  <c r="AK11" i="17"/>
  <c r="AI20" i="16"/>
  <c r="AJ14" i="16"/>
  <c r="AX14" i="16" s="1"/>
  <c r="AK14" i="16"/>
  <c r="AK20" i="16" s="1"/>
  <c r="AI12" i="16"/>
  <c r="AJ7" i="16"/>
  <c r="AX7" i="16" s="1"/>
  <c r="AK7" i="16"/>
  <c r="AK12" i="16" s="1"/>
  <c r="AH21" i="16"/>
  <c r="AJ16" i="31"/>
  <c r="AX16" i="31" s="1"/>
  <c r="AK16" i="31"/>
  <c r="AJ10" i="31"/>
  <c r="AX10" i="31" s="1"/>
  <c r="AK10" i="31"/>
  <c r="AJ17" i="31"/>
  <c r="AX17" i="31" s="1"/>
  <c r="AK17" i="31"/>
  <c r="AJ8" i="31"/>
  <c r="AX8" i="31" s="1"/>
  <c r="AK8" i="31"/>
  <c r="AH20" i="31"/>
  <c r="AI14" i="31"/>
  <c r="AJ18" i="31"/>
  <c r="AX18" i="31" s="1"/>
  <c r="AK18" i="31"/>
  <c r="AH12" i="31"/>
  <c r="AI7" i="31"/>
  <c r="AJ11" i="31"/>
  <c r="AX11" i="31" s="1"/>
  <c r="AK11" i="31"/>
  <c r="AJ9" i="31"/>
  <c r="AX9" i="31" s="1"/>
  <c r="AK9" i="31"/>
  <c r="AJ15" i="31"/>
  <c r="AX15" i="31" s="1"/>
  <c r="AK15" i="31"/>
  <c r="AJ19" i="31"/>
  <c r="AX19" i="31" s="1"/>
  <c r="AK19" i="31"/>
  <c r="N15" i="29"/>
  <c r="Q16" i="29"/>
  <c r="Q11" i="29"/>
  <c r="Q13" i="29"/>
  <c r="AJ16" i="30"/>
  <c r="AX16" i="30" s="1"/>
  <c r="AK16" i="30"/>
  <c r="AJ11" i="30"/>
  <c r="AX11" i="30" s="1"/>
  <c r="AK11" i="30"/>
  <c r="AJ17" i="30"/>
  <c r="AX17" i="30" s="1"/>
  <c r="AK17" i="30"/>
  <c r="AJ9" i="30"/>
  <c r="AX9" i="30" s="1"/>
  <c r="AK9" i="30"/>
  <c r="AH20" i="30"/>
  <c r="AI14" i="30"/>
  <c r="AJ18" i="30"/>
  <c r="AX18" i="30" s="1"/>
  <c r="AK18" i="30"/>
  <c r="AJ10" i="30"/>
  <c r="AX10" i="30" s="1"/>
  <c r="AK10" i="30"/>
  <c r="AJ8" i="30"/>
  <c r="AX8" i="30" s="1"/>
  <c r="AK8" i="30"/>
  <c r="AI7" i="30"/>
  <c r="AH12" i="30"/>
  <c r="AJ15" i="30"/>
  <c r="AX15" i="30" s="1"/>
  <c r="AK15" i="30"/>
  <c r="AJ19" i="30"/>
  <c r="AX19" i="30" s="1"/>
  <c r="AK19" i="30"/>
  <c r="Q12" i="29"/>
  <c r="Q17" i="29"/>
  <c r="Q9" i="29"/>
  <c r="N14" i="29"/>
  <c r="Q14" i="29"/>
  <c r="N12" i="29"/>
  <c r="Q10" i="29"/>
  <c r="Q8" i="29"/>
  <c r="N17" i="29"/>
  <c r="Q15" i="29"/>
  <c r="N9" i="29"/>
  <c r="AJ7" i="21" l="1"/>
  <c r="AX7" i="21" s="1"/>
  <c r="AK20" i="22"/>
  <c r="AJ7" i="26"/>
  <c r="AX7" i="26" s="1"/>
  <c r="AK12" i="22"/>
  <c r="AK21" i="22" s="1"/>
  <c r="AK22" i="22" s="1"/>
  <c r="AK21" i="18"/>
  <c r="AK22" i="18" s="1"/>
  <c r="AK21" i="19"/>
  <c r="AK22" i="19" s="1"/>
  <c r="AI12" i="26"/>
  <c r="AI21" i="26" s="1"/>
  <c r="AI22" i="26" s="1"/>
  <c r="AH21" i="26"/>
  <c r="AK7" i="25"/>
  <c r="AK12" i="25" s="1"/>
  <c r="AK12" i="26"/>
  <c r="AI20" i="26"/>
  <c r="AK20" i="20"/>
  <c r="AK21" i="20" s="1"/>
  <c r="AK22" i="20" s="1"/>
  <c r="AJ7" i="25"/>
  <c r="AX7" i="25" s="1"/>
  <c r="AH21" i="22"/>
  <c r="AH21" i="25"/>
  <c r="AK20" i="25"/>
  <c r="AK21" i="21"/>
  <c r="AK22" i="21" s="1"/>
  <c r="AH21" i="31"/>
  <c r="AK21" i="26"/>
  <c r="AK22" i="26" s="1"/>
  <c r="AI21" i="25"/>
  <c r="AI22" i="25" s="1"/>
  <c r="AH21" i="23"/>
  <c r="AI21" i="16"/>
  <c r="AI22" i="16" s="1"/>
  <c r="AK21" i="28"/>
  <c r="AK22" i="28" s="1"/>
  <c r="AI21" i="28"/>
  <c r="AI22" i="28" s="1"/>
  <c r="AI12" i="24"/>
  <c r="AJ7" i="24"/>
  <c r="AX7" i="24" s="1"/>
  <c r="AK7" i="24"/>
  <c r="AK12" i="24" s="1"/>
  <c r="AH21" i="24"/>
  <c r="AJ14" i="24"/>
  <c r="AX14" i="24" s="1"/>
  <c r="AI20" i="24"/>
  <c r="AK14" i="24"/>
  <c r="AK20" i="24" s="1"/>
  <c r="AI20" i="23"/>
  <c r="AJ14" i="23"/>
  <c r="AX14" i="23" s="1"/>
  <c r="AK14" i="23"/>
  <c r="AK20" i="23" s="1"/>
  <c r="AJ7" i="23"/>
  <c r="AX7" i="23" s="1"/>
  <c r="AI12" i="23"/>
  <c r="AK7" i="23"/>
  <c r="AK12" i="23" s="1"/>
  <c r="AI21" i="20"/>
  <c r="AI22" i="20" s="1"/>
  <c r="AI12" i="17"/>
  <c r="AJ7" i="17"/>
  <c r="AX7" i="17" s="1"/>
  <c r="AK7" i="17"/>
  <c r="AK12" i="17" s="1"/>
  <c r="AI20" i="17"/>
  <c r="AJ14" i="17"/>
  <c r="AX14" i="17" s="1"/>
  <c r="AK14" i="17"/>
  <c r="AK20" i="17" s="1"/>
  <c r="AH21" i="17"/>
  <c r="AK21" i="16"/>
  <c r="AK22" i="16" s="1"/>
  <c r="AI12" i="31"/>
  <c r="AJ7" i="31"/>
  <c r="AX7" i="31" s="1"/>
  <c r="AK7" i="31"/>
  <c r="AK12" i="31" s="1"/>
  <c r="AI20" i="31"/>
  <c r="AJ14" i="31"/>
  <c r="AX14" i="31" s="1"/>
  <c r="AK14" i="31"/>
  <c r="AK20" i="31" s="1"/>
  <c r="N13" i="29"/>
  <c r="AH21" i="30"/>
  <c r="AJ14" i="30"/>
  <c r="AX14" i="30" s="1"/>
  <c r="AI20" i="30"/>
  <c r="AK14" i="30"/>
  <c r="AK20" i="30" s="1"/>
  <c r="AI12" i="30"/>
  <c r="AJ7" i="30"/>
  <c r="AX7" i="30" s="1"/>
  <c r="AK7" i="30"/>
  <c r="AK12" i="30" s="1"/>
  <c r="N16" i="29"/>
  <c r="N7" i="29"/>
  <c r="Q7" i="29"/>
  <c r="N10" i="29"/>
  <c r="N11" i="29"/>
  <c r="N8" i="29"/>
  <c r="M17" i="29"/>
  <c r="M16" i="29"/>
  <c r="M15" i="29"/>
  <c r="M14" i="29"/>
  <c r="M13" i="29"/>
  <c r="M12" i="29"/>
  <c r="M11" i="29"/>
  <c r="M10" i="29"/>
  <c r="M9" i="29"/>
  <c r="M8" i="29"/>
  <c r="M7" i="29"/>
  <c r="AK21" i="25" l="1"/>
  <c r="AK22" i="25" s="1"/>
  <c r="AI21" i="23"/>
  <c r="AI22" i="23" s="1"/>
  <c r="AK21" i="17"/>
  <c r="AK22" i="17" s="1"/>
  <c r="AI21" i="24"/>
  <c r="AI22" i="24" s="1"/>
  <c r="AK21" i="23"/>
  <c r="AK22" i="23" s="1"/>
  <c r="AK21" i="31"/>
  <c r="AK22" i="31" s="1"/>
  <c r="AK21" i="24"/>
  <c r="AK22" i="24" s="1"/>
  <c r="AI21" i="17"/>
  <c r="AI22" i="17" s="1"/>
  <c r="AI21" i="31"/>
  <c r="AI22" i="31" s="1"/>
  <c r="AI21" i="30"/>
  <c r="AI22" i="30" s="1"/>
  <c r="AK21" i="30"/>
  <c r="AK22" i="30" s="1"/>
  <c r="N6" i="29" l="1"/>
  <c r="Q6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B750AF86-C25B-4CC5-B24B-12CF5368C5C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CBBB4C59-0373-4298-87FC-9B2E34D9F9A3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BA20FA02-C32C-4904-B979-5A13DB628DE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84F87453-10BC-462C-B9D2-1CD2B47D38D2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7F98B84C-6E41-45E4-8357-32A7F42577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4411C767-53E5-42A2-B5E3-9FB90B24C1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5D0FA6C7-8DBB-46ED-B1DD-695F405463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081F33FE-5FAC-43D1-875F-D181431B21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5DA5B174-0B90-4962-81B9-755D0ED5C98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F2320D3E-321F-4DC9-9738-558A15FE40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6DC48A7B-06DB-4C97-A56F-E4E8301513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3E1BEA83-1FDE-461D-B3E1-118BE90B63E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7A31A031-24E1-417A-B2D6-2DC45507871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6F666DB3-32BC-4CC4-885B-A67D9770EBCA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E6705FB4-1C81-4A6D-9EC8-2D6EC84D54C5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E544D34C-3E8D-4F55-BB8D-A8C6AACD21A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23B929D3-981C-4CE5-9337-5CD31F2B3A4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B123F944-7518-467F-9877-94F239E2262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4765EF1B-B264-435D-A77F-4ECAABC4D5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DDE93FD5-2C3E-480B-927C-B08822FA1D5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A9FCBCA2-B275-445A-AD58-2ADBECBC73E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E90000B2-6E53-43CE-851F-A1BCC2C1BDE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DF264608-CE84-4D55-8A6D-BDE4798263E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0A1A0596-A9D8-44E8-9501-76D383974C6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BE8F3DFA-AC3F-494B-9C13-C95482AEB696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27DAFB2A-53F9-4888-80CF-E4444DE87D56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A86A0725-7C18-47EB-A9AA-308583393A3B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EC469D20-B2DA-4144-8AD2-E0AC6A92C0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21FC10A1-9C18-437F-A9EF-07B42F8C7B5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6EE52F23-DDB4-4336-893F-94E9A59909C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820F7093-E1C8-4F7D-9A28-7CD54C9CA75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E1E9F29F-5CFB-4A7D-BC40-6FDE2E58857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5916FB5A-C2AB-4A66-A508-547DB8FAD48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D5A7A9B3-231E-4265-90A6-A2054CBF46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0815CABA-C8F0-46A2-9B10-566C40EA998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01F5205D-EC26-4EE9-BF99-A1CB8A84159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A72F75B8-0FEF-4BC9-BB5A-7B036E57F6E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98EF387B-DC01-4728-917B-CE5D481A46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0EF04BDC-6C4A-4A8C-88ED-DB1156D1BF3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88B7C4EC-8BAB-4AEC-A017-BEBE9D9E0EA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04E0AB26-6592-4353-AFF5-8B8759CE0FE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B7985F66-B89A-4249-A223-57789FDFA9D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A6634EF5-8413-4369-94EE-D7E767C1EBF0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1CD972DB-1498-43B3-BACE-22F667EF34BC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6FD54612-79AA-44B9-860E-EA1FD0BEF93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6A55B4AD-A4EF-49C4-95D8-47307C69725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33312DF3-4EB3-4A54-BD94-6B88E81EC2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53442B6C-8CBA-4047-A5D0-B1734F3A8A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6885C633-5D38-4CC1-A5BD-DF0A58E50E1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CE1996F4-9C42-41F0-AE0A-08D54B4A06D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5BCD7874-B67A-4273-AA37-8C808DB7C39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C45E6F4A-F368-48C1-91C6-0B2349194B5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FB4F26F4-C48E-4114-8452-0A0E6C22D6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B1F861FE-4820-4A45-8D54-DC895337FFEF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7BD50950-8902-4201-90A5-E28E05A0866D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DE6C3357-2C2F-4A64-A25F-51E38AEF5B93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1FFA74DC-6F17-43E3-A048-C5975791FA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329055B5-41B6-445D-88C3-1F5A296B7BC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0C4128DE-8471-444B-9A85-D32CAE547D1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36CED3BD-48C7-401D-94D6-9FDA042FEE83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6337CF71-EF35-4022-B735-AB31BEFA229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51B1C0D7-6779-4B02-98EF-67133C6E7177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8A6CF38A-C349-4E19-8326-9E7FA435D1D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987BAAB0-DFC9-414C-BEA6-5DE671511ED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7887B08-DFB6-45FB-A8C3-9B584ACBC44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38E2EF88-8E26-42FE-BB1A-2B3402E478E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07697FD5-D48B-4FF2-A3AC-939A65FFD46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A3F41CA6-B0BA-473C-A88D-5C521343501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924A63D0-CFBD-4C12-AA94-1F99B9FB921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0F78CEDA-3AB2-469C-97A7-28AA26DEB20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63C0B20D-765E-443B-A8EE-A5D1A18CF53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B3C4A0DF-9CAD-4094-B97D-E82B9062BEB8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9FBB911A-5C60-40F2-8801-C0B33F53DA09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8AFA4319-0891-489B-8BAF-F0CBC04F3A3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AFAAC965-07D6-4BA8-908E-A59633EF36D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EAD146BD-A9E7-4878-841B-2CA677072A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720B0B16-6521-4154-8EDE-BBA460D79A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1A13B607-AEC9-41A1-91F3-6C6BC8A7107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1A9A3B5A-67B8-4123-8C12-B4863FD616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2414BA5C-06BC-443F-B2A6-E587EE8DFCA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41669FDF-7845-4F95-8067-CD59B55327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45D30D4C-146B-4EBD-A54C-C57C36F3F19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4E66B2B0-0258-442E-A308-A7D79F448530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0E96201D-9412-495D-9835-E76D3F0D7709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3CFE6B52-E8AB-4BF7-A1F4-3F5257AB1C3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1B576761-5797-4844-9E1D-25D6092ECC8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C09D666F-AE49-43E3-B6BF-0D92E0EE10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4EAFC047-70C9-4AE9-B3C8-91DBA6888EF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ACDF396E-2B8C-438F-A5FA-5C4721B8113F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C0384697-7117-4EC9-B2BA-C38D083F42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A5106982-16D7-412C-870E-185F0E02BC5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50044AE3-FFC5-4266-809D-0F94EDBFC51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CA101C2F-6308-469D-B433-7384B4A591B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4E655EA-A439-4845-9BB2-300C199801A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886C83ED-95D7-4BF7-A323-C388F07FC97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50D12B40-1B54-4F97-B87D-454491B9097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344839A2-7EA3-49D1-A80E-1181047D028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95ACEBAC-A14C-46C1-9587-83A5CF5A960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B560B250-0C47-49A8-8AAD-5EA01D40A1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02F434AE-F40C-45FC-8D17-0E4536FB7D6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25D4CA76-8DA8-4744-A74B-1EE18B2F6B00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93907D4C-36B5-4694-9516-A200079E25BB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73871786-36A5-45BD-8464-399FBE2F8F6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CAC5B408-DF4A-4034-A8AD-85CDF6F2F78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45245BA2-CF7A-4D0D-BCA7-784A1F13460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43CCFF30-D2B2-4560-8C30-ECFDB71AAA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F69C4AE1-232A-438B-B276-24A3FFCD2E2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24C58D72-DE62-4642-9D9B-E862EBCB24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A5F2DD5D-56CB-4C9B-BF0D-2B5DAB2AA8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AF55C0E7-D666-4807-B27B-CB79A79F618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398120A8-FB9A-47A0-95D0-CD5AA982CBB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300359E9-09E1-4CFA-83A4-27EC7C30FD8E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B183A442-E965-416A-918D-D7A1EFF8F27E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0C48E1B8-7732-4B9C-9FE2-EFFC6A17C2E2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C36EDB39-4CE7-4811-B434-CADA0E3DD60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BA341D77-EC01-4D6D-AD1C-ABF05211187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721CCBB7-896C-49E8-9192-45BEF1DEA5D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A2AF84B7-C7BE-4D65-9316-6B26B35CCA27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49ED6BCD-396D-4D57-B61C-46955ED45FD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FF39BB5C-DAAC-405A-9899-138E44E7ACAB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47906D43-D4D4-4065-8ED1-5B996F8A5C2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676495C0-E00A-4208-9123-1853F4DB44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000C2CB4-2219-4812-A63C-5051A80D33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073D3D5E-627B-4955-A0CC-5BD55673F97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AC4BF599-06A6-41E5-B0A3-58791EDBA2D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144D3909-F873-45D2-9310-2732BD89F17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72762160-DC7F-4C12-9D1D-A6AF43260E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FA84DAF7-DCDC-4A47-807A-8384BF0E000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58457A48-74AA-4D51-8CBE-E7E853CB842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04D08F92-C681-4FEE-83D4-C1AEA159D3D3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B5BA2176-7457-45C6-8DCF-5B10E25CC467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230EF6D2-F68B-4B06-AF20-24910DCCA08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03EDEE0A-9389-44B5-865F-A3F30878B03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C66FAA8E-870E-4AE6-80A2-23A56CD3A2D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ED45CC29-D714-4951-A32E-3C757DEADDF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B44EE443-1B3B-439F-B4A0-7D2DE323906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EF9ACCF6-1DF9-4566-9A04-E671061D185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893F434C-4AF5-433E-BE9C-B186F5E01F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5B7201BD-DC5C-4DF1-8703-448C48BFA07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D677C5BC-C39D-447C-86AB-D8BD1DCCB98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A8038D4E-3BC9-43AF-A1D2-E00F7803D540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D0BAF207-F7EE-42D3-A49F-B2ECE4BB19E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EB0667B9-985E-4AC7-B71C-7B936F93E670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440214A4-5237-4BDB-AE86-6D3753AA008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0CEFFB92-D26D-4DCD-9E18-FEA87C3317E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F951A05C-6F80-4DAE-B50D-1F997C4FC62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1F96EB70-CDAF-4101-A808-278A2680528F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EF5027F8-25EB-4D79-B8D8-05DFD2A362E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9E370AE7-7D42-4925-9FAD-C57F71901651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F4775FC3-2615-4E6C-BB27-C72B40FEF9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EE484EEF-FDD9-4DFD-B2DF-FDF00167827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A9F8A530-406D-4C10-8B8A-6EBAE2C549E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0BB98673-D91B-46AD-AD3A-DFD2BF7F2C0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D5FB0CA0-CF6F-4C5D-99C6-66EB43B83F6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A970D60A-B99F-4A28-83FF-B53D3DCFE3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12BC91B9-1C06-4736-9EB4-4A9B63FD2F6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0720536A-D5F9-4B75-8F0A-1C52008DF09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0A5EA6BF-8028-48FD-8AF3-2EAFAA3B1AB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12755C82-84E3-42FC-8F6C-42A01431A1AD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BB3C0C22-17F6-49EF-A740-D5BFF93E702E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758085F8-F69A-4740-9A79-5AABF0FBC49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EB5F2281-8BB8-4F4E-A7AB-174DE1630E9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EB5AA283-65C7-4438-A672-302D06E868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FD09F2C0-6181-4035-A9E6-F112547ED33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A689FCF9-52A8-4DD1-8A0F-11B9975084A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BB6CFA1D-2D28-4F5B-8C11-58C70937234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1EA74AFD-9ED3-425F-BC80-38E82593668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6C47C843-D92F-4604-A10E-764C5C51E1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7203CF85-DDBA-42C1-8320-F7BA972A56D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7C160A40-34DB-4732-9623-587371C2BD00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3C6B6C53-1D8A-44AD-B30F-524A9ACF2F42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30C777BD-1259-498C-99F9-E21BCA8BAAE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FD62C60E-E45B-4CA1-B016-68D9830B987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655AE2FD-C403-468E-94BF-18C64A834E8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CE01075B-6183-4722-B381-6FC7EEDF1BC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5D8F8736-B87C-48EB-8373-B227DF9C6BBC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766FFCFD-01FE-4F38-B789-A4812411C8C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81EDB611-047F-480D-81DB-21354A99EE8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26690679-40C7-493C-AD22-3BB5A9EC0B3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BC921087-5D97-4053-A97A-83E5F86EE44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A9F623A-BC29-4827-991C-45EF993742F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CD944149-66C6-4D91-95BF-5FCD3509EC3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05D88D5B-6BD5-43EA-A866-CF4297B3721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B7EC3698-D5F7-4A9A-9D6C-DDDEE702EBE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0C9D5629-4962-4C0D-8E58-5F5CD6C58A6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A3313742-B93F-4618-9F14-148456B30A7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7745A23A-53C5-4873-B49F-80B2B68FA88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CF6FC338-5203-48FE-A74F-C3A68D0F2DFA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B457C130-D00C-4BAD-A57A-650E432A9EC2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0F00316B-B345-49DC-9D85-90502CFE70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9C623BA6-E7B6-41C2-8AD1-A38971B1DF4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FA70113A-0067-469F-96D1-694BED3FBE8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77BD199F-95D5-4843-98A2-260347A9B46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545AEDC8-AB0E-4C29-8852-97C7EB7A651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116028A9-1801-412F-9DC1-32F247E6AA2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6F7CA918-373B-43A7-ACC9-599501F4C66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83942562-9FB8-4A5C-83D9-5D972B37F44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47534CCD-8323-4EA3-A5A6-9F08E8FCFF4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E5DE7DF3-87AA-468D-9370-7D1652788CB1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FB5925C1-4C58-49B6-A903-11A3AD61AEF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DF07EE67-C846-4FE8-8A65-968DB5389708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E0CDA270-A584-4CE7-B751-54883D1C18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0A66C316-4EFF-400E-8AF3-10D046ACC00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9C5D147A-3A73-439C-B427-33F87D25FE6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994EACF6-3152-4231-8627-D12AD6A9B2DA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66188CBE-AE73-4418-8464-54871DF631E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DC9BDE4F-7AC2-4F71-8EE9-3AD6C9E7FC3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F3701F77-5F38-4DB0-81C1-BE9A4A09504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71DCCC18-9C0A-4089-8F2B-5AD180C760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2C921CA1-0350-4DAB-BFF3-BDE2E92F522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2C8CDFD4-7741-481A-867E-F5765B61C0D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60A98C0D-931A-4F74-A53D-A5F8F0A670F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B17D0EB9-E41A-49B0-AD5D-77413E074FD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4EC98914-6512-43CF-B663-7110A83AD0C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85054044-9E89-4083-8CE7-A5334D12307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DC73C648-441B-472D-B7E8-16DC3F0003A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8AACC136-0913-40FA-AD5D-E4D25279BD68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56400A1E-C9C8-4E86-B34D-CA52107EDC4C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E36CC2AE-57C5-472A-B9B4-BD07A63DB80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3B66F5D0-1549-47FE-B306-F1DF2E9551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842847D3-0E6B-41D3-9F28-3645834FDBA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CE220A1B-99A1-465C-B40B-F0886A57A56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B4442E7D-D54C-42B4-93B6-BDA7FED12A2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FC719DB6-2678-4317-93B5-4E71EDF127A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CCE8EE7E-3E01-4DCF-8755-40B53DAAA6A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2FFD438C-2919-4166-9D97-13DC9AD37E6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83CA5076-0DB3-4E83-8E54-1F0937BDD9D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DAA6D494-BA1E-4583-B37D-8F1F40D9E459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9DA96D42-2EA8-4CF8-8984-81CFCAF94308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25AA4392-2519-41F4-AD03-1EDC3500668E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CE5E277F-6964-4635-A524-6576F0F9CF3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4586E953-FC47-41D6-9FDB-1053FB70BAA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A3AD83A6-765D-4AD7-B043-703F5E84378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8545C8CE-0681-43C6-A1BA-00DE7AE585FB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4F84C169-0B81-4814-B2C6-AAA85177925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5EA7F728-6C2E-4F12-BC16-F7AD8DC504F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BEB8864B-B481-43AE-90B6-845341B8BA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AED59A8F-9D53-4BDC-8349-FA08C197083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1B331F1-8762-455E-BC40-1029EB4B03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43B92091-4742-40FA-8998-20878FC7067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551327C7-2821-4804-AFA2-007DA2ED59A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BD30C91A-4CF1-449D-9E18-6212DE47A4C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3A68BAF5-D0AB-457C-995E-0820006C783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8225C5E7-59D9-44FF-ABF5-47115BEC277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B547B29B-0811-4C8B-8383-14F2EFC6B9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F8B2BD81-3E01-434E-BE9F-4BE7194803A1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FD5FE7EE-C666-4658-B646-AAE480CFCC4C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563C29A7-684D-4F04-A513-61453FBD155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344502F7-513B-4898-9C62-70F8BA1D7DF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300F3DC0-8D94-4007-A1C8-1D06707E181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68C1893A-D34E-4CF5-A4BB-636064EC09D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E9AA16E8-864C-40EC-8016-84950B674E6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9361E8B6-E443-4840-B8C9-91A42C68B5F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0BA40CD3-6CE7-455A-B6A3-4A50B74ED9D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E110329D-DD18-4744-9E1D-72F98643601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26067333-18BD-42A8-BA4E-DD4F11E3803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C24045F3-F096-404D-8EE4-2493DD272087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973220F8-750C-42C8-9DAC-9188B852043B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B4C4156E-846E-4EAF-BACD-AFEF43F96677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6A40E76E-38FA-442F-B4B9-403B3FF8FDF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A7DAF60E-9EC4-48E1-86BF-951833DC363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316CC6B3-C001-47C7-8DA0-F0F33E7C1F5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47B09886-0599-4E73-BC71-F6554064183A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AA8FC687-F63D-4645-9CA1-BB1ADFAA8C7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5E8A38D1-FFEF-45D4-9AC7-49A652CCDE7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19EC7F4E-EC45-450A-947F-63DD50EE459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961A6F22-4C99-47C8-B6B3-4A2F14D7B88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27DFFCB-9EA7-4DD4-974C-1B57E235B17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E73A8951-2619-4896-845D-45C49C9980B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64EACA5B-24F4-4D53-BF29-6D7CA54755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E3938F7A-3D72-4841-94BB-4B856C53FEC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F3D2B84B-5774-4B35-A87C-1646F7E0117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5CE90208-83E3-423B-9A95-D6D3CFB6CC0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B2F78C2E-7A4D-4689-80B6-838765F372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D8C8C34E-885F-48E3-AA3C-D5FE9D74087A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FE051B0E-B4F9-4497-9FFD-7C9AFA9BB6C4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D249D391-E615-4EF6-93CA-D7B76E87E9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F26E2DE8-B3F9-47EE-947D-5032DFE032A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30EE1557-8559-4250-9827-41670A7A846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518CCD09-5408-4081-B971-EC8CF0647AE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ABEE5FC1-ACB0-4289-96FA-6F9A3DD7382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6435DF8D-C5E7-4018-BAA5-B4F42EF3D10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F4BE453F-3CF4-4276-AD75-5C26DD8170E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D9C3DABE-1980-4815-89A0-8BFC3453509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C708B5A9-F5A7-4569-BCF6-A2B7817D8AF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ECD7BED2-8749-4FAD-8BD8-4C1A92532278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7977DB5C-FB0F-491D-9FFF-3F2B860F43F4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11C9D090-07A1-4D51-8047-A13358261729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501F52B4-C19C-4191-8F87-F8CAB2EB850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40099F70-3D9A-4CBD-BE45-65CF60A49E5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20FCCF10-C9E1-4A8F-AD65-96B68B7F20B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53E4DF28-1028-406C-B1DB-7A1F967D20AD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FBD9D39B-291A-492E-BCD6-540C0D1918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A37436C7-C961-452B-A5F9-BEA3672AD7DB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7A71017D-3F0B-492F-A09B-E899E70AD4F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6BEED44E-56F2-462D-B234-1EC7ED5042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662F85A2-130E-47CC-93B5-ADF03AA308D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69319C8C-A755-4B62-A8E0-88F009C99D6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D67C4BC9-0BDC-4717-93CC-258CAE78B74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F5400A8A-DBF4-4FAE-8289-D8F690E7414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558F9DC3-BF89-4641-8AD8-ECB7C5DDF4B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3754BEB7-095D-4F1C-8EFF-32995ED65AB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849FAD0D-0D84-4AD3-A897-04F15C3F5B0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E0095505-2973-421D-B9A1-E69BBD36E103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CC6885C8-D0C2-49A7-BA2E-9281C8B5A841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2E8B87C7-2488-4E36-B1DE-6B297380EEA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37DB2F03-5357-4C28-B4F5-DCC9BC8FAB5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A908889D-438A-4258-AA72-C2B01569483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FC980844-6CCD-40E1-A56D-DF28396FE26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602F6621-BE0B-40D1-B204-CE2B4C44352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8F208857-1E80-4BBD-A789-D528643BB8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9CCE82C2-812D-4E55-9D22-468B4A4551E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0A057BB6-437A-4B93-8EC0-0C304B52157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1EFD3588-2E11-44B2-B193-693C1A787A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1FCF8034-5D62-494B-AF05-BA712881DADD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B62BD05A-F3AA-48FE-A572-EAD3BFACB0C4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EF811BA6-B899-4B2F-9D1C-25D8F26C3109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D22193DD-5518-4DE1-8A6D-CECF39FBC1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600244C1-7879-429C-A59D-056E96DE4FB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0F7C654B-BA21-45F2-9B89-B7EF20196E8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4BECD63D-A4F3-4423-AEB5-D0446F5C047E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655C761B-6640-45E7-B998-2AEE34ADA94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9B0D63E8-668F-47C5-8E52-079277F12165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8B8B5F43-358B-4EED-AF5F-0AE2B00BF8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57467199-02B6-428F-A23D-C59E863166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D9248FF6-EADC-47D8-9773-AE7D3F554C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E45EE8CB-AFBF-4FB4-86B2-2513B95E34C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D5474498-3416-4D0B-9013-A310D45B3A5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652D7C84-9E95-4EDF-B7D1-88E08B0AA82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7417FFEC-24A6-438E-8D57-DA0C21B8F63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B844A073-1D74-460F-90EC-063F00FC9E0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BDF80737-1DCE-4816-9751-0293E6C598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F005C868-BE3A-4459-9E52-E0832A2519A2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DE58C0F4-4AE0-4F37-8300-8AB03D7BD0F9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2DCF480A-BEAA-4B22-9D7C-8AEFEB11730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811FDCE1-799C-4151-AB37-0C521EBD8EB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30FC88B7-FCB1-4DAA-B385-82E8FCA4E36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AC300CB6-9C18-4840-99A0-6501E5777B6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673EC619-8D8D-4222-9B9E-09D8A46D100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DC81758B-778D-4250-B489-4AC77A1757D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A003DCB5-432B-433C-B9AA-00E31E0C2E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F483DCAB-F84E-4B8D-89BB-2E581ACEE8A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167E0472-1D79-46D0-B235-5BC5A10A2CF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DB77B4D8-AC55-43D5-9868-1023822D37FF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96B33990-C2D5-40A2-AAA2-CB950851A18A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79508A7D-88D0-4F4D-8B77-A80C389A595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7495BE95-676F-4358-8106-5CD8AE753AC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3B3DEE60-CCEC-4000-8C50-E5D8F08A586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3AFC0DD3-7C43-4BC2-A512-7B8543A03C7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D7789D90-E756-4274-A444-DE8E108BAA1A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C57AEABB-F68A-4A1F-8AAC-16AE2CDB1E2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89727515-AE60-49F1-B26D-64B648583E6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60161E38-CEE7-431A-A766-9BF8EB75172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8B73C650-7D35-43C4-B47C-4FE6E39C647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16C99EF7-56AF-472A-A8F4-1A37AAA9057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C94B7234-14A8-4B00-AC64-EFB6A6E5BAC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FCCD5B7F-889C-4260-AB1F-A95357AAA3B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E5E9DED6-CCB0-4077-8D16-14E534D5DE1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E263468B-DEE7-4265-B54E-CD6A624BD4D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DD664DBC-910C-4C65-9174-D9D79A69470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4A3059E5-5FB6-4C33-97E6-C53375BCD8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F47DCC9F-3FC6-4F52-9382-A5C6110DE464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6537A2B5-8FA2-450F-ABB3-53A7030F215E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EC1DF9CA-45CA-4C15-BCD9-42EF8A103E4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67C954B0-5D51-4635-8A10-632603D756B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4207CA88-3AA2-4877-837D-CE8E944A63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CA4965A9-BAFF-409A-B09A-DA686655A92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A0D8CE69-9D75-4080-A35D-6AD135E0A12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8A9E3848-CA98-4E8F-9D84-935DBFEC879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7586C32E-FD3F-4262-BE16-18E8B355B15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36B37B49-EBCF-44CB-BCCD-40E31F5C9C8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D83EA8C2-EBA2-4FEF-B919-9E7B388BE8F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4A27390C-A6FF-44F4-8DE0-C8C1D5510955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F95931F2-A52B-4E26-ADD9-8D50780186C3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87234F62-67D1-4BE1-B5D7-54E686AD8258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2F9DCBF8-9746-44EC-B46C-71EA644A848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92106E9D-46D5-434B-9D64-B786B1C8557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Girouard, David</author>
    <author>Broussard, Glenn</author>
    <author>Thomas, Mark</author>
  </authors>
  <commentList>
    <comment ref="O7" authorId="0" shapeId="0" xr:uid="{D8F9E082-EE60-453B-8710-A6C6316CBB1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absorption limit = $0.1517</t>
        </r>
      </text>
    </comment>
    <comment ref="E47" authorId="1" shapeId="0" xr:uid="{CDDF739E-0035-4991-912F-FDCB9B4D4214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HSP and HT</t>
        </r>
      </text>
    </comment>
    <comment ref="B64" authorId="2" shapeId="0" xr:uid="{9CE9A677-D7CF-46CF-9348-A07E084276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Arcilla haul rate letter $42.00
Per Jim, Imerys haul rate $29 (20+7.40)</t>
        </r>
      </text>
    </comment>
    <comment ref="B68" authorId="0" shapeId="0" xr:uid="{3D6C854F-632A-4408-8C81-D32600D0431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Oct 22 purchase + freight + unloading</t>
        </r>
      </text>
    </comment>
    <comment ref="B69" authorId="0" shapeId="0" xr:uid="{FC6E076C-2B0B-4DC6-86BB-CAD2D121645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B70" authorId="0" shapeId="0" xr:uid="{8FA649FC-1059-4015-A265-DBE9B036FD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5.4 million lbs inventory at 8/31/21
30002
$28.44/ton
30003
$0/ton</t>
        </r>
      </text>
    </comment>
    <comment ref="C75" authorId="0" shapeId="0" xr:uid="{28C2DF2D-232E-48E1-AF60-CB732249164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75" authorId="0" shapeId="0" xr:uid="{8C99F9BD-E762-48FB-BAD6-91494B6123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75" authorId="0" shapeId="0" xr:uid="{B768DCE8-8F44-4BEB-AFEA-3A41778F2F0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78" authorId="2" shapeId="0" xr:uid="{EAD933D2-034D-4816-BDB8-DFD45CA3DC7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Sept-22 purchase</t>
        </r>
      </text>
    </comment>
    <comment ref="C83" authorId="0" shapeId="0" xr:uid="{E0831EBE-DDCD-42FF-84CB-D93A7FD6413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3" authorId="0" shapeId="0" xr:uid="{4F5A564A-971E-489D-97FB-E1B77260E5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3" authorId="0" shapeId="0" xr:uid="{93ECA748-013B-41E5-9AAB-482D5D7A615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127" authorId="3" shapeId="0" xr:uid="{97A7845E-EE6B-4DEF-A65B-45E65F887E8F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increased from 585 to 720
12/6/11</t>
        </r>
      </text>
    </comment>
    <comment ref="B132" authorId="3" shapeId="0" xr:uid="{A4C8E791-FFBE-4788-89B5-4F40FB7E0F59}">
      <text>
        <r>
          <rPr>
            <b/>
            <sz val="9"/>
            <color indexed="81"/>
            <rFont val="Tahoma"/>
            <family val="2"/>
          </rPr>
          <t>Thomas, Mark:</t>
        </r>
        <r>
          <rPr>
            <sz val="9"/>
            <color indexed="81"/>
            <rFont val="Tahoma"/>
            <family val="2"/>
          </rPr>
          <t xml:space="preserve">
decreased from 2 to 0.2
12/6/11</t>
        </r>
      </text>
    </comment>
    <comment ref="H138" authorId="0" shapeId="0" xr:uid="{F9571B88-85A6-41AF-A82B-514C2378844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only need when running calciner 2</t>
        </r>
      </text>
    </comment>
    <comment ref="D140" authorId="2" shapeId="0" xr:uid="{FA46A9AA-A467-4FAF-8E1F-049013A5560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D141" authorId="2" shapeId="0" xr:uid="{9B3FC56E-D706-4DB9-952A-D6E8F1964A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SN 9/16/22</t>
        </r>
      </text>
    </comment>
    <comment ref="G141" authorId="2" shapeId="0" xr:uid="{37A335FC-A918-494E-93EB-F20298956C9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over 8 months Jan-Aug 22</t>
        </r>
      </text>
    </comment>
    <comment ref="J141" authorId="2" shapeId="0" xr:uid="{E4495BBD-1460-4142-B67F-924811DB04F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450,000 kwh per month</t>
        </r>
      </text>
    </comment>
    <comment ref="B145" authorId="0" shapeId="0" xr:uid="{056E7329-94DD-44EF-98D4-C3EAC95AD73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5" authorId="0" shapeId="0" xr:uid="{5EB89DAE-4EEC-4952-8021-4417A832BA0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B146" authorId="0" shapeId="0" xr:uid="{24945255-6069-427F-AD62-36193FD5D1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2022 Jan-Aug actual
702959</t>
        </r>
      </text>
    </comment>
    <comment ref="H146" authorId="0" shapeId="0" xr:uid="{523AFC88-EFA8-4021-983F-37D076C1AC8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actual
3000660</t>
        </r>
      </text>
    </comment>
    <comment ref="G159" authorId="1" shapeId="0" xr:uid="{6013B306-A6E8-4CDF-A860-E553F039023A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3" authorId="1" shapeId="0" xr:uid="{00DC4438-5548-4434-9B13-EA5DE3A469AF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G166" authorId="1" shapeId="0" xr:uid="{C6496E80-C7B7-4F37-9048-5C20977013E7}">
      <text>
        <r>
          <rPr>
            <b/>
            <sz val="9"/>
            <color indexed="81"/>
            <rFont val="Tahoma"/>
            <family val="2"/>
          </rPr>
          <t>Girouard, David:</t>
        </r>
        <r>
          <rPr>
            <sz val="9"/>
            <color indexed="81"/>
            <rFont val="Tahoma"/>
            <family val="2"/>
          </rPr>
          <t xml:space="preserve">
Avg this year</t>
        </r>
      </text>
    </comment>
    <comment ref="C178" authorId="2" shapeId="0" xr:uid="{4E0E3A6D-F632-491A-805F-7544B705052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184" authorId="2" shapeId="0" xr:uid="{F5017B2D-7A71-4449-8C8C-F8458E4FBB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sharedStrings.xml><?xml version="1.0" encoding="utf-8"?>
<sst xmlns="http://schemas.openxmlformats.org/spreadsheetml/2006/main" count="5922" uniqueCount="276">
  <si>
    <t>FICA Rate</t>
  </si>
  <si>
    <t>Overtime Rate</t>
  </si>
  <si>
    <t xml:space="preserve">      Total Fixed Costs Per Pound</t>
  </si>
  <si>
    <t>Depreciation</t>
  </si>
  <si>
    <t>Insurance &amp; Taxes</t>
  </si>
  <si>
    <t>Supervision</t>
  </si>
  <si>
    <t>Annualized Expenses</t>
  </si>
  <si>
    <t>Plant Capacity</t>
  </si>
  <si>
    <t>Plant Utilization Ratio</t>
  </si>
  <si>
    <t>Planned Production</t>
  </si>
  <si>
    <t>Plant Utilization Ratio * Annual Cost * Planned Production = Std. Cost Contribution (Fixed)</t>
  </si>
  <si>
    <t>Fixed Costs:</t>
  </si>
  <si>
    <t>4 times per year 80 ft mainlift rental for planned maintenance and extra fuel costs for loaders, scrubber effluent filter bag disposal, additional safety for scrubber running</t>
  </si>
  <si>
    <t xml:space="preserve">      Total Other Variables</t>
  </si>
  <si>
    <t>Equip. Rental, Trash Removal, Sewerage, Water, Fuel</t>
  </si>
  <si>
    <t>4 changes @ $42k per changeout</t>
  </si>
  <si>
    <t xml:space="preserve">      Total Manufacturing Supplies</t>
  </si>
  <si>
    <t>Scrubber maintenance addtion</t>
  </si>
  <si>
    <t>Make up budget to actual costs ytd w/one shutdown cooler nose ring</t>
  </si>
  <si>
    <t xml:space="preserve">      Total R&amp;M Supplies</t>
  </si>
  <si>
    <t>Retention Pond maintenance</t>
  </si>
  <si>
    <t>R&amp;M as % of Capital</t>
  </si>
  <si>
    <t>Total Cost</t>
  </si>
  <si>
    <t>Capital Equipments (RV)</t>
  </si>
  <si>
    <t>Variable Costs - R&amp;M Supplies, Manuf. Supplies, Other Variables</t>
  </si>
  <si>
    <t xml:space="preserve"> </t>
  </si>
  <si>
    <t xml:space="preserve">    Total Utility Cost Per Pound</t>
  </si>
  <si>
    <t>Gas (mmbtu)</t>
  </si>
  <si>
    <t>Electricity (kwh)</t>
  </si>
  <si>
    <t>Unit Cost</t>
  </si>
  <si>
    <t>CARBOHSP</t>
  </si>
  <si>
    <t>Electricity Unit Cost ($/kwh)</t>
  </si>
  <si>
    <t>Gas Unit Cost ($/mmbtu)</t>
  </si>
  <si>
    <t>Variable Costs - Utilities</t>
  </si>
  <si>
    <t>Scrubber Std Contribution</t>
  </si>
  <si>
    <t>Total Scrubber Costs/min</t>
  </si>
  <si>
    <t>Pounds Produced (lbs / min)</t>
  </si>
  <si>
    <t>Electricity per minute</t>
  </si>
  <si>
    <t>Electricity</t>
  </si>
  <si>
    <t>Caustic costs per min max usage</t>
  </si>
  <si>
    <t>Caustic Use (gal per minute)</t>
  </si>
  <si>
    <t>Per Hour Labor Cost</t>
  </si>
  <si>
    <t>Caustic / gallon costs</t>
  </si>
  <si>
    <t>Gallons / Truck</t>
  </si>
  <si>
    <t>Truck Size: 11.5 short ton/truck avg</t>
  </si>
  <si>
    <t>Labor</t>
  </si>
  <si>
    <t>Caustic 51% solution ($/ton)</t>
  </si>
  <si>
    <t>Variable Costs - Scrubber</t>
  </si>
  <si>
    <t>IPC</t>
  </si>
  <si>
    <t>R &amp; M Labor</t>
  </si>
  <si>
    <t>Production Labor</t>
  </si>
  <si>
    <t>Price ($/lb)</t>
  </si>
  <si>
    <t>CP</t>
  </si>
  <si>
    <t>Yield Factor</t>
  </si>
  <si>
    <t>Price ($/Ton)</t>
  </si>
  <si>
    <t>Purchase Price/lb * Yield Factor * Scrap Factor * Mix = Std. Cost Contribution</t>
  </si>
  <si>
    <t>Variable Costs - Material</t>
  </si>
  <si>
    <t>TOTAL PLANT PRODUCTION ( in 000 lbs)</t>
  </si>
  <si>
    <t xml:space="preserve">    PRODUCTION ( in 000 lbs )</t>
  </si>
  <si>
    <t>Indirect Payroll Costs (Benefits)</t>
  </si>
  <si>
    <t>Repairs &amp; Maintenance Labor</t>
  </si>
  <si>
    <t xml:space="preserve">    Total Variable Costs</t>
  </si>
  <si>
    <t>Other variable</t>
  </si>
  <si>
    <t>Manufacturing Supplies</t>
  </si>
  <si>
    <t>R&amp;M Supplies and Service</t>
  </si>
  <si>
    <t>Gas</t>
  </si>
  <si>
    <t>Materials</t>
  </si>
  <si>
    <t>UOM</t>
  </si>
  <si>
    <t>HSP</t>
  </si>
  <si>
    <t>kwh</t>
  </si>
  <si>
    <t>ELE01</t>
  </si>
  <si>
    <t>mbtu</t>
  </si>
  <si>
    <t>GAS01</t>
  </si>
  <si>
    <t>lb</t>
  </si>
  <si>
    <t>RMS01</t>
  </si>
  <si>
    <t>MFG01</t>
  </si>
  <si>
    <t>VAR01</t>
  </si>
  <si>
    <t>hr</t>
  </si>
  <si>
    <t>DLAB01</t>
  </si>
  <si>
    <t>MLAB01</t>
  </si>
  <si>
    <t>IPC01</t>
  </si>
  <si>
    <t>SUP01</t>
  </si>
  <si>
    <t>INS01</t>
  </si>
  <si>
    <t>DEP01</t>
  </si>
  <si>
    <t>Other Consumables (screens, ball mill balls, shotgun shells, etc.)</t>
  </si>
  <si>
    <t>275HP @ $360/HP/year</t>
  </si>
  <si>
    <t>Per Min Labor Cost</t>
  </si>
  <si>
    <t>Benefits (@45%)</t>
  </si>
  <si>
    <t>Utility</t>
  </si>
  <si>
    <t>MultiCraft Maintenance</t>
  </si>
  <si>
    <t>IPC Rate</t>
  </si>
  <si>
    <t>Ttl Unit Qty</t>
  </si>
  <si>
    <t>EP Unit Qty</t>
  </si>
  <si>
    <t>CP Unit Qty</t>
  </si>
  <si>
    <t>HSP Unit Qty</t>
  </si>
  <si>
    <t>EP Units/1000lb</t>
  </si>
  <si>
    <t>CP Units/1000lb</t>
  </si>
  <si>
    <t>HSP Units/1000lb</t>
  </si>
  <si>
    <t>CCtr Total</t>
  </si>
  <si>
    <t>TOTAL</t>
  </si>
  <si>
    <t>COST  CENTER 10001003</t>
  </si>
  <si>
    <t>Excl Matl</t>
  </si>
  <si>
    <t>Incl Matl</t>
  </si>
  <si>
    <t>Activity / Material</t>
  </si>
  <si>
    <t>30006/U103</t>
  </si>
  <si>
    <t>30008/U103</t>
  </si>
  <si>
    <t>30012/U103</t>
  </si>
  <si>
    <t>30060/U103</t>
  </si>
  <si>
    <t>30020/U103</t>
  </si>
  <si>
    <t>Std. Cost Contrib.</t>
  </si>
  <si>
    <t>Labor Cost Factors:</t>
  </si>
  <si>
    <t xml:space="preserve">  </t>
  </si>
  <si>
    <t>price/1000/lb</t>
  </si>
  <si>
    <t>30003/U103</t>
  </si>
  <si>
    <t>Mix %</t>
  </si>
  <si>
    <t>Production Plan:</t>
  </si>
  <si>
    <t>Pounds (000)</t>
  </si>
  <si>
    <t>Std $ Contrib</t>
  </si>
  <si>
    <t>Product Split</t>
  </si>
  <si>
    <t>CarboHSP</t>
  </si>
  <si>
    <t>Total</t>
  </si>
  <si>
    <t>Dixon (local kaolin)</t>
  </si>
  <si>
    <t>Local Kaolin</t>
  </si>
  <si>
    <t>Total Material Cost Per Pound</t>
  </si>
  <si>
    <t>Local kaolin</t>
  </si>
  <si>
    <t>Bauxite</t>
  </si>
  <si>
    <t>Bauxite:</t>
  </si>
  <si>
    <t>CP / ID</t>
  </si>
  <si>
    <r>
      <t xml:space="preserve">Arcilla (local kaolin) </t>
    </r>
    <r>
      <rPr>
        <i/>
        <sz val="10"/>
        <rFont val="Arial"/>
        <family val="2"/>
      </rPr>
      <t>30012</t>
    </r>
  </si>
  <si>
    <t>Idle weeks</t>
  </si>
  <si>
    <t>Production weeks</t>
  </si>
  <si>
    <t>Hrs/week</t>
  </si>
  <si>
    <t>Idle Plant</t>
  </si>
  <si>
    <t>To Production</t>
  </si>
  <si>
    <t>Production</t>
  </si>
  <si>
    <t>Idle</t>
  </si>
  <si>
    <t>Idle  $/lb</t>
  </si>
  <si>
    <t>Total $/lb</t>
  </si>
  <si>
    <t>Absorbed</t>
  </si>
  <si>
    <t>Gross</t>
  </si>
  <si>
    <t>Absorption</t>
  </si>
  <si>
    <t>10001003</t>
  </si>
  <si>
    <t>Underabs</t>
  </si>
  <si>
    <t>DLAB01 (s/t)</t>
  </si>
  <si>
    <t>611030</t>
  </si>
  <si>
    <t>DLAB01 (o/t)</t>
  </si>
  <si>
    <t>610210</t>
  </si>
  <si>
    <t>MLAB01 (s/t)</t>
  </si>
  <si>
    <t>611040</t>
  </si>
  <si>
    <t>MLAB01 (o/t)</t>
  </si>
  <si>
    <t>610215</t>
  </si>
  <si>
    <t>IPC01 (vac)</t>
  </si>
  <si>
    <t>610220</t>
  </si>
  <si>
    <t>IPC01 (hol)</t>
  </si>
  <si>
    <t>610510</t>
  </si>
  <si>
    <t>IPC01 (401k)</t>
  </si>
  <si>
    <t>610600</t>
  </si>
  <si>
    <t>IPC01 (ins)</t>
  </si>
  <si>
    <t>610610</t>
  </si>
  <si>
    <t>IPC01 (tax)</t>
  </si>
  <si>
    <t>612000</t>
  </si>
  <si>
    <t>IPC01 (w/c)</t>
  </si>
  <si>
    <t>612100</t>
  </si>
  <si>
    <t>VAR01 (fuel)</t>
  </si>
  <si>
    <t>VAR01 (sfty suppl)</t>
  </si>
  <si>
    <t>VAR01 (water)</t>
  </si>
  <si>
    <t>VAR01 (trash rmvl)</t>
  </si>
  <si>
    <t>INS01 (prop tax)</t>
  </si>
  <si>
    <t>658000</t>
  </si>
  <si>
    <t>INS01 (insurance)</t>
  </si>
  <si>
    <t>DEP01 (land use)</t>
  </si>
  <si>
    <t>640000</t>
  </si>
  <si>
    <t>DEP01 (bldg)</t>
  </si>
  <si>
    <t>DEP01 (m&amp;e)</t>
  </si>
  <si>
    <t>DEP01 (furniture)</t>
  </si>
  <si>
    <t>DEP01 (hardware)</t>
  </si>
  <si>
    <t>DEP01 (software)</t>
  </si>
  <si>
    <t>VAR01 (other maint)</t>
  </si>
  <si>
    <t>630030</t>
  </si>
  <si>
    <t>VAR01 (storage)</t>
  </si>
  <si>
    <t>633050</t>
  </si>
  <si>
    <t>633020</t>
  </si>
  <si>
    <t>VAR01 (mobile equip)</t>
  </si>
  <si>
    <t>640050</t>
  </si>
  <si>
    <t>Abs Cost</t>
  </si>
  <si>
    <t>per 10000</t>
  </si>
  <si>
    <t>Usage
(Unit/lb)</t>
  </si>
  <si>
    <t>Unit
Cost</t>
  </si>
  <si>
    <t>Std
$ Contrib</t>
  </si>
  <si>
    <t>Monthly
Expenses</t>
  </si>
  <si>
    <t>Cost/lb</t>
  </si>
  <si>
    <t>Absorb</t>
  </si>
  <si>
    <t>Abs Limit</t>
  </si>
  <si>
    <t>Std</t>
  </si>
  <si>
    <t>Nanomite C</t>
  </si>
  <si>
    <t>Vacation Hrs</t>
  </si>
  <si>
    <t>Holiday Hrs</t>
  </si>
  <si>
    <r>
      <t>Rusal (30008)</t>
    </r>
    <r>
      <rPr>
        <i/>
        <sz val="10"/>
        <rFont val="Arial"/>
        <family val="2"/>
      </rPr>
      <t xml:space="preserve"> Lord Allen &amp; ECT</t>
    </r>
  </si>
  <si>
    <r>
      <t>MRN (30006)</t>
    </r>
    <r>
      <rPr>
        <i/>
        <sz val="10"/>
        <rFont val="Arial"/>
        <family val="2"/>
      </rPr>
      <t xml:space="preserve"> Lord Allen &amp; ECT</t>
    </r>
  </si>
  <si>
    <t>Base Annual (kwh)</t>
  </si>
  <si>
    <t>Base kwh per plan lb</t>
  </si>
  <si>
    <t>Nano C Qty</t>
  </si>
  <si>
    <t>Nano C Units/1000lb</t>
  </si>
  <si>
    <t>First Bauxite (30440)</t>
  </si>
  <si>
    <t>30440/U103</t>
  </si>
  <si>
    <t>640001</t>
  </si>
  <si>
    <t>DEP01 (land)</t>
  </si>
  <si>
    <t>640010</t>
  </si>
  <si>
    <t>640020</t>
  </si>
  <si>
    <t>CG</t>
  </si>
  <si>
    <t>CL</t>
  </si>
  <si>
    <t>NRT</t>
  </si>
  <si>
    <t xml:space="preserve">Taggant </t>
  </si>
  <si>
    <t>CL Unit Qty</t>
  </si>
  <si>
    <t>NRT Unit Qty</t>
  </si>
  <si>
    <t>CL Units/1000lb</t>
  </si>
  <si>
    <t>NRT Units/1000lb</t>
  </si>
  <si>
    <t>Starch (30020)</t>
  </si>
  <si>
    <t>Nov-20 YTD</t>
  </si>
  <si>
    <t>CARBOPROP/ID</t>
  </si>
  <si>
    <t>Merit Increase</t>
  </si>
  <si>
    <t>22 Standard</t>
  </si>
  <si>
    <t>Nov-21 YTD</t>
  </si>
  <si>
    <t>Various (see above)</t>
  </si>
  <si>
    <t>NEED TO VERIFY ALL FORMULAS IN THE SECTION BELOW: Done</t>
  </si>
  <si>
    <t>CP/ID</t>
  </si>
  <si>
    <t>Mix%</t>
  </si>
  <si>
    <t>kaolin</t>
  </si>
  <si>
    <t>bauxite</t>
  </si>
  <si>
    <t>starch</t>
  </si>
  <si>
    <t>(Jan-Aug)</t>
  </si>
  <si>
    <t>Cristobalite</t>
  </si>
  <si>
    <t>Excess Costs</t>
  </si>
  <si>
    <t>Total Fixed Costs</t>
  </si>
  <si>
    <t>TOTAL COSTS PER POUND</t>
  </si>
  <si>
    <t>23 Actual</t>
  </si>
  <si>
    <r>
      <t>Bosai Chem Grade (</t>
    </r>
    <r>
      <rPr>
        <sz val="10"/>
        <color rgb="FFFF0000"/>
        <rFont val="Arial"/>
        <family val="2"/>
      </rPr>
      <t>30002)</t>
    </r>
  </si>
  <si>
    <t>Changed Bosai Chem Grade Price</t>
  </si>
  <si>
    <t>Increased starch to 0.8%</t>
  </si>
  <si>
    <t xml:space="preserve">Under absorption </t>
  </si>
  <si>
    <t>Weeks</t>
  </si>
  <si>
    <t>McINTYRE STANDARD 2025</t>
  </si>
  <si>
    <t>25 Standard</t>
  </si>
  <si>
    <t>Variable Cost - Labor &amp; Benefits - 12 hour shift</t>
  </si>
  <si>
    <t>Jan</t>
  </si>
  <si>
    <t>Feb</t>
  </si>
  <si>
    <t>Mar</t>
  </si>
  <si>
    <t>Apr</t>
  </si>
  <si>
    <t>May</t>
  </si>
  <si>
    <t>Jun</t>
  </si>
  <si>
    <t>Jul</t>
  </si>
  <si>
    <t>Temp</t>
  </si>
  <si>
    <t>IPC (estimated)</t>
  </si>
  <si>
    <t>$/FTE/month</t>
  </si>
  <si>
    <t>$ Rolling Total</t>
  </si>
  <si>
    <t>Current Production Labor</t>
  </si>
  <si>
    <t>Current R &amp; M Labor</t>
  </si>
  <si>
    <t>Future Production Labor Increase</t>
  </si>
  <si>
    <t>Future R&amp;M Labor Increase</t>
  </si>
  <si>
    <t>Total Production Labor</t>
  </si>
  <si>
    <t>Total R &amp; M Labor</t>
  </si>
  <si>
    <t>Nanomite</t>
  </si>
  <si>
    <t>Aug</t>
  </si>
  <si>
    <t>Sep</t>
  </si>
  <si>
    <t>Oct</t>
  </si>
  <si>
    <t>Nov</t>
  </si>
  <si>
    <t>Dec</t>
  </si>
  <si>
    <t>Days</t>
  </si>
  <si>
    <t>CarboProp</t>
  </si>
  <si>
    <t>ID</t>
  </si>
  <si>
    <t xml:space="preserve">CP </t>
  </si>
  <si>
    <t>ID (foundry)</t>
  </si>
  <si>
    <t>HT</t>
  </si>
  <si>
    <t>HT (foundry)</t>
  </si>
  <si>
    <t>McIntyre Summary</t>
  </si>
  <si>
    <t>Bauxite Pellets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</si>
</sst>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;\(#,##0\)"/>
    <numFmt numFmtId="165" formatCode="_(* #,##0_);_(* \(#,##0\);_(* &quot;-&quot;??_);_(@_)"/>
    <numFmt numFmtId="166" formatCode="_(&quot;$&quot;* #,##0_);_(&quot;$&quot;* \(#,##0\);_(&quot;$&quot;* &quot;-&quot;??_);_(@_)"/>
    <numFmt numFmtId="167" formatCode="_(* #,##0.0_);_(* \(#,##0.0\);_(* &quot;-&quot;??_);_(@_)"/>
    <numFmt numFmtId="168" formatCode="_(&quot;$&quot;* #,##0.0000_);_(&quot;$&quot;* \(#,##0.0000\);_(&quot;$&quot;* &quot;-&quot;??_);_(@_)"/>
    <numFmt numFmtId="169" formatCode="_(* #,##0.0000_);_(* \(#,##0.0000\);_(* &quot;-&quot;????_);_(@_)"/>
    <numFmt numFmtId="170" formatCode="0.0%"/>
    <numFmt numFmtId="171" formatCode="_(&quot;$&quot;* #,##0.0000_);_(&quot;$&quot;* \(#,##0.0000\);_(&quot;$&quot;* &quot;-&quot;????_);_(@_)"/>
    <numFmt numFmtId="172" formatCode="#,##0.0000\ ;\(#,##0.0000\)"/>
    <numFmt numFmtId="173" formatCode="#,##0.000\ ;\(#,##0.000\)"/>
    <numFmt numFmtId="174" formatCode="_(* #,##0.0000_);_(* \(#,##0.0000\);_(* &quot;-&quot;??_);_(@_)"/>
    <numFmt numFmtId="175" formatCode="&quot;$&quot;#,##0.0000_);[Red]\(&quot;$&quot;#,##0.0000\)"/>
    <numFmt numFmtId="176" formatCode="&quot;$&quot;#,##0.000_);[Red]\(&quot;$&quot;#,##0.000\)"/>
    <numFmt numFmtId="177" formatCode="#,##0.00\ ;\(#,##0.00\)"/>
    <numFmt numFmtId="178" formatCode="&quot;$&quot;#,##0.0000\ ;\(&quot;$&quot;#,##0.0000\)"/>
    <numFmt numFmtId="179" formatCode="0_);\(0\)"/>
    <numFmt numFmtId="180" formatCode="_(&quot;$&quot;* #,##0.00000_);_(&quot;$&quot;* \(#,##0.00000\);_(&quot;$&quot;* &quot;-&quot;?????_);_(@_)"/>
    <numFmt numFmtId="181" formatCode="_(* #,##0.000_);_(* \(#,##0.000\);_(* &quot;-&quot;???_);_(@_)"/>
    <numFmt numFmtId="182" formatCode="_(* #,##0.000_);_(* \(#,##0.000\);_(* &quot;-&quot;_);_(@_)"/>
    <numFmt numFmtId="183" formatCode="0.0000"/>
    <numFmt numFmtId="184" formatCode="#,##0.000000\ ;\(#,##0.000000\)"/>
    <numFmt numFmtId="185" formatCode="#,##0.0000_);\(#,##0.0000\)"/>
    <numFmt numFmtId="186" formatCode="#,##0.00000\ ;\(#,##0.00000\)"/>
    <numFmt numFmtId="187" formatCode="0.000_);\(0.000\)"/>
    <numFmt numFmtId="188" formatCode="_(* #,##0.00000_);_(* \(#,##0.00000\);_(* &quot;-&quot;??_);_(@_)"/>
    <numFmt numFmtId="189" formatCode="_(* #,##0.000_);_(* \(#,##0.000\);_(* &quot;-&quot;??_);_(@_)"/>
  </numFmts>
  <fonts count="37">
    <font>
      <sz val="11"/>
      <color theme="1"/>
      <name val="Calibri"/>
      <family val="2"/>
      <scheme val="minor"/>
    </font>
    <font>
      <sz val="10"/>
      <name val="Geneva"/>
    </font>
    <font>
      <sz val="10"/>
      <color rgb="FFFF0000"/>
      <name val="Arial"/>
      <family val="2"/>
    </font>
    <font>
      <u val="doubleAccounting"/>
      <sz val="10"/>
      <color rgb="FFFF0000"/>
      <name val="Arial"/>
      <family val="2"/>
    </font>
    <font>
      <sz val="10"/>
      <name val="Arial"/>
      <family val="2"/>
    </font>
    <font>
      <u val="singleAccounting"/>
      <sz val="10"/>
      <color rgb="FFFF0000"/>
      <name val="Arial"/>
      <family val="2"/>
    </font>
    <font>
      <u val="singleAccounting"/>
      <sz val="10"/>
      <name val="Arial"/>
      <family val="2"/>
    </font>
    <font>
      <i/>
      <sz val="10"/>
      <color rgb="FFFF0000"/>
      <name val="Arial"/>
      <family val="2"/>
    </font>
    <font>
      <u val="doubleAccounting"/>
      <sz val="10"/>
      <name val="Arial"/>
      <family val="2"/>
    </font>
    <font>
      <b/>
      <sz val="10"/>
      <name val="Arial"/>
      <family val="2"/>
    </font>
    <font>
      <b/>
      <u val="singleAccounting"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Arial"/>
      <family val="2"/>
    </font>
    <font>
      <b/>
      <u val="singleAccounting"/>
      <sz val="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b/>
      <u val="singleAccounting"/>
      <sz val="10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"/>
      <name val="Calibri"/>
      <family val="2"/>
      <scheme val="minor"/>
    </font>
    <font>
      <sz val="9"/>
      <name val="Arial"/>
      <family val="2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0070C0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2" fillId="3" borderId="12" applyNumberFormat="0" applyAlignment="0" applyProtection="0"/>
    <xf numFmtId="44" fontId="25" fillId="0" borderId="0" applyFont="0" applyFill="0" applyBorder="0" applyAlignment="0" applyProtection="0"/>
  </cellStyleXfs>
  <cellXfs count="526">
    <xf numFmtId="0" fontId="0" fillId="0" borderId="0" xfId="0"/>
    <xf numFmtId="164" fontId="2" fillId="0" borderId="0" xfId="1" applyNumberFormat="1" applyFont="1"/>
    <xf numFmtId="42" fontId="3" fillId="0" borderId="0" xfId="1" applyNumberFormat="1" applyFont="1"/>
    <xf numFmtId="165" fontId="5" fillId="0" borderId="0" xfId="2" applyNumberFormat="1" applyFont="1" applyFill="1" applyBorder="1"/>
    <xf numFmtId="10" fontId="2" fillId="0" borderId="0" xfId="2" applyNumberFormat="1" applyFont="1" applyBorder="1"/>
    <xf numFmtId="165" fontId="2" fillId="0" borderId="0" xfId="2" applyNumberFormat="1" applyFont="1" applyFill="1" applyBorder="1"/>
    <xf numFmtId="44" fontId="2" fillId="0" borderId="0" xfId="3" applyFont="1" applyBorder="1"/>
    <xf numFmtId="166" fontId="2" fillId="0" borderId="0" xfId="3" applyNumberFormat="1" applyFont="1" applyBorder="1"/>
    <xf numFmtId="10" fontId="2" fillId="0" borderId="0" xfId="3" applyNumberFormat="1" applyFont="1" applyBorder="1"/>
    <xf numFmtId="166" fontId="2" fillId="0" borderId="0" xfId="3" applyNumberFormat="1" applyFont="1" applyFill="1" applyBorder="1"/>
    <xf numFmtId="10" fontId="2" fillId="0" borderId="0" xfId="2" applyNumberFormat="1" applyFont="1" applyFill="1" applyBorder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left"/>
    </xf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3" xfId="1" applyNumberFormat="1" applyFont="1" applyBorder="1"/>
    <xf numFmtId="10" fontId="4" fillId="0" borderId="2" xfId="1" applyNumberFormat="1" applyFont="1" applyBorder="1"/>
    <xf numFmtId="164" fontId="4" fillId="0" borderId="2" xfId="1" applyNumberFormat="1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164" fontId="2" fillId="0" borderId="9" xfId="1" applyNumberFormat="1" applyFont="1" applyBorder="1"/>
    <xf numFmtId="164" fontId="2" fillId="0" borderId="2" xfId="1" applyNumberFormat="1" applyFont="1" applyBorder="1"/>
    <xf numFmtId="169" fontId="6" fillId="0" borderId="0" xfId="3" applyNumberFormat="1" applyFont="1" applyBorder="1"/>
    <xf numFmtId="169" fontId="4" fillId="0" borderId="0" xfId="3" applyNumberFormat="1" applyFont="1" applyBorder="1"/>
    <xf numFmtId="9" fontId="4" fillId="0" borderId="2" xfId="1" applyNumberFormat="1" applyFont="1" applyBorder="1"/>
    <xf numFmtId="165" fontId="4" fillId="0" borderId="0" xfId="2" applyNumberFormat="1" applyFont="1" applyFill="1" applyBorder="1"/>
    <xf numFmtId="164" fontId="2" fillId="0" borderId="3" xfId="1" applyNumberFormat="1" applyFont="1" applyBorder="1"/>
    <xf numFmtId="170" fontId="4" fillId="0" borderId="2" xfId="1" applyNumberFormat="1" applyFont="1" applyBorder="1"/>
    <xf numFmtId="164" fontId="7" fillId="0" borderId="0" xfId="1" applyNumberFormat="1" applyFont="1"/>
    <xf numFmtId="164" fontId="7" fillId="0" borderId="8" xfId="1" applyNumberFormat="1" applyFont="1" applyBorder="1"/>
    <xf numFmtId="171" fontId="8" fillId="0" borderId="2" xfId="3" applyNumberFormat="1" applyFont="1" applyBorder="1"/>
    <xf numFmtId="164" fontId="4" fillId="0" borderId="2" xfId="1" applyNumberFormat="1" applyFont="1" applyBorder="1" applyAlignment="1">
      <alignment horizontal="center" wrapText="1"/>
    </xf>
    <xf numFmtId="164" fontId="4" fillId="0" borderId="0" xfId="1" applyNumberFormat="1" applyFont="1" applyAlignment="1">
      <alignment horizontal="center" vertical="center"/>
    </xf>
    <xf numFmtId="169" fontId="4" fillId="0" borderId="0" xfId="1" applyNumberFormat="1" applyFont="1"/>
    <xf numFmtId="164" fontId="4" fillId="0" borderId="0" xfId="1" applyNumberFormat="1" applyFont="1" applyAlignment="1">
      <alignment horizontal="center"/>
    </xf>
    <xf numFmtId="9" fontId="2" fillId="0" borderId="0" xfId="1" applyNumberFormat="1" applyFont="1"/>
    <xf numFmtId="10" fontId="2" fillId="0" borderId="0" xfId="2" applyNumberFormat="1" applyFont="1" applyFill="1" applyBorder="1"/>
    <xf numFmtId="164" fontId="4" fillId="0" borderId="9" xfId="1" applyNumberFormat="1" applyFont="1" applyBorder="1"/>
    <xf numFmtId="166" fontId="4" fillId="0" borderId="0" xfId="2" applyNumberFormat="1" applyFont="1" applyFill="1" applyBorder="1"/>
    <xf numFmtId="10" fontId="2" fillId="0" borderId="0" xfId="1" applyNumberFormat="1" applyFont="1"/>
    <xf numFmtId="44" fontId="4" fillId="0" borderId="0" xfId="3" applyFont="1" applyFill="1" applyBorder="1"/>
    <xf numFmtId="178" fontId="2" fillId="0" borderId="0" xfId="1" applyNumberFormat="1" applyFont="1"/>
    <xf numFmtId="164" fontId="4" fillId="0" borderId="3" xfId="1" applyNumberFormat="1" applyFont="1" applyBorder="1" applyAlignment="1">
      <alignment horizontal="left"/>
    </xf>
    <xf numFmtId="172" fontId="2" fillId="0" borderId="0" xfId="1" applyNumberFormat="1" applyFont="1"/>
    <xf numFmtId="169" fontId="4" fillId="0" borderId="2" xfId="3" applyNumberFormat="1" applyFont="1" applyBorder="1"/>
    <xf numFmtId="171" fontId="4" fillId="0" borderId="0" xfId="3" applyNumberFormat="1" applyFont="1" applyBorder="1"/>
    <xf numFmtId="43" fontId="6" fillId="0" borderId="2" xfId="1" applyNumberFormat="1" applyFont="1" applyBorder="1" applyAlignment="1">
      <alignment horizontal="right" wrapText="1"/>
    </xf>
    <xf numFmtId="43" fontId="6" fillId="0" borderId="0" xfId="1" applyNumberFormat="1" applyFont="1" applyAlignment="1">
      <alignment horizontal="right" wrapText="1"/>
    </xf>
    <xf numFmtId="0" fontId="2" fillId="0" borderId="0" xfId="5" applyFont="1"/>
    <xf numFmtId="41" fontId="4" fillId="0" borderId="0" xfId="5" applyNumberFormat="1"/>
    <xf numFmtId="171" fontId="4" fillId="0" borderId="0" xfId="5" applyNumberFormat="1"/>
    <xf numFmtId="169" fontId="6" fillId="0" borderId="0" xfId="5" applyNumberFormat="1" applyFont="1"/>
    <xf numFmtId="43" fontId="6" fillId="0" borderId="0" xfId="1" applyNumberFormat="1" applyFont="1" applyAlignment="1">
      <alignment horizontal="right"/>
    </xf>
    <xf numFmtId="43" fontId="4" fillId="0" borderId="0" xfId="5" applyNumberFormat="1"/>
    <xf numFmtId="41" fontId="4" fillId="0" borderId="0" xfId="1" applyNumberFormat="1" applyFont="1"/>
    <xf numFmtId="0" fontId="4" fillId="0" borderId="0" xfId="1" applyFont="1"/>
    <xf numFmtId="164" fontId="11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169" fontId="2" fillId="0" borderId="0" xfId="1" applyNumberFormat="1" applyFont="1"/>
    <xf numFmtId="169" fontId="12" fillId="0" borderId="0" xfId="1" applyNumberFormat="1" applyFont="1"/>
    <xf numFmtId="169" fontId="12" fillId="0" borderId="0" xfId="1" applyNumberFormat="1" applyFont="1" applyAlignment="1">
      <alignment horizontal="right"/>
    </xf>
    <xf numFmtId="171" fontId="4" fillId="0" borderId="2" xfId="3" applyNumberFormat="1" applyFont="1" applyFill="1" applyBorder="1"/>
    <xf numFmtId="169" fontId="6" fillId="0" borderId="2" xfId="3" applyNumberFormat="1" applyFont="1" applyFill="1" applyBorder="1"/>
    <xf numFmtId="169" fontId="4" fillId="0" borderId="0" xfId="5" applyNumberFormat="1"/>
    <xf numFmtId="164" fontId="4" fillId="0" borderId="8" xfId="1" applyNumberFormat="1" applyFont="1" applyBorder="1"/>
    <xf numFmtId="164" fontId="4" fillId="0" borderId="1" xfId="1" applyNumberFormat="1" applyFont="1" applyBorder="1"/>
    <xf numFmtId="164" fontId="21" fillId="0" borderId="6" xfId="1" applyNumberFormat="1" applyFont="1" applyBorder="1" applyAlignment="1">
      <alignment horizontal="left"/>
    </xf>
    <xf numFmtId="164" fontId="21" fillId="0" borderId="6" xfId="1" applyNumberFormat="1" applyFont="1" applyBorder="1"/>
    <xf numFmtId="49" fontId="14" fillId="0" borderId="0" xfId="1" applyNumberFormat="1" applyFont="1"/>
    <xf numFmtId="164" fontId="23" fillId="0" borderId="0" xfId="1" applyNumberFormat="1" applyFont="1" applyAlignment="1">
      <alignment horizontal="left" indent="1"/>
    </xf>
    <xf numFmtId="164" fontId="23" fillId="0" borderId="0" xfId="1" applyNumberFormat="1" applyFont="1"/>
    <xf numFmtId="9" fontId="23" fillId="0" borderId="0" xfId="1" applyNumberFormat="1" applyFont="1"/>
    <xf numFmtId="164" fontId="24" fillId="0" borderId="0" xfId="1" applyNumberFormat="1" applyFont="1"/>
    <xf numFmtId="164" fontId="24" fillId="0" borderId="0" xfId="1" applyNumberFormat="1" applyFont="1" applyAlignment="1">
      <alignment horizontal="left"/>
    </xf>
    <xf numFmtId="172" fontId="23" fillId="0" borderId="0" xfId="1" applyNumberFormat="1" applyFont="1"/>
    <xf numFmtId="164" fontId="11" fillId="0" borderId="0" xfId="1" applyNumberFormat="1" applyFont="1" applyAlignment="1">
      <alignment horizontal="right"/>
    </xf>
    <xf numFmtId="171" fontId="4" fillId="0" borderId="0" xfId="2" applyNumberFormat="1" applyFont="1" applyFill="1" applyBorder="1"/>
    <xf numFmtId="164" fontId="4" fillId="0" borderId="0" xfId="1" applyNumberFormat="1" applyFont="1" applyAlignment="1">
      <alignment horizontal="center" wrapText="1"/>
    </xf>
    <xf numFmtId="164" fontId="4" fillId="0" borderId="0" xfId="1" applyNumberFormat="1" applyFont="1" applyAlignment="1">
      <alignment horizontal="right"/>
    </xf>
    <xf numFmtId="173" fontId="2" fillId="0" borderId="0" xfId="1" applyNumberFormat="1" applyFont="1"/>
    <xf numFmtId="164" fontId="2" fillId="0" borderId="6" xfId="1" applyNumberFormat="1" applyFont="1" applyBorder="1"/>
    <xf numFmtId="166" fontId="4" fillId="0" borderId="7" xfId="3" applyNumberFormat="1" applyFont="1" applyFill="1" applyBorder="1"/>
    <xf numFmtId="164" fontId="2" fillId="0" borderId="3" xfId="1" applyNumberFormat="1" applyFont="1" applyBorder="1" applyAlignment="1">
      <alignment horizontal="right"/>
    </xf>
    <xf numFmtId="169" fontId="4" fillId="0" borderId="2" xfId="1" applyNumberFormat="1" applyFont="1" applyBorder="1"/>
    <xf numFmtId="169" fontId="6" fillId="0" borderId="0" xfId="1" applyNumberFormat="1" applyFont="1"/>
    <xf numFmtId="169" fontId="6" fillId="0" borderId="2" xfId="1" applyNumberFormat="1" applyFont="1" applyBorder="1"/>
    <xf numFmtId="169" fontId="2" fillId="0" borderId="2" xfId="1" applyNumberFormat="1" applyFont="1" applyBorder="1"/>
    <xf numFmtId="169" fontId="11" fillId="0" borderId="2" xfId="1" quotePrefix="1" applyNumberFormat="1" applyFont="1" applyBorder="1" applyAlignment="1">
      <alignment horizontal="right"/>
    </xf>
    <xf numFmtId="164" fontId="4" fillId="0" borderId="11" xfId="1" applyNumberFormat="1" applyFont="1" applyBorder="1"/>
    <xf numFmtId="171" fontId="4" fillId="0" borderId="7" xfId="3" applyNumberFormat="1" applyFont="1" applyBorder="1"/>
    <xf numFmtId="0" fontId="4" fillId="0" borderId="0" xfId="5"/>
    <xf numFmtId="171" fontId="4" fillId="0" borderId="0" xfId="1" quotePrefix="1" applyNumberFormat="1" applyFont="1" applyAlignment="1">
      <alignment horizontal="center"/>
    </xf>
    <xf numFmtId="10" fontId="4" fillId="0" borderId="8" xfId="1" applyNumberFormat="1" applyFont="1" applyBorder="1"/>
    <xf numFmtId="164" fontId="4" fillId="0" borderId="3" xfId="1" applyNumberFormat="1" applyFont="1" applyBorder="1" applyAlignment="1">
      <alignment horizontal="left" indent="1"/>
    </xf>
    <xf numFmtId="41" fontId="4" fillId="0" borderId="0" xfId="2" applyNumberFormat="1" applyFont="1" applyFill="1" applyBorder="1"/>
    <xf numFmtId="43" fontId="4" fillId="0" borderId="0" xfId="3" applyNumberFormat="1" applyFont="1" applyFill="1" applyBorder="1"/>
    <xf numFmtId="44" fontId="2" fillId="0" borderId="0" xfId="3" applyFont="1" applyFill="1" applyBorder="1"/>
    <xf numFmtId="9" fontId="4" fillId="0" borderId="8" xfId="1" applyNumberFormat="1" applyFont="1" applyBorder="1" applyAlignment="1">
      <alignment horizontal="left"/>
    </xf>
    <xf numFmtId="184" fontId="2" fillId="0" borderId="0" xfId="1" applyNumberFormat="1" applyFont="1"/>
    <xf numFmtId="165" fontId="4" fillId="0" borderId="0" xfId="1" applyNumberFormat="1" applyFont="1"/>
    <xf numFmtId="165" fontId="2" fillId="0" borderId="0" xfId="1" applyNumberFormat="1" applyFont="1"/>
    <xf numFmtId="165" fontId="6" fillId="0" borderId="0" xfId="1" applyNumberFormat="1" applyFont="1"/>
    <xf numFmtId="172" fontId="4" fillId="0" borderId="0" xfId="1" applyNumberFormat="1" applyFont="1" applyAlignment="1">
      <alignment horizontal="center"/>
    </xf>
    <xf numFmtId="164" fontId="11" fillId="0" borderId="0" xfId="1" applyNumberFormat="1" applyFont="1"/>
    <xf numFmtId="170" fontId="4" fillId="0" borderId="0" xfId="5" applyNumberFormat="1"/>
    <xf numFmtId="0" fontId="26" fillId="0" borderId="0" xfId="0" applyFont="1"/>
    <xf numFmtId="0" fontId="26" fillId="0" borderId="0" xfId="0" applyFont="1" applyAlignment="1">
      <alignment horizontal="center"/>
    </xf>
    <xf numFmtId="164" fontId="11" fillId="0" borderId="3" xfId="1" applyNumberFormat="1" applyFont="1" applyBorder="1" applyAlignment="1">
      <alignment horizontal="left"/>
    </xf>
    <xf numFmtId="164" fontId="4" fillId="0" borderId="9" xfId="1" applyNumberFormat="1" applyFont="1" applyBorder="1" applyAlignment="1">
      <alignment horizontal="left" indent="1"/>
    </xf>
    <xf numFmtId="185" fontId="4" fillId="0" borderId="0" xfId="1" applyNumberFormat="1" applyFont="1"/>
    <xf numFmtId="49" fontId="9" fillId="0" borderId="0" xfId="1" applyNumberFormat="1" applyFont="1" applyAlignment="1">
      <alignment horizontal="center"/>
    </xf>
    <xf numFmtId="169" fontId="6" fillId="0" borderId="0" xfId="3" applyNumberFormat="1" applyFont="1" applyFill="1" applyBorder="1"/>
    <xf numFmtId="171" fontId="4" fillId="0" borderId="0" xfId="3" applyNumberFormat="1" applyFont="1" applyFill="1" applyBorder="1"/>
    <xf numFmtId="171" fontId="4" fillId="0" borderId="2" xfId="2" applyNumberFormat="1" applyFont="1" applyFill="1" applyBorder="1"/>
    <xf numFmtId="164" fontId="22" fillId="2" borderId="6" xfId="1" applyNumberFormat="1" applyFont="1" applyFill="1" applyBorder="1"/>
    <xf numFmtId="164" fontId="4" fillId="2" borderId="1" xfId="1" applyNumberFormat="1" applyFont="1" applyFill="1" applyBorder="1"/>
    <xf numFmtId="164" fontId="4" fillId="2" borderId="10" xfId="1" applyNumberFormat="1" applyFont="1" applyFill="1" applyBorder="1"/>
    <xf numFmtId="164" fontId="4" fillId="2" borderId="3" xfId="1" applyNumberFormat="1" applyFont="1" applyFill="1" applyBorder="1"/>
    <xf numFmtId="164" fontId="4" fillId="2" borderId="0" xfId="1" applyNumberFormat="1" applyFont="1" applyFill="1"/>
    <xf numFmtId="44" fontId="4" fillId="2" borderId="0" xfId="3" applyFont="1" applyFill="1" applyBorder="1"/>
    <xf numFmtId="168" fontId="4" fillId="2" borderId="2" xfId="3" applyNumberFormat="1" applyFont="1" applyFill="1" applyBorder="1"/>
    <xf numFmtId="164" fontId="20" fillId="2" borderId="3" xfId="1" applyNumberFormat="1" applyFont="1" applyFill="1" applyBorder="1"/>
    <xf numFmtId="6" fontId="4" fillId="2" borderId="0" xfId="1" applyNumberFormat="1" applyFont="1" applyFill="1"/>
    <xf numFmtId="177" fontId="4" fillId="2" borderId="0" xfId="1" applyNumberFormat="1" applyFont="1" applyFill="1"/>
    <xf numFmtId="164" fontId="11" fillId="2" borderId="0" xfId="1" applyNumberFormat="1" applyFont="1" applyFill="1"/>
    <xf numFmtId="164" fontId="4" fillId="2" borderId="2" xfId="1" applyNumberFormat="1" applyFont="1" applyFill="1" applyBorder="1"/>
    <xf numFmtId="43" fontId="6" fillId="2" borderId="0" xfId="1" applyNumberFormat="1" applyFont="1" applyFill="1" applyAlignment="1">
      <alignment wrapText="1"/>
    </xf>
    <xf numFmtId="8" fontId="4" fillId="2" borderId="2" xfId="1" applyNumberFormat="1" applyFont="1" applyFill="1" applyBorder="1" applyAlignment="1">
      <alignment horizontal="center" vertical="center"/>
    </xf>
    <xf numFmtId="6" fontId="4" fillId="2" borderId="0" xfId="1" applyNumberFormat="1" applyFont="1" applyFill="1" applyAlignment="1">
      <alignment horizontal="right" wrapText="1"/>
    </xf>
    <xf numFmtId="164" fontId="4" fillId="2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 wrapText="1"/>
    </xf>
    <xf numFmtId="174" fontId="4" fillId="2" borderId="0" xfId="2" applyNumberFormat="1" applyFont="1" applyFill="1" applyBorder="1"/>
    <xf numFmtId="171" fontId="4" fillId="2" borderId="0" xfId="2" applyNumberFormat="1" applyFont="1" applyFill="1" applyBorder="1"/>
    <xf numFmtId="8" fontId="11" fillId="2" borderId="2" xfId="2" applyNumberFormat="1" applyFont="1" applyFill="1" applyBorder="1" applyAlignment="1">
      <alignment horizontal="center"/>
    </xf>
    <xf numFmtId="169" fontId="6" fillId="2" borderId="0" xfId="3" applyNumberFormat="1" applyFont="1" applyFill="1" applyBorder="1"/>
    <xf numFmtId="8" fontId="4" fillId="2" borderId="2" xfId="3" applyNumberFormat="1" applyFont="1" applyFill="1" applyBorder="1" applyAlignment="1">
      <alignment horizontal="center"/>
    </xf>
    <xf numFmtId="177" fontId="11" fillId="2" borderId="0" xfId="1" applyNumberFormat="1" applyFont="1" applyFill="1"/>
    <xf numFmtId="168" fontId="4" fillId="2" borderId="0" xfId="3" applyNumberFormat="1" applyFont="1" applyFill="1" applyBorder="1"/>
    <xf numFmtId="8" fontId="9" fillId="2" borderId="2" xfId="3" applyNumberFormat="1" applyFont="1" applyFill="1" applyBorder="1" applyAlignment="1">
      <alignment horizontal="center"/>
    </xf>
    <xf numFmtId="176" fontId="9" fillId="2" borderId="0" xfId="1" applyNumberFormat="1" applyFont="1" applyFill="1"/>
    <xf numFmtId="164" fontId="2" fillId="2" borderId="0" xfId="1" applyNumberFormat="1" applyFont="1" applyFill="1"/>
    <xf numFmtId="164" fontId="2" fillId="2" borderId="2" xfId="1" applyNumberFormat="1" applyFont="1" applyFill="1" applyBorder="1"/>
    <xf numFmtId="43" fontId="6" fillId="2" borderId="0" xfId="1" applyNumberFormat="1" applyFont="1" applyFill="1" applyAlignment="1">
      <alignment horizontal="left"/>
    </xf>
    <xf numFmtId="43" fontId="6" fillId="2" borderId="2" xfId="1" applyNumberFormat="1" applyFont="1" applyFill="1" applyBorder="1" applyAlignment="1">
      <alignment wrapText="1"/>
    </xf>
    <xf numFmtId="164" fontId="2" fillId="2" borderId="3" xfId="1" applyNumberFormat="1" applyFont="1" applyFill="1" applyBorder="1"/>
    <xf numFmtId="164" fontId="4" fillId="2" borderId="2" xfId="1" applyNumberFormat="1" applyFont="1" applyFill="1" applyBorder="1" applyAlignment="1">
      <alignment horizontal="center" wrapText="1"/>
    </xf>
    <xf numFmtId="172" fontId="4" fillId="2" borderId="0" xfId="1" applyNumberFormat="1" applyFont="1" applyFill="1"/>
    <xf numFmtId="175" fontId="9" fillId="2" borderId="2" xfId="2" applyNumberFormat="1" applyFont="1" applyFill="1" applyBorder="1" applyAlignment="1">
      <alignment horizontal="center"/>
    </xf>
    <xf numFmtId="164" fontId="4" fillId="2" borderId="0" xfId="1" applyNumberFormat="1" applyFont="1" applyFill="1" applyAlignment="1">
      <alignment horizontal="right"/>
    </xf>
    <xf numFmtId="174" fontId="6" fillId="2" borderId="0" xfId="2" applyNumberFormat="1" applyFont="1" applyFill="1" applyBorder="1"/>
    <xf numFmtId="169" fontId="6" fillId="2" borderId="2" xfId="3" applyNumberFormat="1" applyFont="1" applyFill="1" applyBorder="1"/>
    <xf numFmtId="44" fontId="2" fillId="0" borderId="0" xfId="5" applyNumberFormat="1" applyFont="1"/>
    <xf numFmtId="164" fontId="9" fillId="0" borderId="0" xfId="1" applyNumberFormat="1" applyFont="1"/>
    <xf numFmtId="49" fontId="9" fillId="0" borderId="0" xfId="1" applyNumberFormat="1" applyFont="1"/>
    <xf numFmtId="10" fontId="4" fillId="0" borderId="0" xfId="8" applyNumberFormat="1" applyFont="1"/>
    <xf numFmtId="173" fontId="9" fillId="0" borderId="0" xfId="1" applyNumberFormat="1" applyFont="1"/>
    <xf numFmtId="164" fontId="2" fillId="0" borderId="0" xfId="1" applyNumberFormat="1" applyFont="1" applyAlignment="1">
      <alignment horizontal="center"/>
    </xf>
    <xf numFmtId="49" fontId="26" fillId="0" borderId="0" xfId="0" applyNumberFormat="1" applyFont="1"/>
    <xf numFmtId="164" fontId="29" fillId="0" borderId="0" xfId="1" applyNumberFormat="1" applyFont="1"/>
    <xf numFmtId="3" fontId="30" fillId="0" borderId="0" xfId="0" applyNumberFormat="1" applyFont="1" applyAlignment="1">
      <alignment horizontal="center"/>
    </xf>
    <xf numFmtId="42" fontId="4" fillId="0" borderId="0" xfId="1" quotePrefix="1" applyNumberFormat="1" applyFont="1"/>
    <xf numFmtId="164" fontId="9" fillId="0" borderId="0" xfId="1" applyNumberFormat="1" applyFont="1" applyAlignment="1">
      <alignment horizontal="center"/>
    </xf>
    <xf numFmtId="172" fontId="9" fillId="0" borderId="0" xfId="1" applyNumberFormat="1" applyFont="1"/>
    <xf numFmtId="49" fontId="4" fillId="0" borderId="0" xfId="1" applyNumberFormat="1" applyFont="1" applyAlignment="1">
      <alignment horizontal="center"/>
    </xf>
    <xf numFmtId="43" fontId="4" fillId="0" borderId="0" xfId="9" applyFont="1"/>
    <xf numFmtId="43" fontId="31" fillId="0" borderId="0" xfId="9" applyFont="1"/>
    <xf numFmtId="43" fontId="6" fillId="0" borderId="0" xfId="9" applyFont="1"/>
    <xf numFmtId="164" fontId="4" fillId="0" borderId="6" xfId="1" applyNumberFormat="1" applyFont="1" applyBorder="1"/>
    <xf numFmtId="164" fontId="4" fillId="0" borderId="2" xfId="1" applyNumberFormat="1" applyFont="1" applyBorder="1" applyAlignment="1">
      <alignment horizontal="center"/>
    </xf>
    <xf numFmtId="166" fontId="4" fillId="0" borderId="0" xfId="3" applyNumberFormat="1" applyFont="1" applyFill="1" applyBorder="1"/>
    <xf numFmtId="171" fontId="4" fillId="0" borderId="2" xfId="1" applyNumberFormat="1" applyFont="1" applyBorder="1"/>
    <xf numFmtId="169" fontId="4" fillId="0" borderId="0" xfId="3" applyNumberFormat="1" applyFont="1" applyFill="1" applyBorder="1"/>
    <xf numFmtId="43" fontId="6" fillId="0" borderId="0" xfId="5" applyNumberFormat="1" applyFont="1" applyAlignment="1">
      <alignment horizontal="right"/>
    </xf>
    <xf numFmtId="171" fontId="8" fillId="0" borderId="0" xfId="1" applyNumberFormat="1" applyFont="1"/>
    <xf numFmtId="42" fontId="23" fillId="0" borderId="0" xfId="4" applyNumberFormat="1" applyFont="1"/>
    <xf numFmtId="166" fontId="32" fillId="3" borderId="12" xfId="10" applyNumberFormat="1"/>
    <xf numFmtId="165" fontId="32" fillId="3" borderId="12" xfId="10" applyNumberFormat="1"/>
    <xf numFmtId="164" fontId="32" fillId="3" borderId="12" xfId="10" applyNumberFormat="1"/>
    <xf numFmtId="167" fontId="32" fillId="3" borderId="12" xfId="10" applyNumberFormat="1"/>
    <xf numFmtId="183" fontId="4" fillId="0" borderId="0" xfId="5" applyNumberFormat="1"/>
    <xf numFmtId="170" fontId="4" fillId="0" borderId="2" xfId="5" applyNumberFormat="1" applyBorder="1"/>
    <xf numFmtId="41" fontId="4" fillId="0" borderId="8" xfId="1" applyNumberFormat="1" applyFont="1" applyBorder="1"/>
    <xf numFmtId="164" fontId="4" fillId="0" borderId="3" xfId="1" applyNumberFormat="1" applyFont="1" applyBorder="1" applyAlignment="1">
      <alignment horizontal="right"/>
    </xf>
    <xf numFmtId="43" fontId="20" fillId="2" borderId="0" xfId="1" applyNumberFormat="1" applyFont="1" applyFill="1"/>
    <xf numFmtId="164" fontId="9" fillId="0" borderId="5" xfId="1" applyNumberFormat="1" applyFont="1" applyBorder="1" applyAlignment="1">
      <alignment horizontal="right"/>
    </xf>
    <xf numFmtId="177" fontId="2" fillId="0" borderId="0" xfId="1" applyNumberFormat="1" applyFont="1"/>
    <xf numFmtId="165" fontId="2" fillId="0" borderId="0" xfId="9" applyNumberFormat="1" applyFont="1"/>
    <xf numFmtId="165" fontId="2" fillId="0" borderId="0" xfId="5" applyNumberFormat="1" applyFont="1"/>
    <xf numFmtId="43" fontId="2" fillId="0" borderId="0" xfId="5" applyNumberFormat="1" applyFont="1"/>
    <xf numFmtId="186" fontId="2" fillId="0" borderId="0" xfId="1" applyNumberFormat="1" applyFont="1"/>
    <xf numFmtId="9" fontId="2" fillId="0" borderId="0" xfId="8" applyFont="1" applyBorder="1" applyAlignment="1">
      <alignment horizontal="left"/>
    </xf>
    <xf numFmtId="9" fontId="2" fillId="0" borderId="0" xfId="8" applyFont="1" applyAlignment="1">
      <alignment horizontal="left"/>
    </xf>
    <xf numFmtId="174" fontId="4" fillId="0" borderId="0" xfId="1" applyNumberFormat="1" applyFont="1"/>
    <xf numFmtId="169" fontId="10" fillId="0" borderId="0" xfId="1" applyNumberFormat="1" applyFont="1" applyAlignment="1">
      <alignment horizontal="center" wrapText="1"/>
    </xf>
    <xf numFmtId="169" fontId="10" fillId="0" borderId="0" xfId="1" applyNumberFormat="1" applyFont="1" applyAlignment="1">
      <alignment horizontal="center"/>
    </xf>
    <xf numFmtId="169" fontId="11" fillId="0" borderId="0" xfId="1" quotePrefix="1" applyNumberFormat="1" applyFont="1" applyAlignment="1">
      <alignment horizontal="right"/>
    </xf>
    <xf numFmtId="171" fontId="9" fillId="0" borderId="0" xfId="1" applyNumberFormat="1" applyFont="1"/>
    <xf numFmtId="41" fontId="9" fillId="0" borderId="0" xfId="1" applyNumberFormat="1" applyFont="1"/>
    <xf numFmtId="169" fontId="32" fillId="3" borderId="12" xfId="10" applyNumberFormat="1"/>
    <xf numFmtId="169" fontId="6" fillId="0" borderId="2" xfId="1" quotePrefix="1" applyNumberFormat="1" applyFont="1" applyBorder="1" applyAlignment="1">
      <alignment horizontal="center"/>
    </xf>
    <xf numFmtId="169" fontId="6" fillId="0" borderId="2" xfId="1" applyNumberFormat="1" applyFont="1" applyBorder="1" applyAlignment="1">
      <alignment horizontal="center"/>
    </xf>
    <xf numFmtId="174" fontId="2" fillId="0" borderId="2" xfId="9" applyNumberFormat="1" applyFont="1" applyBorder="1"/>
    <xf numFmtId="41" fontId="6" fillId="0" borderId="0" xfId="5" applyNumberFormat="1" applyFont="1" applyAlignment="1">
      <alignment horizontal="center"/>
    </xf>
    <xf numFmtId="0" fontId="2" fillId="0" borderId="2" xfId="5" applyFont="1" applyBorder="1"/>
    <xf numFmtId="43" fontId="32" fillId="3" borderId="12" xfId="10" applyNumberFormat="1"/>
    <xf numFmtId="170" fontId="32" fillId="3" borderId="12" xfId="10" applyNumberFormat="1"/>
    <xf numFmtId="177" fontId="4" fillId="0" borderId="0" xfId="1" applyNumberFormat="1" applyFont="1"/>
    <xf numFmtId="43" fontId="4" fillId="0" borderId="0" xfId="1" applyNumberFormat="1" applyFont="1" applyAlignment="1">
      <alignment horizontal="left"/>
    </xf>
    <xf numFmtId="171" fontId="4" fillId="0" borderId="8" xfId="3" applyNumberFormat="1" applyFont="1" applyBorder="1"/>
    <xf numFmtId="171" fontId="4" fillId="0" borderId="5" xfId="1" applyNumberFormat="1" applyFont="1" applyBorder="1"/>
    <xf numFmtId="171" fontId="4" fillId="0" borderId="4" xfId="1" applyNumberFormat="1" applyFont="1" applyBorder="1"/>
    <xf numFmtId="41" fontId="4" fillId="0" borderId="7" xfId="1" applyNumberFormat="1" applyFont="1" applyBorder="1"/>
    <xf numFmtId="164" fontId="4" fillId="0" borderId="5" xfId="1" applyNumberFormat="1" applyFont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70" fontId="4" fillId="0" borderId="0" xfId="8" applyNumberFormat="1" applyFont="1" applyFill="1" applyBorder="1"/>
    <xf numFmtId="170" fontId="11" fillId="0" borderId="0" xfId="8" applyNumberFormat="1" applyFont="1" applyFill="1" applyBorder="1"/>
    <xf numFmtId="164" fontId="24" fillId="0" borderId="10" xfId="1" applyNumberFormat="1" applyFont="1" applyBorder="1"/>
    <xf numFmtId="168" fontId="32" fillId="3" borderId="15" xfId="10" applyNumberFormat="1" applyBorder="1"/>
    <xf numFmtId="164" fontId="4" fillId="0" borderId="3" xfId="1" applyNumberFormat="1" applyFont="1" applyBorder="1" applyAlignment="1">
      <alignment horizontal="center" wrapText="1"/>
    </xf>
    <xf numFmtId="183" fontId="32" fillId="3" borderId="16" xfId="10" applyNumberFormat="1" applyBorder="1"/>
    <xf numFmtId="171" fontId="8" fillId="0" borderId="2" xfId="3" applyNumberFormat="1" applyFont="1" applyFill="1" applyBorder="1"/>
    <xf numFmtId="171" fontId="8" fillId="0" borderId="7" xfId="3" applyNumberFormat="1" applyFont="1" applyFill="1" applyBorder="1"/>
    <xf numFmtId="164" fontId="24" fillId="0" borderId="0" xfId="1" applyNumberFormat="1" applyFont="1" applyAlignment="1">
      <alignment horizontal="right"/>
    </xf>
    <xf numFmtId="187" fontId="31" fillId="0" borderId="7" xfId="1" applyNumberFormat="1" applyFont="1" applyBorder="1"/>
    <xf numFmtId="43" fontId="2" fillId="0" borderId="0" xfId="9" applyFont="1" applyBorder="1"/>
    <xf numFmtId="164" fontId="11" fillId="0" borderId="3" xfId="1" applyNumberFormat="1" applyFont="1" applyBorder="1"/>
    <xf numFmtId="0" fontId="4" fillId="0" borderId="3" xfId="5" applyBorder="1" applyAlignment="1">
      <alignment horizontal="left" indent="1"/>
    </xf>
    <xf numFmtId="0" fontId="11" fillId="0" borderId="3" xfId="5" applyFont="1" applyBorder="1" applyAlignment="1">
      <alignment horizontal="left"/>
    </xf>
    <xf numFmtId="0" fontId="4" fillId="0" borderId="3" xfId="5" applyBorder="1" applyAlignment="1">
      <alignment horizontal="left" wrapText="1" indent="1"/>
    </xf>
    <xf numFmtId="0" fontId="2" fillId="0" borderId="3" xfId="5" applyFont="1" applyBorder="1"/>
    <xf numFmtId="0" fontId="4" fillId="0" borderId="3" xfId="5" applyBorder="1" applyAlignment="1">
      <alignment horizontal="left"/>
    </xf>
    <xf numFmtId="0" fontId="4" fillId="0" borderId="3" xfId="5" applyBorder="1"/>
    <xf numFmtId="174" fontId="2" fillId="0" borderId="0" xfId="9" applyNumberFormat="1" applyFont="1"/>
    <xf numFmtId="43" fontId="10" fillId="0" borderId="3" xfId="1" quotePrefix="1" applyNumberFormat="1" applyFont="1" applyBorder="1" applyAlignment="1">
      <alignment horizontal="center"/>
    </xf>
    <xf numFmtId="43" fontId="6" fillId="0" borderId="0" xfId="1" quotePrefix="1" applyNumberFormat="1" applyFont="1" applyAlignment="1">
      <alignment horizontal="center"/>
    </xf>
    <xf numFmtId="164" fontId="13" fillId="0" borderId="3" xfId="1" quotePrefix="1" applyNumberFormat="1" applyFont="1" applyBorder="1" applyAlignment="1">
      <alignment horizontal="right"/>
    </xf>
    <xf numFmtId="169" fontId="4" fillId="0" borderId="3" xfId="1" applyNumberFormat="1" applyFont="1" applyBorder="1"/>
    <xf numFmtId="169" fontId="6" fillId="0" borderId="3" xfId="1" applyNumberFormat="1" applyFont="1" applyBorder="1"/>
    <xf numFmtId="171" fontId="9" fillId="0" borderId="11" xfId="1" applyNumberFormat="1" applyFont="1" applyBorder="1"/>
    <xf numFmtId="169" fontId="4" fillId="0" borderId="3" xfId="1" applyNumberFormat="1" applyFont="1" applyBorder="1" applyAlignment="1">
      <alignment horizontal="left"/>
    </xf>
    <xf numFmtId="41" fontId="9" fillId="0" borderId="9" xfId="1" applyNumberFormat="1" applyFont="1" applyBorder="1" applyAlignment="1">
      <alignment horizontal="right"/>
    </xf>
    <xf numFmtId="41" fontId="9" fillId="0" borderId="8" xfId="1" applyNumberFormat="1" applyFont="1" applyBorder="1"/>
    <xf numFmtId="169" fontId="11" fillId="0" borderId="3" xfId="1" quotePrefix="1" applyNumberFormat="1" applyFont="1" applyBorder="1" applyAlignment="1">
      <alignment horizontal="right"/>
    </xf>
    <xf numFmtId="177" fontId="24" fillId="0" borderId="0" xfId="1" applyNumberFormat="1" applyFont="1"/>
    <xf numFmtId="164" fontId="2" fillId="0" borderId="10" xfId="1" applyNumberFormat="1" applyFont="1" applyBorder="1"/>
    <xf numFmtId="44" fontId="2" fillId="0" borderId="8" xfId="5" applyNumberFormat="1" applyFont="1" applyBorder="1"/>
    <xf numFmtId="179" fontId="18" fillId="4" borderId="0" xfId="1" applyNumberFormat="1" applyFont="1" applyFill="1" applyAlignment="1">
      <alignment horizontal="right"/>
    </xf>
    <xf numFmtId="164" fontId="18" fillId="4" borderId="0" xfId="1" applyNumberFormat="1" applyFont="1" applyFill="1" applyAlignment="1">
      <alignment horizontal="right"/>
    </xf>
    <xf numFmtId="164" fontId="9" fillId="4" borderId="0" xfId="1" applyNumberFormat="1" applyFont="1" applyFill="1" applyAlignment="1">
      <alignment horizontal="center"/>
    </xf>
    <xf numFmtId="49" fontId="9" fillId="4" borderId="0" xfId="1" applyNumberFormat="1" applyFont="1" applyFill="1" applyAlignment="1">
      <alignment horizontal="center"/>
    </xf>
    <xf numFmtId="164" fontId="18" fillId="4" borderId="0" xfId="1" applyNumberFormat="1" applyFont="1" applyFill="1"/>
    <xf numFmtId="164" fontId="2" fillId="4" borderId="0" xfId="1" applyNumberFormat="1" applyFont="1" applyFill="1"/>
    <xf numFmtId="43" fontId="10" fillId="4" borderId="0" xfId="1" applyNumberFormat="1" applyFont="1" applyFill="1" applyAlignment="1">
      <alignment horizontal="center"/>
    </xf>
    <xf numFmtId="41" fontId="18" fillId="4" borderId="0" xfId="1" applyNumberFormat="1" applyFont="1" applyFill="1" applyAlignment="1">
      <alignment horizontal="center"/>
    </xf>
    <xf numFmtId="164" fontId="18" fillId="4" borderId="0" xfId="1" applyNumberFormat="1" applyFont="1" applyFill="1" applyAlignment="1">
      <alignment horizontal="center"/>
    </xf>
    <xf numFmtId="43" fontId="28" fillId="4" borderId="0" xfId="1" applyNumberFormat="1" applyFont="1" applyFill="1" applyAlignment="1">
      <alignment horizontal="center"/>
    </xf>
    <xf numFmtId="43" fontId="19" fillId="4" borderId="0" xfId="1" applyNumberFormat="1" applyFont="1" applyFill="1" applyAlignment="1">
      <alignment horizontal="right"/>
    </xf>
    <xf numFmtId="43" fontId="19" fillId="4" borderId="0" xfId="1" applyNumberFormat="1" applyFont="1" applyFill="1" applyAlignment="1">
      <alignment horizontal="right" wrapText="1"/>
    </xf>
    <xf numFmtId="164" fontId="18" fillId="4" borderId="0" xfId="1" quotePrefix="1" applyNumberFormat="1" applyFont="1" applyFill="1" applyAlignment="1">
      <alignment horizontal="right"/>
    </xf>
    <xf numFmtId="164" fontId="9" fillId="4" borderId="0" xfId="1" applyNumberFormat="1" applyFont="1" applyFill="1" applyAlignment="1">
      <alignment horizontal="right"/>
    </xf>
    <xf numFmtId="171" fontId="4" fillId="4" borderId="0" xfId="1" applyNumberFormat="1" applyFont="1" applyFill="1" applyAlignment="1">
      <alignment horizontal="right"/>
    </xf>
    <xf numFmtId="169" fontId="4" fillId="4" borderId="0" xfId="1" applyNumberFormat="1" applyFont="1" applyFill="1"/>
    <xf numFmtId="164" fontId="4" fillId="4" borderId="0" xfId="1" applyNumberFormat="1" applyFont="1" applyFill="1"/>
    <xf numFmtId="172" fontId="4" fillId="4" borderId="0" xfId="1" applyNumberFormat="1" applyFont="1" applyFill="1" applyAlignment="1">
      <alignment horizontal="center"/>
    </xf>
    <xf numFmtId="164" fontId="4" fillId="4" borderId="0" xfId="1" applyNumberFormat="1" applyFont="1" applyFill="1" applyAlignment="1">
      <alignment horizontal="center"/>
    </xf>
    <xf numFmtId="171" fontId="4" fillId="4" borderId="0" xfId="1" applyNumberFormat="1" applyFont="1" applyFill="1"/>
    <xf numFmtId="42" fontId="4" fillId="4" borderId="0" xfId="1" quotePrefix="1" applyNumberFormat="1" applyFont="1" applyFill="1"/>
    <xf numFmtId="41" fontId="4" fillId="4" borderId="0" xfId="1" quotePrefix="1" applyNumberFormat="1" applyFont="1" applyFill="1"/>
    <xf numFmtId="180" fontId="4" fillId="4" borderId="0" xfId="1" applyNumberFormat="1" applyFont="1" applyFill="1"/>
    <xf numFmtId="171" fontId="4" fillId="4" borderId="0" xfId="1" quotePrefix="1" applyNumberFormat="1" applyFont="1" applyFill="1"/>
    <xf numFmtId="181" fontId="4" fillId="4" borderId="0" xfId="1" applyNumberFormat="1" applyFont="1" applyFill="1"/>
    <xf numFmtId="43" fontId="4" fillId="4" borderId="0" xfId="9" applyFont="1" applyFill="1"/>
    <xf numFmtId="42" fontId="6" fillId="4" borderId="0" xfId="1" quotePrefix="1" applyNumberFormat="1" applyFont="1" applyFill="1"/>
    <xf numFmtId="171" fontId="6" fillId="4" borderId="0" xfId="1" quotePrefix="1" applyNumberFormat="1" applyFont="1" applyFill="1"/>
    <xf numFmtId="42" fontId="4" fillId="4" borderId="0" xfId="1" applyNumberFormat="1" applyFont="1" applyFill="1"/>
    <xf numFmtId="42" fontId="6" fillId="4" borderId="0" xfId="1" applyNumberFormat="1" applyFont="1" applyFill="1"/>
    <xf numFmtId="171" fontId="6" fillId="4" borderId="0" xfId="1" applyNumberFormat="1" applyFont="1" applyFill="1"/>
    <xf numFmtId="42" fontId="11" fillId="4" borderId="0" xfId="1" applyNumberFormat="1" applyFont="1" applyFill="1"/>
    <xf numFmtId="169" fontId="2" fillId="4" borderId="0" xfId="1" applyNumberFormat="1" applyFont="1" applyFill="1"/>
    <xf numFmtId="169" fontId="2" fillId="4" borderId="0" xfId="1" applyNumberFormat="1" applyFont="1" applyFill="1" applyAlignment="1">
      <alignment horizontal="center"/>
    </xf>
    <xf numFmtId="171" fontId="11" fillId="4" borderId="0" xfId="1" applyNumberFormat="1" applyFont="1" applyFill="1"/>
    <xf numFmtId="42" fontId="9" fillId="4" borderId="0" xfId="1" applyNumberFormat="1" applyFont="1" applyFill="1"/>
    <xf numFmtId="172" fontId="9" fillId="4" borderId="0" xfId="1" applyNumberFormat="1" applyFont="1" applyFill="1"/>
    <xf numFmtId="171" fontId="9" fillId="4" borderId="0" xfId="1" applyNumberFormat="1" applyFont="1" applyFill="1"/>
    <xf numFmtId="171" fontId="9" fillId="4" borderId="5" xfId="1" applyNumberFormat="1" applyFont="1" applyFill="1" applyBorder="1"/>
    <xf numFmtId="173" fontId="4" fillId="4" borderId="0" xfId="1" applyNumberFormat="1" applyFont="1" applyFill="1"/>
    <xf numFmtId="41" fontId="9" fillId="4" borderId="0" xfId="1" applyNumberFormat="1" applyFont="1" applyFill="1"/>
    <xf numFmtId="0" fontId="2" fillId="4" borderId="3" xfId="5" applyFont="1" applyFill="1" applyBorder="1"/>
    <xf numFmtId="164" fontId="11" fillId="4" borderId="0" xfId="1" applyNumberFormat="1" applyFont="1" applyFill="1" applyAlignment="1">
      <alignment horizontal="right"/>
    </xf>
    <xf numFmtId="44" fontId="2" fillId="4" borderId="0" xfId="5" applyNumberFormat="1" applyFont="1" applyFill="1"/>
    <xf numFmtId="0" fontId="4" fillId="4" borderId="3" xfId="5" applyFill="1" applyBorder="1"/>
    <xf numFmtId="41" fontId="9" fillId="4" borderId="0" xfId="1" quotePrefix="1" applyNumberFormat="1" applyFont="1" applyFill="1"/>
    <xf numFmtId="41" fontId="10" fillId="4" borderId="0" xfId="1" quotePrefix="1" applyNumberFormat="1" applyFont="1" applyFill="1"/>
    <xf numFmtId="172" fontId="4" fillId="4" borderId="0" xfId="1" applyNumberFormat="1" applyFont="1" applyFill="1"/>
    <xf numFmtId="49" fontId="4" fillId="4" borderId="0" xfId="1" applyNumberFormat="1" applyFont="1" applyFill="1" applyAlignment="1">
      <alignment horizontal="center"/>
    </xf>
    <xf numFmtId="170" fontId="25" fillId="4" borderId="0" xfId="7" applyNumberFormat="1" applyFont="1" applyFill="1"/>
    <xf numFmtId="42" fontId="0" fillId="4" borderId="0" xfId="0" applyNumberFormat="1" applyFill="1"/>
    <xf numFmtId="10" fontId="25" fillId="4" borderId="0" xfId="7" applyNumberFormat="1" applyFont="1" applyFill="1"/>
    <xf numFmtId="164" fontId="18" fillId="4" borderId="0" xfId="1" applyNumberFormat="1" applyFont="1" applyFill="1" applyAlignment="1">
      <alignment horizontal="center" wrapText="1"/>
    </xf>
    <xf numFmtId="182" fontId="4" fillId="4" borderId="0" xfId="0" applyNumberFormat="1" applyFont="1" applyFill="1"/>
    <xf numFmtId="0" fontId="4" fillId="0" borderId="2" xfId="5" applyBorder="1"/>
    <xf numFmtId="182" fontId="4" fillId="0" borderId="0" xfId="0" applyNumberFormat="1" applyFont="1"/>
    <xf numFmtId="182" fontId="4" fillId="4" borderId="2" xfId="0" applyNumberFormat="1" applyFont="1" applyFill="1" applyBorder="1"/>
    <xf numFmtId="182" fontId="4" fillId="4" borderId="8" xfId="0" applyNumberFormat="1" applyFont="1" applyFill="1" applyBorder="1"/>
    <xf numFmtId="182" fontId="4" fillId="4" borderId="7" xfId="0" applyNumberFormat="1" applyFont="1" applyFill="1" applyBorder="1"/>
    <xf numFmtId="164" fontId="21" fillId="0" borderId="1" xfId="1" applyNumberFormat="1" applyFont="1" applyBorder="1"/>
    <xf numFmtId="43" fontId="6" fillId="0" borderId="0" xfId="1" applyNumberFormat="1" applyFont="1" applyAlignment="1">
      <alignment horizontal="center" wrapText="1"/>
    </xf>
    <xf numFmtId="43" fontId="6" fillId="0" borderId="0" xfId="1" applyNumberFormat="1" applyFont="1" applyAlignment="1">
      <alignment horizontal="center"/>
    </xf>
    <xf numFmtId="49" fontId="34" fillId="0" borderId="0" xfId="1" applyNumberFormat="1" applyFont="1"/>
    <xf numFmtId="43" fontId="6" fillId="0" borderId="2" xfId="1" applyNumberFormat="1" applyFont="1" applyBorder="1" applyAlignment="1">
      <alignment horizontal="center"/>
    </xf>
    <xf numFmtId="43" fontId="6" fillId="0" borderId="2" xfId="1" quotePrefix="1" applyNumberFormat="1" applyFont="1" applyBorder="1" applyAlignment="1">
      <alignment horizontal="center"/>
    </xf>
    <xf numFmtId="169" fontId="4" fillId="0" borderId="9" xfId="1" applyNumberFormat="1" applyFont="1" applyBorder="1"/>
    <xf numFmtId="169" fontId="4" fillId="0" borderId="7" xfId="1" applyNumberFormat="1" applyFont="1" applyBorder="1"/>
    <xf numFmtId="169" fontId="2" fillId="0" borderId="10" xfId="1" applyNumberFormat="1" applyFont="1" applyBorder="1"/>
    <xf numFmtId="170" fontId="32" fillId="3" borderId="13" xfId="10" applyNumberFormat="1" applyBorder="1"/>
    <xf numFmtId="170" fontId="4" fillId="0" borderId="8" xfId="8" applyNumberFormat="1" applyFont="1" applyFill="1" applyBorder="1"/>
    <xf numFmtId="168" fontId="4" fillId="0" borderId="8" xfId="3" applyNumberFormat="1" applyFont="1" applyFill="1" applyBorder="1"/>
    <xf numFmtId="169" fontId="4" fillId="0" borderId="2" xfId="3" applyNumberFormat="1" applyFont="1" applyFill="1" applyBorder="1"/>
    <xf numFmtId="164" fontId="20" fillId="2" borderId="9" xfId="1" applyNumberFormat="1" applyFont="1" applyFill="1" applyBorder="1"/>
    <xf numFmtId="8" fontId="4" fillId="2" borderId="8" xfId="1" applyNumberFormat="1" applyFont="1" applyFill="1" applyBorder="1"/>
    <xf numFmtId="164" fontId="4" fillId="2" borderId="8" xfId="1" applyNumberFormat="1" applyFont="1" applyFill="1" applyBorder="1"/>
    <xf numFmtId="168" fontId="4" fillId="2" borderId="8" xfId="3" applyNumberFormat="1" applyFont="1" applyFill="1" applyBorder="1"/>
    <xf numFmtId="169" fontId="9" fillId="2" borderId="8" xfId="1" applyNumberFormat="1" applyFont="1" applyFill="1" applyBorder="1"/>
    <xf numFmtId="175" fontId="9" fillId="2" borderId="7" xfId="3" applyNumberFormat="1" applyFont="1" applyFill="1" applyBorder="1" applyAlignment="1">
      <alignment horizontal="center"/>
    </xf>
    <xf numFmtId="169" fontId="4" fillId="5" borderId="0" xfId="1" applyNumberFormat="1" applyFont="1" applyFill="1"/>
    <xf numFmtId="169" fontId="6" fillId="5" borderId="0" xfId="1" applyNumberFormat="1" applyFont="1" applyFill="1"/>
    <xf numFmtId="171" fontId="4" fillId="5" borderId="5" xfId="1" applyNumberFormat="1" applyFont="1" applyFill="1" applyBorder="1"/>
    <xf numFmtId="169" fontId="2" fillId="5" borderId="0" xfId="1" applyNumberFormat="1" applyFont="1" applyFill="1"/>
    <xf numFmtId="41" fontId="4" fillId="5" borderId="8" xfId="1" applyNumberFormat="1" applyFont="1" applyFill="1" applyBorder="1"/>
    <xf numFmtId="169" fontId="6" fillId="5" borderId="0" xfId="1" applyNumberFormat="1" applyFont="1" applyFill="1" applyAlignment="1">
      <alignment horizontal="center"/>
    </xf>
    <xf numFmtId="164" fontId="4" fillId="5" borderId="0" xfId="1" applyNumberFormat="1" applyFont="1" applyFill="1" applyAlignment="1">
      <alignment horizontal="center"/>
    </xf>
    <xf numFmtId="174" fontId="2" fillId="0" borderId="0" xfId="9" applyNumberFormat="1" applyFont="1" applyFill="1"/>
    <xf numFmtId="188" fontId="24" fillId="0" borderId="0" xfId="9" applyNumberFormat="1" applyFont="1"/>
    <xf numFmtId="164" fontId="35" fillId="0" borderId="0" xfId="1" applyNumberFormat="1" applyFont="1" applyAlignment="1">
      <alignment horizontal="center" wrapText="1"/>
    </xf>
    <xf numFmtId="166" fontId="35" fillId="0" borderId="0" xfId="3" applyNumberFormat="1" applyFont="1" applyFill="1" applyBorder="1"/>
    <xf numFmtId="170" fontId="32" fillId="6" borderId="12" xfId="10" applyNumberFormat="1" applyFill="1"/>
    <xf numFmtId="169" fontId="32" fillId="6" borderId="12" xfId="10" applyNumberFormat="1" applyFill="1"/>
    <xf numFmtId="169" fontId="4" fillId="6" borderId="0" xfId="1" applyNumberFormat="1" applyFont="1" applyFill="1"/>
    <xf numFmtId="43" fontId="2" fillId="0" borderId="0" xfId="9" applyFont="1"/>
    <xf numFmtId="41" fontId="9" fillId="5" borderId="8" xfId="1" applyNumberFormat="1" applyFont="1" applyFill="1" applyBorder="1"/>
    <xf numFmtId="188" fontId="24" fillId="0" borderId="0" xfId="9" applyNumberFormat="1" applyFont="1" applyAlignment="1">
      <alignment horizontal="right"/>
    </xf>
    <xf numFmtId="44" fontId="32" fillId="3" borderId="12" xfId="11" applyFont="1" applyFill="1" applyBorder="1"/>
    <xf numFmtId="9" fontId="32" fillId="3" borderId="12" xfId="10" applyNumberFormat="1" applyProtection="1">
      <protection locked="0"/>
    </xf>
    <xf numFmtId="164" fontId="2" fillId="7" borderId="6" xfId="1" applyNumberFormat="1" applyFont="1" applyFill="1" applyBorder="1"/>
    <xf numFmtId="164" fontId="2" fillId="7" borderId="3" xfId="1" applyNumberFormat="1" applyFont="1" applyFill="1" applyBorder="1" applyAlignment="1">
      <alignment horizontal="right"/>
    </xf>
    <xf numFmtId="41" fontId="6" fillId="7" borderId="0" xfId="1" applyNumberFormat="1" applyFont="1" applyFill="1" applyAlignment="1">
      <alignment horizontal="center"/>
    </xf>
    <xf numFmtId="41" fontId="6" fillId="7" borderId="2" xfId="1" applyNumberFormat="1" applyFont="1" applyFill="1" applyBorder="1" applyAlignment="1">
      <alignment horizontal="center"/>
    </xf>
    <xf numFmtId="164" fontId="2" fillId="7" borderId="0" xfId="1" applyNumberFormat="1" applyFont="1" applyFill="1" applyAlignment="1">
      <alignment horizontal="right"/>
    </xf>
    <xf numFmtId="164" fontId="2" fillId="7" borderId="2" xfId="1" applyNumberFormat="1" applyFont="1" applyFill="1" applyBorder="1" applyAlignment="1">
      <alignment horizontal="right"/>
    </xf>
    <xf numFmtId="164" fontId="4" fillId="7" borderId="3" xfId="1" applyNumberFormat="1" applyFont="1" applyFill="1" applyBorder="1" applyAlignment="1">
      <alignment horizontal="right"/>
    </xf>
    <xf numFmtId="42" fontId="4" fillId="7" borderId="0" xfId="1" applyNumberFormat="1" applyFont="1" applyFill="1"/>
    <xf numFmtId="171" fontId="4" fillId="7" borderId="0" xfId="1" applyNumberFormat="1" applyFont="1" applyFill="1"/>
    <xf numFmtId="171" fontId="4" fillId="7" borderId="2" xfId="1" applyNumberFormat="1" applyFont="1" applyFill="1" applyBorder="1"/>
    <xf numFmtId="164" fontId="4" fillId="7" borderId="3" xfId="1" applyNumberFormat="1" applyFont="1" applyFill="1" applyBorder="1" applyAlignment="1">
      <alignment horizontal="right" wrapText="1"/>
    </xf>
    <xf numFmtId="41" fontId="6" fillId="7" borderId="0" xfId="1" applyNumberFormat="1" applyFont="1" applyFill="1"/>
    <xf numFmtId="169" fontId="6" fillId="7" borderId="0" xfId="1" applyNumberFormat="1" applyFont="1" applyFill="1"/>
    <xf numFmtId="169" fontId="6" fillId="7" borderId="2" xfId="1" applyNumberFormat="1" applyFont="1" applyFill="1" applyBorder="1"/>
    <xf numFmtId="42" fontId="8" fillId="7" borderId="0" xfId="1" applyNumberFormat="1" applyFont="1" applyFill="1"/>
    <xf numFmtId="171" fontId="8" fillId="7" borderId="0" xfId="1" applyNumberFormat="1" applyFont="1" applyFill="1"/>
    <xf numFmtId="171" fontId="8" fillId="7" borderId="2" xfId="1" applyNumberFormat="1" applyFont="1" applyFill="1" applyBorder="1"/>
    <xf numFmtId="164" fontId="4" fillId="7" borderId="0" xfId="1" applyNumberFormat="1" applyFont="1" applyFill="1"/>
    <xf numFmtId="41" fontId="4" fillId="7" borderId="0" xfId="1" applyNumberFormat="1" applyFont="1" applyFill="1"/>
    <xf numFmtId="169" fontId="4" fillId="7" borderId="0" xfId="1" applyNumberFormat="1" applyFont="1" applyFill="1"/>
    <xf numFmtId="169" fontId="4" fillId="7" borderId="2" xfId="1" applyNumberFormat="1" applyFont="1" applyFill="1" applyBorder="1"/>
    <xf numFmtId="41" fontId="11" fillId="7" borderId="0" xfId="1" applyNumberFormat="1" applyFont="1" applyFill="1"/>
    <xf numFmtId="41" fontId="11" fillId="7" borderId="2" xfId="1" applyNumberFormat="1" applyFont="1" applyFill="1" applyBorder="1"/>
    <xf numFmtId="164" fontId="4" fillId="7" borderId="2" xfId="1" applyNumberFormat="1" applyFont="1" applyFill="1" applyBorder="1" applyAlignment="1">
      <alignment horizontal="right"/>
    </xf>
    <xf numFmtId="164" fontId="4" fillId="7" borderId="9" xfId="1" applyNumberFormat="1" applyFont="1" applyFill="1" applyBorder="1" applyAlignment="1">
      <alignment horizontal="right" wrapText="1"/>
    </xf>
    <xf numFmtId="41" fontId="2" fillId="7" borderId="8" xfId="1" applyNumberFormat="1" applyFont="1" applyFill="1" applyBorder="1"/>
    <xf numFmtId="164" fontId="4" fillId="7" borderId="8" xfId="1" applyNumberFormat="1" applyFont="1" applyFill="1" applyBorder="1"/>
    <xf numFmtId="41" fontId="4" fillId="7" borderId="8" xfId="1" applyNumberFormat="1" applyFont="1" applyFill="1" applyBorder="1"/>
    <xf numFmtId="164" fontId="4" fillId="7" borderId="7" xfId="1" applyNumberFormat="1" applyFont="1" applyFill="1" applyBorder="1" applyAlignment="1">
      <alignment horizontal="right"/>
    </xf>
    <xf numFmtId="44" fontId="4" fillId="4" borderId="0" xfId="5" applyNumberFormat="1" applyFill="1"/>
    <xf numFmtId="0" fontId="4" fillId="4" borderId="9" xfId="5" applyFill="1" applyBorder="1"/>
    <xf numFmtId="44" fontId="4" fillId="4" borderId="8" xfId="5" applyNumberFormat="1" applyFill="1" applyBorder="1"/>
    <xf numFmtId="182" fontId="2" fillId="4" borderId="0" xfId="0" applyNumberFormat="1" applyFont="1" applyFill="1"/>
    <xf numFmtId="182" fontId="2" fillId="4" borderId="8" xfId="0" applyNumberFormat="1" applyFont="1" applyFill="1" applyBorder="1"/>
    <xf numFmtId="44" fontId="4" fillId="0" borderId="0" xfId="5" applyNumberFormat="1"/>
    <xf numFmtId="182" fontId="2" fillId="0" borderId="0" xfId="0" applyNumberFormat="1" applyFont="1"/>
    <xf numFmtId="182" fontId="2" fillId="0" borderId="8" xfId="0" applyNumberFormat="1" applyFont="1" applyBorder="1"/>
    <xf numFmtId="189" fontId="2" fillId="0" borderId="0" xfId="9" applyNumberFormat="1" applyFont="1"/>
    <xf numFmtId="189" fontId="2" fillId="0" borderId="0" xfId="9" applyNumberFormat="1" applyFont="1" applyAlignment="1">
      <alignment horizontal="right"/>
    </xf>
    <xf numFmtId="165" fontId="32" fillId="3" borderId="15" xfId="9" applyNumberFormat="1" applyFont="1" applyFill="1" applyBorder="1"/>
    <xf numFmtId="44" fontId="32" fillId="9" borderId="12" xfId="11" applyFont="1" applyFill="1" applyBorder="1"/>
    <xf numFmtId="171" fontId="4" fillId="0" borderId="11" xfId="1" applyNumberFormat="1" applyFont="1" applyBorder="1"/>
    <xf numFmtId="171" fontId="4" fillId="0" borderId="8" xfId="3" applyNumberFormat="1" applyFont="1" applyFill="1" applyBorder="1"/>
    <xf numFmtId="172" fontId="24" fillId="0" borderId="0" xfId="1" applyNumberFormat="1" applyFont="1"/>
    <xf numFmtId="166" fontId="4" fillId="5" borderId="0" xfId="3" applyNumberFormat="1" applyFont="1" applyFill="1" applyBorder="1"/>
    <xf numFmtId="170" fontId="4" fillId="5" borderId="0" xfId="1" applyNumberFormat="1" applyFont="1" applyFill="1"/>
    <xf numFmtId="169" fontId="32" fillId="0" borderId="12" xfId="10" applyNumberFormat="1" applyFill="1"/>
    <xf numFmtId="173" fontId="4" fillId="0" borderId="0" xfId="1" applyNumberFormat="1" applyFont="1"/>
    <xf numFmtId="165" fontId="33" fillId="3" borderId="12" xfId="10" applyNumberFormat="1" applyFont="1"/>
    <xf numFmtId="44" fontId="33" fillId="3" borderId="12" xfId="11" applyFont="1" applyFill="1" applyBorder="1"/>
    <xf numFmtId="41" fontId="12" fillId="0" borderId="9" xfId="1" applyNumberFormat="1" applyFont="1" applyBorder="1" applyAlignment="1">
      <alignment horizontal="right"/>
    </xf>
    <xf numFmtId="9" fontId="33" fillId="3" borderId="12" xfId="8" applyFont="1" applyFill="1" applyBorder="1"/>
    <xf numFmtId="44" fontId="33" fillId="9" borderId="12" xfId="11" applyFont="1" applyFill="1" applyBorder="1"/>
    <xf numFmtId="169" fontId="33" fillId="3" borderId="12" xfId="10" applyNumberFormat="1" applyFont="1"/>
    <xf numFmtId="171" fontId="4" fillId="6" borderId="0" xfId="1" quotePrefix="1" applyNumberFormat="1" applyFont="1" applyFill="1" applyAlignment="1">
      <alignment horizontal="center"/>
    </xf>
    <xf numFmtId="171" fontId="4" fillId="6" borderId="0" xfId="2" applyNumberFormat="1" applyFont="1" applyFill="1" applyBorder="1"/>
    <xf numFmtId="44" fontId="4" fillId="6" borderId="0" xfId="3" applyFont="1" applyFill="1" applyBorder="1"/>
    <xf numFmtId="183" fontId="32" fillId="6" borderId="16" xfId="10" applyNumberFormat="1" applyFill="1" applyBorder="1"/>
    <xf numFmtId="183" fontId="33" fillId="6" borderId="16" xfId="10" applyNumberFormat="1" applyFont="1" applyFill="1" applyBorder="1"/>
    <xf numFmtId="44" fontId="32" fillId="6" borderId="12" xfId="11" applyFont="1" applyFill="1" applyBorder="1"/>
    <xf numFmtId="164" fontId="2" fillId="6" borderId="0" xfId="1" applyNumberFormat="1" applyFont="1" applyFill="1"/>
    <xf numFmtId="43" fontId="2" fillId="6" borderId="0" xfId="9" applyFont="1" applyFill="1"/>
    <xf numFmtId="164" fontId="2" fillId="6" borderId="0" xfId="1" applyNumberFormat="1" applyFont="1" applyFill="1" applyAlignment="1">
      <alignment horizontal="left"/>
    </xf>
    <xf numFmtId="0" fontId="2" fillId="6" borderId="0" xfId="5" applyFont="1" applyFill="1"/>
    <xf numFmtId="5" fontId="24" fillId="0" borderId="0" xfId="1" applyNumberFormat="1" applyFont="1"/>
    <xf numFmtId="41" fontId="6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 indent="1"/>
    </xf>
    <xf numFmtId="164" fontId="9" fillId="0" borderId="0" xfId="1" applyNumberFormat="1" applyFont="1" applyAlignment="1">
      <alignment horizontal="left" indent="1"/>
    </xf>
    <xf numFmtId="44" fontId="9" fillId="0" borderId="0" xfId="3" applyFont="1" applyFill="1" applyBorder="1"/>
    <xf numFmtId="42" fontId="9" fillId="0" borderId="0" xfId="1" applyNumberFormat="1" applyFont="1"/>
    <xf numFmtId="164" fontId="2" fillId="0" borderId="0" xfId="1" applyNumberFormat="1" applyFont="1" applyAlignment="1">
      <alignment horizontal="left" indent="1"/>
    </xf>
    <xf numFmtId="41" fontId="2" fillId="0" borderId="0" xfId="1" applyNumberFormat="1" applyFont="1"/>
    <xf numFmtId="42" fontId="2" fillId="0" borderId="0" xfId="1" applyNumberFormat="1" applyFont="1"/>
    <xf numFmtId="41" fontId="6" fillId="0" borderId="2" xfId="1" applyNumberFormat="1" applyFont="1" applyBorder="1" applyAlignment="1">
      <alignment horizontal="center"/>
    </xf>
    <xf numFmtId="165" fontId="4" fillId="0" borderId="2" xfId="2" applyNumberFormat="1" applyFont="1" applyFill="1" applyBorder="1"/>
    <xf numFmtId="44" fontId="4" fillId="0" borderId="2" xfId="3" applyFont="1" applyFill="1" applyBorder="1"/>
    <xf numFmtId="170" fontId="4" fillId="0" borderId="2" xfId="2" applyNumberFormat="1" applyFont="1" applyFill="1" applyBorder="1"/>
    <xf numFmtId="0" fontId="0" fillId="10" borderId="2" xfId="0" applyFill="1" applyBorder="1"/>
    <xf numFmtId="164" fontId="0" fillId="0" borderId="3" xfId="0" applyNumberFormat="1" applyBorder="1" applyAlignment="1">
      <alignment horizontal="left"/>
    </xf>
    <xf numFmtId="165" fontId="0" fillId="0" borderId="0" xfId="9" applyNumberFormat="1" applyFont="1" applyBorder="1"/>
    <xf numFmtId="165" fontId="0" fillId="10" borderId="0" xfId="9" applyNumberFormat="1" applyFont="1" applyFill="1" applyBorder="1"/>
    <xf numFmtId="165" fontId="0" fillId="10" borderId="2" xfId="9" applyNumberFormat="1" applyFont="1" applyFill="1" applyBorder="1"/>
    <xf numFmtId="0" fontId="0" fillId="0" borderId="3" xfId="0" applyBorder="1"/>
    <xf numFmtId="9" fontId="0" fillId="0" borderId="0" xfId="8" applyFont="1" applyBorder="1"/>
    <xf numFmtId="9" fontId="0" fillId="10" borderId="0" xfId="8" applyFont="1" applyFill="1" applyBorder="1"/>
    <xf numFmtId="9" fontId="0" fillId="0" borderId="2" xfId="8" applyFont="1" applyBorder="1"/>
    <xf numFmtId="43" fontId="2" fillId="0" borderId="0" xfId="2" applyFont="1" applyBorder="1"/>
    <xf numFmtId="37" fontId="4" fillId="0" borderId="0" xfId="11" applyNumberFormat="1" applyFont="1" applyFill="1" applyBorder="1"/>
    <xf numFmtId="166" fontId="4" fillId="0" borderId="0" xfId="11" applyNumberFormat="1" applyFont="1" applyBorder="1"/>
    <xf numFmtId="43" fontId="2" fillId="0" borderId="0" xfId="3" applyNumberFormat="1" applyFont="1" applyFill="1" applyBorder="1"/>
    <xf numFmtId="166" fontId="9" fillId="0" borderId="0" xfId="2" applyNumberFormat="1" applyFont="1" applyFill="1" applyBorder="1"/>
    <xf numFmtId="166" fontId="9" fillId="0" borderId="0" xfId="11" applyNumberFormat="1" applyFont="1" applyBorder="1"/>
    <xf numFmtId="166" fontId="9" fillId="0" borderId="2" xfId="2" applyNumberFormat="1" applyFont="1" applyFill="1" applyBorder="1"/>
    <xf numFmtId="164" fontId="4" fillId="0" borderId="3" xfId="1" applyNumberFormat="1" applyFont="1" applyBorder="1" applyAlignment="1">
      <alignment horizontal="left" indent="2"/>
    </xf>
    <xf numFmtId="166" fontId="9" fillId="0" borderId="2" xfId="1" applyNumberFormat="1" applyFont="1" applyBorder="1"/>
    <xf numFmtId="166" fontId="2" fillId="0" borderId="0" xfId="11" applyNumberFormat="1" applyFont="1" applyBorder="1"/>
    <xf numFmtId="166" fontId="4" fillId="8" borderId="0" xfId="11" applyNumberFormat="1" applyFont="1" applyFill="1" applyBorder="1"/>
    <xf numFmtId="166" fontId="2" fillId="8" borderId="0" xfId="11" applyNumberFormat="1" applyFont="1" applyFill="1" applyBorder="1"/>
    <xf numFmtId="41" fontId="6" fillId="0" borderId="0" xfId="2" applyNumberFormat="1" applyFont="1" applyFill="1" applyBorder="1"/>
    <xf numFmtId="44" fontId="9" fillId="0" borderId="8" xfId="3" applyFont="1" applyFill="1" applyBorder="1"/>
    <xf numFmtId="166" fontId="9" fillId="0" borderId="8" xfId="2" applyNumberFormat="1" applyFont="1" applyFill="1" applyBorder="1"/>
    <xf numFmtId="165" fontId="0" fillId="0" borderId="0" xfId="9" applyNumberFormat="1" applyFont="1" applyFill="1" applyBorder="1"/>
    <xf numFmtId="164" fontId="2" fillId="10" borderId="2" xfId="1" applyNumberFormat="1" applyFont="1" applyFill="1" applyBorder="1"/>
    <xf numFmtId="0" fontId="0" fillId="10" borderId="0" xfId="0" applyFill="1"/>
    <xf numFmtId="0" fontId="0" fillId="0" borderId="2" xfId="0" applyBorder="1"/>
    <xf numFmtId="44" fontId="9" fillId="0" borderId="0" xfId="1" applyNumberFormat="1" applyFont="1"/>
    <xf numFmtId="41" fontId="6" fillId="0" borderId="0" xfId="1" applyNumberFormat="1" applyFont="1"/>
    <xf numFmtId="165" fontId="0" fillId="0" borderId="18" xfId="9" applyNumberFormat="1" applyFont="1" applyBorder="1"/>
    <xf numFmtId="165" fontId="0" fillId="0" borderId="21" xfId="9" applyNumberFormat="1" applyFont="1" applyBorder="1"/>
    <xf numFmtId="0" fontId="26" fillId="0" borderId="18" xfId="0" applyFont="1" applyBorder="1"/>
    <xf numFmtId="165" fontId="0" fillId="0" borderId="0" xfId="0" applyNumberFormat="1"/>
    <xf numFmtId="168" fontId="0" fillId="0" borderId="20" xfId="11" applyNumberFormat="1" applyFont="1" applyBorder="1"/>
    <xf numFmtId="168" fontId="0" fillId="0" borderId="18" xfId="11" applyNumberFormat="1" applyFont="1" applyBorder="1"/>
    <xf numFmtId="168" fontId="0" fillId="0" borderId="19" xfId="11" applyNumberFormat="1" applyFont="1" applyBorder="1"/>
    <xf numFmtId="168" fontId="0" fillId="0" borderId="21" xfId="11" applyNumberFormat="1" applyFont="1" applyBorder="1"/>
    <xf numFmtId="168" fontId="0" fillId="0" borderId="22" xfId="11" applyNumberFormat="1" applyFont="1" applyBorder="1"/>
    <xf numFmtId="2" fontId="4" fillId="0" borderId="0" xfId="1" applyNumberFormat="1" applyFont="1"/>
    <xf numFmtId="2" fontId="4" fillId="0" borderId="0" xfId="8" applyNumberFormat="1" applyFont="1"/>
    <xf numFmtId="2" fontId="4" fillId="0" borderId="8" xfId="1" applyNumberFormat="1" applyFont="1" applyBorder="1"/>
    <xf numFmtId="164" fontId="9" fillId="0" borderId="23" xfId="1" applyNumberFormat="1" applyFont="1" applyBorder="1" applyAlignment="1">
      <alignment horizontal="left"/>
    </xf>
    <xf numFmtId="164" fontId="9" fillId="0" borderId="24" xfId="1" applyNumberFormat="1" applyFont="1" applyBorder="1" applyAlignment="1">
      <alignment horizontal="left"/>
    </xf>
    <xf numFmtId="164" fontId="9" fillId="0" borderId="25" xfId="1" applyNumberFormat="1" applyFont="1" applyBorder="1" applyAlignment="1">
      <alignment horizontal="left"/>
    </xf>
    <xf numFmtId="168" fontId="9" fillId="0" borderId="3" xfId="11" applyNumberFormat="1" applyFont="1" applyBorder="1" applyAlignment="1">
      <alignment horizontal="left"/>
    </xf>
    <xf numFmtId="165" fontId="9" fillId="0" borderId="3" xfId="9" applyNumberFormat="1" applyFont="1" applyBorder="1" applyAlignment="1">
      <alignment horizontal="left"/>
    </xf>
    <xf numFmtId="165" fontId="26" fillId="0" borderId="0" xfId="9" applyNumberFormat="1" applyFont="1"/>
    <xf numFmtId="165" fontId="0" fillId="0" borderId="0" xfId="9" applyNumberFormat="1" applyFont="1"/>
    <xf numFmtId="0" fontId="26" fillId="0" borderId="26" xfId="0" applyFont="1" applyBorder="1"/>
    <xf numFmtId="0" fontId="26" fillId="0" borderId="27" xfId="0" applyFont="1" applyBorder="1"/>
    <xf numFmtId="0" fontId="26" fillId="0" borderId="28" xfId="0" applyFont="1" applyBorder="1"/>
    <xf numFmtId="164" fontId="9" fillId="0" borderId="29" xfId="1" applyNumberFormat="1" applyFont="1" applyBorder="1" applyAlignment="1">
      <alignment horizontal="left"/>
    </xf>
    <xf numFmtId="164" fontId="9" fillId="0" borderId="30" xfId="1" applyNumberFormat="1" applyFont="1" applyBorder="1" applyAlignment="1">
      <alignment horizontal="left"/>
    </xf>
    <xf numFmtId="165" fontId="9" fillId="0" borderId="31" xfId="9" applyNumberFormat="1" applyFont="1" applyBorder="1" applyAlignment="1">
      <alignment horizontal="left"/>
    </xf>
    <xf numFmtId="165" fontId="25" fillId="0" borderId="18" xfId="9" applyNumberFormat="1" applyFont="1" applyBorder="1"/>
    <xf numFmtId="164" fontId="9" fillId="0" borderId="0" xfId="1" applyNumberFormat="1" applyFont="1" applyAlignment="1">
      <alignment horizontal="left"/>
    </xf>
    <xf numFmtId="0" fontId="26" fillId="0" borderId="32" xfId="0" applyFont="1" applyBorder="1"/>
    <xf numFmtId="0" fontId="26" fillId="0" borderId="33" xfId="0" applyFont="1" applyBorder="1"/>
    <xf numFmtId="0" fontId="26" fillId="0" borderId="34" xfId="0" applyFont="1" applyBorder="1"/>
    <xf numFmtId="164" fontId="9" fillId="0" borderId="35" xfId="1" applyNumberFormat="1" applyFont="1" applyBorder="1" applyAlignment="1">
      <alignment horizontal="left"/>
    </xf>
    <xf numFmtId="165" fontId="0" fillId="0" borderId="20" xfId="9" applyNumberFormat="1" applyFont="1" applyBorder="1"/>
    <xf numFmtId="165" fontId="9" fillId="0" borderId="36" xfId="9" applyNumberFormat="1" applyFont="1" applyBorder="1" applyAlignment="1">
      <alignment horizontal="left"/>
    </xf>
    <xf numFmtId="165" fontId="25" fillId="0" borderId="20" xfId="9" applyNumberFormat="1" applyFont="1" applyBorder="1"/>
    <xf numFmtId="165" fontId="26" fillId="0" borderId="20" xfId="9" applyNumberFormat="1" applyFont="1" applyBorder="1"/>
    <xf numFmtId="165" fontId="26" fillId="0" borderId="37" xfId="9" applyNumberFormat="1" applyFont="1" applyBorder="1"/>
    <xf numFmtId="168" fontId="0" fillId="0" borderId="37" xfId="11" applyNumberFormat="1" applyFont="1" applyBorder="1"/>
    <xf numFmtId="164" fontId="2" fillId="0" borderId="0" xfId="1" applyNumberFormat="1" applyFont="1" applyAlignment="1">
      <alignment horizontal="center"/>
    </xf>
    <xf numFmtId="164" fontId="21" fillId="0" borderId="6" xfId="1" applyNumberFormat="1" applyFont="1" applyBorder="1"/>
    <xf numFmtId="164" fontId="21" fillId="0" borderId="1" xfId="1" applyNumberFormat="1" applyFont="1" applyBorder="1"/>
    <xf numFmtId="164" fontId="21" fillId="0" borderId="10" xfId="1" applyNumberFormat="1" applyFont="1" applyBorder="1"/>
    <xf numFmtId="164" fontId="4" fillId="0" borderId="3" xfId="1" applyNumberFormat="1" applyFont="1" applyBorder="1"/>
    <xf numFmtId="164" fontId="4" fillId="0" borderId="0" xfId="1" applyNumberFormat="1" applyFont="1"/>
    <xf numFmtId="164" fontId="4" fillId="0" borderId="5" xfId="1" applyNumberFormat="1" applyFont="1" applyBorder="1"/>
    <xf numFmtId="164" fontId="4" fillId="0" borderId="4" xfId="1" applyNumberFormat="1" applyFont="1" applyBorder="1"/>
    <xf numFmtId="43" fontId="6" fillId="0" borderId="3" xfId="1" applyNumberFormat="1" applyFont="1" applyBorder="1" applyAlignment="1">
      <alignment horizontal="center" wrapText="1"/>
    </xf>
    <xf numFmtId="43" fontId="6" fillId="0" borderId="0" xfId="1" applyNumberFormat="1" applyFont="1" applyAlignment="1">
      <alignment horizontal="center" wrapText="1"/>
    </xf>
    <xf numFmtId="43" fontId="6" fillId="0" borderId="2" xfId="1" applyNumberFormat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43" fontId="6" fillId="0" borderId="6" xfId="1" applyNumberFormat="1" applyFont="1" applyBorder="1" applyAlignment="1">
      <alignment horizontal="center" wrapText="1"/>
    </xf>
    <xf numFmtId="43" fontId="6" fillId="0" borderId="1" xfId="1" applyNumberFormat="1" applyFont="1" applyBorder="1" applyAlignment="1">
      <alignment horizontal="center" wrapText="1"/>
    </xf>
    <xf numFmtId="43" fontId="6" fillId="0" borderId="10" xfId="1" applyNumberFormat="1" applyFont="1" applyBorder="1" applyAlignment="1">
      <alignment horizontal="center" wrapText="1"/>
    </xf>
    <xf numFmtId="164" fontId="4" fillId="0" borderId="11" xfId="1" applyNumberFormat="1" applyFont="1" applyBorder="1" applyAlignment="1">
      <alignment horizontal="right"/>
    </xf>
    <xf numFmtId="164" fontId="4" fillId="0" borderId="14" xfId="1" applyNumberFormat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4" fillId="0" borderId="17" xfId="1" applyNumberFormat="1" applyFont="1" applyBorder="1" applyAlignment="1">
      <alignment horizontal="right"/>
    </xf>
    <xf numFmtId="41" fontId="6" fillId="0" borderId="1" xfId="1" applyNumberFormat="1" applyFont="1" applyBorder="1" applyAlignment="1">
      <alignment horizontal="center"/>
    </xf>
    <xf numFmtId="41" fontId="6" fillId="0" borderId="10" xfId="1" applyNumberFormat="1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3" fillId="0" borderId="0" xfId="1" applyNumberFormat="1" applyFont="1"/>
    <xf numFmtId="43" fontId="6" fillId="0" borderId="0" xfId="1" applyNumberFormat="1" applyFont="1" applyAlignment="1">
      <alignment horizontal="center"/>
    </xf>
    <xf numFmtId="43" fontId="6" fillId="0" borderId="2" xfId="1" applyNumberFormat="1" applyFont="1" applyBorder="1" applyAlignment="1">
      <alignment horizontal="center"/>
    </xf>
    <xf numFmtId="169" fontId="10" fillId="0" borderId="6" xfId="1" applyNumberFormat="1" applyFont="1" applyBorder="1" applyAlignment="1">
      <alignment horizontal="center" wrapText="1"/>
    </xf>
    <xf numFmtId="169" fontId="10" fillId="0" borderId="1" xfId="1" applyNumberFormat="1" applyFont="1" applyBorder="1" applyAlignment="1">
      <alignment horizontal="center" wrapText="1"/>
    </xf>
    <xf numFmtId="169" fontId="10" fillId="0" borderId="10" xfId="1" applyNumberFormat="1" applyFont="1" applyBorder="1" applyAlignment="1">
      <alignment horizontal="center" wrapText="1"/>
    </xf>
    <xf numFmtId="41" fontId="6" fillId="0" borderId="0" xfId="1" applyNumberFormat="1" applyFont="1" applyAlignment="1">
      <alignment horizontal="center"/>
    </xf>
    <xf numFmtId="41" fontId="6" fillId="0" borderId="0" xfId="1" applyNumberFormat="1" applyFont="1" applyAlignment="1">
      <alignment horizontal="center" wrapText="1"/>
    </xf>
    <xf numFmtId="164" fontId="15" fillId="0" borderId="0" xfId="1" applyNumberFormat="1" applyFont="1" applyAlignment="1">
      <alignment horizontal="center"/>
    </xf>
    <xf numFmtId="43" fontId="10" fillId="4" borderId="0" xfId="1" applyNumberFormat="1" applyFont="1" applyFill="1" applyAlignment="1">
      <alignment horizontal="center" wrapText="1"/>
    </xf>
    <xf numFmtId="43" fontId="10" fillId="0" borderId="3" xfId="1" applyNumberFormat="1" applyFont="1" applyBorder="1" applyAlignment="1">
      <alignment horizontal="center" wrapText="1"/>
    </xf>
    <xf numFmtId="43" fontId="10" fillId="0" borderId="0" xfId="1" applyNumberFormat="1" applyFont="1" applyAlignment="1">
      <alignment horizontal="center" wrapText="1"/>
    </xf>
    <xf numFmtId="43" fontId="10" fillId="0" borderId="2" xfId="1" applyNumberFormat="1" applyFont="1" applyBorder="1" applyAlignment="1">
      <alignment horizontal="center" wrapText="1"/>
    </xf>
    <xf numFmtId="41" fontId="6" fillId="7" borderId="1" xfId="1" applyNumberFormat="1" applyFont="1" applyFill="1" applyBorder="1" applyAlignment="1">
      <alignment horizontal="center"/>
    </xf>
    <xf numFmtId="41" fontId="6" fillId="7" borderId="10" xfId="1" applyNumberFormat="1" applyFont="1" applyFill="1" applyBorder="1" applyAlignment="1">
      <alignment horizontal="center"/>
    </xf>
  </cellXfs>
  <cellStyles count="12">
    <cellStyle name="Comma" xfId="9" builtinId="3"/>
    <cellStyle name="Comma 2" xfId="2" xr:uid="{00000000-0005-0000-0000-000001000000}"/>
    <cellStyle name="Currency" xfId="11" builtinId="4"/>
    <cellStyle name="Currency 2" xfId="3" xr:uid="{00000000-0005-0000-0000-000003000000}"/>
    <cellStyle name="Currency 3" xfId="4" xr:uid="{00000000-0005-0000-0000-000004000000}"/>
    <cellStyle name="Input" xfId="10" builtinId="20"/>
    <cellStyle name="Normal" xfId="0" builtinId="0"/>
    <cellStyle name="Normal 2" xfId="5" xr:uid="{00000000-0005-0000-0000-000007000000}"/>
    <cellStyle name="Normal 3" xfId="6" xr:uid="{00000000-0005-0000-0000-000008000000}"/>
    <cellStyle name="Normal_STDS97" xfId="1" xr:uid="{00000000-0005-0000-0000-000009000000}"/>
    <cellStyle name="Percent" xfId="8" builtinId="5"/>
    <cellStyle name="Percent 2" xfId="7" xr:uid="{00000000-0005-0000-0000-00000B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3E061-7090-4AEB-85BE-0C6CAE2DE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3762374" cy="343796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CBEE0-071E-44CF-80CD-AA993F91B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3927474" cy="2370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429CE-7A84-4B16-BEF6-3D442257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3762374" cy="343796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95BE1C-1821-4D45-98EE-B4B1B5B9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3927474" cy="2370057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6E9C1B-2E66-43B8-A5B2-F6FE27C3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B358A0-208B-49E7-A049-D013D844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56</xdr:col>
      <xdr:colOff>276224</xdr:colOff>
      <xdr:row>185</xdr:row>
      <xdr:rowOff>18487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1080075"/>
          <a:ext cx="3238499" cy="325698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56</xdr:col>
      <xdr:colOff>441324</xdr:colOff>
      <xdr:row>197</xdr:row>
      <xdr:rowOff>150732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4499550"/>
          <a:ext cx="3403599" cy="243673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DC907A-DE8B-4E6E-8D99-C0819030A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13735C-4249-4511-A625-2D09C1D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0108D-86FD-4A3B-ACC8-89B3E1C1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3762374" cy="343796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AEEC7-7E61-4562-B966-9DFEA391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3927474" cy="2370057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39B526-A722-4153-80C4-B327C309C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261DD3-9742-4F74-B88D-1AF129C1C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58</xdr:col>
      <xdr:colOff>476249</xdr:colOff>
      <xdr:row>186</xdr:row>
      <xdr:rowOff>189937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13B62-C2D4-448F-A6AC-5CC2D6D2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59</xdr:col>
      <xdr:colOff>60324</xdr:colOff>
      <xdr:row>197</xdr:row>
      <xdr:rowOff>17382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0CF67-0EDB-4064-9A36-D1904BE77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7D04E9-BB6D-40CA-9BDC-621CDA05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A36290-31A3-4FC3-B6C9-C82832018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60</xdr:col>
      <xdr:colOff>152399</xdr:colOff>
      <xdr:row>187</xdr:row>
      <xdr:rowOff>180412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FB46E-89AA-402F-A403-6CEAB329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5124449" cy="379991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60</xdr:col>
      <xdr:colOff>317499</xdr:colOff>
      <xdr:row>196</xdr:row>
      <xdr:rowOff>141207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624D7-FA60-4769-96F6-092113BF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5289549" cy="2236707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25D416-479C-4DE4-9B6C-871BED569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79CE3A-6773-4BAF-8677-D20C6CA34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61</xdr:col>
      <xdr:colOff>514349</xdr:colOff>
      <xdr:row>188</xdr:row>
      <xdr:rowOff>170887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5B331-4E2D-4109-8B7E-F26C961D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5962649" cy="398088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62</xdr:col>
      <xdr:colOff>203199</xdr:colOff>
      <xdr:row>196</xdr:row>
      <xdr:rowOff>74532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2664CD-DB2D-4519-9681-56B88468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6127749" cy="217003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37FB9E-894E-458D-BC26-FB57ECEAC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E2A602-A607-4063-92F3-958273F0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63</xdr:col>
      <xdr:colOff>504824</xdr:colOff>
      <xdr:row>189</xdr:row>
      <xdr:rowOff>161362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C9712C-F103-43CA-BAB6-1D862D814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6905624" cy="416186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64</xdr:col>
      <xdr:colOff>193674</xdr:colOff>
      <xdr:row>196</xdr:row>
      <xdr:rowOff>7857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42552C-867E-42AB-B28A-2948B50B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7175499" cy="2103357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95D122-67B9-4790-8603-2FF1E3DA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9CE01E-6D1C-493A-A3A2-54A9EF34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66</xdr:col>
      <xdr:colOff>123824</xdr:colOff>
      <xdr:row>190</xdr:row>
      <xdr:rowOff>151837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0FFEF-2A6A-4E09-BA8F-A7D6B95A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8058149" cy="43428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66</xdr:col>
      <xdr:colOff>393699</xdr:colOff>
      <xdr:row>195</xdr:row>
      <xdr:rowOff>131682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0708C-79E3-4968-9109-2C2D9CDF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8328024" cy="20366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0D9E80-7D97-4CE0-9EFD-708A51E1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B1596D-D045-4E8E-83C5-C031821C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68</xdr:col>
      <xdr:colOff>533399</xdr:colOff>
      <xdr:row>191</xdr:row>
      <xdr:rowOff>142312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06566-97FD-4233-8B68-BD886109A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9420224" cy="452381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69</xdr:col>
      <xdr:colOff>222249</xdr:colOff>
      <xdr:row>195</xdr:row>
      <xdr:rowOff>93582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AF2DB-5309-497B-9074-4EFE70EBA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9690099" cy="19985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12EA83-BD10-4FC6-BBBD-068DD0E3D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BF0453-BE4C-472E-8B0F-B9B2E559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68</xdr:col>
      <xdr:colOff>533399</xdr:colOff>
      <xdr:row>191</xdr:row>
      <xdr:rowOff>142312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E5609-F21A-4142-8E47-AFAB391E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9420224" cy="452381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69</xdr:col>
      <xdr:colOff>222249</xdr:colOff>
      <xdr:row>195</xdr:row>
      <xdr:rowOff>93582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7E1884-58D5-4896-8E8A-5DE688D12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9690099" cy="19985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432233-18BE-45B3-B604-2A07B72DC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3A3E79-DA2B-458A-8362-517B13DE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68</xdr:col>
      <xdr:colOff>533399</xdr:colOff>
      <xdr:row>191</xdr:row>
      <xdr:rowOff>142312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D0B2D-D7C1-4FF5-B8DB-9669CC70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9420224" cy="452381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69</xdr:col>
      <xdr:colOff>222249</xdr:colOff>
      <xdr:row>195</xdr:row>
      <xdr:rowOff>93582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004DB3-292B-4C87-BD9E-382C397BC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9690099" cy="19985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CDE644-19C6-4AEB-AADF-43D8CE46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C1166D-D1FC-4D51-869B-1BD512C3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68</xdr:col>
      <xdr:colOff>533399</xdr:colOff>
      <xdr:row>191</xdr:row>
      <xdr:rowOff>142312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EE183-C18D-4A36-9DA1-94688221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9420224" cy="4523812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69</xdr:col>
      <xdr:colOff>222249</xdr:colOff>
      <xdr:row>195</xdr:row>
      <xdr:rowOff>93582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97874B-21F8-4C7F-8CFB-19ACDF4FA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9690099" cy="19985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18B151-BB12-4406-A205-43E32E505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1F59FC-18B3-4AEF-AE5E-A62D906BE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</xdr:colOff>
      <xdr:row>168</xdr:row>
      <xdr:rowOff>0</xdr:rowOff>
    </xdr:from>
    <xdr:to>
      <xdr:col>72</xdr:col>
      <xdr:colOff>95249</xdr:colOff>
      <xdr:row>192</xdr:row>
      <xdr:rowOff>132787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5E458-540B-4F35-8BA8-F5ED68D2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10991849" cy="470478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72</xdr:col>
      <xdr:colOff>365124</xdr:colOff>
      <xdr:row>195</xdr:row>
      <xdr:rowOff>55482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A56BD-8D3F-446A-90EF-575830F29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11261724" cy="1960482"/>
        </a:xfrm>
        <a:prstGeom prst="rect">
          <a:avLst/>
        </a:prstGeom>
      </xdr:spPr>
    </xdr:pic>
    <xdr:clientData/>
  </xdr:twoCellAnchor>
  <xdr:twoCellAnchor editAs="oneCell">
    <xdr:from>
      <xdr:col>32</xdr:col>
      <xdr:colOff>1</xdr:colOff>
      <xdr:row>168</xdr:row>
      <xdr:rowOff>0</xdr:rowOff>
    </xdr:from>
    <xdr:to>
      <xdr:col>57</xdr:col>
      <xdr:colOff>323849</xdr:colOff>
      <xdr:row>186</xdr:row>
      <xdr:rowOff>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DF693D-2FBA-4E29-94A3-DD232228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30422850"/>
          <a:ext cx="4391024" cy="3618937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</xdr:colOff>
      <xdr:row>185</xdr:row>
      <xdr:rowOff>0</xdr:rowOff>
    </xdr:from>
    <xdr:to>
      <xdr:col>57</xdr:col>
      <xdr:colOff>488949</xdr:colOff>
      <xdr:row>197</xdr:row>
      <xdr:rowOff>84057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27611D-697C-4C25-956A-3DC4961B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3975" y="33842325"/>
          <a:ext cx="4556124" cy="2303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DC92-51C1-41A5-9C8F-F0A8C9DB69E5}">
  <dimension ref="B1:Q19"/>
  <sheetViews>
    <sheetView tabSelected="1" workbookViewId="0">
      <selection activeCell="F6" sqref="F6"/>
    </sheetView>
  </sheetViews>
  <sheetFormatPr defaultRowHeight="15"/>
  <cols>
    <col min="3" max="3" width="12.140625" bestFit="1" customWidth="1"/>
    <col min="4" max="4" width="13.42578125" bestFit="1" customWidth="1"/>
    <col min="5" max="5" width="10.5703125" bestFit="1" customWidth="1"/>
    <col min="6" max="6" width="14.85546875" bestFit="1" customWidth="1"/>
    <col min="7" max="7" width="11.42578125" bestFit="1" customWidth="1"/>
    <col min="8" max="8" width="11.7109375" bestFit="1" customWidth="1"/>
    <col min="9" max="9" width="16" bestFit="1" customWidth="1"/>
    <col min="10" max="10" width="16" customWidth="1"/>
    <col min="11" max="11" width="10.7109375" customWidth="1"/>
    <col min="12" max="12" width="12" bestFit="1" customWidth="1"/>
    <col min="13" max="13" width="13.28515625" bestFit="1" customWidth="1"/>
    <col min="14" max="14" width="10.28515625" bestFit="1" customWidth="1"/>
    <col min="15" max="15" width="14.85546875" bestFit="1" customWidth="1"/>
    <col min="16" max="16" width="11.28515625" bestFit="1" customWidth="1"/>
    <col min="17" max="17" width="11.5703125" bestFit="1" customWidth="1"/>
  </cols>
  <sheetData>
    <row r="1" spans="2:17">
      <c r="B1" t="s">
        <v>274</v>
      </c>
    </row>
    <row r="2" spans="2:17" ht="15.75" thickBot="1"/>
    <row r="3" spans="2:17">
      <c r="C3" s="480" t="s">
        <v>272</v>
      </c>
      <c r="D3" s="463" t="s">
        <v>268</v>
      </c>
      <c r="E3" s="463" t="s">
        <v>119</v>
      </c>
      <c r="F3" s="463" t="s">
        <v>275</v>
      </c>
      <c r="G3" s="463" t="s">
        <v>269</v>
      </c>
      <c r="H3" s="473" t="s">
        <v>194</v>
      </c>
      <c r="J3" s="476"/>
      <c r="L3" s="462" t="s">
        <v>272</v>
      </c>
      <c r="M3" s="463" t="s">
        <v>268</v>
      </c>
      <c r="N3" s="463" t="s">
        <v>119</v>
      </c>
      <c r="O3" s="472" t="s">
        <v>275</v>
      </c>
      <c r="P3" s="463" t="s">
        <v>269</v>
      </c>
      <c r="Q3" s="464" t="s">
        <v>194</v>
      </c>
    </row>
    <row r="4" spans="2:17">
      <c r="B4" s="477" t="s">
        <v>265</v>
      </c>
      <c r="C4" s="481"/>
      <c r="D4" s="450"/>
      <c r="E4" s="450"/>
      <c r="F4" s="450"/>
      <c r="G4" s="450"/>
      <c r="H4" s="450"/>
      <c r="J4" s="476"/>
      <c r="K4" s="469" t="s">
        <v>265</v>
      </c>
      <c r="L4" s="454">
        <f>'Nov23'!$B$22</f>
        <v>0</v>
      </c>
      <c r="M4" s="455">
        <f>'Nov23'!$B$45</f>
        <v>0</v>
      </c>
      <c r="N4" s="455">
        <f>'Nov23'!$E$45</f>
        <v>0</v>
      </c>
      <c r="O4" s="455"/>
      <c r="P4" s="455">
        <f>'Nov23'!$H$22</f>
        <v>0</v>
      </c>
      <c r="Q4" s="456">
        <f>'Nov23'!$H$45</f>
        <v>0</v>
      </c>
    </row>
    <row r="5" spans="2:17">
      <c r="B5" s="478" t="s">
        <v>266</v>
      </c>
      <c r="C5" s="482"/>
      <c r="D5" s="450"/>
      <c r="E5" s="450"/>
      <c r="F5" s="450"/>
      <c r="G5" s="466"/>
      <c r="H5" s="474"/>
      <c r="J5" s="476"/>
      <c r="K5" s="470" t="s">
        <v>266</v>
      </c>
      <c r="L5" s="454">
        <f>'Dec23'!$B$22</f>
        <v>0</v>
      </c>
      <c r="M5" s="455">
        <f>'Dec23'!$B$45</f>
        <v>0</v>
      </c>
      <c r="N5" s="455">
        <f>'Dec23'!$E$45</f>
        <v>0</v>
      </c>
      <c r="O5" s="465"/>
      <c r="P5" s="455">
        <f>'Dec23'!$H$22</f>
        <v>0</v>
      </c>
      <c r="Q5" s="456">
        <f>'Dec23'!$H$45</f>
        <v>0</v>
      </c>
    </row>
    <row r="6" spans="2:17">
      <c r="B6" s="477" t="s">
        <v>244</v>
      </c>
      <c r="C6" s="483">
        <v>0</v>
      </c>
      <c r="D6" s="450">
        <v>0</v>
      </c>
      <c r="E6" s="450">
        <v>0</v>
      </c>
      <c r="F6" s="450"/>
      <c r="G6" s="450">
        <v>0</v>
      </c>
      <c r="H6" s="450">
        <v>2000</v>
      </c>
      <c r="J6" s="476"/>
      <c r="K6" s="469" t="s">
        <v>244</v>
      </c>
      <c r="L6" s="454">
        <f>Jan!$B$22</f>
        <v>0</v>
      </c>
      <c r="M6" s="455">
        <f>Jan!$B$45</f>
        <v>0</v>
      </c>
      <c r="N6" s="455">
        <f>Jan!$E$45</f>
        <v>0</v>
      </c>
      <c r="O6" s="455"/>
      <c r="P6" s="455">
        <f>Jan!$H$22</f>
        <v>0</v>
      </c>
      <c r="Q6" s="456">
        <f>Jan!$H$45</f>
        <v>0.34590000401947885</v>
      </c>
    </row>
    <row r="7" spans="2:17">
      <c r="B7" s="477" t="s">
        <v>245</v>
      </c>
      <c r="C7" s="484">
        <v>1750</v>
      </c>
      <c r="D7" s="450">
        <v>3500</v>
      </c>
      <c r="E7" s="450">
        <v>0</v>
      </c>
      <c r="F7" s="450">
        <v>6400</v>
      </c>
      <c r="G7" s="450">
        <v>2590</v>
      </c>
      <c r="H7" s="450">
        <v>0</v>
      </c>
      <c r="J7" s="476"/>
      <c r="K7" s="469" t="s">
        <v>245</v>
      </c>
      <c r="L7" s="454">
        <f>Feb!$B$22</f>
        <v>0.28330977084987186</v>
      </c>
      <c r="M7" s="455">
        <f>Feb!B45</f>
        <v>0.26666777084987181</v>
      </c>
      <c r="N7" s="455">
        <f>Feb!$E$45</f>
        <v>0</v>
      </c>
      <c r="O7" s="455">
        <f>Feb!E22</f>
        <v>0.22642002084987178</v>
      </c>
      <c r="P7" s="455">
        <f>Feb!$H$22</f>
        <v>0.26666777084987181</v>
      </c>
      <c r="Q7" s="456">
        <f>Feb!$H$45</f>
        <v>0</v>
      </c>
    </row>
    <row r="8" spans="2:17">
      <c r="B8" s="477" t="s">
        <v>246</v>
      </c>
      <c r="C8" s="484">
        <v>0</v>
      </c>
      <c r="D8" s="450">
        <v>3000</v>
      </c>
      <c r="E8" s="450">
        <v>0</v>
      </c>
      <c r="F8" s="450">
        <v>9600</v>
      </c>
      <c r="G8" s="450">
        <v>4440</v>
      </c>
      <c r="H8" s="450">
        <v>0</v>
      </c>
      <c r="J8" s="476"/>
      <c r="K8" s="469" t="s">
        <v>246</v>
      </c>
      <c r="L8" s="454">
        <f>Mar!$B$22</f>
        <v>0</v>
      </c>
      <c r="M8" s="455">
        <f>Mar!B45</f>
        <v>0.25593102446609001</v>
      </c>
      <c r="N8" s="455">
        <f>Mar!$E$45</f>
        <v>0</v>
      </c>
      <c r="O8" s="455">
        <f>Mar!E22</f>
        <v>0.21568327446608998</v>
      </c>
      <c r="P8" s="455">
        <f>Mar!$H$22</f>
        <v>0.25593102446609001</v>
      </c>
      <c r="Q8" s="456">
        <f>Mar!$H$45</f>
        <v>0</v>
      </c>
    </row>
    <row r="9" spans="2:17">
      <c r="B9" s="477" t="s">
        <v>247</v>
      </c>
      <c r="C9" s="484">
        <v>0</v>
      </c>
      <c r="D9" s="450">
        <v>0</v>
      </c>
      <c r="E9" s="450">
        <v>0</v>
      </c>
      <c r="F9" s="450">
        <v>0</v>
      </c>
      <c r="G9" s="450">
        <v>0</v>
      </c>
      <c r="H9" s="450">
        <v>2000</v>
      </c>
      <c r="J9" s="476"/>
      <c r="K9" s="469" t="s">
        <v>247</v>
      </c>
      <c r="L9" s="454">
        <f>Apr!$B$22</f>
        <v>0</v>
      </c>
      <c r="M9" s="455">
        <f>Apr!B45</f>
        <v>0</v>
      </c>
      <c r="N9" s="455">
        <f>Apr!$E$45</f>
        <v>0</v>
      </c>
      <c r="O9" s="455"/>
      <c r="P9" s="455">
        <f>Apr!$H$22</f>
        <v>0</v>
      </c>
      <c r="Q9" s="456">
        <f>Apr!$H$45</f>
        <v>0.34590000401947885</v>
      </c>
    </row>
    <row r="10" spans="2:17">
      <c r="B10" s="477" t="s">
        <v>248</v>
      </c>
      <c r="C10" s="483">
        <v>0</v>
      </c>
      <c r="D10" s="450">
        <v>0</v>
      </c>
      <c r="E10" s="450">
        <v>900</v>
      </c>
      <c r="F10" s="450">
        <v>6400</v>
      </c>
      <c r="G10" s="450">
        <v>4000</v>
      </c>
      <c r="H10" s="450">
        <v>0</v>
      </c>
      <c r="J10" s="476"/>
      <c r="K10" s="469" t="s">
        <v>248</v>
      </c>
      <c r="L10" s="454">
        <f>May!$B$22</f>
        <v>0</v>
      </c>
      <c r="M10" s="455">
        <f>May!$B$45</f>
        <v>0</v>
      </c>
      <c r="N10" s="455">
        <f>May!$E$45</f>
        <v>0.30724000292823389</v>
      </c>
      <c r="O10" s="455">
        <f>May!E22</f>
        <v>0.24342018600904189</v>
      </c>
      <c r="P10" s="455">
        <f>May!$H$22</f>
        <v>0.28366793600904194</v>
      </c>
      <c r="Q10" s="456">
        <f>May!$H$45</f>
        <v>0</v>
      </c>
    </row>
    <row r="11" spans="2:17">
      <c r="B11" s="477" t="s">
        <v>249</v>
      </c>
      <c r="C11" s="484">
        <v>0</v>
      </c>
      <c r="D11" s="450">
        <v>0</v>
      </c>
      <c r="E11" s="450">
        <v>0</v>
      </c>
      <c r="F11" s="450">
        <v>6400</v>
      </c>
      <c r="G11" s="450">
        <v>3700</v>
      </c>
      <c r="H11" s="450">
        <v>2000</v>
      </c>
      <c r="J11" s="476"/>
      <c r="K11" s="469" t="s">
        <v>249</v>
      </c>
      <c r="L11" s="454">
        <f>Jun!$B$22</f>
        <v>0</v>
      </c>
      <c r="M11" s="455">
        <f>Jun!$B$45</f>
        <v>0</v>
      </c>
      <c r="N11" s="455">
        <f>Jun!$E$45</f>
        <v>0</v>
      </c>
      <c r="O11" s="455">
        <f>Jun!E22</f>
        <v>0.23797615718199783</v>
      </c>
      <c r="P11" s="455">
        <f>Jun!$H$22</f>
        <v>0.27822390718199785</v>
      </c>
      <c r="Q11" s="456">
        <f>Jun!$H$45</f>
        <v>0.16147997492430277</v>
      </c>
    </row>
    <row r="12" spans="2:17">
      <c r="B12" s="477" t="s">
        <v>250</v>
      </c>
      <c r="C12" s="483">
        <v>0</v>
      </c>
      <c r="D12" s="450">
        <v>0</v>
      </c>
      <c r="E12" s="450">
        <v>0</v>
      </c>
      <c r="F12" s="450"/>
      <c r="G12" s="450">
        <v>0</v>
      </c>
      <c r="H12" s="450">
        <v>6000</v>
      </c>
      <c r="J12" s="476"/>
      <c r="K12" s="469" t="s">
        <v>250</v>
      </c>
      <c r="L12" s="454">
        <f>Jul!$B$22</f>
        <v>0</v>
      </c>
      <c r="M12" s="455">
        <f>Jul!$B$45</f>
        <v>0</v>
      </c>
      <c r="N12" s="455">
        <f>Jul!$E$45</f>
        <v>0</v>
      </c>
      <c r="O12" s="455"/>
      <c r="P12" s="455">
        <f>Jul!$H$22</f>
        <v>0</v>
      </c>
      <c r="Q12" s="456">
        <f>Jul!$H$45</f>
        <v>0.23965849722600058</v>
      </c>
    </row>
    <row r="13" spans="2:17">
      <c r="B13" s="477" t="s">
        <v>262</v>
      </c>
      <c r="C13" s="484">
        <v>0</v>
      </c>
      <c r="D13" s="450">
        <v>0</v>
      </c>
      <c r="E13" s="450">
        <v>0</v>
      </c>
      <c r="F13" s="450"/>
      <c r="G13" s="450">
        <v>0</v>
      </c>
      <c r="H13" s="450">
        <v>6000</v>
      </c>
      <c r="J13" s="476"/>
      <c r="K13" s="469" t="s">
        <v>262</v>
      </c>
      <c r="L13" s="454">
        <f>Aug!$B$22</f>
        <v>0</v>
      </c>
      <c r="M13" s="455">
        <f>Aug!$B$45</f>
        <v>0</v>
      </c>
      <c r="N13" s="455">
        <f>Aug!$E$45</f>
        <v>0</v>
      </c>
      <c r="O13" s="455"/>
      <c r="P13" s="455">
        <f>Aug!$H$22</f>
        <v>0</v>
      </c>
      <c r="Q13" s="456">
        <f>Aug!$H$45</f>
        <v>0.23965849722600058</v>
      </c>
    </row>
    <row r="14" spans="2:17">
      <c r="B14" s="477" t="s">
        <v>263</v>
      </c>
      <c r="C14" s="484">
        <v>0</v>
      </c>
      <c r="D14" s="450">
        <v>0</v>
      </c>
      <c r="E14" s="450">
        <v>0</v>
      </c>
      <c r="F14" s="450"/>
      <c r="G14" s="450">
        <v>2590</v>
      </c>
      <c r="H14" s="450">
        <v>4600</v>
      </c>
      <c r="J14" s="476"/>
      <c r="K14" s="469" t="s">
        <v>263</v>
      </c>
      <c r="L14" s="454">
        <f>Sep!$B$22</f>
        <v>0</v>
      </c>
      <c r="M14" s="455">
        <f>Sep!$B$45</f>
        <v>0</v>
      </c>
      <c r="N14" s="455">
        <f>Sep!$E$45</f>
        <v>0</v>
      </c>
      <c r="O14" s="455"/>
      <c r="P14" s="455">
        <f>Sep!$H$22</f>
        <v>0.33073625965259723</v>
      </c>
      <c r="Q14" s="456">
        <f>Sep!$H$45</f>
        <v>0.21399232739490209</v>
      </c>
    </row>
    <row r="15" spans="2:17">
      <c r="B15" s="477" t="s">
        <v>264</v>
      </c>
      <c r="C15" s="484">
        <v>1500</v>
      </c>
      <c r="D15" s="450">
        <v>0</v>
      </c>
      <c r="E15" s="450">
        <v>0</v>
      </c>
      <c r="F15" s="450"/>
      <c r="G15" s="450">
        <v>1850</v>
      </c>
      <c r="H15" s="450">
        <v>2000</v>
      </c>
      <c r="J15" s="476"/>
      <c r="K15" s="469" t="s">
        <v>264</v>
      </c>
      <c r="L15" s="454">
        <f>Oct!$B$22</f>
        <v>0.3918853695144251</v>
      </c>
      <c r="M15" s="455">
        <f>Oct!$B$45</f>
        <v>0</v>
      </c>
      <c r="N15" s="455">
        <f>Oct!$E$45</f>
        <v>0</v>
      </c>
      <c r="O15" s="455"/>
      <c r="P15" s="455">
        <f>Oct!$H$22</f>
        <v>0.37524336951442505</v>
      </c>
      <c r="Q15" s="456">
        <f>Oct!$H$45</f>
        <v>0.25849943725672997</v>
      </c>
    </row>
    <row r="16" spans="2:17">
      <c r="B16" s="477" t="s">
        <v>265</v>
      </c>
      <c r="C16" s="483">
        <v>0</v>
      </c>
      <c r="D16" s="450">
        <v>0</v>
      </c>
      <c r="E16" s="450">
        <v>0</v>
      </c>
      <c r="F16" s="450"/>
      <c r="G16" s="450">
        <v>0</v>
      </c>
      <c r="H16" s="450"/>
      <c r="J16" s="476"/>
      <c r="K16" s="469" t="s">
        <v>265</v>
      </c>
      <c r="L16" s="454">
        <f>Nov!$B$22</f>
        <v>0</v>
      </c>
      <c r="M16" s="455">
        <f>Nov!$B$45</f>
        <v>0</v>
      </c>
      <c r="N16" s="455">
        <f>Nov!$E$45</f>
        <v>0</v>
      </c>
      <c r="O16" s="455"/>
      <c r="P16" s="455">
        <f>Nov!$H$22</f>
        <v>0</v>
      </c>
      <c r="Q16" s="456">
        <f>Nov!$H$45</f>
        <v>0</v>
      </c>
    </row>
    <row r="17" spans="2:17" ht="15.75" thickBot="1">
      <c r="B17" s="479" t="s">
        <v>266</v>
      </c>
      <c r="C17" s="485">
        <v>0</v>
      </c>
      <c r="D17" s="451">
        <v>0</v>
      </c>
      <c r="E17" s="451">
        <v>0</v>
      </c>
      <c r="F17" s="451"/>
      <c r="G17" s="451">
        <v>0</v>
      </c>
      <c r="H17" s="451">
        <v>0</v>
      </c>
      <c r="J17" s="476"/>
      <c r="K17" s="471" t="s">
        <v>266</v>
      </c>
      <c r="L17" s="486">
        <f>Dec!$B$22</f>
        <v>0</v>
      </c>
      <c r="M17" s="457">
        <f>Dec!$B$45</f>
        <v>0</v>
      </c>
      <c r="N17" s="457">
        <f>Dec!$E$45</f>
        <v>0</v>
      </c>
      <c r="O17" s="457"/>
      <c r="P17" s="457">
        <f>Dec!$H$22</f>
        <v>0</v>
      </c>
      <c r="Q17" s="458">
        <f>Dec!$H$45</f>
        <v>0</v>
      </c>
    </row>
    <row r="18" spans="2:17">
      <c r="B18" s="105"/>
      <c r="C18" s="467"/>
      <c r="D18" s="468"/>
      <c r="E18" s="468"/>
      <c r="F18" s="468"/>
      <c r="G18" s="468"/>
      <c r="H18" s="468"/>
      <c r="J18" s="476"/>
    </row>
    <row r="19" spans="2:17">
      <c r="B19" s="452" t="s">
        <v>120</v>
      </c>
      <c r="C19" s="475">
        <f>SUM(C6:C17)</f>
        <v>3250</v>
      </c>
      <c r="D19" s="450">
        <f>SUM(D4:D17)</f>
        <v>6500</v>
      </c>
      <c r="E19" s="450">
        <f>SUM(E4:E17)</f>
        <v>900</v>
      </c>
      <c r="F19" s="450">
        <f t="shared" ref="F19:H19" si="0">SUM(F6:F17)</f>
        <v>28800</v>
      </c>
      <c r="G19" s="450">
        <f t="shared" si="0"/>
        <v>19170</v>
      </c>
      <c r="H19" s="450">
        <f t="shared" si="0"/>
        <v>24600</v>
      </c>
      <c r="J19" s="422"/>
      <c r="K19" s="453"/>
      <c r="L19" s="4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1542-6A13-4380-B002-804AF6C4082E}">
  <dimension ref="A1:AY198"/>
  <sheetViews>
    <sheetView workbookViewId="0">
      <selection activeCell="J82" sqref="J82:L88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 t="e">
        <f>$F145*$E$24*1000*$E145</f>
        <v>#DIV/0!</v>
      </c>
      <c r="W7" s="266">
        <f>$I151*$H$47*1000*$H151</f>
        <v>0</v>
      </c>
      <c r="X7" s="266">
        <f>$I145*$H$24*1000*$H145</f>
        <v>0</v>
      </c>
      <c r="Y7" s="266" t="e">
        <f>SUM(S7:X7)</f>
        <v>#DIV/0!</v>
      </c>
      <c r="Z7" s="266">
        <v>0</v>
      </c>
      <c r="AA7" s="266" t="e">
        <f>SUM(Y7:Z7)</f>
        <v>#DIV/0!</v>
      </c>
      <c r="AB7" s="263" t="s">
        <v>70</v>
      </c>
      <c r="AC7" s="264" t="s">
        <v>69</v>
      </c>
      <c r="AD7" s="267" t="e">
        <f>ROUND((B145*B$24*1000)+(B151*B$47*1000)+(E145*E$24*1000)+(E151*E$47*1000)+(H145*H$24*1000)+(H151*H$47*1000),0)</f>
        <v>#DIV/0!</v>
      </c>
      <c r="AE7" s="268" t="e">
        <f>Y7/AD7</f>
        <v>#DIV/0!</v>
      </c>
      <c r="AF7" s="269" t="e">
        <f>Y7/$AF$24/1000</f>
        <v>#DIV/0!</v>
      </c>
      <c r="AG7" s="269">
        <v>1.4890786013986013E-2</v>
      </c>
      <c r="AH7" s="269" t="e">
        <f>IF($AF$21&lt;$AG$21,AF7,IF($AF$12&lt;$AG$12,AF7,IF(AND($AF$12&gt;$AG$12,$AF$20&lt;$AG$20),($AG$12+($AG$20-$AF$20))/$AF$12*AF7,AF7/$AF$12*$AG$12)))</f>
        <v>#DIV/0!</v>
      </c>
      <c r="AI7" s="266" t="e">
        <f>AH7*$Y$24*1000</f>
        <v>#DIV/0!</v>
      </c>
      <c r="AJ7" s="268" t="e">
        <f>AI7/AD7</f>
        <v>#DIV/0!</v>
      </c>
      <c r="AK7" s="266" t="e">
        <f>Y7-AI7</f>
        <v>#DIV/0!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 t="e">
        <f>ROUND($E145*$E$24*1000,0)</f>
        <v>#DIV/0!</v>
      </c>
      <c r="AP7" s="267">
        <f>ROUND($H151*$H$47*1000,0)</f>
        <v>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 t="e">
        <f>IF(F$24&lt;&gt;0,ROUND(AO7/F$24,3),0)</f>
        <v>#DIV/0!</v>
      </c>
      <c r="AV7" s="270">
        <f>IF(H$47&lt;&gt;0,ROUND(AP7/H$47,3),0)</f>
        <v>0</v>
      </c>
      <c r="AW7" s="270">
        <f>IF(H$24&lt;&gt;0,ROUND(AQ7/H$24,3),0)</f>
        <v>0</v>
      </c>
      <c r="AX7" s="271" t="e">
        <f>AJ7*10000</f>
        <v>#DIV/0!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 t="e">
        <f>Y8/$AF$24/1000</f>
        <v>#DIV/0!</v>
      </c>
      <c r="AG8" s="269">
        <v>4.2004911888111889E-2</v>
      </c>
      <c r="AH8" s="269" t="e">
        <f>IF($AF$21&lt;$AG$21,AF8,IF($AF$12&lt;$AG$12,AF8,IF(AND($AF$12&gt;$AG$12,$AF$20&lt;$AG$20),($AG$12+($AG$20-$AF$20))/$AF$12*AF8,AF8/$AF$12*$AG$12)))</f>
        <v>#DIV/0!</v>
      </c>
      <c r="AI8" s="266" t="e">
        <f>AH8*$Y$24*1000</f>
        <v>#DIV/0!</v>
      </c>
      <c r="AJ8" s="268" t="e">
        <f>AI8/AD8</f>
        <v>#DIV/0!</v>
      </c>
      <c r="AK8" s="266" t="e">
        <f t="shared" ref="AK8:AK11" si="2">Y8-AI8</f>
        <v>#DIV/0!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0</v>
      </c>
      <c r="X9" s="266">
        <f>H9*H$24*1000</f>
        <v>0</v>
      </c>
      <c r="Y9" s="266">
        <f t="shared" si="0"/>
        <v>0</v>
      </c>
      <c r="Z9" s="266">
        <v>0</v>
      </c>
      <c r="AA9" s="266">
        <f t="shared" si="1"/>
        <v>0</v>
      </c>
      <c r="AB9" s="263" t="s">
        <v>74</v>
      </c>
      <c r="AC9" s="264" t="s">
        <v>73</v>
      </c>
      <c r="AD9" s="267" t="e">
        <f>ROUND((S9/H$159)+(T9/H$159)+(U9/H$159)+(V9/H$159)+(W9/H$159)+(X9/H$159),0)</f>
        <v>#DIV/0!</v>
      </c>
      <c r="AE9" s="268" t="e">
        <f>Y9/AD9</f>
        <v>#DIV/0!</v>
      </c>
      <c r="AF9" s="269" t="e">
        <f>Y9/$AF$24/1000</f>
        <v>#DIV/0!</v>
      </c>
      <c r="AG9" s="269">
        <v>1.9544346853146852E-2</v>
      </c>
      <c r="AH9" s="269" t="e">
        <f>IF($AF$21&lt;$AG$21,AF9,IF($AF$12&lt;$AG$12,AF9,IF(AND($AF$12&gt;$AG$12,$AF$20&lt;$AG$20),($AG$12+($AG$20-$AF$20))/$AF$12*AF9,AF9/$AF$12*$AG$12)))</f>
        <v>#DIV/0!</v>
      </c>
      <c r="AI9" s="266" t="e">
        <f>AH9*$Y$24*1000</f>
        <v>#DIV/0!</v>
      </c>
      <c r="AJ9" s="268" t="e">
        <f>AI9/AD9</f>
        <v>#DIV/0!</v>
      </c>
      <c r="AK9" s="266" t="e">
        <f t="shared" si="2"/>
        <v>#DIV/0!</v>
      </c>
      <c r="AL9" s="267" t="e">
        <f t="shared" ref="AL9:AQ11" si="3">S9/$AE9</f>
        <v>#DIV/0!</v>
      </c>
      <c r="AM9" s="267" t="e">
        <f t="shared" si="3"/>
        <v>#DIV/0!</v>
      </c>
      <c r="AN9" s="267" t="e">
        <f t="shared" si="3"/>
        <v>#DIV/0!</v>
      </c>
      <c r="AO9" s="267" t="e">
        <f t="shared" si="3"/>
        <v>#DIV/0!</v>
      </c>
      <c r="AP9" s="267" t="e">
        <f>W9/$AE9</f>
        <v>#DIV/0!</v>
      </c>
      <c r="AQ9" s="267" t="e">
        <f t="shared" si="3"/>
        <v>#DIV/0!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0</v>
      </c>
      <c r="AW9" s="270">
        <f>IF(H$24&lt;&gt;0,ROUND(AQ9/H$24,3),0)</f>
        <v>0</v>
      </c>
      <c r="AX9" s="271" t="e">
        <f>AJ9*10000</f>
        <v>#DIV/0!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0</v>
      </c>
      <c r="X10" s="266">
        <f t="shared" ref="X10:X11" si="4">H10*H$24*1000</f>
        <v>0</v>
      </c>
      <c r="Y10" s="266">
        <f t="shared" si="0"/>
        <v>0</v>
      </c>
      <c r="Z10" s="266">
        <v>0</v>
      </c>
      <c r="AA10" s="266">
        <f t="shared" si="1"/>
        <v>0</v>
      </c>
      <c r="AB10" s="263" t="s">
        <v>75</v>
      </c>
      <c r="AC10" s="264" t="s">
        <v>73</v>
      </c>
      <c r="AD10" s="267" t="e">
        <f>ROUND((S10/H$163)+(T10/H$163)+(U10/H$163)+(V10/H$163)+(W10/H$163)+(X10/H$163),0)</f>
        <v>#DIV/0!</v>
      </c>
      <c r="AE10" s="268" t="e">
        <f>Y10/AD10</f>
        <v>#DIV/0!</v>
      </c>
      <c r="AF10" s="269" t="e">
        <f>Y10/$AF$24/1000</f>
        <v>#DIV/0!</v>
      </c>
      <c r="AG10" s="269">
        <v>1.2510769230769231E-3</v>
      </c>
      <c r="AH10" s="269" t="e">
        <f>IF($AF$21&lt;$AG$21,AF10,IF($AF$12&lt;$AG$12,AF10,IF(AND($AF$12&gt;$AG$12,$AF$20&lt;$AG$20),($AG$12+($AG$20-$AF$20))/$AF$12*AF10,AF10/$AF$12*$AG$12)))</f>
        <v>#DIV/0!</v>
      </c>
      <c r="AI10" s="266" t="e">
        <f>AH10*$Y$24*1000</f>
        <v>#DIV/0!</v>
      </c>
      <c r="AJ10" s="268" t="e">
        <f>AI10/AD10</f>
        <v>#DIV/0!</v>
      </c>
      <c r="AK10" s="266" t="e">
        <f t="shared" si="2"/>
        <v>#DIV/0!</v>
      </c>
      <c r="AL10" s="267" t="e">
        <f t="shared" si="3"/>
        <v>#DIV/0!</v>
      </c>
      <c r="AM10" s="267" t="e">
        <f t="shared" si="3"/>
        <v>#DIV/0!</v>
      </c>
      <c r="AN10" s="267" t="e">
        <f t="shared" si="3"/>
        <v>#DIV/0!</v>
      </c>
      <c r="AO10" s="267" t="e">
        <f t="shared" si="3"/>
        <v>#DIV/0!</v>
      </c>
      <c r="AP10" s="267" t="e">
        <f>W10/$AE10</f>
        <v>#DIV/0!</v>
      </c>
      <c r="AQ10" s="267" t="e">
        <f t="shared" si="3"/>
        <v>#DIV/0!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0</v>
      </c>
      <c r="AW10" s="270">
        <f>IF(H$24&lt;&gt;0,ROUND(AQ10/H$24,3),0)</f>
        <v>0</v>
      </c>
      <c r="AX10" s="271" t="e">
        <f>AJ10*10000</f>
        <v>#DIV/0!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0</v>
      </c>
      <c r="X11" s="272">
        <f t="shared" si="4"/>
        <v>0</v>
      </c>
      <c r="Y11" s="272">
        <f t="shared" si="0"/>
        <v>0</v>
      </c>
      <c r="Z11" s="272">
        <v>0</v>
      </c>
      <c r="AA11" s="272">
        <f t="shared" si="1"/>
        <v>0</v>
      </c>
      <c r="AB11" s="263" t="s">
        <v>76</v>
      </c>
      <c r="AC11" s="264" t="s">
        <v>73</v>
      </c>
      <c r="AD11" s="267" t="e">
        <f>ROUND((S11/H$166)+(T11/H$166)+(U11/H$166)+(V11/H$166)+(W11/H$166)+(X11/H$166),0)</f>
        <v>#DIV/0!</v>
      </c>
      <c r="AE11" s="268" t="e">
        <f>Y11/AD11</f>
        <v>#DIV/0!</v>
      </c>
      <c r="AF11" s="273" t="e">
        <f>Y11/$AF$24/1000</f>
        <v>#DIV/0!</v>
      </c>
      <c r="AG11" s="273">
        <v>3.7333370629370629E-3</v>
      </c>
      <c r="AH11" s="273" t="e">
        <f>IF($AF$21&lt;$AG$21,AF11,IF($AF$12&lt;$AG$12,AF11,IF(AND($AF$12&gt;$AG$12,$AF$20&lt;$AG$20),($AG$12+($AG$20-$AF$20))/$AF$12*AF11,AF11/$AF$12*$AG$12)))</f>
        <v>#DIV/0!</v>
      </c>
      <c r="AI11" s="272" t="e">
        <f>AH11*$Y$24*1000</f>
        <v>#DIV/0!</v>
      </c>
      <c r="AJ11" s="268" t="e">
        <f>AI11/AD11</f>
        <v>#DIV/0!</v>
      </c>
      <c r="AK11" s="272" t="e">
        <f t="shared" si="2"/>
        <v>#DIV/0!</v>
      </c>
      <c r="AL11" s="267" t="e">
        <f t="shared" si="3"/>
        <v>#DIV/0!</v>
      </c>
      <c r="AM11" s="267" t="e">
        <f t="shared" si="3"/>
        <v>#DIV/0!</v>
      </c>
      <c r="AN11" s="267" t="e">
        <f t="shared" si="3"/>
        <v>#DIV/0!</v>
      </c>
      <c r="AO11" s="267" t="e">
        <f>V11/$AE11</f>
        <v>#DIV/0!</v>
      </c>
      <c r="AP11" s="267" t="e">
        <f>W11/$AE11</f>
        <v>#DIV/0!</v>
      </c>
      <c r="AQ11" s="267" t="e">
        <f>X11/$AE11</f>
        <v>#DIV/0!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0</v>
      </c>
      <c r="AW11" s="270">
        <f>IF(H$24&lt;&gt;0,ROUND(AQ11/H$24,3),0)</f>
        <v>0</v>
      </c>
      <c r="AX11" s="271" t="e">
        <f>AJ11*10000</f>
        <v>#DIV/0!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 t="e">
        <f t="shared" si="6"/>
        <v>#DIV/0!</v>
      </c>
      <c r="W12" s="266">
        <f t="shared" si="6"/>
        <v>0</v>
      </c>
      <c r="X12" s="266">
        <f t="shared" si="6"/>
        <v>0</v>
      </c>
      <c r="Y12" s="266" t="e">
        <f t="shared" si="6"/>
        <v>#DIV/0!</v>
      </c>
      <c r="Z12" s="266">
        <f t="shared" si="6"/>
        <v>0</v>
      </c>
      <c r="AA12" s="266" t="e">
        <f t="shared" si="6"/>
        <v>#DIV/0!</v>
      </c>
      <c r="AB12" s="263"/>
      <c r="AC12" s="264"/>
      <c r="AD12" s="262"/>
      <c r="AE12" s="262"/>
      <c r="AF12" s="269" t="e">
        <f t="shared" ref="AF12" si="7">SUM(AF7:AF11)</f>
        <v>#DIV/0!</v>
      </c>
      <c r="AG12" s="269">
        <f>SUM(AG7:AG11)</f>
        <v>8.142445874125874E-2</v>
      </c>
      <c r="AH12" s="269" t="e">
        <f>SUM(AH7:AH11)</f>
        <v>#DIV/0!</v>
      </c>
      <c r="AI12" s="266" t="e">
        <f t="shared" ref="AI12:AK12" si="8">SUM(AI7:AI11)</f>
        <v>#DIV/0!</v>
      </c>
      <c r="AJ12" s="262"/>
      <c r="AK12" s="266" t="e">
        <f t="shared" si="8"/>
        <v>#DIV/0!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0</v>
      </c>
      <c r="X14" s="266">
        <f t="shared" ref="X14:X19" si="13">H14*H$24*1000</f>
        <v>0</v>
      </c>
      <c r="Y14" s="266">
        <f t="shared" ref="Y14:Y19" si="14">SUM(S14:X14)</f>
        <v>0</v>
      </c>
      <c r="Z14" s="266">
        <f>-$D$115</f>
        <v>0</v>
      </c>
      <c r="AA14" s="266">
        <f t="shared" ref="AA14:AA19" si="15">SUM(Y14:Z14)</f>
        <v>0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 t="e">
        <f t="shared" ref="AF14:AF19" si="16">Y14/$AF$24/1000</f>
        <v>#DIV/0!</v>
      </c>
      <c r="AG14" s="269">
        <v>1.1488553846153847E-2</v>
      </c>
      <c r="AH14" s="269" t="e">
        <f t="shared" ref="AH14:AH19" si="17">IF($AF$21&lt;$AG$21,AF14,IF($AF$20&lt;$AG$20,AF14,IF(AND($AF$20&gt;$AG$20,$AF$12&lt;$AG$12),($AG$20+($AG$12-$AF$12))/$AF$20*AF14,AF14/$AF$20*$AG$20)))</f>
        <v>#DIV/0!</v>
      </c>
      <c r="AI14" s="266" t="e">
        <f t="shared" ref="AI14:AI19" si="18">AH14*$Y$24*1000</f>
        <v>#DIV/0!</v>
      </c>
      <c r="AJ14" s="268" t="e">
        <f t="shared" ref="AJ14:AJ19" si="19">AI14/AD14</f>
        <v>#DIV/0!</v>
      </c>
      <c r="AK14" s="266" t="e">
        <f t="shared" ref="AK14:AK19" si="20">Y14-AI14</f>
        <v>#DIV/0!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>
        <f t="shared" ref="AV14:AV19" si="26">IF(H$47&lt;&gt;0,ROUND(AP14/H$47,3),0)</f>
        <v>0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0</v>
      </c>
      <c r="X15" s="274">
        <f t="shared" si="13"/>
        <v>0</v>
      </c>
      <c r="Y15" s="274">
        <f t="shared" si="14"/>
        <v>0</v>
      </c>
      <c r="Z15" s="274">
        <f>-$H$115</f>
        <v>0</v>
      </c>
      <c r="AA15" s="274">
        <f t="shared" si="15"/>
        <v>0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 t="e">
        <f t="shared" si="16"/>
        <v>#DIV/0!</v>
      </c>
      <c r="AG15" s="265">
        <v>7.650220979020979E-3</v>
      </c>
      <c r="AH15" s="265" t="e">
        <f t="shared" si="17"/>
        <v>#DIV/0!</v>
      </c>
      <c r="AI15" s="274" t="e">
        <f t="shared" si="18"/>
        <v>#DIV/0!</v>
      </c>
      <c r="AJ15" s="268" t="e">
        <f t="shared" si="19"/>
        <v>#DIV/0!</v>
      </c>
      <c r="AK15" s="274" t="e">
        <f t="shared" si="20"/>
        <v>#DIV/0!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>
        <f t="shared" si="26"/>
        <v>0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0</v>
      </c>
      <c r="X16" s="266">
        <f t="shared" si="13"/>
        <v>0</v>
      </c>
      <c r="Y16" s="266">
        <f t="shared" si="14"/>
        <v>0</v>
      </c>
      <c r="Z16" s="266">
        <f>-$D$122</f>
        <v>0</v>
      </c>
      <c r="AA16" s="274">
        <f t="shared" si="15"/>
        <v>0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 t="e">
        <f t="shared" si="16"/>
        <v>#DIV/0!</v>
      </c>
      <c r="AG16" s="269">
        <v>8.8563300699300695E-3</v>
      </c>
      <c r="AH16" s="269" t="e">
        <f t="shared" si="17"/>
        <v>#DIV/0!</v>
      </c>
      <c r="AI16" s="266" t="e">
        <f t="shared" si="18"/>
        <v>#DIV/0!</v>
      </c>
      <c r="AJ16" s="268" t="e">
        <f t="shared" si="19"/>
        <v>#DIV/0!</v>
      </c>
      <c r="AK16" s="266" t="e">
        <f t="shared" si="20"/>
        <v>#DIV/0!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>
        <f t="shared" si="26"/>
        <v>0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0</v>
      </c>
      <c r="X17" s="274">
        <f>H17*H$24*1000</f>
        <v>0</v>
      </c>
      <c r="Y17" s="274">
        <f t="shared" si="14"/>
        <v>0</v>
      </c>
      <c r="Z17" s="274">
        <f>C176/($C$184+$C$185)*$C$185</f>
        <v>0</v>
      </c>
      <c r="AA17" s="274">
        <f t="shared" si="15"/>
        <v>0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 t="e">
        <f t="shared" si="16"/>
        <v>#DIV/0!</v>
      </c>
      <c r="AG17" s="265">
        <v>2.1273118881118881E-3</v>
      </c>
      <c r="AH17" s="265" t="e">
        <f t="shared" si="17"/>
        <v>#DIV/0!</v>
      </c>
      <c r="AI17" s="274" t="e">
        <f t="shared" si="18"/>
        <v>#DIV/0!</v>
      </c>
      <c r="AJ17" s="268" t="e">
        <f t="shared" si="19"/>
        <v>#DIV/0!</v>
      </c>
      <c r="AK17" s="274" t="e">
        <f t="shared" si="20"/>
        <v>#DIV/0!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>
        <f t="shared" si="26"/>
        <v>0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0</v>
      </c>
      <c r="X18" s="274">
        <f t="shared" si="13"/>
        <v>0</v>
      </c>
      <c r="Y18" s="274">
        <f t="shared" si="14"/>
        <v>0</v>
      </c>
      <c r="Z18" s="274">
        <f>C178/($C$184+$C$185)*$C$185</f>
        <v>0</v>
      </c>
      <c r="AA18" s="274">
        <f>SUM(Y18:Z18)</f>
        <v>0</v>
      </c>
      <c r="AB18" s="263" t="s">
        <v>83</v>
      </c>
      <c r="AC18" s="264" t="s">
        <v>73</v>
      </c>
      <c r="AD18" s="267" t="e">
        <f>ROUND((S18/F$178)+(T18/F$178)+(U18/F$178)+(V18/F$178)+(W18/F$178)+(X18/F$178),0)</f>
        <v>#DIV/0!</v>
      </c>
      <c r="AE18" s="268" t="e">
        <f>Y18/AD18</f>
        <v>#DIV/0!</v>
      </c>
      <c r="AF18" s="265" t="e">
        <f t="shared" si="16"/>
        <v>#DIV/0!</v>
      </c>
      <c r="AG18" s="265">
        <v>3.2747211188811187E-2</v>
      </c>
      <c r="AH18" s="265" t="e">
        <f t="shared" si="17"/>
        <v>#DIV/0!</v>
      </c>
      <c r="AI18" s="274" t="e">
        <f t="shared" si="18"/>
        <v>#DIV/0!</v>
      </c>
      <c r="AJ18" s="268" t="e">
        <f>AI18/AD18</f>
        <v>#DIV/0!</v>
      </c>
      <c r="AK18" s="274" t="e">
        <f>Y18-AI18</f>
        <v>#DIV/0!</v>
      </c>
      <c r="AL18" s="267" t="e">
        <f t="shared" si="31"/>
        <v>#DIV/0!</v>
      </c>
      <c r="AM18" s="267" t="e">
        <f t="shared" si="31"/>
        <v>#DIV/0!</v>
      </c>
      <c r="AN18" s="267" t="e">
        <f t="shared" si="31"/>
        <v>#DIV/0!</v>
      </c>
      <c r="AO18" s="267" t="e">
        <f t="shared" si="31"/>
        <v>#DIV/0!</v>
      </c>
      <c r="AP18" s="267" t="e">
        <f t="shared" si="31"/>
        <v>#DIV/0!</v>
      </c>
      <c r="AQ18" s="267" t="e">
        <f t="shared" si="31"/>
        <v>#DIV/0!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0</v>
      </c>
      <c r="AW18" s="270">
        <f t="shared" si="27"/>
        <v>0</v>
      </c>
      <c r="AX18" s="271" t="e">
        <f>AJ18*10000</f>
        <v>#DIV/0!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0</v>
      </c>
      <c r="X19" s="275">
        <f t="shared" si="13"/>
        <v>0</v>
      </c>
      <c r="Y19" s="275">
        <f t="shared" si="14"/>
        <v>0</v>
      </c>
      <c r="Z19" s="275">
        <f>C177/($C$184+$C$185)*$C$185</f>
        <v>0</v>
      </c>
      <c r="AA19" s="275">
        <f t="shared" si="15"/>
        <v>0</v>
      </c>
      <c r="AB19" s="263" t="s">
        <v>82</v>
      </c>
      <c r="AC19" s="264" t="s">
        <v>73</v>
      </c>
      <c r="AD19" s="267" t="e">
        <f>ROUND((S19/F$177)+(T19/F$177)+(U19/F$177)+(V19/F$177)+(W19/F$177)+(X19/F$177),0)</f>
        <v>#DIV/0!</v>
      </c>
      <c r="AE19" s="268" t="e">
        <f t="shared" si="29"/>
        <v>#DIV/0!</v>
      </c>
      <c r="AF19" s="276" t="e">
        <f t="shared" si="16"/>
        <v>#DIV/0!</v>
      </c>
      <c r="AG19" s="276">
        <v>7.3609622377622374E-3</v>
      </c>
      <c r="AH19" s="276" t="e">
        <f t="shared" si="17"/>
        <v>#DIV/0!</v>
      </c>
      <c r="AI19" s="275" t="e">
        <f t="shared" si="18"/>
        <v>#DIV/0!</v>
      </c>
      <c r="AJ19" s="268" t="e">
        <f t="shared" si="19"/>
        <v>#DIV/0!</v>
      </c>
      <c r="AK19" s="275" t="e">
        <f t="shared" si="20"/>
        <v>#DIV/0!</v>
      </c>
      <c r="AL19" s="267" t="e">
        <f t="shared" si="31"/>
        <v>#DIV/0!</v>
      </c>
      <c r="AM19" s="267" t="e">
        <f t="shared" si="31"/>
        <v>#DIV/0!</v>
      </c>
      <c r="AN19" s="267" t="e">
        <f t="shared" si="31"/>
        <v>#DIV/0!</v>
      </c>
      <c r="AO19" s="267" t="e">
        <f t="shared" si="31"/>
        <v>#DIV/0!</v>
      </c>
      <c r="AP19" s="267" t="e">
        <f t="shared" si="31"/>
        <v>#DIV/0!</v>
      </c>
      <c r="AQ19" s="267" t="e">
        <f t="shared" si="31"/>
        <v>#DIV/0!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0</v>
      </c>
      <c r="AW19" s="270">
        <f t="shared" si="27"/>
        <v>0</v>
      </c>
      <c r="AX19" s="271" t="e">
        <f t="shared" si="28"/>
        <v>#DIV/0!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0</v>
      </c>
      <c r="X20" s="277">
        <f t="shared" si="37"/>
        <v>0</v>
      </c>
      <c r="Y20" s="277">
        <f t="shared" si="37"/>
        <v>0</v>
      </c>
      <c r="Z20" s="277">
        <f t="shared" si="37"/>
        <v>0</v>
      </c>
      <c r="AA20" s="277">
        <f t="shared" si="37"/>
        <v>0</v>
      </c>
      <c r="AB20" s="278"/>
      <c r="AC20" s="279"/>
      <c r="AD20" s="262"/>
      <c r="AE20" s="262"/>
      <c r="AF20" s="280" t="e">
        <f>SUM(AF14:AF19)</f>
        <v>#DIV/0!</v>
      </c>
      <c r="AG20" s="280">
        <f>SUM(AG14:AG19)</f>
        <v>7.0230590209790209E-2</v>
      </c>
      <c r="AH20" s="280" t="e">
        <f>SUM(AH14:AH19)</f>
        <v>#DIV/0!</v>
      </c>
      <c r="AI20" s="277" t="e">
        <f>SUM(AI14:AI19)</f>
        <v>#DIV/0!</v>
      </c>
      <c r="AJ20" s="262"/>
      <c r="AK20" s="277" t="e">
        <f>SUM(AK14:AK19)</f>
        <v>#DIV/0!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 t="e">
        <f t="shared" si="38"/>
        <v>#DIV/0!</v>
      </c>
      <c r="W21" s="281">
        <f t="shared" si="38"/>
        <v>0</v>
      </c>
      <c r="X21" s="281">
        <f t="shared" si="38"/>
        <v>0</v>
      </c>
      <c r="Y21" s="281" t="e">
        <f t="shared" si="38"/>
        <v>#DIV/0!</v>
      </c>
      <c r="Z21" s="281">
        <f t="shared" si="38"/>
        <v>0</v>
      </c>
      <c r="AA21" s="281" t="e">
        <f t="shared" si="38"/>
        <v>#DIV/0!</v>
      </c>
      <c r="AB21" s="282" t="s">
        <v>98</v>
      </c>
      <c r="AC21" s="279"/>
      <c r="AD21" s="262"/>
      <c r="AE21" s="262"/>
      <c r="AF21" s="283" t="e">
        <f>AF12+AF20</f>
        <v>#DIV/0!</v>
      </c>
      <c r="AG21" s="283">
        <f>AG12+AG20</f>
        <v>0.15165504895104895</v>
      </c>
      <c r="AH21" s="283" t="e">
        <f>AH12+AH20</f>
        <v>#DIV/0!</v>
      </c>
      <c r="AI21" s="281" t="e">
        <f>AI12+AI20</f>
        <v>#DIV/0!</v>
      </c>
      <c r="AJ21" s="262"/>
      <c r="AK21" s="281" t="e">
        <f>AK12+AK20</f>
        <v>#DIV/0!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</v>
      </c>
      <c r="X22" s="284">
        <f>IF(H24&lt;&gt;0,ROUND(X21/(H24*1000),5),0)</f>
        <v>0</v>
      </c>
      <c r="Y22" s="284" t="e">
        <f>Y21/Y24/1000</f>
        <v>#DIV/0!</v>
      </c>
      <c r="Z22" s="284">
        <v>0</v>
      </c>
      <c r="AA22" s="284" t="e">
        <f>ROUND(AA21/(B49*1000),5)</f>
        <v>#DIV/0!</v>
      </c>
      <c r="AB22" s="282" t="s">
        <v>101</v>
      </c>
      <c r="AC22" s="279"/>
      <c r="AD22" s="262"/>
      <c r="AE22" s="262"/>
      <c r="AF22" s="284"/>
      <c r="AG22" s="284"/>
      <c r="AH22" s="284"/>
      <c r="AI22" s="284" t="e">
        <f>AI21/AI24/1000</f>
        <v>#DIV/0!</v>
      </c>
      <c r="AJ22" s="262"/>
      <c r="AK22" s="284" t="e">
        <f>AK21/AK24/1000</f>
        <v>#DIV/0!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</v>
      </c>
      <c r="X23" s="284">
        <f>ROUND(X22+H6,5)</f>
        <v>0</v>
      </c>
      <c r="Y23" s="284" t="e">
        <f>Y22+(($B$6*$B$24*1000+$B$29*$B$47*1000+$E$29*$E$47*1000+$H$6*$H$24*1000+$H$29*$H$47*1000+$E$6*$E$24*1000)/($B$49*1000))</f>
        <v>#DIV/0!</v>
      </c>
      <c r="Z23" s="284">
        <v>0</v>
      </c>
      <c r="AA23" s="284" t="e">
        <f>AA22+(($B$6*$B$24*1000+$B$29*$B$47*1000+$E$6*$E$24*1000+$E$29*$E$47*1000+$H$6*$H$24*1000+$H$29*$H$47*1000)/($B$49*1000))</f>
        <v>#DIV/0!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0</v>
      </c>
      <c r="X24" s="286">
        <f>H24</f>
        <v>0</v>
      </c>
      <c r="Y24" s="286">
        <f>SUM(S24:X24)</f>
        <v>0</v>
      </c>
      <c r="Z24" s="286">
        <v>0</v>
      </c>
      <c r="AA24" s="286">
        <f>SUM(Y24:Z24)</f>
        <v>0</v>
      </c>
      <c r="AB24" s="286"/>
      <c r="AC24" s="279"/>
      <c r="AD24" s="262"/>
      <c r="AE24" s="262"/>
      <c r="AF24" s="286">
        <f>Y24</f>
        <v>0</v>
      </c>
      <c r="AG24" s="286"/>
      <c r="AH24" s="286"/>
      <c r="AI24" s="286">
        <f>Y24</f>
        <v>0</v>
      </c>
      <c r="AJ24" s="262"/>
      <c r="AK24" s="286">
        <f>Y24</f>
        <v>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Summary'!$C$4</f>
        <v>0</v>
      </c>
      <c r="C54" s="214" t="e">
        <f>B54/$B$60</f>
        <v>#DIV/0!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Summary'!D$4</f>
        <v>0</v>
      </c>
      <c r="C55" s="214" t="e">
        <f t="shared" ref="C55:C60" si="46">B55/$B$60</f>
        <v>#DIV/0!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Summary'!E$4</f>
        <v>0</v>
      </c>
      <c r="C56" s="214" t="e">
        <f t="shared" si="46"/>
        <v>#DIV/0!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Summary'!$F$4</f>
        <v>0</v>
      </c>
      <c r="C57" s="214" t="e">
        <f t="shared" si="46"/>
        <v>#DIV/0!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Summary'!$G$4</f>
        <v>0</v>
      </c>
      <c r="C58" s="214" t="e">
        <f t="shared" si="46"/>
        <v>#DIV/0!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Summary'!$H$4</f>
        <v>0</v>
      </c>
      <c r="C59" s="215" t="e">
        <f t="shared" si="46"/>
        <v>#DIV/0!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0</v>
      </c>
      <c r="C60" s="315" t="e">
        <f t="shared" si="46"/>
        <v>#DIV/0!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0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0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1000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275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0</v>
      </c>
      <c r="L84" s="61">
        <f>J84*K84</f>
        <v>0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(B71/2000*0.75)+(B68/2000*0.25)</f>
        <v>0.10329125</v>
      </c>
      <c r="K85" s="198">
        <v>1</v>
      </c>
      <c r="L85" s="44">
        <f t="shared" ref="L85:L86" si="50">J85*K85</f>
        <v>0.10329125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103.29125000000001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1000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0.10801025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0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0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0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0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0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0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0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0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0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0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0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0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0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 t="e">
        <f>ROUND(J141/B49/1000,3)</f>
        <v>#DIV/0!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 t="e">
        <f>0.215+$J$142</f>
        <v>#DIV/0!</v>
      </c>
      <c r="F145" s="76">
        <f>G141</f>
        <v>6.6443706666712579E-2</v>
      </c>
      <c r="G145" s="113" t="e">
        <f>E145*F145</f>
        <v>#DIV/0!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 t="e">
        <f>SUM(G145:G146)</f>
        <v>#DIV/0!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 t="e">
        <f>G159/(B$49*1000)</f>
        <v>#DIV/0!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 t="e">
        <f>G163/(B$49*1000)</f>
        <v>#DIV/0!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 t="e">
        <f>G166/(B$49*1000)</f>
        <v>#DIV/0!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0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0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0</v>
      </c>
      <c r="E172" s="14"/>
      <c r="F172" s="492" t="s">
        <v>8</v>
      </c>
      <c r="G172" s="492"/>
      <c r="H172" s="27">
        <f>D172/D173</f>
        <v>0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0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0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0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 t="e">
        <f>$D176/$D$172/1000</f>
        <v>#DIV/0!</v>
      </c>
      <c r="G176" s="112" t="e">
        <f>$E176/$D$172/1000</f>
        <v>#DIV/0!</v>
      </c>
      <c r="H176" s="170" t="e">
        <f>SUM(F176:G176)</f>
        <v>#DIV/0!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 t="e">
        <f>$D177/D$172/1000</f>
        <v>#DIV/0!</v>
      </c>
      <c r="G177" s="171" t="e">
        <f>$E177/$D$172/1000</f>
        <v>#DIV/0!</v>
      </c>
      <c r="H177" s="83" t="e">
        <f t="shared" ref="H177:H178" si="56">SUM(F177:G177)</f>
        <v>#DIV/0!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 t="e">
        <f>$D178/D$172/1000</f>
        <v>#DIV/0!</v>
      </c>
      <c r="G178" s="111" t="e">
        <f>$E178/$D$172/1000</f>
        <v>#DIV/0!</v>
      </c>
      <c r="H178" s="85" t="e">
        <f t="shared" si="56"/>
        <v>#DIV/0!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0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 t="e">
        <f>SUM(F176:F178)</f>
        <v>#DIV/0!</v>
      </c>
      <c r="G179" s="112" t="e">
        <f>SUM(G176:G178)</f>
        <v>#DIV/0!</v>
      </c>
      <c r="H179" s="170" t="e">
        <f>SUM(H176:H178)</f>
        <v>#DIV/0!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0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0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0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0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0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0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A1:J1"/>
    <mergeCell ref="S1:AA1"/>
    <mergeCell ref="B3:D3"/>
    <mergeCell ref="E3:G3"/>
    <mergeCell ref="H3:J3"/>
    <mergeCell ref="N3:O3"/>
    <mergeCell ref="P3:Q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B90:D90"/>
    <mergeCell ref="F90:H90"/>
    <mergeCell ref="B96:D96"/>
    <mergeCell ref="F96:H96"/>
    <mergeCell ref="T113:AD113"/>
    <mergeCell ref="H142:I142"/>
    <mergeCell ref="B143:D143"/>
    <mergeCell ref="E143:G143"/>
    <mergeCell ref="H143:J143"/>
    <mergeCell ref="B141:C141"/>
    <mergeCell ref="E141:F141"/>
    <mergeCell ref="H141:I141"/>
    <mergeCell ref="B149:D149"/>
    <mergeCell ref="E149:G149"/>
    <mergeCell ref="H149:J149"/>
    <mergeCell ref="B173:C173"/>
    <mergeCell ref="A183:H183"/>
    <mergeCell ref="B189:D189"/>
    <mergeCell ref="A156:H156"/>
    <mergeCell ref="A162:B162"/>
    <mergeCell ref="A165:B165"/>
    <mergeCell ref="B170:H170"/>
    <mergeCell ref="B172:C172"/>
    <mergeCell ref="F172:G17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7A1A-1FD5-4249-A7CE-D25E437B4712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 t="e">
        <f>$F145*$E$24*1000*$E145</f>
        <v>#DIV/0!</v>
      </c>
      <c r="W7" s="266">
        <f>$I151*$H$47*1000*$H151</f>
        <v>0</v>
      </c>
      <c r="X7" s="266">
        <f>$I145*$H$24*1000*$H145</f>
        <v>0</v>
      </c>
      <c r="Y7" s="266" t="e">
        <f>SUM(S7:X7)</f>
        <v>#DIV/0!</v>
      </c>
      <c r="Z7" s="266">
        <v>0</v>
      </c>
      <c r="AA7" s="266" t="e">
        <f>SUM(Y7:Z7)</f>
        <v>#DIV/0!</v>
      </c>
      <c r="AB7" s="263" t="s">
        <v>70</v>
      </c>
      <c r="AC7" s="264" t="s">
        <v>69</v>
      </c>
      <c r="AD7" s="267" t="e">
        <f>ROUND((B145*B$24*1000)+(B151*B$47*1000)+(E145*E$24*1000)+(E151*E$47*1000)+(H145*H$24*1000)+(H151*H$47*1000),0)</f>
        <v>#DIV/0!</v>
      </c>
      <c r="AE7" s="268" t="e">
        <f>Y7/AD7</f>
        <v>#DIV/0!</v>
      </c>
      <c r="AF7" s="269" t="e">
        <f>Y7/$AF$24/1000</f>
        <v>#DIV/0!</v>
      </c>
      <c r="AG7" s="269">
        <v>1.4890786013986013E-2</v>
      </c>
      <c r="AH7" s="269" t="e">
        <f>IF($AF$21&lt;$AG$21,AF7,IF($AF$12&lt;$AG$12,AF7,IF(AND($AF$12&gt;$AG$12,$AF$20&lt;$AG$20),($AG$12+($AG$20-$AF$20))/$AF$12*AF7,AF7/$AF$12*$AG$12)))</f>
        <v>#DIV/0!</v>
      </c>
      <c r="AI7" s="266" t="e">
        <f>AH7*$Y$24*1000</f>
        <v>#DIV/0!</v>
      </c>
      <c r="AJ7" s="268" t="e">
        <f>AI7/AD7</f>
        <v>#DIV/0!</v>
      </c>
      <c r="AK7" s="266" t="e">
        <f>Y7-AI7</f>
        <v>#DIV/0!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 t="e">
        <f>ROUND($E145*$E$24*1000,0)</f>
        <v>#DIV/0!</v>
      </c>
      <c r="AP7" s="267">
        <f>ROUND($H151*$H$47*1000,0)</f>
        <v>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 t="e">
        <f>IF(F$24&lt;&gt;0,ROUND(AO7/F$24,3),0)</f>
        <v>#DIV/0!</v>
      </c>
      <c r="AV7" s="270">
        <f>IF(H$47&lt;&gt;0,ROUND(AP7/H$47,3),0)</f>
        <v>0</v>
      </c>
      <c r="AW7" s="270">
        <f>IF(H$24&lt;&gt;0,ROUND(AQ7/H$24,3),0)</f>
        <v>0</v>
      </c>
      <c r="AX7" s="271" t="e">
        <f>AJ7*10000</f>
        <v>#DIV/0!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 t="e">
        <f>Y8/$AF$24/1000</f>
        <v>#DIV/0!</v>
      </c>
      <c r="AG8" s="269">
        <v>4.2004911888111889E-2</v>
      </c>
      <c r="AH8" s="269" t="e">
        <f>IF($AF$21&lt;$AG$21,AF8,IF($AF$12&lt;$AG$12,AF8,IF(AND($AF$12&gt;$AG$12,$AF$20&lt;$AG$20),($AG$12+($AG$20-$AF$20))/$AF$12*AF8,AF8/$AF$12*$AG$12)))</f>
        <v>#DIV/0!</v>
      </c>
      <c r="AI8" s="266" t="e">
        <f>AH8*$Y$24*1000</f>
        <v>#DIV/0!</v>
      </c>
      <c r="AJ8" s="268" t="e">
        <f>AI8/AD8</f>
        <v>#DIV/0!</v>
      </c>
      <c r="AK8" s="266" t="e">
        <f t="shared" ref="AK8:AK11" si="2">Y8-AI8</f>
        <v>#DIV/0!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0</v>
      </c>
      <c r="X9" s="266">
        <f>H9*H$24*1000</f>
        <v>0</v>
      </c>
      <c r="Y9" s="266">
        <f t="shared" si="0"/>
        <v>0</v>
      </c>
      <c r="Z9" s="266">
        <v>0</v>
      </c>
      <c r="AA9" s="266">
        <f t="shared" si="1"/>
        <v>0</v>
      </c>
      <c r="AB9" s="263" t="s">
        <v>74</v>
      </c>
      <c r="AC9" s="264" t="s">
        <v>73</v>
      </c>
      <c r="AD9" s="267" t="e">
        <f>ROUND((S9/H$159)+(T9/H$159)+(U9/H$159)+(V9/H$159)+(W9/H$159)+(X9/H$159),0)</f>
        <v>#DIV/0!</v>
      </c>
      <c r="AE9" s="268" t="e">
        <f>Y9/AD9</f>
        <v>#DIV/0!</v>
      </c>
      <c r="AF9" s="269" t="e">
        <f>Y9/$AF$24/1000</f>
        <v>#DIV/0!</v>
      </c>
      <c r="AG9" s="269">
        <v>1.9544346853146852E-2</v>
      </c>
      <c r="AH9" s="269" t="e">
        <f>IF($AF$21&lt;$AG$21,AF9,IF($AF$12&lt;$AG$12,AF9,IF(AND($AF$12&gt;$AG$12,$AF$20&lt;$AG$20),($AG$12+($AG$20-$AF$20))/$AF$12*AF9,AF9/$AF$12*$AG$12)))</f>
        <v>#DIV/0!</v>
      </c>
      <c r="AI9" s="266" t="e">
        <f>AH9*$Y$24*1000</f>
        <v>#DIV/0!</v>
      </c>
      <c r="AJ9" s="268" t="e">
        <f>AI9/AD9</f>
        <v>#DIV/0!</v>
      </c>
      <c r="AK9" s="266" t="e">
        <f t="shared" si="2"/>
        <v>#DIV/0!</v>
      </c>
      <c r="AL9" s="267" t="e">
        <f t="shared" ref="AL9:AQ11" si="3">S9/$AE9</f>
        <v>#DIV/0!</v>
      </c>
      <c r="AM9" s="267" t="e">
        <f t="shared" si="3"/>
        <v>#DIV/0!</v>
      </c>
      <c r="AN9" s="267" t="e">
        <f t="shared" si="3"/>
        <v>#DIV/0!</v>
      </c>
      <c r="AO9" s="267" t="e">
        <f t="shared" si="3"/>
        <v>#DIV/0!</v>
      </c>
      <c r="AP9" s="267" t="e">
        <f>W9/$AE9</f>
        <v>#DIV/0!</v>
      </c>
      <c r="AQ9" s="267" t="e">
        <f t="shared" si="3"/>
        <v>#DIV/0!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0</v>
      </c>
      <c r="AW9" s="270">
        <f>IF(H$24&lt;&gt;0,ROUND(AQ9/H$24,3),0)</f>
        <v>0</v>
      </c>
      <c r="AX9" s="271" t="e">
        <f>AJ9*10000</f>
        <v>#DIV/0!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0</v>
      </c>
      <c r="X10" s="266">
        <f t="shared" ref="X10:X11" si="4">H10*H$24*1000</f>
        <v>0</v>
      </c>
      <c r="Y10" s="266">
        <f t="shared" si="0"/>
        <v>0</v>
      </c>
      <c r="Z10" s="266">
        <v>0</v>
      </c>
      <c r="AA10" s="266">
        <f t="shared" si="1"/>
        <v>0</v>
      </c>
      <c r="AB10" s="263" t="s">
        <v>75</v>
      </c>
      <c r="AC10" s="264" t="s">
        <v>73</v>
      </c>
      <c r="AD10" s="267" t="e">
        <f>ROUND((S10/H$163)+(T10/H$163)+(U10/H$163)+(V10/H$163)+(W10/H$163)+(X10/H$163),0)</f>
        <v>#DIV/0!</v>
      </c>
      <c r="AE10" s="268" t="e">
        <f>Y10/AD10</f>
        <v>#DIV/0!</v>
      </c>
      <c r="AF10" s="269" t="e">
        <f>Y10/$AF$24/1000</f>
        <v>#DIV/0!</v>
      </c>
      <c r="AG10" s="269">
        <v>1.2510769230769231E-3</v>
      </c>
      <c r="AH10" s="269" t="e">
        <f>IF($AF$21&lt;$AG$21,AF10,IF($AF$12&lt;$AG$12,AF10,IF(AND($AF$12&gt;$AG$12,$AF$20&lt;$AG$20),($AG$12+($AG$20-$AF$20))/$AF$12*AF10,AF10/$AF$12*$AG$12)))</f>
        <v>#DIV/0!</v>
      </c>
      <c r="AI10" s="266" t="e">
        <f>AH10*$Y$24*1000</f>
        <v>#DIV/0!</v>
      </c>
      <c r="AJ10" s="268" t="e">
        <f>AI10/AD10</f>
        <v>#DIV/0!</v>
      </c>
      <c r="AK10" s="266" t="e">
        <f t="shared" si="2"/>
        <v>#DIV/0!</v>
      </c>
      <c r="AL10" s="267" t="e">
        <f t="shared" si="3"/>
        <v>#DIV/0!</v>
      </c>
      <c r="AM10" s="267" t="e">
        <f t="shared" si="3"/>
        <v>#DIV/0!</v>
      </c>
      <c r="AN10" s="267" t="e">
        <f t="shared" si="3"/>
        <v>#DIV/0!</v>
      </c>
      <c r="AO10" s="267" t="e">
        <f t="shared" si="3"/>
        <v>#DIV/0!</v>
      </c>
      <c r="AP10" s="267" t="e">
        <f>W10/$AE10</f>
        <v>#DIV/0!</v>
      </c>
      <c r="AQ10" s="267" t="e">
        <f t="shared" si="3"/>
        <v>#DIV/0!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0</v>
      </c>
      <c r="AW10" s="270">
        <f>IF(H$24&lt;&gt;0,ROUND(AQ10/H$24,3),0)</f>
        <v>0</v>
      </c>
      <c r="AX10" s="271" t="e">
        <f>AJ10*10000</f>
        <v>#DIV/0!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0</v>
      </c>
      <c r="X11" s="272">
        <f t="shared" si="4"/>
        <v>0</v>
      </c>
      <c r="Y11" s="272">
        <f t="shared" si="0"/>
        <v>0</v>
      </c>
      <c r="Z11" s="272">
        <v>0</v>
      </c>
      <c r="AA11" s="272">
        <f t="shared" si="1"/>
        <v>0</v>
      </c>
      <c r="AB11" s="263" t="s">
        <v>76</v>
      </c>
      <c r="AC11" s="264" t="s">
        <v>73</v>
      </c>
      <c r="AD11" s="267" t="e">
        <f>ROUND((S11/H$166)+(T11/H$166)+(U11/H$166)+(V11/H$166)+(W11/H$166)+(X11/H$166),0)</f>
        <v>#DIV/0!</v>
      </c>
      <c r="AE11" s="268" t="e">
        <f>Y11/AD11</f>
        <v>#DIV/0!</v>
      </c>
      <c r="AF11" s="273" t="e">
        <f>Y11/$AF$24/1000</f>
        <v>#DIV/0!</v>
      </c>
      <c r="AG11" s="273">
        <v>3.7333370629370629E-3</v>
      </c>
      <c r="AH11" s="273" t="e">
        <f>IF($AF$21&lt;$AG$21,AF11,IF($AF$12&lt;$AG$12,AF11,IF(AND($AF$12&gt;$AG$12,$AF$20&lt;$AG$20),($AG$12+($AG$20-$AF$20))/$AF$12*AF11,AF11/$AF$12*$AG$12)))</f>
        <v>#DIV/0!</v>
      </c>
      <c r="AI11" s="272" t="e">
        <f>AH11*$Y$24*1000</f>
        <v>#DIV/0!</v>
      </c>
      <c r="AJ11" s="268" t="e">
        <f>AI11/AD11</f>
        <v>#DIV/0!</v>
      </c>
      <c r="AK11" s="272" t="e">
        <f t="shared" si="2"/>
        <v>#DIV/0!</v>
      </c>
      <c r="AL11" s="267" t="e">
        <f t="shared" si="3"/>
        <v>#DIV/0!</v>
      </c>
      <c r="AM11" s="267" t="e">
        <f t="shared" si="3"/>
        <v>#DIV/0!</v>
      </c>
      <c r="AN11" s="267" t="e">
        <f t="shared" si="3"/>
        <v>#DIV/0!</v>
      </c>
      <c r="AO11" s="267" t="e">
        <f>V11/$AE11</f>
        <v>#DIV/0!</v>
      </c>
      <c r="AP11" s="267" t="e">
        <f>W11/$AE11</f>
        <v>#DIV/0!</v>
      </c>
      <c r="AQ11" s="267" t="e">
        <f>X11/$AE11</f>
        <v>#DIV/0!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0</v>
      </c>
      <c r="AW11" s="270">
        <f>IF(H$24&lt;&gt;0,ROUND(AQ11/H$24,3),0)</f>
        <v>0</v>
      </c>
      <c r="AX11" s="271" t="e">
        <f>AJ11*10000</f>
        <v>#DIV/0!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 t="e">
        <f t="shared" si="6"/>
        <v>#DIV/0!</v>
      </c>
      <c r="W12" s="266">
        <f t="shared" si="6"/>
        <v>0</v>
      </c>
      <c r="X12" s="266">
        <f t="shared" si="6"/>
        <v>0</v>
      </c>
      <c r="Y12" s="266" t="e">
        <f t="shared" si="6"/>
        <v>#DIV/0!</v>
      </c>
      <c r="Z12" s="266">
        <f t="shared" si="6"/>
        <v>0</v>
      </c>
      <c r="AA12" s="266" t="e">
        <f t="shared" si="6"/>
        <v>#DIV/0!</v>
      </c>
      <c r="AB12" s="263"/>
      <c r="AC12" s="264"/>
      <c r="AD12" s="262"/>
      <c r="AE12" s="262"/>
      <c r="AF12" s="269" t="e">
        <f t="shared" ref="AF12" si="7">SUM(AF7:AF11)</f>
        <v>#DIV/0!</v>
      </c>
      <c r="AG12" s="269">
        <f>SUM(AG7:AG11)</f>
        <v>8.142445874125874E-2</v>
      </c>
      <c r="AH12" s="269" t="e">
        <f>SUM(AH7:AH11)</f>
        <v>#DIV/0!</v>
      </c>
      <c r="AI12" s="266" t="e">
        <f t="shared" ref="AI12:AK12" si="8">SUM(AI7:AI11)</f>
        <v>#DIV/0!</v>
      </c>
      <c r="AJ12" s="262"/>
      <c r="AK12" s="266" t="e">
        <f t="shared" si="8"/>
        <v>#DIV/0!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0</v>
      </c>
      <c r="X14" s="266">
        <f t="shared" ref="X14:X19" si="13">H14*H$24*1000</f>
        <v>0</v>
      </c>
      <c r="Y14" s="266">
        <f t="shared" ref="Y14:Y19" si="14">SUM(S14:X14)</f>
        <v>0</v>
      </c>
      <c r="Z14" s="266">
        <f>-$D$115</f>
        <v>0</v>
      </c>
      <c r="AA14" s="266">
        <f t="shared" ref="AA14:AA19" si="15">SUM(Y14:Z14)</f>
        <v>0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 t="e">
        <f t="shared" ref="AF14:AF19" si="16">Y14/$AF$24/1000</f>
        <v>#DIV/0!</v>
      </c>
      <c r="AG14" s="269">
        <v>1.1488553846153847E-2</v>
      </c>
      <c r="AH14" s="269" t="e">
        <f t="shared" ref="AH14:AH19" si="17">IF($AF$21&lt;$AG$21,AF14,IF($AF$20&lt;$AG$20,AF14,IF(AND($AF$20&gt;$AG$20,$AF$12&lt;$AG$12),($AG$20+($AG$12-$AF$12))/$AF$20*AF14,AF14/$AF$20*$AG$20)))</f>
        <v>#DIV/0!</v>
      </c>
      <c r="AI14" s="266" t="e">
        <f t="shared" ref="AI14:AI19" si="18">AH14*$Y$24*1000</f>
        <v>#DIV/0!</v>
      </c>
      <c r="AJ14" s="268" t="e">
        <f t="shared" ref="AJ14:AJ19" si="19">AI14/AD14</f>
        <v>#DIV/0!</v>
      </c>
      <c r="AK14" s="266" t="e">
        <f t="shared" ref="AK14:AK19" si="20">Y14-AI14</f>
        <v>#DIV/0!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>
        <f t="shared" ref="AV14:AV19" si="26">IF(H$47&lt;&gt;0,ROUND(AP14/H$47,3),0)</f>
        <v>0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0</v>
      </c>
      <c r="X15" s="274">
        <f t="shared" si="13"/>
        <v>0</v>
      </c>
      <c r="Y15" s="274">
        <f t="shared" si="14"/>
        <v>0</v>
      </c>
      <c r="Z15" s="274">
        <f>-$H$115</f>
        <v>0</v>
      </c>
      <c r="AA15" s="274">
        <f t="shared" si="15"/>
        <v>0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 t="e">
        <f t="shared" si="16"/>
        <v>#DIV/0!</v>
      </c>
      <c r="AG15" s="265">
        <v>7.650220979020979E-3</v>
      </c>
      <c r="AH15" s="265" t="e">
        <f t="shared" si="17"/>
        <v>#DIV/0!</v>
      </c>
      <c r="AI15" s="274" t="e">
        <f t="shared" si="18"/>
        <v>#DIV/0!</v>
      </c>
      <c r="AJ15" s="268" t="e">
        <f t="shared" si="19"/>
        <v>#DIV/0!</v>
      </c>
      <c r="AK15" s="274" t="e">
        <f t="shared" si="20"/>
        <v>#DIV/0!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>
        <f t="shared" si="26"/>
        <v>0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0</v>
      </c>
      <c r="X16" s="266">
        <f t="shared" si="13"/>
        <v>0</v>
      </c>
      <c r="Y16" s="266">
        <f t="shared" si="14"/>
        <v>0</v>
      </c>
      <c r="Z16" s="266">
        <f>-$D$122</f>
        <v>0</v>
      </c>
      <c r="AA16" s="274">
        <f t="shared" si="15"/>
        <v>0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 t="e">
        <f t="shared" si="16"/>
        <v>#DIV/0!</v>
      </c>
      <c r="AG16" s="269">
        <v>8.8563300699300695E-3</v>
      </c>
      <c r="AH16" s="269" t="e">
        <f t="shared" si="17"/>
        <v>#DIV/0!</v>
      </c>
      <c r="AI16" s="266" t="e">
        <f t="shared" si="18"/>
        <v>#DIV/0!</v>
      </c>
      <c r="AJ16" s="268" t="e">
        <f t="shared" si="19"/>
        <v>#DIV/0!</v>
      </c>
      <c r="AK16" s="266" t="e">
        <f t="shared" si="20"/>
        <v>#DIV/0!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>
        <f t="shared" si="26"/>
        <v>0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0</v>
      </c>
      <c r="X17" s="274">
        <f>H17*H$24*1000</f>
        <v>0</v>
      </c>
      <c r="Y17" s="274">
        <f t="shared" si="14"/>
        <v>0</v>
      </c>
      <c r="Z17" s="274">
        <f>C176/($C$184+$C$185)*$C$185</f>
        <v>0</v>
      </c>
      <c r="AA17" s="274">
        <f t="shared" si="15"/>
        <v>0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 t="e">
        <f t="shared" si="16"/>
        <v>#DIV/0!</v>
      </c>
      <c r="AG17" s="265">
        <v>2.1273118881118881E-3</v>
      </c>
      <c r="AH17" s="265" t="e">
        <f t="shared" si="17"/>
        <v>#DIV/0!</v>
      </c>
      <c r="AI17" s="274" t="e">
        <f t="shared" si="18"/>
        <v>#DIV/0!</v>
      </c>
      <c r="AJ17" s="268" t="e">
        <f t="shared" si="19"/>
        <v>#DIV/0!</v>
      </c>
      <c r="AK17" s="274" t="e">
        <f t="shared" si="20"/>
        <v>#DIV/0!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>
        <f t="shared" si="26"/>
        <v>0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0</v>
      </c>
      <c r="X18" s="274">
        <f t="shared" si="13"/>
        <v>0</v>
      </c>
      <c r="Y18" s="274">
        <f t="shared" si="14"/>
        <v>0</v>
      </c>
      <c r="Z18" s="274">
        <f>C178/($C$184+$C$185)*$C$185</f>
        <v>0</v>
      </c>
      <c r="AA18" s="274">
        <f>SUM(Y18:Z18)</f>
        <v>0</v>
      </c>
      <c r="AB18" s="263" t="s">
        <v>83</v>
      </c>
      <c r="AC18" s="264" t="s">
        <v>73</v>
      </c>
      <c r="AD18" s="267" t="e">
        <f>ROUND((S18/F$178)+(T18/F$178)+(U18/F$178)+(V18/F$178)+(W18/F$178)+(X18/F$178),0)</f>
        <v>#DIV/0!</v>
      </c>
      <c r="AE18" s="268" t="e">
        <f>Y18/AD18</f>
        <v>#DIV/0!</v>
      </c>
      <c r="AF18" s="265" t="e">
        <f t="shared" si="16"/>
        <v>#DIV/0!</v>
      </c>
      <c r="AG18" s="265">
        <v>3.2747211188811187E-2</v>
      </c>
      <c r="AH18" s="265" t="e">
        <f t="shared" si="17"/>
        <v>#DIV/0!</v>
      </c>
      <c r="AI18" s="274" t="e">
        <f t="shared" si="18"/>
        <v>#DIV/0!</v>
      </c>
      <c r="AJ18" s="268" t="e">
        <f>AI18/AD18</f>
        <v>#DIV/0!</v>
      </c>
      <c r="AK18" s="274" t="e">
        <f>Y18-AI18</f>
        <v>#DIV/0!</v>
      </c>
      <c r="AL18" s="267" t="e">
        <f t="shared" si="31"/>
        <v>#DIV/0!</v>
      </c>
      <c r="AM18" s="267" t="e">
        <f t="shared" si="31"/>
        <v>#DIV/0!</v>
      </c>
      <c r="AN18" s="267" t="e">
        <f t="shared" si="31"/>
        <v>#DIV/0!</v>
      </c>
      <c r="AO18" s="267" t="e">
        <f t="shared" si="31"/>
        <v>#DIV/0!</v>
      </c>
      <c r="AP18" s="267" t="e">
        <f t="shared" si="31"/>
        <v>#DIV/0!</v>
      </c>
      <c r="AQ18" s="267" t="e">
        <f t="shared" si="31"/>
        <v>#DIV/0!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0</v>
      </c>
      <c r="AW18" s="270">
        <f t="shared" si="27"/>
        <v>0</v>
      </c>
      <c r="AX18" s="271" t="e">
        <f>AJ18*10000</f>
        <v>#DIV/0!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0</v>
      </c>
      <c r="X19" s="275">
        <f t="shared" si="13"/>
        <v>0</v>
      </c>
      <c r="Y19" s="275">
        <f t="shared" si="14"/>
        <v>0</v>
      </c>
      <c r="Z19" s="275">
        <f>C177/($C$184+$C$185)*$C$185</f>
        <v>0</v>
      </c>
      <c r="AA19" s="275">
        <f t="shared" si="15"/>
        <v>0</v>
      </c>
      <c r="AB19" s="263" t="s">
        <v>82</v>
      </c>
      <c r="AC19" s="264" t="s">
        <v>73</v>
      </c>
      <c r="AD19" s="267" t="e">
        <f>ROUND((S19/F$177)+(T19/F$177)+(U19/F$177)+(V19/F$177)+(W19/F$177)+(X19/F$177),0)</f>
        <v>#DIV/0!</v>
      </c>
      <c r="AE19" s="268" t="e">
        <f t="shared" si="29"/>
        <v>#DIV/0!</v>
      </c>
      <c r="AF19" s="276" t="e">
        <f t="shared" si="16"/>
        <v>#DIV/0!</v>
      </c>
      <c r="AG19" s="276">
        <v>7.3609622377622374E-3</v>
      </c>
      <c r="AH19" s="276" t="e">
        <f t="shared" si="17"/>
        <v>#DIV/0!</v>
      </c>
      <c r="AI19" s="275" t="e">
        <f t="shared" si="18"/>
        <v>#DIV/0!</v>
      </c>
      <c r="AJ19" s="268" t="e">
        <f t="shared" si="19"/>
        <v>#DIV/0!</v>
      </c>
      <c r="AK19" s="275" t="e">
        <f t="shared" si="20"/>
        <v>#DIV/0!</v>
      </c>
      <c r="AL19" s="267" t="e">
        <f t="shared" si="31"/>
        <v>#DIV/0!</v>
      </c>
      <c r="AM19" s="267" t="e">
        <f t="shared" si="31"/>
        <v>#DIV/0!</v>
      </c>
      <c r="AN19" s="267" t="e">
        <f t="shared" si="31"/>
        <v>#DIV/0!</v>
      </c>
      <c r="AO19" s="267" t="e">
        <f t="shared" si="31"/>
        <v>#DIV/0!</v>
      </c>
      <c r="AP19" s="267" t="e">
        <f t="shared" si="31"/>
        <v>#DIV/0!</v>
      </c>
      <c r="AQ19" s="267" t="e">
        <f t="shared" si="31"/>
        <v>#DIV/0!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0</v>
      </c>
      <c r="AW19" s="270">
        <f t="shared" si="27"/>
        <v>0</v>
      </c>
      <c r="AX19" s="271" t="e">
        <f t="shared" si="28"/>
        <v>#DIV/0!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0</v>
      </c>
      <c r="X20" s="277">
        <f t="shared" si="37"/>
        <v>0</v>
      </c>
      <c r="Y20" s="277">
        <f t="shared" si="37"/>
        <v>0</v>
      </c>
      <c r="Z20" s="277">
        <f t="shared" si="37"/>
        <v>0</v>
      </c>
      <c r="AA20" s="277">
        <f t="shared" si="37"/>
        <v>0</v>
      </c>
      <c r="AB20" s="278"/>
      <c r="AC20" s="279"/>
      <c r="AD20" s="262"/>
      <c r="AE20" s="262"/>
      <c r="AF20" s="280" t="e">
        <f>SUM(AF14:AF19)</f>
        <v>#DIV/0!</v>
      </c>
      <c r="AG20" s="280">
        <f>SUM(AG14:AG19)</f>
        <v>7.0230590209790209E-2</v>
      </c>
      <c r="AH20" s="280" t="e">
        <f>SUM(AH14:AH19)</f>
        <v>#DIV/0!</v>
      </c>
      <c r="AI20" s="277" t="e">
        <f>SUM(AI14:AI19)</f>
        <v>#DIV/0!</v>
      </c>
      <c r="AJ20" s="262"/>
      <c r="AK20" s="277" t="e">
        <f>SUM(AK14:AK19)</f>
        <v>#DIV/0!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 t="e">
        <f t="shared" si="38"/>
        <v>#DIV/0!</v>
      </c>
      <c r="W21" s="281">
        <f t="shared" si="38"/>
        <v>0</v>
      </c>
      <c r="X21" s="281">
        <f t="shared" si="38"/>
        <v>0</v>
      </c>
      <c r="Y21" s="281" t="e">
        <f t="shared" si="38"/>
        <v>#DIV/0!</v>
      </c>
      <c r="Z21" s="281">
        <f t="shared" si="38"/>
        <v>0</v>
      </c>
      <c r="AA21" s="281" t="e">
        <f t="shared" si="38"/>
        <v>#DIV/0!</v>
      </c>
      <c r="AB21" s="282" t="s">
        <v>98</v>
      </c>
      <c r="AC21" s="279"/>
      <c r="AD21" s="262"/>
      <c r="AE21" s="262"/>
      <c r="AF21" s="283" t="e">
        <f>AF12+AF20</f>
        <v>#DIV/0!</v>
      </c>
      <c r="AG21" s="283">
        <f>AG12+AG20</f>
        <v>0.15165504895104895</v>
      </c>
      <c r="AH21" s="283" t="e">
        <f>AH12+AH20</f>
        <v>#DIV/0!</v>
      </c>
      <c r="AI21" s="281" t="e">
        <f>AI12+AI20</f>
        <v>#DIV/0!</v>
      </c>
      <c r="AJ21" s="262"/>
      <c r="AK21" s="281" t="e">
        <f>AK12+AK20</f>
        <v>#DIV/0!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</v>
      </c>
      <c r="X22" s="284">
        <f>IF(H24&lt;&gt;0,ROUND(X21/(H24*1000),5),0)</f>
        <v>0</v>
      </c>
      <c r="Y22" s="284" t="e">
        <f>Y21/Y24/1000</f>
        <v>#DIV/0!</v>
      </c>
      <c r="Z22" s="284">
        <v>0</v>
      </c>
      <c r="AA22" s="284" t="e">
        <f>ROUND(AA21/(B49*1000),5)</f>
        <v>#DIV/0!</v>
      </c>
      <c r="AB22" s="282" t="s">
        <v>101</v>
      </c>
      <c r="AC22" s="279"/>
      <c r="AD22" s="262"/>
      <c r="AE22" s="262"/>
      <c r="AF22" s="284"/>
      <c r="AG22" s="284"/>
      <c r="AH22" s="284"/>
      <c r="AI22" s="284" t="e">
        <f>AI21/AI24/1000</f>
        <v>#DIV/0!</v>
      </c>
      <c r="AJ22" s="262"/>
      <c r="AK22" s="284" t="e">
        <f>AK21/AK24/1000</f>
        <v>#DIV/0!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</v>
      </c>
      <c r="X23" s="284">
        <f>ROUND(X22+H6,5)</f>
        <v>0</v>
      </c>
      <c r="Y23" s="284" t="e">
        <f>Y22+(($B$6*$B$24*1000+$B$29*$B$47*1000+$E$29*$E$47*1000+$H$6*$H$24*1000+$H$29*$H$47*1000+$E$6*$E$24*1000)/($B$49*1000))</f>
        <v>#DIV/0!</v>
      </c>
      <c r="Z23" s="284">
        <v>0</v>
      </c>
      <c r="AA23" s="284" t="e">
        <f>AA22+(($B$6*$B$24*1000+$B$29*$B$47*1000+$E$6*$E$24*1000+$E$29*$E$47*1000+$H$6*$H$24*1000+$H$29*$H$47*1000)/($B$49*1000))</f>
        <v>#DIV/0!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0</v>
      </c>
      <c r="X24" s="286">
        <f>H24</f>
        <v>0</v>
      </c>
      <c r="Y24" s="286">
        <f>SUM(S24:X24)</f>
        <v>0</v>
      </c>
      <c r="Z24" s="286">
        <v>0</v>
      </c>
      <c r="AA24" s="286">
        <f>SUM(Y24:Z24)</f>
        <v>0</v>
      </c>
      <c r="AB24" s="286"/>
      <c r="AC24" s="279"/>
      <c r="AD24" s="262"/>
      <c r="AE24" s="262"/>
      <c r="AF24" s="286">
        <f>Y24</f>
        <v>0</v>
      </c>
      <c r="AG24" s="286"/>
      <c r="AH24" s="286"/>
      <c r="AI24" s="286">
        <f>Y24</f>
        <v>0</v>
      </c>
      <c r="AJ24" s="262"/>
      <c r="AK24" s="286">
        <f>Y24</f>
        <v>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Summary'!$C$5</f>
        <v>0</v>
      </c>
      <c r="C54" s="214" t="e">
        <f>B54/$B$60</f>
        <v>#DIV/0!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Summary'!D$5</f>
        <v>0</v>
      </c>
      <c r="C55" s="214" t="e">
        <f t="shared" ref="C55:C60" si="46">B55/$B$60</f>
        <v>#DIV/0!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Summary'!E$5</f>
        <v>0</v>
      </c>
      <c r="C56" s="214" t="e">
        <f t="shared" si="46"/>
        <v>#DIV/0!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Summary'!$F$5</f>
        <v>0</v>
      </c>
      <c r="C57" s="214" t="e">
        <f t="shared" si="46"/>
        <v>#DIV/0!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Summary'!$G$5</f>
        <v>0</v>
      </c>
      <c r="C58" s="214" t="e">
        <f t="shared" si="46"/>
        <v>#DIV/0!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Summary'!$H$5</f>
        <v>0</v>
      </c>
      <c r="C59" s="215" t="e">
        <f t="shared" si="46"/>
        <v>#DIV/0!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0</v>
      </c>
      <c r="C60" s="315" t="e">
        <f t="shared" si="46"/>
        <v>#DIV/0!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0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0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0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0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0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0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0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0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0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0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0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0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0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 t="e">
        <f>ROUND(J141/B49/1000,3)</f>
        <v>#DIV/0!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 t="e">
        <f>0.215+$J$142</f>
        <v>#DIV/0!</v>
      </c>
      <c r="F145" s="76">
        <f>G141</f>
        <v>6.6443706666712579E-2</v>
      </c>
      <c r="G145" s="113" t="e">
        <f>E145*F145</f>
        <v>#DIV/0!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 t="e">
        <f>SUM(G145:G146)</f>
        <v>#DIV/0!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 t="e">
        <f>G159/(B$49*1000)</f>
        <v>#DIV/0!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 t="e">
        <f>G163/(B$49*1000)</f>
        <v>#DIV/0!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 t="e">
        <f>G166/(B$49*1000)</f>
        <v>#DIV/0!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0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0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0</v>
      </c>
      <c r="E172" s="14"/>
      <c r="F172" s="492" t="s">
        <v>8</v>
      </c>
      <c r="G172" s="492"/>
      <c r="H172" s="27">
        <f>D172/D173</f>
        <v>0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0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0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0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 t="e">
        <f>$D176/$D$172/1000</f>
        <v>#DIV/0!</v>
      </c>
      <c r="G176" s="112" t="e">
        <f>$E176/$D$172/1000</f>
        <v>#DIV/0!</v>
      </c>
      <c r="H176" s="170" t="e">
        <f>SUM(F176:G176)</f>
        <v>#DIV/0!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 t="e">
        <f>$D177/D$172/1000</f>
        <v>#DIV/0!</v>
      </c>
      <c r="G177" s="171" t="e">
        <f>$E177/$D$172/1000</f>
        <v>#DIV/0!</v>
      </c>
      <c r="H177" s="83" t="e">
        <f t="shared" ref="H177:H178" si="56">SUM(F177:G177)</f>
        <v>#DIV/0!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 t="e">
        <f>$D178/D$172/1000</f>
        <v>#DIV/0!</v>
      </c>
      <c r="G178" s="111" t="e">
        <f>$E178/$D$172/1000</f>
        <v>#DIV/0!</v>
      </c>
      <c r="H178" s="85" t="e">
        <f t="shared" si="56"/>
        <v>#DIV/0!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0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 t="e">
        <f>SUM(F176:F178)</f>
        <v>#DIV/0!</v>
      </c>
      <c r="G179" s="112" t="e">
        <f>SUM(G176:G178)</f>
        <v>#DIV/0!</v>
      </c>
      <c r="H179" s="170" t="e">
        <f>SUM(H176:H178)</f>
        <v>#DIV/0!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0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0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0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0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0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0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A1:J1"/>
    <mergeCell ref="S1:AA1"/>
    <mergeCell ref="B3:D3"/>
    <mergeCell ref="E3:G3"/>
    <mergeCell ref="H3:J3"/>
    <mergeCell ref="N3:O3"/>
    <mergeCell ref="P3:Q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B90:D90"/>
    <mergeCell ref="F90:H90"/>
    <mergeCell ref="B96:D96"/>
    <mergeCell ref="F96:H96"/>
    <mergeCell ref="T113:AD113"/>
    <mergeCell ref="H142:I142"/>
    <mergeCell ref="B143:D143"/>
    <mergeCell ref="E143:G143"/>
    <mergeCell ref="H143:J143"/>
    <mergeCell ref="B141:C141"/>
    <mergeCell ref="E141:F141"/>
    <mergeCell ref="H141:I141"/>
    <mergeCell ref="B149:D149"/>
    <mergeCell ref="E149:G149"/>
    <mergeCell ref="H149:J149"/>
    <mergeCell ref="B173:C173"/>
    <mergeCell ref="A183:H183"/>
    <mergeCell ref="B189:D189"/>
    <mergeCell ref="A156:H156"/>
    <mergeCell ref="A162:B162"/>
    <mergeCell ref="A165:B165"/>
    <mergeCell ref="B170:H170"/>
    <mergeCell ref="B172:C172"/>
    <mergeCell ref="F172:G17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9166.1354846098202</v>
      </c>
      <c r="X7" s="266">
        <f>$I145*$H$24*1000*$H145</f>
        <v>0</v>
      </c>
      <c r="Y7" s="266">
        <f>SUM(S7:X7)</f>
        <v>9166.1354846098202</v>
      </c>
      <c r="Z7" s="266">
        <v>0</v>
      </c>
      <c r="AA7" s="266">
        <f>SUM(Y7:Z7)</f>
        <v>9166.1354846098202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125563</v>
      </c>
      <c r="AE7" s="268">
        <f>Y7/AD7</f>
        <v>7.300029056815957E-2</v>
      </c>
      <c r="AF7" s="269">
        <f>Y7/$AF$24/1000</f>
        <v>4.5830677423049099E-3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1.9184926551743607E-3</v>
      </c>
      <c r="AI7" s="266">
        <f>AH7*$Y$24*1000</f>
        <v>3836.9853103487212</v>
      </c>
      <c r="AJ7" s="268">
        <f>AI7/AD7</f>
        <v>3.0558248133197848E-2</v>
      </c>
      <c r="AK7" s="266">
        <f>Y7-AI7</f>
        <v>5329.150174261099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125563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0</v>
      </c>
      <c r="AX7" s="271">
        <f>AJ7*10000</f>
        <v>305.5824813319785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>
        <f>Y8/$AF$24/1000</f>
        <v>0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0</v>
      </c>
      <c r="AI8" s="266">
        <f>AH8*$Y$24*1000</f>
        <v>0</v>
      </c>
      <c r="AJ8" s="268" t="e">
        <f>AI8/AD8</f>
        <v>#DIV/0!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297000</v>
      </c>
      <c r="X9" s="266">
        <f>H9*H$24*1000</f>
        <v>0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2000000</v>
      </c>
      <c r="AE9" s="268">
        <f>Y9/AD9</f>
        <v>0.14849999999999999</v>
      </c>
      <c r="AF9" s="269">
        <f>Y9/$AF$24/1000</f>
        <v>0.14849999999999999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6.2162764181642439E-2</v>
      </c>
      <c r="AI9" s="266">
        <f>AH9*$Y$24*1000</f>
        <v>124325.52836328487</v>
      </c>
      <c r="AJ9" s="268">
        <f>AI9/AD9</f>
        <v>6.2162764181642439E-2</v>
      </c>
      <c r="AK9" s="266">
        <f t="shared" si="2"/>
        <v>172674.47163671511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2000000</v>
      </c>
      <c r="AQ9" s="267">
        <f t="shared" si="3"/>
        <v>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0</v>
      </c>
      <c r="AX9" s="271">
        <f>AJ9*10000</f>
        <v>621.62764181642444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16862</v>
      </c>
      <c r="X10" s="266">
        <f t="shared" ref="X10:X11" si="4">H10*H$24*1000</f>
        <v>0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2000000</v>
      </c>
      <c r="AE10" s="268">
        <f>Y10/AD10</f>
        <v>8.4309999999999993E-3</v>
      </c>
      <c r="AF10" s="269">
        <f>Y10/$AF$24/1000</f>
        <v>8.4309999999999993E-3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3.5292543085213971E-3</v>
      </c>
      <c r="AI10" s="266">
        <f>AH10*$Y$24*1000</f>
        <v>7058.5086170427949</v>
      </c>
      <c r="AJ10" s="268">
        <f>AI10/AD10</f>
        <v>3.5292543085213976E-3</v>
      </c>
      <c r="AK10" s="266">
        <f t="shared" si="2"/>
        <v>9803.4913829572051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2000000.0000000002</v>
      </c>
      <c r="AQ10" s="267">
        <f t="shared" si="3"/>
        <v>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0</v>
      </c>
      <c r="AX10" s="271">
        <f>AJ10*10000</f>
        <v>35.292543085213978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66000</v>
      </c>
      <c r="X11" s="272">
        <f t="shared" si="4"/>
        <v>0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2000000</v>
      </c>
      <c r="AE11" s="268">
        <f>Y11/AD11</f>
        <v>3.3000000000000002E-2</v>
      </c>
      <c r="AF11" s="273">
        <f>Y11/$AF$24/1000</f>
        <v>3.3000000000000002E-2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1.3813947595920544E-2</v>
      </c>
      <c r="AI11" s="272">
        <f>AH11*$Y$24*1000</f>
        <v>27627.895191841086</v>
      </c>
      <c r="AJ11" s="268">
        <f>AI11/AD11</f>
        <v>1.3813947595920542E-2</v>
      </c>
      <c r="AK11" s="272">
        <f t="shared" si="2"/>
        <v>38372.104808158911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2000000</v>
      </c>
      <c r="AQ11" s="267">
        <f>X11/$AE11</f>
        <v>0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0</v>
      </c>
      <c r="AX11" s="271">
        <f>AJ11*10000</f>
        <v>138.13947595920541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389028.13548460981</v>
      </c>
      <c r="X12" s="266">
        <f t="shared" si="6"/>
        <v>0</v>
      </c>
      <c r="Y12" s="266">
        <f t="shared" si="6"/>
        <v>389028.13548460981</v>
      </c>
      <c r="Z12" s="266">
        <f t="shared" si="6"/>
        <v>0</v>
      </c>
      <c r="AA12" s="266">
        <f t="shared" si="6"/>
        <v>389028.13548460981</v>
      </c>
      <c r="AB12" s="263"/>
      <c r="AC12" s="264"/>
      <c r="AD12" s="262"/>
      <c r="AE12" s="262"/>
      <c r="AF12" s="269">
        <f t="shared" ref="AF12" si="7">SUM(AF7:AF11)</f>
        <v>0.1945140677423049</v>
      </c>
      <c r="AG12" s="269">
        <f>SUM(AG7:AG11)</f>
        <v>8.142445874125874E-2</v>
      </c>
      <c r="AH12" s="269">
        <f>SUM(AH7:AH11)</f>
        <v>8.142445874125874E-2</v>
      </c>
      <c r="AI12" s="266">
        <f t="shared" ref="AI12:AK12" si="8">SUM(AI7:AI11)</f>
        <v>162848.91748251749</v>
      </c>
      <c r="AJ12" s="262"/>
      <c r="AK12" s="266">
        <f t="shared" si="8"/>
        <v>226179.21800209233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24508.335597826084</v>
      </c>
      <c r="X14" s="266">
        <f t="shared" ref="X14:X19" si="13">H14*H$24*1000</f>
        <v>0</v>
      </c>
      <c r="Y14" s="266">
        <f t="shared" ref="Y14:Y19" si="14">SUM(S14:X14)</f>
        <v>24508.335597826084</v>
      </c>
      <c r="Z14" s="266">
        <f>-$D$115</f>
        <v>0</v>
      </c>
      <c r="AA14" s="266">
        <f t="shared" ref="AA14:AA19" si="15">SUM(Y14:Z14)</f>
        <v>24508.335597826084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1.2254167798913041E-2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1.2055840154647609E-2</v>
      </c>
      <c r="AI14" s="266">
        <f t="shared" ref="AI14:AI19" si="18">AH14*$Y$24*1000</f>
        <v>24111.680309295218</v>
      </c>
      <c r="AJ14" s="268" t="e">
        <f t="shared" ref="AJ14:AJ19" si="19">AI14/AD14</f>
        <v>#DIV/0!</v>
      </c>
      <c r="AK14" s="266">
        <f t="shared" ref="AK14:AK19" si="20">Y14-AI14</f>
        <v>396.65528853086653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24508.335597826084</v>
      </c>
      <c r="X15" s="274">
        <f t="shared" si="13"/>
        <v>0</v>
      </c>
      <c r="Y15" s="274">
        <f t="shared" si="14"/>
        <v>24508.335597826084</v>
      </c>
      <c r="Z15" s="274">
        <f>-$H$115</f>
        <v>0</v>
      </c>
      <c r="AA15" s="274">
        <f t="shared" si="15"/>
        <v>24508.335597826084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1.2254167798913041E-2</v>
      </c>
      <c r="AG15" s="265">
        <v>7.650220979020979E-3</v>
      </c>
      <c r="AH15" s="265">
        <f t="shared" si="17"/>
        <v>1.2055840154647609E-2</v>
      </c>
      <c r="AI15" s="274">
        <f t="shared" si="18"/>
        <v>24111.680309295218</v>
      </c>
      <c r="AJ15" s="268" t="e">
        <f t="shared" si="19"/>
        <v>#DIV/0!</v>
      </c>
      <c r="AK15" s="274">
        <f t="shared" si="20"/>
        <v>396.65528853086653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16851.201358695649</v>
      </c>
      <c r="X16" s="266">
        <f t="shared" si="13"/>
        <v>0</v>
      </c>
      <c r="Y16" s="266">
        <f t="shared" si="14"/>
        <v>16851.201358695649</v>
      </c>
      <c r="Z16" s="266">
        <f>-$D$122</f>
        <v>0</v>
      </c>
      <c r="AA16" s="274">
        <f t="shared" si="15"/>
        <v>16851.201358695649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8.4256006793478246E-3</v>
      </c>
      <c r="AG16" s="269">
        <v>8.8563300699300695E-3</v>
      </c>
      <c r="AH16" s="269">
        <f t="shared" si="17"/>
        <v>8.2892365001006225E-3</v>
      </c>
      <c r="AI16" s="266">
        <f t="shared" si="18"/>
        <v>16578.473000201247</v>
      </c>
      <c r="AJ16" s="268" t="e">
        <f t="shared" si="19"/>
        <v>#DIV/0!</v>
      </c>
      <c r="AK16" s="266">
        <f t="shared" si="20"/>
        <v>272.72835849440162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7154</v>
      </c>
      <c r="X17" s="274">
        <f>H17*H$24*1000</f>
        <v>0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3.5769999999999999E-3</v>
      </c>
      <c r="AG17" s="265">
        <v>2.1273118881118881E-3</v>
      </c>
      <c r="AH17" s="265">
        <f t="shared" si="17"/>
        <v>3.5191080243735218E-3</v>
      </c>
      <c r="AI17" s="274">
        <f t="shared" si="18"/>
        <v>7038.2160487470437</v>
      </c>
      <c r="AJ17" s="268" t="e">
        <f t="shared" si="19"/>
        <v>#DIV/0!</v>
      </c>
      <c r="AK17" s="274">
        <f t="shared" si="20"/>
        <v>115.78395125295629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25872</v>
      </c>
      <c r="X18" s="274">
        <f t="shared" si="13"/>
        <v>0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166667</v>
      </c>
      <c r="AE18" s="268">
        <f>Y18/AD18</f>
        <v>0.15523168953662092</v>
      </c>
      <c r="AF18" s="265">
        <f t="shared" si="16"/>
        <v>1.2936E-2</v>
      </c>
      <c r="AG18" s="265">
        <v>3.2747211188811187E-2</v>
      </c>
      <c r="AH18" s="265">
        <f t="shared" si="17"/>
        <v>1.2726637238830269E-2</v>
      </c>
      <c r="AI18" s="274">
        <f t="shared" si="18"/>
        <v>25453.27447766054</v>
      </c>
      <c r="AJ18" s="268">
        <f>AI18/AD18</f>
        <v>0.15271934142728039</v>
      </c>
      <c r="AK18" s="274">
        <f>Y18-AI18</f>
        <v>418.72552233946044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166667</v>
      </c>
      <c r="AQ18" s="267">
        <f t="shared" si="31"/>
        <v>0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83.334000000000003</v>
      </c>
      <c r="AW18" s="270">
        <f t="shared" si="27"/>
        <v>0</v>
      </c>
      <c r="AX18" s="271">
        <f>AJ18*10000</f>
        <v>1527.1934142728039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43878</v>
      </c>
      <c r="X19" s="275">
        <f t="shared" si="13"/>
        <v>0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166667</v>
      </c>
      <c r="AE19" s="268">
        <f t="shared" si="29"/>
        <v>0.26326747346505308</v>
      </c>
      <c r="AF19" s="276">
        <f t="shared" si="16"/>
        <v>2.1939E-2</v>
      </c>
      <c r="AG19" s="276">
        <v>7.3609622377622374E-3</v>
      </c>
      <c r="AH19" s="276">
        <f t="shared" si="17"/>
        <v>2.1583928137190577E-2</v>
      </c>
      <c r="AI19" s="275">
        <f t="shared" si="18"/>
        <v>43167.856274381149</v>
      </c>
      <c r="AJ19" s="268">
        <f t="shared" si="19"/>
        <v>0.25900661963304761</v>
      </c>
      <c r="AK19" s="275">
        <f t="shared" si="20"/>
        <v>710.14372561885102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166667</v>
      </c>
      <c r="AQ19" s="267">
        <f t="shared" si="31"/>
        <v>0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83.334000000000003</v>
      </c>
      <c r="AW19" s="270">
        <f t="shared" si="27"/>
        <v>0</v>
      </c>
      <c r="AX19" s="271">
        <f t="shared" si="28"/>
        <v>2590.066196330476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142771.87255434782</v>
      </c>
      <c r="X20" s="277">
        <f t="shared" si="37"/>
        <v>0</v>
      </c>
      <c r="Y20" s="277">
        <f t="shared" si="37"/>
        <v>142771.87255434782</v>
      </c>
      <c r="Z20" s="277">
        <f t="shared" si="37"/>
        <v>0</v>
      </c>
      <c r="AA20" s="277">
        <f t="shared" si="37"/>
        <v>142771.87255434782</v>
      </c>
      <c r="AB20" s="278"/>
      <c r="AC20" s="279"/>
      <c r="AD20" s="262"/>
      <c r="AE20" s="262"/>
      <c r="AF20" s="280">
        <f>SUM(AF14:AF19)</f>
        <v>7.1385936277173906E-2</v>
      </c>
      <c r="AG20" s="280">
        <f>SUM(AG14:AG19)</f>
        <v>7.0230590209790209E-2</v>
      </c>
      <c r="AH20" s="280">
        <f>SUM(AH14:AH19)</f>
        <v>7.0230590209790209E-2</v>
      </c>
      <c r="AI20" s="277">
        <f>SUM(AI14:AI19)</f>
        <v>140461.18041958043</v>
      </c>
      <c r="AJ20" s="262"/>
      <c r="AK20" s="277">
        <f>SUM(AK14:AK19)</f>
        <v>2310.6921347674024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531800.0080389576</v>
      </c>
      <c r="X21" s="281">
        <f t="shared" si="38"/>
        <v>0</v>
      </c>
      <c r="Y21" s="281">
        <f t="shared" si="38"/>
        <v>531800.0080389576</v>
      </c>
      <c r="Z21" s="281">
        <f t="shared" si="38"/>
        <v>0</v>
      </c>
      <c r="AA21" s="281">
        <f t="shared" si="38"/>
        <v>531800.0080389576</v>
      </c>
      <c r="AB21" s="282" t="s">
        <v>98</v>
      </c>
      <c r="AC21" s="279"/>
      <c r="AD21" s="262"/>
      <c r="AE21" s="262"/>
      <c r="AF21" s="283">
        <f>AF12+AF20</f>
        <v>0.26590000401947878</v>
      </c>
      <c r="AG21" s="283">
        <f>AG12+AG20</f>
        <v>0.15165504895104895</v>
      </c>
      <c r="AH21" s="283">
        <f>AH12+AH20</f>
        <v>0.15165504895104895</v>
      </c>
      <c r="AI21" s="281">
        <f>AI12+AI20</f>
        <v>303310.09790209791</v>
      </c>
      <c r="AJ21" s="262"/>
      <c r="AK21" s="281">
        <f>AK12+AK20</f>
        <v>228489.91013685972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0.26590000000000003</v>
      </c>
      <c r="X22" s="284">
        <f>IF(H24&lt;&gt;0,ROUND(X21/(H24*1000),5),0)</f>
        <v>0</v>
      </c>
      <c r="Y22" s="284">
        <f>Y21/Y24/1000</f>
        <v>0.26590000401947878</v>
      </c>
      <c r="Z22" s="284">
        <v>0</v>
      </c>
      <c r="AA22" s="284">
        <f>ROUND(AA21/(B49*1000),5)</f>
        <v>0.26590000000000003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0.15165504895104898</v>
      </c>
      <c r="AJ22" s="262"/>
      <c r="AK22" s="284">
        <f>AK21/AK24/1000</f>
        <v>0.11424495506842985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0.34589999999999999</v>
      </c>
      <c r="X23" s="284">
        <f>ROUND(X22+H6,5)</f>
        <v>0</v>
      </c>
      <c r="Y23" s="284">
        <f>Y22+(($B$6*$B$24*1000+$B$29*$B$47*1000+$E$29*$E$47*1000+$H$6*$H$24*1000+$H$29*$H$47*1000+$E$6*$E$24*1000)/($B$49*1000))</f>
        <v>0.34590000401947879</v>
      </c>
      <c r="Z23" s="284">
        <v>0</v>
      </c>
      <c r="AA23" s="284">
        <f>AA22+(($B$6*$B$24*1000+$B$29*$B$47*1000+$E$6*$E$24*1000+$E$29*$E$47*1000+$H$6*$H$24*1000+$H$29*$H$47*1000)/($B$49*1000))</f>
        <v>0.34590000000000004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2000</v>
      </c>
      <c r="X24" s="286">
        <f>H24</f>
        <v>0</v>
      </c>
      <c r="Y24" s="286">
        <f>SUM(S24:X24)</f>
        <v>2000</v>
      </c>
      <c r="Z24" s="286">
        <v>0</v>
      </c>
      <c r="AA24" s="286">
        <f>SUM(Y24:Z24)</f>
        <v>2000</v>
      </c>
      <c r="AB24" s="286"/>
      <c r="AC24" s="279"/>
      <c r="AD24" s="262"/>
      <c r="AE24" s="262"/>
      <c r="AF24" s="286">
        <f>Y24</f>
        <v>2000</v>
      </c>
      <c r="AG24" s="286"/>
      <c r="AH24" s="286"/>
      <c r="AI24" s="286">
        <f>Y24</f>
        <v>2000</v>
      </c>
      <c r="AJ24" s="262"/>
      <c r="AK24" s="286">
        <f>Y24</f>
        <v>2000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0.14849999999999999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8.4309999999999993E-3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3.3000000000000002E-2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0.27451406774230491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1.2254167798913041E-2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1.2254167798913041E-2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8.4256006793478246E-3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3.5769999999999999E-3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1.2936E-2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2.1939E-2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7.1385936277173906E-2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0.34590000401947885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2000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2000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Summary'!$C$6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Summary'!D$6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Summary'!E$6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Summary'!$F$6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Summary'!$G$6</f>
        <v>0</v>
      </c>
      <c r="C58" s="214">
        <f t="shared" si="46"/>
        <v>0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Summary'!$H$6</f>
        <v>2000</v>
      </c>
      <c r="C59" s="215">
        <f t="shared" si="46"/>
        <v>1</v>
      </c>
      <c r="D59" s="459">
        <f>B59/200</f>
        <v>10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2000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18165.149413724757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6343.186184101326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24508.335597826084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19136.278422403291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5372.0571754227949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24508.335597826088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2830.8265468009095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2371.8998385472487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1178.0916736084812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5694.144165169685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4354.4487662570127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421.79036831231144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16851.201358695649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v>5</v>
      </c>
      <c r="C112" s="40"/>
      <c r="D112" s="38">
        <f>D106</f>
        <v>4901.667119565217</v>
      </c>
      <c r="F112" s="439">
        <f>D112*B112</f>
        <v>24508.335597826084</v>
      </c>
      <c r="H112" s="21"/>
    </row>
    <row r="113" spans="1:45">
      <c r="A113" s="15" t="s">
        <v>260</v>
      </c>
      <c r="B113" s="54">
        <v>5</v>
      </c>
      <c r="C113" s="95"/>
      <c r="D113" s="38">
        <f>D106</f>
        <v>4901.667119565217</v>
      </c>
      <c r="F113" s="439">
        <f>D113*B113</f>
        <v>24508.335597826084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16851.201358695649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2.7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2.915</v>
      </c>
      <c r="F145" s="76">
        <f>G141</f>
        <v>6.6443706666712579E-2</v>
      </c>
      <c r="G145" s="113">
        <f>E145*F145</f>
        <v>0.19368340493346717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0.2656834049334672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0.14849999999999999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8.4309999999999993E-3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3.3000000000000002E-2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2000</v>
      </c>
      <c r="E172" s="14"/>
      <c r="F172" s="492" t="s">
        <v>8</v>
      </c>
      <c r="G172" s="492"/>
      <c r="H172" s="27">
        <f>D172/D173</f>
        <v>7.2727272727272727E-3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0.26326799999999995</v>
      </c>
      <c r="G177" s="171">
        <f>$E177/$D$172/1000</f>
        <v>0</v>
      </c>
      <c r="H177" s="83">
        <f t="shared" ref="H177:H178" si="56">SUM(F177:G177)</f>
        <v>0.26326799999999995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0.15523200000000001</v>
      </c>
      <c r="G178" s="111">
        <f>$E178/$D$172/1000</f>
        <v>0</v>
      </c>
      <c r="H178" s="85">
        <f t="shared" si="56"/>
        <v>0.15523200000000001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0.41849999999999998</v>
      </c>
      <c r="G179" s="112">
        <f>SUM(G176:G178)</f>
        <v>0</v>
      </c>
      <c r="H179" s="170">
        <f>SUM(H176:H178)</f>
        <v>0.41849999999999998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B149:D149"/>
    <mergeCell ref="E149:G149"/>
    <mergeCell ref="H149:J149"/>
    <mergeCell ref="A156:H156"/>
    <mergeCell ref="A162:B162"/>
    <mergeCell ref="A165:B165"/>
    <mergeCell ref="B170:H170"/>
    <mergeCell ref="B172:C172"/>
    <mergeCell ref="F172:G172"/>
    <mergeCell ref="B173:C173"/>
    <mergeCell ref="A183:H183"/>
    <mergeCell ref="T113:AD113"/>
    <mergeCell ref="B141:C141"/>
    <mergeCell ref="E141:F141"/>
    <mergeCell ref="H141:I141"/>
    <mergeCell ref="H142:I142"/>
    <mergeCell ref="B143:D143"/>
    <mergeCell ref="E143:G143"/>
    <mergeCell ref="H143:J143"/>
    <mergeCell ref="B96:D96"/>
    <mergeCell ref="F96:H96"/>
    <mergeCell ref="E26:G26"/>
    <mergeCell ref="H26:J26"/>
    <mergeCell ref="B51:K51"/>
    <mergeCell ref="C62:F62"/>
    <mergeCell ref="G62:K62"/>
    <mergeCell ref="B90:D90"/>
    <mergeCell ref="F90:H90"/>
    <mergeCell ref="J74:L74"/>
    <mergeCell ref="A1:J1"/>
    <mergeCell ref="S1:AA1"/>
    <mergeCell ref="B3:D3"/>
    <mergeCell ref="E3:G3"/>
    <mergeCell ref="H3:J3"/>
    <mergeCell ref="N3:O3"/>
    <mergeCell ref="P3:Q3"/>
    <mergeCell ref="B74:D74"/>
    <mergeCell ref="F74:H74"/>
    <mergeCell ref="B82:D82"/>
    <mergeCell ref="F82:H82"/>
    <mergeCell ref="J82:L82"/>
    <mergeCell ref="B26:D26"/>
  </mergeCell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2CC5-D226-4542-9C29-2C17591447FF}">
  <dimension ref="A1:AY198"/>
  <sheetViews>
    <sheetView workbookViewId="0">
      <selection activeCell="A57" sqref="A57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0.14490000000000003</v>
      </c>
      <c r="C6" s="33"/>
      <c r="D6" s="33">
        <v>0</v>
      </c>
      <c r="E6" s="236">
        <f>IF(E24&lt;&gt;0,$L$88,0)</f>
        <v>0.10801025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3.3069000000000001E-2</v>
      </c>
      <c r="C7" s="33"/>
      <c r="D7" s="33">
        <v>0</v>
      </c>
      <c r="E7" s="236">
        <f>IF(E24&lt;&gt;0,$D$151,0)</f>
        <v>3.3069000000000001E-2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82431.164586817322</v>
      </c>
      <c r="T7" s="266">
        <f>$C151*$B$47*1000*$B151</f>
        <v>115741.49999999999</v>
      </c>
      <c r="U7" s="266">
        <f>$F151*$E$47*1000*$E151</f>
        <v>0</v>
      </c>
      <c r="V7" s="266">
        <f>$F145*$E$24*1000*$E145</f>
        <v>252592.39526417453</v>
      </c>
      <c r="W7" s="266">
        <f>$I151*$H$47*1000*$H151</f>
        <v>0</v>
      </c>
      <c r="X7" s="266">
        <f>$I145*$H$24*1000*$H145</f>
        <v>21132.553792761268</v>
      </c>
      <c r="Y7" s="266">
        <f>SUM(S7:X7)</f>
        <v>471897.61364375311</v>
      </c>
      <c r="Z7" s="266">
        <v>0</v>
      </c>
      <c r="AA7" s="266">
        <f>SUM(Y7:Z7)</f>
        <v>471897.61364375311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6834346</v>
      </c>
      <c r="AE7" s="268">
        <f>Y7/AD7</f>
        <v>6.9047954792419514E-2</v>
      </c>
      <c r="AF7" s="269">
        <f>Y7/$AF$24/1000</f>
        <v>3.3138877362623116E-2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3.3138877362623116E-2</v>
      </c>
      <c r="AI7" s="266">
        <f>AH7*$Y$24*1000</f>
        <v>471897.61364375317</v>
      </c>
      <c r="AJ7" s="268">
        <f>AI7/AD7</f>
        <v>6.9047954792419514E-2</v>
      </c>
      <c r="AK7" s="266">
        <f>Y7-AI7</f>
        <v>0</v>
      </c>
      <c r="AL7" s="267">
        <f>ROUND($B145*$B$24*1000,0)</f>
        <v>1129194</v>
      </c>
      <c r="AM7" s="267">
        <f>ROUND($B151*$B$47*1000,0)</f>
        <v>1585500</v>
      </c>
      <c r="AN7" s="267">
        <f>ROUND($E151*$E$47*1000,0)</f>
        <v>0</v>
      </c>
      <c r="AO7" s="267">
        <f>ROUND($E145*$E$24*1000,0)</f>
        <v>3801600</v>
      </c>
      <c r="AP7" s="267">
        <f>ROUND($H151*$H$47*1000,0)</f>
        <v>0</v>
      </c>
      <c r="AQ7" s="267">
        <f>ROUND($H145*$H$24*1000,0)</f>
        <v>318052</v>
      </c>
      <c r="AR7" s="270">
        <f>IF($B$24&lt;&gt;0,ROUND(AL7/B$24,3),0)</f>
        <v>645.25400000000002</v>
      </c>
      <c r="AS7" s="270">
        <f>ROUND(AM7/B$47,3)</f>
        <v>453</v>
      </c>
      <c r="AT7" s="270">
        <f>IF(E$47&lt;&gt;0,ROUND(AN7/E$47,3),0)</f>
        <v>0</v>
      </c>
      <c r="AU7" s="270">
        <f>IF(F$24&lt;&gt;0,ROUND(AO7/F$24,3),0)</f>
        <v>1186.5170000000001</v>
      </c>
      <c r="AV7" s="270">
        <f>IF(H$47&lt;&gt;0,ROUND(AP7/H$47,3),0)</f>
        <v>0</v>
      </c>
      <c r="AW7" s="270">
        <f>IF(H$24&lt;&gt;0,ROUND(AQ7/H$24,3),0)</f>
        <v>122.8</v>
      </c>
      <c r="AX7" s="271">
        <f>AJ7*10000</f>
        <v>690.47954792419512</v>
      </c>
    </row>
    <row r="8" spans="1:50" ht="15">
      <c r="A8" s="15" t="s">
        <v>65</v>
      </c>
      <c r="B8" s="236">
        <f>IF($B$24&lt;&gt;0,$D$152,0)</f>
        <v>0.04</v>
      </c>
      <c r="C8" s="33"/>
      <c r="D8" s="33">
        <v>0</v>
      </c>
      <c r="E8" s="236">
        <f>IF(E24&lt;&gt;0,$D$152,0)/2</f>
        <v>0.02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103658.51891282988</v>
      </c>
      <c r="T8" s="266">
        <f>$C152*$B$47*1000*$B152</f>
        <v>140000</v>
      </c>
      <c r="U8" s="266">
        <f>$F152*$E$47*1000*$E152</f>
        <v>0</v>
      </c>
      <c r="V8" s="266">
        <f>$F146*$E$24*1000*$E146</f>
        <v>460800</v>
      </c>
      <c r="W8" s="266">
        <f>$I152*$H$47*1000*$H152</f>
        <v>0</v>
      </c>
      <c r="X8" s="266">
        <f>$I146*$H$24*1000*$H146</f>
        <v>39627</v>
      </c>
      <c r="Y8" s="266">
        <f t="shared" ref="Y8:Y11" si="0">SUM(S8:X8)</f>
        <v>744085.51891282992</v>
      </c>
      <c r="Z8" s="266">
        <v>0</v>
      </c>
      <c r="AA8" s="266">
        <f t="shared" ref="AA8:AA11" si="1">SUM(Y8:Z8)</f>
        <v>744085.51891282992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116517630</v>
      </c>
      <c r="AE8" s="268">
        <f>Y8/AD8</f>
        <v>6.3860337608379943E-3</v>
      </c>
      <c r="AF8" s="269">
        <f>Y8/$AF$24/1000</f>
        <v>5.2253196552867275E-2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5.2253196552867275E-2</v>
      </c>
      <c r="AI8" s="266">
        <f>AH8*$Y$24*1000</f>
        <v>744085.51891283004</v>
      </c>
      <c r="AJ8" s="268">
        <f>AI8/AD8</f>
        <v>6.3860337608379952E-3</v>
      </c>
      <c r="AK8" s="266">
        <f t="shared" ref="AK8:AK11" si="2">Y8-AI8</f>
        <v>0</v>
      </c>
      <c r="AL8" s="267">
        <f>ROUND($B146*$B$24*1000*1000,0)</f>
        <v>25914630</v>
      </c>
      <c r="AM8" s="267">
        <f>ROUND($B152*$B$47*1000*1000,0)</f>
        <v>35000000</v>
      </c>
      <c r="AN8" s="267">
        <f>ROUND($E152*$E$47*1000*1000,0)</f>
        <v>0</v>
      </c>
      <c r="AO8" s="267">
        <f>ROUND($E146*$E$24*1000*1000,0)</f>
        <v>51200000</v>
      </c>
      <c r="AP8" s="267">
        <f>ROUND($H152*$H$47*1000*1000,0)</f>
        <v>0</v>
      </c>
      <c r="AQ8" s="267">
        <f>ROUND($H146*$H$24*1000*1000,0)</f>
        <v>4403000</v>
      </c>
      <c r="AR8" s="270">
        <f>IF($B$24&lt;&gt;0,ROUND(AL8/B$24,3),0)</f>
        <v>14808.36</v>
      </c>
      <c r="AS8" s="270">
        <f>ROUND(AM8/B$47,3)</f>
        <v>10000</v>
      </c>
      <c r="AT8" s="270">
        <f>IF(E$47&lt;&gt;0,ROUND(AN8/E$47,3),0)</f>
        <v>0</v>
      </c>
      <c r="AU8" s="270">
        <f>IF(E$24&lt;&gt;0,ROUND(AO8/E$24,3),0)</f>
        <v>8000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63.86033760837995</v>
      </c>
    </row>
    <row r="9" spans="1:50">
      <c r="A9" s="42" t="s">
        <v>64</v>
      </c>
      <c r="B9" s="236">
        <f>IF($B$24&lt;&gt;0,$H$159,0)</f>
        <v>2.0856741573033709E-2</v>
      </c>
      <c r="C9" s="33"/>
      <c r="D9" s="33">
        <v>0</v>
      </c>
      <c r="E9" s="236">
        <f>IF(E24&lt;&gt;0,$H$159,0)</f>
        <v>2.0856741573033709E-2</v>
      </c>
      <c r="F9" s="324">
        <v>4.3366416968646904E-2</v>
      </c>
      <c r="G9" s="33">
        <v>2.2368421052631579E-2</v>
      </c>
      <c r="H9" s="236">
        <f>IF(H24&lt;&gt;0,$H$159,0)</f>
        <v>2.0856741573033709E-2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36499.29775280899</v>
      </c>
      <c r="T9" s="266">
        <f>B32*B$47*1000</f>
        <v>72998.595505617981</v>
      </c>
      <c r="U9" s="266">
        <f>E32*E$47*1000</f>
        <v>0</v>
      </c>
      <c r="V9" s="266">
        <f>E9*E$24*1000</f>
        <v>133483.14606741574</v>
      </c>
      <c r="W9" s="266">
        <f>H32*H$47*1000</f>
        <v>0</v>
      </c>
      <c r="X9" s="266">
        <f>H9*H$24*1000</f>
        <v>54018.960674157308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14240000</v>
      </c>
      <c r="AE9" s="268">
        <f>Y9/AD9</f>
        <v>2.0856741573033709E-2</v>
      </c>
      <c r="AF9" s="269">
        <f>Y9/$AF$24/1000</f>
        <v>2.0856741573033709E-2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2.0856741573033709E-2</v>
      </c>
      <c r="AI9" s="266">
        <f>AH9*$Y$24*1000</f>
        <v>297000</v>
      </c>
      <c r="AJ9" s="268">
        <f>AI9/AD9</f>
        <v>2.0856741573033709E-2</v>
      </c>
      <c r="AK9" s="266">
        <f t="shared" si="2"/>
        <v>0</v>
      </c>
      <c r="AL9" s="267">
        <f t="shared" ref="AL9:AQ11" si="3">S9/$AE9</f>
        <v>1750000</v>
      </c>
      <c r="AM9" s="267">
        <f t="shared" si="3"/>
        <v>3500000</v>
      </c>
      <c r="AN9" s="267">
        <f t="shared" si="3"/>
        <v>0</v>
      </c>
      <c r="AO9" s="267">
        <f t="shared" si="3"/>
        <v>6400000</v>
      </c>
      <c r="AP9" s="267">
        <f>W9/$AE9</f>
        <v>0</v>
      </c>
      <c r="AQ9" s="267">
        <f t="shared" si="3"/>
        <v>2590000</v>
      </c>
      <c r="AR9" s="270">
        <f>IF($B$24&lt;&gt;0,ROUND(AL9/B$24,3),0)</f>
        <v>1000</v>
      </c>
      <c r="AS9" s="270">
        <f>ROUND(AM9/B$47,3)</f>
        <v>1000</v>
      </c>
      <c r="AT9" s="270">
        <f>IF(E$47&lt;&gt;0,ROUND(AN9/E$47,3),0)</f>
        <v>0</v>
      </c>
      <c r="AU9" s="270">
        <f>IF(E$24&lt;&gt;0,ROUND(AO9/E$24,3),0)</f>
        <v>1000</v>
      </c>
      <c r="AV9" s="270">
        <f>IF(H$47&lt;&gt;0,ROUND(AP9/H$47,3),0)</f>
        <v>0</v>
      </c>
      <c r="AW9" s="270">
        <f>IF(H$24&lt;&gt;0,ROUND(AQ9/H$24,3),0)</f>
        <v>1000</v>
      </c>
      <c r="AX9" s="271">
        <f>AJ9*10000</f>
        <v>208.56741573033707</v>
      </c>
    </row>
    <row r="10" spans="1:50">
      <c r="A10" s="42" t="s">
        <v>63</v>
      </c>
      <c r="B10" s="236">
        <f>IF($B$24&lt;&gt;0,$H$163,0)</f>
        <v>1.184129213483146E-3</v>
      </c>
      <c r="C10" s="33"/>
      <c r="D10" s="33">
        <v>0</v>
      </c>
      <c r="E10" s="236">
        <f>IF(E24&lt;&gt;0,$H$163,0)</f>
        <v>1.184129213483146E-3</v>
      </c>
      <c r="F10" s="324">
        <v>7.333625847427477E-4</v>
      </c>
      <c r="G10" s="33">
        <v>6.5789473684210525E-4</v>
      </c>
      <c r="H10" s="236">
        <f>IF($H$24&lt;&gt;0,$H$163,0)</f>
        <v>1.184129213483146E-3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2072.2261235955057</v>
      </c>
      <c r="T10" s="266">
        <f>B33*B$47*1000</f>
        <v>4144.4522471910113</v>
      </c>
      <c r="U10" s="266">
        <f>E33*E$47*1000</f>
        <v>0</v>
      </c>
      <c r="V10" s="266">
        <f>E10*E$24*1000</f>
        <v>7578.4269662921342</v>
      </c>
      <c r="W10" s="266">
        <f>H33*H$47*1000</f>
        <v>0</v>
      </c>
      <c r="X10" s="266">
        <f t="shared" ref="X10:X11" si="4">H10*H$24*1000</f>
        <v>3066.8946629213478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14240000</v>
      </c>
      <c r="AE10" s="268">
        <f>Y10/AD10</f>
        <v>1.184129213483146E-3</v>
      </c>
      <c r="AF10" s="269">
        <f>Y10/$AF$24/1000</f>
        <v>1.184129213483146E-3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1.184129213483146E-3</v>
      </c>
      <c r="AI10" s="266">
        <f>AH10*$Y$24*1000</f>
        <v>16862</v>
      </c>
      <c r="AJ10" s="268">
        <f>AI10/AD10</f>
        <v>1.184129213483146E-3</v>
      </c>
      <c r="AK10" s="266">
        <f t="shared" si="2"/>
        <v>0</v>
      </c>
      <c r="AL10" s="267">
        <f t="shared" si="3"/>
        <v>1750000.0000000002</v>
      </c>
      <c r="AM10" s="267">
        <f t="shared" si="3"/>
        <v>3500000.0000000005</v>
      </c>
      <c r="AN10" s="267">
        <f t="shared" si="3"/>
        <v>0</v>
      </c>
      <c r="AO10" s="267">
        <f t="shared" si="3"/>
        <v>6400000</v>
      </c>
      <c r="AP10" s="267">
        <f>W10/$AE10</f>
        <v>0</v>
      </c>
      <c r="AQ10" s="267">
        <f t="shared" si="3"/>
        <v>2589999.9999999995</v>
      </c>
      <c r="AR10" s="270">
        <f>IF($B$24&lt;&gt;0,ROUND(AL10/B$24,3),0)</f>
        <v>1000</v>
      </c>
      <c r="AS10" s="270">
        <f>ROUND(AM10/B$47,3)</f>
        <v>1000</v>
      </c>
      <c r="AT10" s="270">
        <f>IF(E$47&lt;&gt;0,ROUND(AN10/E$47,3),0)</f>
        <v>0</v>
      </c>
      <c r="AU10" s="270">
        <f>IF(E$24&lt;&gt;0,ROUND(AO10/E$24,3),0)</f>
        <v>1000</v>
      </c>
      <c r="AV10" s="270">
        <f>IF(H$47&lt;&gt;0,ROUND(AP10/H$47,3),0)</f>
        <v>0</v>
      </c>
      <c r="AW10" s="270">
        <f>IF(H$24&lt;&gt;0,ROUND(AQ10/H$24,3),0)</f>
        <v>1000</v>
      </c>
      <c r="AX10" s="271">
        <f>AJ10*10000</f>
        <v>11.841292134831461</v>
      </c>
    </row>
    <row r="11" spans="1:50" ht="15">
      <c r="A11" s="42" t="s">
        <v>62</v>
      </c>
      <c r="B11" s="237">
        <f>IF($B$24&lt;&gt;0,$H$166,0)</f>
        <v>4.6348314606741575E-3</v>
      </c>
      <c r="C11" s="84"/>
      <c r="D11" s="84">
        <v>0</v>
      </c>
      <c r="E11" s="237">
        <f>IF(E24&lt;&gt;0,$H$166,0)</f>
        <v>4.6348314606741575E-3</v>
      </c>
      <c r="F11" s="325">
        <v>1.0235235631961513E-2</v>
      </c>
      <c r="G11" s="84">
        <v>4.6052631578947364E-3</v>
      </c>
      <c r="H11" s="237">
        <f>IF($H$24&lt;&gt;0,$H$166,0)</f>
        <v>4.6348314606741575E-3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8110.955056179776</v>
      </c>
      <c r="T11" s="272">
        <f>B34*B$47*1000</f>
        <v>16221.910112359552</v>
      </c>
      <c r="U11" s="272">
        <f>E34*E$47*1000</f>
        <v>0</v>
      </c>
      <c r="V11" s="272">
        <f>E11*E$24*1000</f>
        <v>29662.921348314609</v>
      </c>
      <c r="W11" s="272">
        <f>H34*H$47*1000</f>
        <v>0</v>
      </c>
      <c r="X11" s="272">
        <f t="shared" si="4"/>
        <v>12004.213483146068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14240000</v>
      </c>
      <c r="AE11" s="268">
        <f>Y11/AD11</f>
        <v>4.6348314606741575E-3</v>
      </c>
      <c r="AF11" s="273">
        <f>Y11/$AF$24/1000</f>
        <v>4.6348314606741575E-3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4.6348314606741575E-3</v>
      </c>
      <c r="AI11" s="272">
        <f>AH11*$Y$24*1000</f>
        <v>66000</v>
      </c>
      <c r="AJ11" s="268">
        <f>AI11/AD11</f>
        <v>4.6348314606741575E-3</v>
      </c>
      <c r="AK11" s="272">
        <f t="shared" si="2"/>
        <v>0</v>
      </c>
      <c r="AL11" s="267">
        <f t="shared" si="3"/>
        <v>1750000</v>
      </c>
      <c r="AM11" s="267">
        <f t="shared" si="3"/>
        <v>3500000</v>
      </c>
      <c r="AN11" s="267">
        <f t="shared" si="3"/>
        <v>0</v>
      </c>
      <c r="AO11" s="267">
        <f>V11/$AE11</f>
        <v>6400000</v>
      </c>
      <c r="AP11" s="267">
        <f>W11/$AE11</f>
        <v>0</v>
      </c>
      <c r="AQ11" s="267">
        <f>X11/$AE11</f>
        <v>2590000</v>
      </c>
      <c r="AR11" s="270">
        <f>IF($B$24&lt;&gt;0,ROUND(AL11/B$24,3),0)</f>
        <v>1000</v>
      </c>
      <c r="AS11" s="270">
        <f>ROUND(AM11/B$47,3)</f>
        <v>1000</v>
      </c>
      <c r="AT11" s="270">
        <f>IF(E$47&lt;&gt;0,ROUND(AN11/E$47,3),0)</f>
        <v>0</v>
      </c>
      <c r="AU11" s="270">
        <f>IF(E$24&lt;&gt;0,ROUND(AO11/E$24,3),0)</f>
        <v>1000</v>
      </c>
      <c r="AV11" s="270">
        <f>IF(H$47&lt;&gt;0,ROUND(AP11/H$47,3),0)</f>
        <v>0</v>
      </c>
      <c r="AW11" s="270">
        <f>IF(H$24&lt;&gt;0,ROUND(AQ11/H$24,3),0)</f>
        <v>1000</v>
      </c>
      <c r="AX11" s="271">
        <f>AJ11*10000</f>
        <v>46.348314606741575</v>
      </c>
    </row>
    <row r="12" spans="1:50" ht="15">
      <c r="A12" s="42" t="s">
        <v>61</v>
      </c>
      <c r="B12" s="236">
        <f>SUM(B6:B11)</f>
        <v>0.24464470224719109</v>
      </c>
      <c r="C12" s="33"/>
      <c r="D12" s="33">
        <f>SUM(D6:D11)</f>
        <v>0</v>
      </c>
      <c r="E12" s="236">
        <f>SUM(E6:E11)</f>
        <v>0.18775495224719102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0.22800270224719105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232772.16243223145</v>
      </c>
      <c r="T12" s="266">
        <f t="shared" si="6"/>
        <v>349106.45786516852</v>
      </c>
      <c r="U12" s="266">
        <f t="shared" si="6"/>
        <v>0</v>
      </c>
      <c r="V12" s="266">
        <f t="shared" si="6"/>
        <v>884116.88964619697</v>
      </c>
      <c r="W12" s="266">
        <f t="shared" si="6"/>
        <v>0</v>
      </c>
      <c r="X12" s="266">
        <f t="shared" si="6"/>
        <v>129849.62261298599</v>
      </c>
      <c r="Y12" s="266">
        <f t="shared" si="6"/>
        <v>1595845.132556583</v>
      </c>
      <c r="Z12" s="266">
        <f t="shared" si="6"/>
        <v>0</v>
      </c>
      <c r="AA12" s="266">
        <f t="shared" si="6"/>
        <v>1595845.132556583</v>
      </c>
      <c r="AB12" s="263"/>
      <c r="AC12" s="264"/>
      <c r="AD12" s="262"/>
      <c r="AE12" s="262"/>
      <c r="AF12" s="269">
        <f t="shared" ref="AF12" si="7">SUM(AF7:AF11)</f>
        <v>0.1120677761626814</v>
      </c>
      <c r="AG12" s="269">
        <f>SUM(AG7:AG11)</f>
        <v>8.142445874125874E-2</v>
      </c>
      <c r="AH12" s="269">
        <f>SUM(AH7:AH11)</f>
        <v>0.1120677761626814</v>
      </c>
      <c r="AI12" s="266">
        <f t="shared" ref="AI12:AK12" si="8">SUM(AI7:AI11)</f>
        <v>1595845.1325565833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1.7899346223131409E-2</v>
      </c>
      <c r="C14" s="33"/>
      <c r="D14" s="33">
        <v>0</v>
      </c>
      <c r="E14" s="236">
        <f>IF(E24&lt;&gt;0,$F$112/$B$49/1000,0)</f>
        <v>1.7899346223131409E-2</v>
      </c>
      <c r="F14" s="324">
        <v>5.568578119363226E-2</v>
      </c>
      <c r="G14" s="33">
        <v>2.6384279999999996E-2</v>
      </c>
      <c r="H14" s="236">
        <f>IF($H$24&lt;&gt;0,$F$112/$B$49/1000,0)</f>
        <v>1.7899346223131409E-2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31323.855890479965</v>
      </c>
      <c r="T14" s="266">
        <f t="shared" ref="T14:T19" si="10">B37*B$47*1000</f>
        <v>62647.711780959929</v>
      </c>
      <c r="U14" s="266">
        <f t="shared" ref="U14:U19" si="11">E37*E$47*1000</f>
        <v>0</v>
      </c>
      <c r="V14" s="266">
        <f t="shared" ref="V14:V19" si="12">E14*E$24*1000</f>
        <v>114555.81582804101</v>
      </c>
      <c r="W14" s="266">
        <f>H37*H$47*1000</f>
        <v>0</v>
      </c>
      <c r="X14" s="266">
        <f t="shared" ref="X14:X19" si="13">H14*H$24*1000</f>
        <v>46359.306717910353</v>
      </c>
      <c r="Y14" s="266">
        <f t="shared" ref="Y14:Y19" si="14">SUM(S14:X14)</f>
        <v>254886.69021739124</v>
      </c>
      <c r="Z14" s="266">
        <f>-$D$115</f>
        <v>0</v>
      </c>
      <c r="AA14" s="266">
        <f t="shared" ref="AA14:AA19" si="15">SUM(Y14:Z14)</f>
        <v>254886.69021739124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1.7899346223131406E-2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1.7899346223131406E-2</v>
      </c>
      <c r="AI14" s="266">
        <f t="shared" ref="AI14:AI19" si="18">AH14*$Y$24*1000</f>
        <v>254886.69021739121</v>
      </c>
      <c r="AJ14" s="268" t="e">
        <f t="shared" ref="AJ14:AJ19" si="19">AI14/AD14</f>
        <v>#DIV/0!</v>
      </c>
      <c r="AK14" s="266">
        <f t="shared" ref="AK14:AK19" si="20">Y14-AI14</f>
        <v>0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 t="e">
        <f t="shared" ref="AR14:AR19" si="22">IF($B$24&lt;&gt;0,ROUND(AL14/B$24,3),0)</f>
        <v>#DIV/0!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 t="e">
        <f t="shared" ref="AU14:AU19" si="25">IF(E$24&lt;&gt;0,ROUND(AO14/E$24,3),0)</f>
        <v>#DIV/0!</v>
      </c>
      <c r="AV14" s="270">
        <f t="shared" ref="AV14:AV19" si="26">IF(H$47&lt;&gt;0,ROUND(AP14/H$47,3),0)</f>
        <v>0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7.5728003251709806E-3</v>
      </c>
      <c r="C15" s="33"/>
      <c r="D15" s="33">
        <v>0</v>
      </c>
      <c r="E15" s="236">
        <f>IF(E24&lt;&gt;0,$F$113/$B$49/1000,0)</f>
        <v>7.5728003251709806E-3</v>
      </c>
      <c r="F15" s="324">
        <v>1.9535757663515587E-2</v>
      </c>
      <c r="G15" s="33">
        <v>9.0204400000000011E-3</v>
      </c>
      <c r="H15" s="236">
        <f>IF($H$24&lt;&gt;0,$F$113/$B$49/1000,0)</f>
        <v>7.5728003251709806E-3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13252.400569049216</v>
      </c>
      <c r="T15" s="274">
        <f t="shared" si="10"/>
        <v>26504.801138098432</v>
      </c>
      <c r="U15" s="274">
        <f t="shared" si="11"/>
        <v>0</v>
      </c>
      <c r="V15" s="274">
        <f t="shared" si="12"/>
        <v>48465.922081094279</v>
      </c>
      <c r="W15" s="266">
        <f>H38*H$47*1000</f>
        <v>0</v>
      </c>
      <c r="X15" s="274">
        <f t="shared" si="13"/>
        <v>19613.552842192839</v>
      </c>
      <c r="Y15" s="274">
        <f t="shared" si="14"/>
        <v>107836.67663043475</v>
      </c>
      <c r="Z15" s="274">
        <f>-$H$115</f>
        <v>0</v>
      </c>
      <c r="AA15" s="274">
        <f t="shared" si="15"/>
        <v>107836.67663043475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7.5728003251709797E-3</v>
      </c>
      <c r="AG15" s="265">
        <v>7.650220979020979E-3</v>
      </c>
      <c r="AH15" s="265">
        <f t="shared" si="17"/>
        <v>7.5728003251709797E-3</v>
      </c>
      <c r="AI15" s="274">
        <f t="shared" si="18"/>
        <v>107836.67663043475</v>
      </c>
      <c r="AJ15" s="268" t="e">
        <f t="shared" si="19"/>
        <v>#DIV/0!</v>
      </c>
      <c r="AK15" s="274">
        <f t="shared" si="20"/>
        <v>0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 t="e">
        <f t="shared" si="22"/>
        <v>#DIV/0!</v>
      </c>
      <c r="AS15" s="270" t="e">
        <f t="shared" si="23"/>
        <v>#DIV/0!</v>
      </c>
      <c r="AT15" s="270">
        <f t="shared" si="24"/>
        <v>0</v>
      </c>
      <c r="AU15" s="270" t="e">
        <f t="shared" si="25"/>
        <v>#DIV/0!</v>
      </c>
      <c r="AV15" s="270">
        <f t="shared" si="26"/>
        <v>0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7.7923602566255488E-3</v>
      </c>
      <c r="C16" s="33"/>
      <c r="D16" s="33">
        <v>0</v>
      </c>
      <c r="E16" s="236">
        <f>IF(E24&lt;&gt;0,$F$115/$B$49/1000,0)</f>
        <v>7.7923602566255488E-3</v>
      </c>
      <c r="F16" s="324">
        <v>1.7065229602759201E-2</v>
      </c>
      <c r="G16" s="33">
        <v>1.3928937427385891E-2</v>
      </c>
      <c r="H16" s="236">
        <f>IF($H$24&lt;&gt;0,$F$115/$B$49/1000,0)</f>
        <v>7.7923602566255488E-3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13636.63044909471</v>
      </c>
      <c r="T16" s="274">
        <f t="shared" si="10"/>
        <v>27273.260898189419</v>
      </c>
      <c r="U16" s="266">
        <f t="shared" si="11"/>
        <v>0</v>
      </c>
      <c r="V16" s="266">
        <f t="shared" si="12"/>
        <v>49871.105642403512</v>
      </c>
      <c r="W16" s="266">
        <f>H39*H$47*1000</f>
        <v>0</v>
      </c>
      <c r="X16" s="266">
        <f t="shared" si="13"/>
        <v>20182.213064660173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7.7923602566255488E-3</v>
      </c>
      <c r="AG16" s="269">
        <v>8.8563300699300695E-3</v>
      </c>
      <c r="AH16" s="269">
        <f t="shared" si="17"/>
        <v>7.7923602566255488E-3</v>
      </c>
      <c r="AI16" s="266">
        <f t="shared" si="18"/>
        <v>110963.21005434782</v>
      </c>
      <c r="AJ16" s="268" t="e">
        <f t="shared" si="19"/>
        <v>#DIV/0!</v>
      </c>
      <c r="AK16" s="266">
        <f t="shared" si="20"/>
        <v>0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 t="e">
        <f t="shared" si="22"/>
        <v>#DIV/0!</v>
      </c>
      <c r="AS16" s="270" t="e">
        <f t="shared" si="23"/>
        <v>#DIV/0!</v>
      </c>
      <c r="AT16" s="270">
        <f t="shared" si="24"/>
        <v>0</v>
      </c>
      <c r="AU16" s="270" t="e">
        <f t="shared" si="25"/>
        <v>#DIV/0!</v>
      </c>
      <c r="AV16" s="270">
        <f t="shared" si="26"/>
        <v>0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5.0238764044943814E-4</v>
      </c>
      <c r="C17" s="33"/>
      <c r="D17" s="33">
        <v>0</v>
      </c>
      <c r="E17" s="236">
        <f>IF(E24&lt;&gt;0,$F$114/$B$49/1000,0)</f>
        <v>5.0238764044943814E-4</v>
      </c>
      <c r="F17" s="324">
        <v>4.5810515777660989E-3</v>
      </c>
      <c r="G17" s="33">
        <v>1.5771315789473684E-3</v>
      </c>
      <c r="H17" s="236">
        <f>IF($H$24&lt;&gt;0,$F$114/$B$49/1000,0)</f>
        <v>5.0238764044943814E-4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879.17837078651678</v>
      </c>
      <c r="T17" s="274">
        <f t="shared" si="10"/>
        <v>1758.3567415730336</v>
      </c>
      <c r="U17" s="274">
        <f t="shared" si="11"/>
        <v>0</v>
      </c>
      <c r="V17" s="274">
        <f t="shared" si="12"/>
        <v>3215.2808988764041</v>
      </c>
      <c r="W17" s="266">
        <f>H40*H$47*1000</f>
        <v>0</v>
      </c>
      <c r="X17" s="274">
        <f>H17*H$24*1000</f>
        <v>1301.1839887640449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5.0238764044943814E-4</v>
      </c>
      <c r="AG17" s="265">
        <v>2.1273118881118881E-3</v>
      </c>
      <c r="AH17" s="265">
        <f t="shared" si="17"/>
        <v>5.0238764044943814E-4</v>
      </c>
      <c r="AI17" s="274">
        <f t="shared" si="18"/>
        <v>7153.9999999999991</v>
      </c>
      <c r="AJ17" s="268" t="e">
        <f t="shared" si="19"/>
        <v>#DIV/0!</v>
      </c>
      <c r="AK17" s="274">
        <f t="shared" si="20"/>
        <v>0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 t="e">
        <f t="shared" si="22"/>
        <v>#DIV/0!</v>
      </c>
      <c r="AS17" s="270" t="e">
        <f t="shared" si="23"/>
        <v>#DIV/0!</v>
      </c>
      <c r="AT17" s="270">
        <f t="shared" si="24"/>
        <v>0</v>
      </c>
      <c r="AU17" s="270" t="e">
        <f t="shared" si="25"/>
        <v>#DIV/0!</v>
      </c>
      <c r="AV17" s="270">
        <f t="shared" si="26"/>
        <v>0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1.8168539325842696E-3</v>
      </c>
      <c r="C18" s="33"/>
      <c r="D18" s="33">
        <v>0</v>
      </c>
      <c r="E18" s="236">
        <f>IF(E24&lt;&gt;0,$B$178/$B$49/1000,0)</f>
        <v>1.8168539325842696E-3</v>
      </c>
      <c r="F18" s="324">
        <v>3.8559807065526065E-3</v>
      </c>
      <c r="G18" s="33">
        <v>1.6578947368421054E-3</v>
      </c>
      <c r="H18" s="236">
        <f>IF($H$24&lt;&gt;0,$B$178/$B$49/1000,0)</f>
        <v>1.8168539325842696E-3</v>
      </c>
      <c r="I18" s="33"/>
      <c r="J18" s="83">
        <v>0</v>
      </c>
      <c r="S18" s="274">
        <f t="shared" si="9"/>
        <v>3179.4943820224721</v>
      </c>
      <c r="T18" s="274">
        <f t="shared" si="10"/>
        <v>6358.9887640449442</v>
      </c>
      <c r="U18" s="274">
        <f t="shared" si="11"/>
        <v>0</v>
      </c>
      <c r="V18" s="274">
        <f t="shared" si="12"/>
        <v>11627.865168539325</v>
      </c>
      <c r="W18" s="274">
        <f t="shared" ref="W18:W19" si="32">H41*H$47*1000</f>
        <v>0</v>
      </c>
      <c r="X18" s="274">
        <f t="shared" si="13"/>
        <v>4705.651685393258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1186667</v>
      </c>
      <c r="AE18" s="268">
        <f>Y18/AD18</f>
        <v>2.1802241066786219E-2</v>
      </c>
      <c r="AF18" s="265">
        <f t="shared" si="16"/>
        <v>1.8168539325842696E-3</v>
      </c>
      <c r="AG18" s="265">
        <v>3.2747211188811187E-2</v>
      </c>
      <c r="AH18" s="265">
        <f t="shared" si="17"/>
        <v>1.8168539325842696E-3</v>
      </c>
      <c r="AI18" s="274">
        <f t="shared" si="18"/>
        <v>25872</v>
      </c>
      <c r="AJ18" s="268">
        <f>AI18/AD18</f>
        <v>2.1802241066786219E-2</v>
      </c>
      <c r="AK18" s="274">
        <f>Y18-AI18</f>
        <v>0</v>
      </c>
      <c r="AL18" s="267">
        <f t="shared" si="31"/>
        <v>145833.3742977528</v>
      </c>
      <c r="AM18" s="267">
        <f t="shared" si="31"/>
        <v>291666.7485955056</v>
      </c>
      <c r="AN18" s="267">
        <f t="shared" si="31"/>
        <v>0</v>
      </c>
      <c r="AO18" s="267">
        <f t="shared" si="31"/>
        <v>533333.48314606736</v>
      </c>
      <c r="AP18" s="267">
        <f t="shared" si="31"/>
        <v>0</v>
      </c>
      <c r="AQ18" s="267">
        <f t="shared" si="31"/>
        <v>215833.39396067412</v>
      </c>
      <c r="AR18" s="270">
        <f t="shared" si="22"/>
        <v>83.332999999999998</v>
      </c>
      <c r="AS18" s="270">
        <f t="shared" si="23"/>
        <v>83.332999999999998</v>
      </c>
      <c r="AT18" s="270">
        <f t="shared" si="24"/>
        <v>0</v>
      </c>
      <c r="AU18" s="270">
        <f t="shared" si="25"/>
        <v>83.332999999999998</v>
      </c>
      <c r="AV18" s="270">
        <f t="shared" si="26"/>
        <v>0</v>
      </c>
      <c r="AW18" s="270">
        <f t="shared" si="27"/>
        <v>83.332999999999998</v>
      </c>
      <c r="AX18" s="271">
        <f>AJ18*10000</f>
        <v>218.02241066786218</v>
      </c>
    </row>
    <row r="19" spans="1:50" ht="15">
      <c r="A19" s="15" t="s">
        <v>4</v>
      </c>
      <c r="B19" s="237">
        <f>IF($B$24&lt;&gt;0,$B$177/$B$49/1000,0)</f>
        <v>3.0813202247191008E-3</v>
      </c>
      <c r="C19" s="84"/>
      <c r="D19" s="84">
        <v>0</v>
      </c>
      <c r="E19" s="237">
        <f>IF(E24&lt;&gt;0,$B$177/B49/1000,0)</f>
        <v>3.0813202247191008E-3</v>
      </c>
      <c r="F19" s="325">
        <v>1.0801565595349401E-2</v>
      </c>
      <c r="G19" s="84">
        <v>5.8026315789473683E-3</v>
      </c>
      <c r="H19" s="237">
        <f>IF($H$24&lt;&gt;0,$B$177/$B$49/1000,0)</f>
        <v>3.0813202247191008E-3</v>
      </c>
      <c r="I19" s="84"/>
      <c r="J19" s="85">
        <v>0</v>
      </c>
      <c r="K19" s="57"/>
      <c r="L19" s="57"/>
      <c r="S19" s="275">
        <f t="shared" si="9"/>
        <v>5392.3103932584263</v>
      </c>
      <c r="T19" s="275">
        <f t="shared" si="10"/>
        <v>10784.620786516853</v>
      </c>
      <c r="U19" s="275">
        <f t="shared" si="11"/>
        <v>0</v>
      </c>
      <c r="V19" s="275">
        <f t="shared" si="12"/>
        <v>19720.449438202246</v>
      </c>
      <c r="W19" s="275">
        <f t="shared" si="32"/>
        <v>0</v>
      </c>
      <c r="X19" s="275">
        <f t="shared" si="13"/>
        <v>7980.6193820224717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1186667</v>
      </c>
      <c r="AE19" s="268">
        <f t="shared" si="29"/>
        <v>3.6975832310159461E-2</v>
      </c>
      <c r="AF19" s="276">
        <f t="shared" si="16"/>
        <v>3.0813202247191008E-3</v>
      </c>
      <c r="AG19" s="276">
        <v>7.3609622377622374E-3</v>
      </c>
      <c r="AH19" s="276">
        <f t="shared" si="17"/>
        <v>3.0813202247191008E-3</v>
      </c>
      <c r="AI19" s="275">
        <f t="shared" si="18"/>
        <v>43877.999999999993</v>
      </c>
      <c r="AJ19" s="268">
        <f t="shared" si="19"/>
        <v>3.6975832310159461E-2</v>
      </c>
      <c r="AK19" s="275">
        <f t="shared" si="20"/>
        <v>0</v>
      </c>
      <c r="AL19" s="267">
        <f t="shared" si="31"/>
        <v>145833.3742977528</v>
      </c>
      <c r="AM19" s="267">
        <f t="shared" si="31"/>
        <v>291666.7485955056</v>
      </c>
      <c r="AN19" s="267">
        <f t="shared" si="31"/>
        <v>0</v>
      </c>
      <c r="AO19" s="267">
        <f t="shared" si="31"/>
        <v>533333.48314606736</v>
      </c>
      <c r="AP19" s="267">
        <f t="shared" si="31"/>
        <v>0</v>
      </c>
      <c r="AQ19" s="267">
        <f t="shared" si="31"/>
        <v>215833.39396067418</v>
      </c>
      <c r="AR19" s="270">
        <f t="shared" si="22"/>
        <v>83.332999999999998</v>
      </c>
      <c r="AS19" s="270">
        <f t="shared" si="23"/>
        <v>83.332999999999998</v>
      </c>
      <c r="AT19" s="270">
        <f t="shared" si="24"/>
        <v>0</v>
      </c>
      <c r="AU19" s="270">
        <f t="shared" si="25"/>
        <v>83.332999999999998</v>
      </c>
      <c r="AV19" s="270">
        <f t="shared" si="26"/>
        <v>0</v>
      </c>
      <c r="AW19" s="270">
        <f t="shared" si="27"/>
        <v>83.332999999999998</v>
      </c>
      <c r="AX19" s="271">
        <f t="shared" si="28"/>
        <v>369.75832310159461</v>
      </c>
    </row>
    <row r="20" spans="1:50">
      <c r="A20" s="93" t="s">
        <v>233</v>
      </c>
      <c r="B20" s="236">
        <f t="shared" ref="B20" si="33">SUM(B14:B19)</f>
        <v>3.8665068602680749E-2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3.8665068602680749E-2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3.8665068602680749E-2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67663.870054691302</v>
      </c>
      <c r="T20" s="277">
        <f t="shared" si="37"/>
        <v>135327.7401093826</v>
      </c>
      <c r="U20" s="277">
        <f t="shared" si="37"/>
        <v>0</v>
      </c>
      <c r="V20" s="277">
        <f t="shared" si="37"/>
        <v>247456.43905715676</v>
      </c>
      <c r="W20" s="277">
        <f t="shared" si="37"/>
        <v>0</v>
      </c>
      <c r="X20" s="277">
        <f t="shared" si="37"/>
        <v>100142.52768094312</v>
      </c>
      <c r="Y20" s="277">
        <f t="shared" si="37"/>
        <v>550590.57690217381</v>
      </c>
      <c r="Z20" s="277">
        <f t="shared" si="37"/>
        <v>0</v>
      </c>
      <c r="AA20" s="277">
        <f t="shared" si="37"/>
        <v>550590.57690217381</v>
      </c>
      <c r="AB20" s="278"/>
      <c r="AC20" s="279"/>
      <c r="AD20" s="262"/>
      <c r="AE20" s="262"/>
      <c r="AF20" s="280">
        <f>SUM(AF14:AF19)</f>
        <v>3.8665068602680736E-2</v>
      </c>
      <c r="AG20" s="280">
        <f>SUM(AG14:AG19)</f>
        <v>7.0230590209790209E-2</v>
      </c>
      <c r="AH20" s="280">
        <f>SUM(AH14:AH19)</f>
        <v>3.8665068602680736E-2</v>
      </c>
      <c r="AI20" s="277">
        <f>SUM(AI14:AI19)</f>
        <v>550590.57690217369</v>
      </c>
      <c r="AJ20" s="262"/>
      <c r="AK20" s="277">
        <f>SUM(AK14:AK19)</f>
        <v>0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300436.03248692275</v>
      </c>
      <c r="T21" s="281">
        <f t="shared" si="38"/>
        <v>484434.19797455112</v>
      </c>
      <c r="U21" s="281">
        <f t="shared" si="38"/>
        <v>0</v>
      </c>
      <c r="V21" s="281">
        <f t="shared" si="38"/>
        <v>1131573.3287033536</v>
      </c>
      <c r="W21" s="281">
        <f t="shared" si="38"/>
        <v>0</v>
      </c>
      <c r="X21" s="281">
        <f t="shared" si="38"/>
        <v>229992.15029392909</v>
      </c>
      <c r="Y21" s="281">
        <f t="shared" si="38"/>
        <v>2146435.7094587567</v>
      </c>
      <c r="Z21" s="281">
        <f t="shared" si="38"/>
        <v>0</v>
      </c>
      <c r="AA21" s="281">
        <f t="shared" si="38"/>
        <v>2146435.7094587567</v>
      </c>
      <c r="AB21" s="282" t="s">
        <v>98</v>
      </c>
      <c r="AC21" s="279"/>
      <c r="AD21" s="262"/>
      <c r="AE21" s="262"/>
      <c r="AF21" s="283">
        <f>AF12+AF20</f>
        <v>0.15073284476536214</v>
      </c>
      <c r="AG21" s="283">
        <f>AG12+AG20</f>
        <v>0.15165504895104895</v>
      </c>
      <c r="AH21" s="283">
        <f>AH12+AH20</f>
        <v>0.15073284476536214</v>
      </c>
      <c r="AI21" s="281">
        <f>AI12+AI20</f>
        <v>2146435.7094587572</v>
      </c>
      <c r="AJ21" s="262"/>
      <c r="AK21" s="281">
        <f>AK12+AK20</f>
        <v>0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0.28330977084987186</v>
      </c>
      <c r="C22" s="209">
        <f>+C20+C21+C12</f>
        <v>-2.7300000000000001E-2</v>
      </c>
      <c r="D22" s="209">
        <f t="shared" si="39"/>
        <v>0</v>
      </c>
      <c r="E22" s="238">
        <f t="shared" si="39"/>
        <v>0.22642002084987178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0.26666777084987181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0.17168</v>
      </c>
      <c r="T22" s="284">
        <f>IF(B47&lt;&gt;0,ROUND(T21/(B47*1000),5),0)</f>
        <v>0.13841000000000001</v>
      </c>
      <c r="U22" s="284">
        <f>IF(E47&lt;&gt;0,ROUND(U21/(E47*1000),5),0)</f>
        <v>0</v>
      </c>
      <c r="V22" s="284">
        <f>IF(E24&lt;&gt;0,ROUND(V21/(E24*1000),5),0)</f>
        <v>0.17680999999999999</v>
      </c>
      <c r="W22" s="284">
        <f>IF(H47&lt;&gt;0,ROUND(W21/(H47*1000),5),0)</f>
        <v>0</v>
      </c>
      <c r="X22" s="284">
        <f>IF(H24&lt;&gt;0,ROUND(X21/(H24*1000),5),0)</f>
        <v>8.8800000000000004E-2</v>
      </c>
      <c r="Y22" s="284">
        <f>Y21/Y24/1000</f>
        <v>0.15073284476536214</v>
      </c>
      <c r="Z22" s="284">
        <v>0</v>
      </c>
      <c r="AA22" s="284">
        <f>ROUND(AA21/(B49*1000),5)</f>
        <v>0.15073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0.15073284476536217</v>
      </c>
      <c r="AJ22" s="262"/>
      <c r="AK22" s="284">
        <f>AK21/AK24/1000</f>
        <v>0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0.31657999999999997</v>
      </c>
      <c r="T23" s="284">
        <f>ROUND(T22+B29,5)</f>
        <v>0.26667000000000002</v>
      </c>
      <c r="U23" s="284">
        <f>ROUND(U22+E29,5)</f>
        <v>0</v>
      </c>
      <c r="V23" s="284">
        <f>ROUND(V22+E6,5)</f>
        <v>0.28482000000000002</v>
      </c>
      <c r="W23" s="284">
        <f>ROUND(W22+H29,5)</f>
        <v>0</v>
      </c>
      <c r="X23" s="284">
        <f>ROUND(X22+H6,5)</f>
        <v>0.21706</v>
      </c>
      <c r="Y23" s="284">
        <f>Y22+(($B$6*$B$24*1000+$B$29*$B$47*1000+$E$29*$E$47*1000+$H$6*$H$24*1000+$H$29*$H$47*1000+$E$6*$E$24*1000)/($B$49*1000))</f>
        <v>0.27193592201255312</v>
      </c>
      <c r="Z23" s="284">
        <v>0</v>
      </c>
      <c r="AA23" s="284">
        <f>AA22+(($B$6*$B$24*1000+$B$29*$B$47*1000+$E$6*$E$24*1000+$E$29*$E$47*1000+$H$6*$H$24*1000+$H$29*$H$47*1000)/($B$49*1000))</f>
        <v>0.27193307724719101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1750</v>
      </c>
      <c r="C24" s="241">
        <v>6211</v>
      </c>
      <c r="D24" s="241">
        <v>0</v>
      </c>
      <c r="E24" s="240">
        <f>B57</f>
        <v>6400</v>
      </c>
      <c r="F24" s="339">
        <v>3204</v>
      </c>
      <c r="G24" s="181">
        <v>51000</v>
      </c>
      <c r="H24" s="393">
        <f>B58</f>
        <v>2590</v>
      </c>
      <c r="I24" s="241">
        <v>4207</v>
      </c>
      <c r="J24" s="211">
        <v>0</v>
      </c>
      <c r="S24" s="286">
        <f>B24</f>
        <v>1750</v>
      </c>
      <c r="T24" s="286">
        <f>B47</f>
        <v>3500</v>
      </c>
      <c r="U24" s="286">
        <f>E47</f>
        <v>0</v>
      </c>
      <c r="V24" s="286">
        <f>E24</f>
        <v>6400</v>
      </c>
      <c r="W24" s="286">
        <f>H47</f>
        <v>0</v>
      </c>
      <c r="X24" s="286">
        <f>H24</f>
        <v>2590</v>
      </c>
      <c r="Y24" s="286">
        <f>SUM(S24:X24)</f>
        <v>14240</v>
      </c>
      <c r="Z24" s="286">
        <v>0</v>
      </c>
      <c r="AA24" s="286">
        <f>SUM(Y24:Z24)</f>
        <v>14240</v>
      </c>
      <c r="AB24" s="286"/>
      <c r="AC24" s="279"/>
      <c r="AD24" s="262"/>
      <c r="AE24" s="262"/>
      <c r="AF24" s="286">
        <f>Y24</f>
        <v>14240</v>
      </c>
      <c r="AG24" s="286"/>
      <c r="AH24" s="286"/>
      <c r="AI24" s="286">
        <f>Y24</f>
        <v>14240</v>
      </c>
      <c r="AJ24" s="262"/>
      <c r="AK24" s="286">
        <f>Y24</f>
        <v>14240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0.12825800000000001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3.3069000000000001E-2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0.04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2.0856741573033709E-2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1.184129213483146E-3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4.6348314606741575E-3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0.22800270224719105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1.7899346223131409E-2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7.5728003251709806E-3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7.7923602566255488E-3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5.0238764044943814E-4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1.8168539325842696E-3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3.0813202247191008E-3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3.8665068602680749E-2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0.26666777084987181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3500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14240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Summary'!$C$7</f>
        <v>1750</v>
      </c>
      <c r="C54" s="214">
        <f>B54/$B$60</f>
        <v>0.12289325842696629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Summary'!D$7</f>
        <v>3500</v>
      </c>
      <c r="C55" s="214">
        <f t="shared" ref="C55:C60" si="46">B55/$B$60</f>
        <v>0.24578651685393257</v>
      </c>
      <c r="D55" s="460">
        <f>B55/180/2</f>
        <v>9.7222222222222214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Summary'!E$7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Summary'!$F$7</f>
        <v>6400</v>
      </c>
      <c r="C57" s="214">
        <f t="shared" si="46"/>
        <v>0.449438202247191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Summary'!$G$7</f>
        <v>2590</v>
      </c>
      <c r="C58" s="214">
        <f t="shared" si="46"/>
        <v>0.1818820224719101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Summary'!$H$7</f>
        <v>0</v>
      </c>
      <c r="C59" s="215">
        <f t="shared" si="46"/>
        <v>0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14240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0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0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1000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275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0</v>
      </c>
      <c r="L84" s="61">
        <f>J84*K84</f>
        <v>0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(B71/2000*0.75)+(B68/2000*0.25)</f>
        <v>0.10329125</v>
      </c>
      <c r="K85" s="198">
        <v>1</v>
      </c>
      <c r="L85" s="44">
        <f t="shared" ref="L85:L86" si="50">J85*K85</f>
        <v>0.10329125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103.29125000000001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1000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0.10801025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188917.55390273745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65969.136314653777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254886.69021739124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84199.625058574471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23637.051571860291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107836.67663043475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5250</v>
      </c>
      <c r="U125" s="71">
        <f>+T125/SUM($T$125:$T$126)</f>
        <v>1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>
        <f>+T126/SUM($T$125:$T$126)</f>
        <v>0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5.833333333333333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0.379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0.59399999999999997</v>
      </c>
      <c r="F145" s="76">
        <f>G141</f>
        <v>6.6443706666712579E-2</v>
      </c>
      <c r="G145" s="113">
        <f>E145*F145</f>
        <v>3.9467561760027269E-2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0.11146756176002728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2.0856741573033709E-2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1.184129213483146E-3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4.6348314606741575E-3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14240</v>
      </c>
      <c r="E172" s="14"/>
      <c r="F172" s="492" t="s">
        <v>8</v>
      </c>
      <c r="G172" s="492"/>
      <c r="H172" s="27">
        <f>D172/D173</f>
        <v>5.1781818181818179E-2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3.6975842696629214E-2</v>
      </c>
      <c r="G177" s="171">
        <f>$E177/$D$172/1000</f>
        <v>0</v>
      </c>
      <c r="H177" s="83">
        <f t="shared" ref="H177:H178" si="56">SUM(F177:G177)</f>
        <v>3.6975842696629214E-2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2.1802247191011235E-2</v>
      </c>
      <c r="G178" s="111">
        <f>$E178/$D$172/1000</f>
        <v>0</v>
      </c>
      <c r="H178" s="85">
        <f t="shared" si="56"/>
        <v>2.1802247191011235E-2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5.8778089887640453E-2</v>
      </c>
      <c r="G179" s="112">
        <f>SUM(G176:G178)</f>
        <v>0</v>
      </c>
      <c r="H179" s="170">
        <f>SUM(H176:H178)</f>
        <v>5.8778089887640453E-2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honeticPr fontId="36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EAC2-AF10-417D-BFB2-75F1B97DC02F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0.10801025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3.3069000000000001E-2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99207</v>
      </c>
      <c r="U7" s="266">
        <f>$F151*$E$47*1000*$E151</f>
        <v>0</v>
      </c>
      <c r="V7" s="266">
        <f>$F145*$E$24*1000*$E145</f>
        <v>339341.29868823453</v>
      </c>
      <c r="W7" s="266">
        <f>$I151*$H$47*1000*$H151</f>
        <v>0</v>
      </c>
      <c r="X7" s="266">
        <f>$I145*$H$24*1000*$H145</f>
        <v>36227.235073305041</v>
      </c>
      <c r="Y7" s="266">
        <f>SUM(S7:X7)</f>
        <v>474775.53376153955</v>
      </c>
      <c r="Z7" s="266">
        <v>0</v>
      </c>
      <c r="AA7" s="266">
        <f>SUM(Y7:Z7)</f>
        <v>474775.53376153955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7011432</v>
      </c>
      <c r="AE7" s="268">
        <f>Y7/AD7</f>
        <v>6.7714488817910451E-2</v>
      </c>
      <c r="AF7" s="269">
        <f>Y7/$AF$24/1000</f>
        <v>2.7862413953141991E-2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2.7862413953141991E-2</v>
      </c>
      <c r="AI7" s="266">
        <f>AH7*$Y$24*1000</f>
        <v>474775.5337615395</v>
      </c>
      <c r="AJ7" s="268">
        <f>AI7/AD7</f>
        <v>6.7714488817910451E-2</v>
      </c>
      <c r="AK7" s="266">
        <f>Y7-AI7</f>
        <v>0</v>
      </c>
      <c r="AL7" s="267">
        <f>ROUND($B145*$B$24*1000,0)</f>
        <v>0</v>
      </c>
      <c r="AM7" s="267">
        <f>ROUND($B151*$B$47*1000,0)</f>
        <v>1359000</v>
      </c>
      <c r="AN7" s="267">
        <f>ROUND($E151*$E$47*1000,0)</f>
        <v>0</v>
      </c>
      <c r="AO7" s="267">
        <f>ROUND($E145*$E$24*1000,0)</f>
        <v>5107200</v>
      </c>
      <c r="AP7" s="267">
        <f>ROUND($H151*$H$47*1000,0)</f>
        <v>0</v>
      </c>
      <c r="AQ7" s="267">
        <f>ROUND($H145*$H$24*1000,0)</f>
        <v>545232</v>
      </c>
      <c r="AR7" s="270">
        <f>IF($B$24&lt;&gt;0,ROUND(AL7/B$24,3),0)</f>
        <v>0</v>
      </c>
      <c r="AS7" s="270">
        <f>ROUND(AM7/B$47,3)</f>
        <v>453</v>
      </c>
      <c r="AT7" s="270">
        <f>IF(E$47&lt;&gt;0,ROUND(AN7/E$47,3),0)</f>
        <v>0</v>
      </c>
      <c r="AU7" s="270">
        <f>IF(F$24&lt;&gt;0,ROUND(AO7/F$24,3),0)</f>
        <v>1594.0070000000001</v>
      </c>
      <c r="AV7" s="270">
        <f>IF(H$47&lt;&gt;0,ROUND(AP7/H$47,3),0)</f>
        <v>0</v>
      </c>
      <c r="AW7" s="270">
        <f>IF(H$24&lt;&gt;0,ROUND(AQ7/H$24,3),0)</f>
        <v>122.8</v>
      </c>
      <c r="AX7" s="271">
        <f>AJ7*10000</f>
        <v>677.14488817910456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IF(E24&lt;&gt;0,$D$152,0)/2</f>
        <v>0.02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120000</v>
      </c>
      <c r="U8" s="266">
        <f>$F152*$E$47*1000*$E152</f>
        <v>0</v>
      </c>
      <c r="V8" s="266">
        <f>$F146*$E$24*1000*$E146</f>
        <v>691200</v>
      </c>
      <c r="W8" s="266">
        <f>$I152*$H$47*1000*$H152</f>
        <v>0</v>
      </c>
      <c r="X8" s="266">
        <f>$I146*$H$24*1000*$H146</f>
        <v>67932</v>
      </c>
      <c r="Y8" s="266">
        <f t="shared" ref="Y8:Y11" si="0">SUM(S8:X8)</f>
        <v>879132</v>
      </c>
      <c r="Z8" s="266">
        <v>0</v>
      </c>
      <c r="AA8" s="266">
        <f t="shared" ref="AA8:AA11" si="1">SUM(Y8:Z8)</f>
        <v>879132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114348000</v>
      </c>
      <c r="AE8" s="268">
        <f>Y8/AD8</f>
        <v>7.6882149228670376E-3</v>
      </c>
      <c r="AF8" s="269">
        <f>Y8/$AF$24/1000</f>
        <v>5.1592253521126757E-2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5.1592253521126757E-2</v>
      </c>
      <c r="AI8" s="266">
        <f>AH8*$Y$24*1000</f>
        <v>879132</v>
      </c>
      <c r="AJ8" s="268">
        <f>AI8/AD8</f>
        <v>7.6882149228670376E-3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30000000</v>
      </c>
      <c r="AN8" s="267">
        <f>ROUND($E152*$E$47*1000*1000,0)</f>
        <v>0</v>
      </c>
      <c r="AO8" s="267">
        <f>ROUND($E146*$E$24*1000*1000,0)</f>
        <v>76800000</v>
      </c>
      <c r="AP8" s="267">
        <f>ROUND($H152*$H$47*1000*1000,0)</f>
        <v>0</v>
      </c>
      <c r="AQ8" s="267">
        <f>ROUND($H146*$H$24*1000*1000,0)</f>
        <v>7548000</v>
      </c>
      <c r="AR8" s="270">
        <f>IF($B$24&lt;&gt;0,ROUND(AL8/B$24,3),0)</f>
        <v>0</v>
      </c>
      <c r="AS8" s="270">
        <f>ROUND(AM8/B$47,3)</f>
        <v>10000</v>
      </c>
      <c r="AT8" s="270">
        <f>IF(E$47&lt;&gt;0,ROUND(AN8/E$47,3),0)</f>
        <v>0</v>
      </c>
      <c r="AU8" s="270">
        <f>IF(E$24&lt;&gt;0,ROUND(AO8/E$24,3),0)</f>
        <v>8000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76.882149228670372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1.7429577464788733E-2</v>
      </c>
      <c r="F9" s="324">
        <v>4.3366416968646904E-2</v>
      </c>
      <c r="G9" s="33">
        <v>2.2368421052631579E-2</v>
      </c>
      <c r="H9" s="236">
        <f>IF(H24&lt;&gt;0,$H$159,0)</f>
        <v>1.7429577464788733E-2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52288.732394366198</v>
      </c>
      <c r="U9" s="266">
        <f>E32*E$47*1000</f>
        <v>0</v>
      </c>
      <c r="V9" s="266">
        <f>E9*E$24*1000</f>
        <v>167323.94366197183</v>
      </c>
      <c r="W9" s="266">
        <f>H32*H$47*1000</f>
        <v>0</v>
      </c>
      <c r="X9" s="266">
        <f>H9*H$24*1000</f>
        <v>77387.323943661977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17040000</v>
      </c>
      <c r="AE9" s="268">
        <f>Y9/AD9</f>
        <v>1.7429577464788733E-2</v>
      </c>
      <c r="AF9" s="269">
        <f>Y9/$AF$24/1000</f>
        <v>1.7429577464788733E-2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1.7429577464788733E-2</v>
      </c>
      <c r="AI9" s="266">
        <f>AH9*$Y$24*1000</f>
        <v>297000</v>
      </c>
      <c r="AJ9" s="268">
        <f>AI9/AD9</f>
        <v>1.7429577464788733E-2</v>
      </c>
      <c r="AK9" s="266">
        <f t="shared" si="2"/>
        <v>0</v>
      </c>
      <c r="AL9" s="267">
        <f t="shared" ref="AL9:AQ11" si="3">S9/$AE9</f>
        <v>0</v>
      </c>
      <c r="AM9" s="267">
        <f t="shared" si="3"/>
        <v>3000000</v>
      </c>
      <c r="AN9" s="267">
        <f t="shared" si="3"/>
        <v>0</v>
      </c>
      <c r="AO9" s="267">
        <f t="shared" si="3"/>
        <v>9600000</v>
      </c>
      <c r="AP9" s="267">
        <f>W9/$AE9</f>
        <v>0</v>
      </c>
      <c r="AQ9" s="267">
        <f t="shared" si="3"/>
        <v>4440000</v>
      </c>
      <c r="AR9" s="270">
        <f>IF($B$24&lt;&gt;0,ROUND(AL9/B$24,3),0)</f>
        <v>0</v>
      </c>
      <c r="AS9" s="270">
        <f>ROUND(AM9/B$47,3)</f>
        <v>1000</v>
      </c>
      <c r="AT9" s="270">
        <f>IF(E$47&lt;&gt;0,ROUND(AN9/E$47,3),0)</f>
        <v>0</v>
      </c>
      <c r="AU9" s="270">
        <f>IF(E$24&lt;&gt;0,ROUND(AO9/E$24,3),0)</f>
        <v>1000</v>
      </c>
      <c r="AV9" s="270">
        <f>IF(H$47&lt;&gt;0,ROUND(AP9/H$47,3),0)</f>
        <v>0</v>
      </c>
      <c r="AW9" s="270">
        <f>IF(H$24&lt;&gt;0,ROUND(AQ9/H$24,3),0)</f>
        <v>1000</v>
      </c>
      <c r="AX9" s="271">
        <f>AJ9*10000</f>
        <v>174.29577464788733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9.8955399061032858E-4</v>
      </c>
      <c r="F10" s="324">
        <v>7.333625847427477E-4</v>
      </c>
      <c r="G10" s="33">
        <v>6.5789473684210525E-4</v>
      </c>
      <c r="H10" s="236">
        <f>IF($H$24&lt;&gt;0,$H$163,0)</f>
        <v>9.8955399061032858E-4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2968.6619718309857</v>
      </c>
      <c r="U10" s="266">
        <f>E33*E$47*1000</f>
        <v>0</v>
      </c>
      <c r="V10" s="266">
        <f>E10*E$24*1000</f>
        <v>9499.718309859154</v>
      </c>
      <c r="W10" s="266">
        <f>H33*H$47*1000</f>
        <v>0</v>
      </c>
      <c r="X10" s="266">
        <f t="shared" ref="X10:X11" si="4">H10*H$24*1000</f>
        <v>4393.6197183098593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17040000</v>
      </c>
      <c r="AE10" s="268">
        <f>Y10/AD10</f>
        <v>9.8955399061032858E-4</v>
      </c>
      <c r="AF10" s="269">
        <f>Y10/$AF$24/1000</f>
        <v>9.8955399061032858E-4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9.8955399061032858E-4</v>
      </c>
      <c r="AI10" s="266">
        <f>AH10*$Y$24*1000</f>
        <v>16862</v>
      </c>
      <c r="AJ10" s="268">
        <f>AI10/AD10</f>
        <v>9.8955399061032858E-4</v>
      </c>
      <c r="AK10" s="266">
        <f t="shared" si="2"/>
        <v>0</v>
      </c>
      <c r="AL10" s="267">
        <f t="shared" si="3"/>
        <v>0</v>
      </c>
      <c r="AM10" s="267">
        <f t="shared" si="3"/>
        <v>3000000</v>
      </c>
      <c r="AN10" s="267">
        <f t="shared" si="3"/>
        <v>0</v>
      </c>
      <c r="AO10" s="267">
        <f t="shared" si="3"/>
        <v>9600000</v>
      </c>
      <c r="AP10" s="267">
        <f>W10/$AE10</f>
        <v>0</v>
      </c>
      <c r="AQ10" s="267">
        <f t="shared" si="3"/>
        <v>4440000</v>
      </c>
      <c r="AR10" s="270">
        <f>IF($B$24&lt;&gt;0,ROUND(AL10/B$24,3),0)</f>
        <v>0</v>
      </c>
      <c r="AS10" s="270">
        <f>ROUND(AM10/B$47,3)</f>
        <v>1000</v>
      </c>
      <c r="AT10" s="270">
        <f>IF(E$47&lt;&gt;0,ROUND(AN10/E$47,3),0)</f>
        <v>0</v>
      </c>
      <c r="AU10" s="270">
        <f>IF(E$24&lt;&gt;0,ROUND(AO10/E$24,3),0)</f>
        <v>1000</v>
      </c>
      <c r="AV10" s="270">
        <f>IF(H$47&lt;&gt;0,ROUND(AP10/H$47,3),0)</f>
        <v>0</v>
      </c>
      <c r="AW10" s="270">
        <f>IF(H$24&lt;&gt;0,ROUND(AQ10/H$24,3),0)</f>
        <v>1000</v>
      </c>
      <c r="AX10" s="271">
        <f>AJ10*10000</f>
        <v>9.895539906103286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3.8732394366197184E-3</v>
      </c>
      <c r="F11" s="325">
        <v>1.0235235631961513E-2</v>
      </c>
      <c r="G11" s="84">
        <v>4.6052631578947364E-3</v>
      </c>
      <c r="H11" s="237">
        <f>IF($H$24&lt;&gt;0,$H$166,0)</f>
        <v>3.8732394366197184E-3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11619.718309859156</v>
      </c>
      <c r="U11" s="272">
        <f>E34*E$47*1000</f>
        <v>0</v>
      </c>
      <c r="V11" s="272">
        <f>E11*E$24*1000</f>
        <v>37183.098591549293</v>
      </c>
      <c r="W11" s="272">
        <f>H34*H$47*1000</f>
        <v>0</v>
      </c>
      <c r="X11" s="272">
        <f t="shared" si="4"/>
        <v>17197.183098591548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17040000</v>
      </c>
      <c r="AE11" s="268">
        <f>Y11/AD11</f>
        <v>3.8732394366197184E-3</v>
      </c>
      <c r="AF11" s="273">
        <f>Y11/$AF$24/1000</f>
        <v>3.8732394366197184E-3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3.8732394366197184E-3</v>
      </c>
      <c r="AI11" s="272">
        <f>AH11*$Y$24*1000</f>
        <v>66000</v>
      </c>
      <c r="AJ11" s="268">
        <f>AI11/AD11</f>
        <v>3.8732394366197184E-3</v>
      </c>
      <c r="AK11" s="272">
        <f t="shared" si="2"/>
        <v>0</v>
      </c>
      <c r="AL11" s="267">
        <f t="shared" si="3"/>
        <v>0</v>
      </c>
      <c r="AM11" s="267">
        <f t="shared" si="3"/>
        <v>3000000</v>
      </c>
      <c r="AN11" s="267">
        <f t="shared" si="3"/>
        <v>0</v>
      </c>
      <c r="AO11" s="267">
        <f>V11/$AE11</f>
        <v>9600000</v>
      </c>
      <c r="AP11" s="267">
        <f>W11/$AE11</f>
        <v>0</v>
      </c>
      <c r="AQ11" s="267">
        <f>X11/$AE11</f>
        <v>4439999.9999999991</v>
      </c>
      <c r="AR11" s="270">
        <f>IF($B$24&lt;&gt;0,ROUND(AL11/B$24,3),0)</f>
        <v>0</v>
      </c>
      <c r="AS11" s="270">
        <f>ROUND(AM11/B$47,3)</f>
        <v>1000</v>
      </c>
      <c r="AT11" s="270">
        <f>IF(E$47&lt;&gt;0,ROUND(AN11/E$47,3),0)</f>
        <v>0</v>
      </c>
      <c r="AU11" s="270">
        <f>IF(E$24&lt;&gt;0,ROUND(AO11/E$24,3),0)</f>
        <v>1000</v>
      </c>
      <c r="AV11" s="270">
        <f>IF(H$47&lt;&gt;0,ROUND(AP11/H$47,3),0)</f>
        <v>0</v>
      </c>
      <c r="AW11" s="270">
        <f>IF(H$24&lt;&gt;0,ROUND(AQ11/H$24,3),0)</f>
        <v>1000</v>
      </c>
      <c r="AX11" s="271">
        <f>AJ11*10000</f>
        <v>38.732394366197184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0.18337162089201875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0.22361937089201878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286084.11267605633</v>
      </c>
      <c r="U12" s="266">
        <f t="shared" si="6"/>
        <v>0</v>
      </c>
      <c r="V12" s="266">
        <f t="shared" si="6"/>
        <v>1244548.0592516146</v>
      </c>
      <c r="W12" s="266">
        <f t="shared" si="6"/>
        <v>0</v>
      </c>
      <c r="X12" s="266">
        <f t="shared" si="6"/>
        <v>203137.36183386843</v>
      </c>
      <c r="Y12" s="266">
        <f t="shared" si="6"/>
        <v>1733769.5337615395</v>
      </c>
      <c r="Z12" s="266">
        <f t="shared" si="6"/>
        <v>0</v>
      </c>
      <c r="AA12" s="266">
        <f t="shared" si="6"/>
        <v>1733769.5337615395</v>
      </c>
      <c r="AB12" s="263"/>
      <c r="AC12" s="264"/>
      <c r="AD12" s="262"/>
      <c r="AE12" s="262"/>
      <c r="AF12" s="269">
        <f t="shared" ref="AF12" si="7">SUM(AF7:AF11)</f>
        <v>0.10174703836628753</v>
      </c>
      <c r="AG12" s="269">
        <f>SUM(AG7:AG11)</f>
        <v>8.142445874125874E-2</v>
      </c>
      <c r="AH12" s="269">
        <f>SUM(AH7:AH11)</f>
        <v>0.10174703836628753</v>
      </c>
      <c r="AI12" s="266">
        <f t="shared" ref="AI12:AK12" si="8">SUM(AI7:AI11)</f>
        <v>1733769.5337615395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1.4958139097264749E-2</v>
      </c>
      <c r="F14" s="324">
        <v>5.568578119363226E-2</v>
      </c>
      <c r="G14" s="33">
        <v>2.6384279999999996E-2</v>
      </c>
      <c r="H14" s="236">
        <f>IF($H$24&lt;&gt;0,$F$112/$B$49/1000,0)</f>
        <v>1.4958139097264749E-2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44874.417291794241</v>
      </c>
      <c r="U14" s="266">
        <f t="shared" ref="U14:U19" si="11">E37*E$47*1000</f>
        <v>0</v>
      </c>
      <c r="V14" s="266">
        <f t="shared" ref="V14:V19" si="12">E14*E$24*1000</f>
        <v>143598.13533374161</v>
      </c>
      <c r="W14" s="266">
        <f>H37*H$47*1000</f>
        <v>0</v>
      </c>
      <c r="X14" s="266">
        <f t="shared" ref="X14:X19" si="13">H14*H$24*1000</f>
        <v>66414.137591855484</v>
      </c>
      <c r="Y14" s="266">
        <f t="shared" ref="Y14:Y19" si="14">SUM(S14:X14)</f>
        <v>254886.69021739133</v>
      </c>
      <c r="Z14" s="266">
        <f>-$D$115</f>
        <v>0</v>
      </c>
      <c r="AA14" s="266">
        <f t="shared" ref="AA14:AA19" si="15">SUM(Y14:Z14)</f>
        <v>254886.69021739133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1.4958139097264749E-2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1.4958139097264749E-2</v>
      </c>
      <c r="AI14" s="266">
        <f t="shared" ref="AI14:AI19" si="18">AH14*$Y$24*1000</f>
        <v>254886.69021739133</v>
      </c>
      <c r="AJ14" s="268" t="e">
        <f t="shared" ref="AJ14:AJ19" si="19">AI14/AD14</f>
        <v>#DIV/0!</v>
      </c>
      <c r="AK14" s="266">
        <f t="shared" ref="AK14:AK19" si="20">Y14-AI14</f>
        <v>0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 t="e">
        <f t="shared" ref="AU14:AU19" si="25">IF(E$24&lt;&gt;0,ROUND(AO14/E$24,3),0)</f>
        <v>#DIV/0!</v>
      </c>
      <c r="AV14" s="270">
        <f t="shared" ref="AV14:AV19" si="26">IF(H$47&lt;&gt;0,ROUND(AP14/H$47,3),0)</f>
        <v>0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6.3284434642273922E-3</v>
      </c>
      <c r="F15" s="324">
        <v>1.9535757663515587E-2</v>
      </c>
      <c r="G15" s="33">
        <v>9.0204400000000011E-3</v>
      </c>
      <c r="H15" s="236">
        <f>IF($H$24&lt;&gt;0,$F$113/$B$49/1000,0)</f>
        <v>6.3284434642273922E-3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18985.330392682175</v>
      </c>
      <c r="U15" s="274">
        <f t="shared" si="11"/>
        <v>0</v>
      </c>
      <c r="V15" s="274">
        <f t="shared" si="12"/>
        <v>60753.057256582964</v>
      </c>
      <c r="W15" s="266">
        <f>H38*H$47*1000</f>
        <v>0</v>
      </c>
      <c r="X15" s="274">
        <f t="shared" si="13"/>
        <v>28098.288981169619</v>
      </c>
      <c r="Y15" s="274">
        <f t="shared" si="14"/>
        <v>107836.67663043477</v>
      </c>
      <c r="Z15" s="274">
        <f>-$H$115</f>
        <v>0</v>
      </c>
      <c r="AA15" s="274">
        <f t="shared" si="15"/>
        <v>107836.67663043477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6.3284434642273922E-3</v>
      </c>
      <c r="AG15" s="265">
        <v>7.650220979020979E-3</v>
      </c>
      <c r="AH15" s="265">
        <f t="shared" si="17"/>
        <v>6.3284434642273922E-3</v>
      </c>
      <c r="AI15" s="274">
        <f t="shared" si="18"/>
        <v>107836.67663043477</v>
      </c>
      <c r="AJ15" s="268" t="e">
        <f t="shared" si="19"/>
        <v>#DIV/0!</v>
      </c>
      <c r="AK15" s="274">
        <f t="shared" si="20"/>
        <v>0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 t="e">
        <f t="shared" si="25"/>
        <v>#DIV/0!</v>
      </c>
      <c r="AV15" s="270">
        <f t="shared" si="26"/>
        <v>0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6.5119254726729936E-3</v>
      </c>
      <c r="F16" s="324">
        <v>1.7065229602759201E-2</v>
      </c>
      <c r="G16" s="33">
        <v>1.3928937427385891E-2</v>
      </c>
      <c r="H16" s="236">
        <f>IF($H$24&lt;&gt;0,$F$115/$B$49/1000,0)</f>
        <v>6.5119254726729936E-3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19535.776418018981</v>
      </c>
      <c r="U16" s="266">
        <f t="shared" si="11"/>
        <v>0</v>
      </c>
      <c r="V16" s="266">
        <f t="shared" si="12"/>
        <v>62514.484537660741</v>
      </c>
      <c r="W16" s="266">
        <f>H39*H$47*1000</f>
        <v>0</v>
      </c>
      <c r="X16" s="266">
        <f t="shared" si="13"/>
        <v>28912.949098668094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6.5119254726729936E-3</v>
      </c>
      <c r="AG16" s="269">
        <v>8.8563300699300695E-3</v>
      </c>
      <c r="AH16" s="269">
        <f t="shared" si="17"/>
        <v>6.5119254726729936E-3</v>
      </c>
      <c r="AI16" s="266">
        <f t="shared" si="18"/>
        <v>110963.21005434782</v>
      </c>
      <c r="AJ16" s="268" t="e">
        <f t="shared" si="19"/>
        <v>#DIV/0!</v>
      </c>
      <c r="AK16" s="266">
        <f t="shared" si="20"/>
        <v>0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 t="e">
        <f t="shared" si="25"/>
        <v>#DIV/0!</v>
      </c>
      <c r="AV16" s="270">
        <f t="shared" si="26"/>
        <v>0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4.1983568075117371E-4</v>
      </c>
      <c r="F17" s="324">
        <v>4.5810515777660989E-3</v>
      </c>
      <c r="G17" s="33">
        <v>1.5771315789473684E-3</v>
      </c>
      <c r="H17" s="236">
        <f>IF($H$24&lt;&gt;0,$F$114/$B$49/1000,0)</f>
        <v>4.1983568075117371E-4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1259.5070422535211</v>
      </c>
      <c r="U17" s="274">
        <f t="shared" si="11"/>
        <v>0</v>
      </c>
      <c r="V17" s="274">
        <f t="shared" si="12"/>
        <v>4030.422535211268</v>
      </c>
      <c r="W17" s="266">
        <f>H40*H$47*1000</f>
        <v>0</v>
      </c>
      <c r="X17" s="274">
        <f>H17*H$24*1000</f>
        <v>1864.0704225352115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4.1983568075117371E-4</v>
      </c>
      <c r="AG17" s="265">
        <v>2.1273118881118881E-3</v>
      </c>
      <c r="AH17" s="265">
        <f t="shared" si="17"/>
        <v>4.1983568075117371E-4</v>
      </c>
      <c r="AI17" s="274">
        <f t="shared" si="18"/>
        <v>7154</v>
      </c>
      <c r="AJ17" s="268" t="e">
        <f t="shared" si="19"/>
        <v>#DIV/0!</v>
      </c>
      <c r="AK17" s="274">
        <f t="shared" si="20"/>
        <v>0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 t="e">
        <f t="shared" si="25"/>
        <v>#DIV/0!</v>
      </c>
      <c r="AV17" s="270">
        <f t="shared" si="26"/>
        <v>0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1.5183098591549295E-3</v>
      </c>
      <c r="F18" s="324">
        <v>3.8559807065526065E-3</v>
      </c>
      <c r="G18" s="33">
        <v>1.6578947368421054E-3</v>
      </c>
      <c r="H18" s="236">
        <f>IF($H$24&lt;&gt;0,$B$178/$B$49/1000,0)</f>
        <v>1.5183098591549295E-3</v>
      </c>
      <c r="I18" s="33"/>
      <c r="J18" s="83">
        <v>0</v>
      </c>
      <c r="S18" s="274">
        <f t="shared" si="9"/>
        <v>0</v>
      </c>
      <c r="T18" s="274">
        <f t="shared" si="10"/>
        <v>4554.9295774647881</v>
      </c>
      <c r="U18" s="274">
        <f t="shared" si="11"/>
        <v>0</v>
      </c>
      <c r="V18" s="274">
        <f t="shared" si="12"/>
        <v>14575.774647887323</v>
      </c>
      <c r="W18" s="274">
        <f t="shared" ref="W18:W19" si="32">H41*H$47*1000</f>
        <v>0</v>
      </c>
      <c r="X18" s="274">
        <f t="shared" si="13"/>
        <v>6741.2957746478869</v>
      </c>
      <c r="Y18" s="274">
        <f t="shared" si="14"/>
        <v>25871.999999999996</v>
      </c>
      <c r="Z18" s="274">
        <f>C178/($C$184+$C$185)*$C$185</f>
        <v>0</v>
      </c>
      <c r="AA18" s="274">
        <f>SUM(Y18:Z18)</f>
        <v>25871.999999999996</v>
      </c>
      <c r="AB18" s="263" t="s">
        <v>83</v>
      </c>
      <c r="AC18" s="264" t="s">
        <v>73</v>
      </c>
      <c r="AD18" s="267">
        <f>ROUND((S18/F$178)+(T18/F$178)+(U18/F$178)+(V18/F$178)+(W18/F$178)+(X18/F$178),0)</f>
        <v>1420000</v>
      </c>
      <c r="AE18" s="268">
        <f>Y18/AD18</f>
        <v>1.8219718309859152E-2</v>
      </c>
      <c r="AF18" s="265">
        <f t="shared" si="16"/>
        <v>1.5183098591549293E-3</v>
      </c>
      <c r="AG18" s="265">
        <v>3.2747211188811187E-2</v>
      </c>
      <c r="AH18" s="265">
        <f t="shared" si="17"/>
        <v>1.5183098591549293E-3</v>
      </c>
      <c r="AI18" s="274">
        <f t="shared" si="18"/>
        <v>25871.999999999996</v>
      </c>
      <c r="AJ18" s="268">
        <f>AI18/AD18</f>
        <v>1.8219718309859152E-2</v>
      </c>
      <c r="AK18" s="274">
        <f>Y18-AI18</f>
        <v>0</v>
      </c>
      <c r="AL18" s="267">
        <f t="shared" si="31"/>
        <v>0</v>
      </c>
      <c r="AM18" s="267">
        <f t="shared" si="31"/>
        <v>250000</v>
      </c>
      <c r="AN18" s="267">
        <f t="shared" si="31"/>
        <v>0</v>
      </c>
      <c r="AO18" s="267">
        <f t="shared" si="31"/>
        <v>800000.00000000012</v>
      </c>
      <c r="AP18" s="267">
        <f t="shared" si="31"/>
        <v>0</v>
      </c>
      <c r="AQ18" s="267">
        <f t="shared" si="31"/>
        <v>370000.00000000006</v>
      </c>
      <c r="AR18" s="270">
        <f t="shared" si="22"/>
        <v>0</v>
      </c>
      <c r="AS18" s="270">
        <f t="shared" si="23"/>
        <v>83.332999999999998</v>
      </c>
      <c r="AT18" s="270">
        <f t="shared" si="24"/>
        <v>0</v>
      </c>
      <c r="AU18" s="270">
        <f t="shared" si="25"/>
        <v>83.332999999999998</v>
      </c>
      <c r="AV18" s="270">
        <f t="shared" si="26"/>
        <v>0</v>
      </c>
      <c r="AW18" s="270">
        <f t="shared" si="27"/>
        <v>83.332999999999998</v>
      </c>
      <c r="AX18" s="271">
        <f>AJ18*10000</f>
        <v>182.19718309859152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IF(E24&lt;&gt;0,$B$177/B49/1000,0)</f>
        <v>2.575E-3</v>
      </c>
      <c r="F19" s="325">
        <v>1.0801565595349401E-2</v>
      </c>
      <c r="G19" s="84">
        <v>5.8026315789473683E-3</v>
      </c>
      <c r="H19" s="237">
        <f>IF($H$24&lt;&gt;0,$B$177/$B$49/1000,0)</f>
        <v>2.575E-3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7725.0000000000009</v>
      </c>
      <c r="U19" s="275">
        <f t="shared" si="11"/>
        <v>0</v>
      </c>
      <c r="V19" s="275">
        <f t="shared" si="12"/>
        <v>24720</v>
      </c>
      <c r="W19" s="275">
        <f t="shared" si="32"/>
        <v>0</v>
      </c>
      <c r="X19" s="275">
        <f t="shared" si="13"/>
        <v>11433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1420000</v>
      </c>
      <c r="AE19" s="268">
        <f t="shared" si="29"/>
        <v>3.09E-2</v>
      </c>
      <c r="AF19" s="276">
        <f t="shared" si="16"/>
        <v>2.575E-3</v>
      </c>
      <c r="AG19" s="276">
        <v>7.3609622377622374E-3</v>
      </c>
      <c r="AH19" s="276">
        <f t="shared" si="17"/>
        <v>2.575E-3</v>
      </c>
      <c r="AI19" s="275">
        <f t="shared" si="18"/>
        <v>43878</v>
      </c>
      <c r="AJ19" s="268">
        <f t="shared" si="19"/>
        <v>3.09E-2</v>
      </c>
      <c r="AK19" s="275">
        <f t="shared" si="20"/>
        <v>0</v>
      </c>
      <c r="AL19" s="267">
        <f t="shared" si="31"/>
        <v>0</v>
      </c>
      <c r="AM19" s="267">
        <f t="shared" si="31"/>
        <v>250000.00000000003</v>
      </c>
      <c r="AN19" s="267">
        <f t="shared" si="31"/>
        <v>0</v>
      </c>
      <c r="AO19" s="267">
        <f t="shared" si="31"/>
        <v>800000</v>
      </c>
      <c r="AP19" s="267">
        <f t="shared" si="31"/>
        <v>0</v>
      </c>
      <c r="AQ19" s="267">
        <f t="shared" si="31"/>
        <v>370000</v>
      </c>
      <c r="AR19" s="270">
        <f t="shared" si="22"/>
        <v>0</v>
      </c>
      <c r="AS19" s="270">
        <f t="shared" si="23"/>
        <v>83.332999999999998</v>
      </c>
      <c r="AT19" s="270">
        <f t="shared" si="24"/>
        <v>0</v>
      </c>
      <c r="AU19" s="270">
        <f t="shared" si="25"/>
        <v>83.332999999999998</v>
      </c>
      <c r="AV19" s="270">
        <f t="shared" si="26"/>
        <v>0</v>
      </c>
      <c r="AW19" s="270">
        <f t="shared" si="27"/>
        <v>83.332999999999998</v>
      </c>
      <c r="AX19" s="271">
        <f t="shared" si="28"/>
        <v>309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3.2311653574071238E-2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3.2311653574071238E-2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96934.960722213713</v>
      </c>
      <c r="U20" s="277">
        <f t="shared" si="37"/>
        <v>0</v>
      </c>
      <c r="V20" s="277">
        <f t="shared" si="37"/>
        <v>310191.87431108387</v>
      </c>
      <c r="W20" s="277">
        <f t="shared" si="37"/>
        <v>0</v>
      </c>
      <c r="X20" s="277">
        <f t="shared" si="37"/>
        <v>143463.7418688763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3.2311653574071238E-2</v>
      </c>
      <c r="AG20" s="280">
        <f>SUM(AG14:AG19)</f>
        <v>7.0230590209790209E-2</v>
      </c>
      <c r="AH20" s="280">
        <f>SUM(AH14:AH19)</f>
        <v>3.2311653574071238E-2</v>
      </c>
      <c r="AI20" s="277">
        <f>SUM(AI14:AI19)</f>
        <v>550590.57690217393</v>
      </c>
      <c r="AJ20" s="262"/>
      <c r="AK20" s="277">
        <f>SUM(AK14:AK19)</f>
        <v>0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383019.07339827006</v>
      </c>
      <c r="U21" s="281">
        <f t="shared" si="38"/>
        <v>0</v>
      </c>
      <c r="V21" s="281">
        <f t="shared" si="38"/>
        <v>1554739.9335626985</v>
      </c>
      <c r="W21" s="281">
        <f t="shared" si="38"/>
        <v>0</v>
      </c>
      <c r="X21" s="281">
        <f t="shared" si="38"/>
        <v>346601.1037027447</v>
      </c>
      <c r="Y21" s="281">
        <f t="shared" si="38"/>
        <v>2284360.1106637134</v>
      </c>
      <c r="Z21" s="281">
        <f t="shared" si="38"/>
        <v>0</v>
      </c>
      <c r="AA21" s="281">
        <f t="shared" si="38"/>
        <v>2284360.1106637134</v>
      </c>
      <c r="AB21" s="282" t="s">
        <v>98</v>
      </c>
      <c r="AC21" s="279"/>
      <c r="AD21" s="262"/>
      <c r="AE21" s="262"/>
      <c r="AF21" s="283">
        <f>AF12+AF20</f>
        <v>0.13405869194035877</v>
      </c>
      <c r="AG21" s="283">
        <f>AG12+AG20</f>
        <v>0.15165504895104895</v>
      </c>
      <c r="AH21" s="283">
        <f>AH12+AH20</f>
        <v>0.13405869194035877</v>
      </c>
      <c r="AI21" s="281">
        <f>AI12+AI20</f>
        <v>2284360.1106637134</v>
      </c>
      <c r="AJ21" s="262"/>
      <c r="AK21" s="281">
        <f>AK12+AK20</f>
        <v>0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0.21568327446608998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0.25593102446609001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0.12767000000000001</v>
      </c>
      <c r="U22" s="284">
        <f>IF(E47&lt;&gt;0,ROUND(U21/(E47*1000),5),0)</f>
        <v>0</v>
      </c>
      <c r="V22" s="284">
        <f>IF(E24&lt;&gt;0,ROUND(V21/(E24*1000),5),0)</f>
        <v>0.16195000000000001</v>
      </c>
      <c r="W22" s="284">
        <f>IF(H47&lt;&gt;0,ROUND(W21/(H47*1000),5),0)</f>
        <v>0</v>
      </c>
      <c r="X22" s="284">
        <f>IF(H24&lt;&gt;0,ROUND(X21/(H24*1000),5),0)</f>
        <v>7.8060000000000004E-2</v>
      </c>
      <c r="Y22" s="284">
        <f>Y21/Y24/1000</f>
        <v>0.13405869194035874</v>
      </c>
      <c r="Z22" s="284">
        <v>0</v>
      </c>
      <c r="AA22" s="284">
        <f>ROUND(AA21/(B49*1000),5)</f>
        <v>0.13406000000000001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0.13405869194035874</v>
      </c>
      <c r="AJ22" s="262"/>
      <c r="AK22" s="284">
        <f>AK21/AK24/1000</f>
        <v>0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0.25592999999999999</v>
      </c>
      <c r="U23" s="284">
        <f>ROUND(U22+E29,5)</f>
        <v>0</v>
      </c>
      <c r="V23" s="284">
        <f>ROUND(V22+E6,5)</f>
        <v>0.26995999999999998</v>
      </c>
      <c r="W23" s="284">
        <f>ROUND(W22+H29,5)</f>
        <v>0</v>
      </c>
      <c r="X23" s="284">
        <f>ROUND(X22+H6,5)</f>
        <v>0.20632</v>
      </c>
      <c r="Y23" s="284">
        <f>Y22+(($B$6*$B$24*1000+$B$29*$B$47*1000+$E$29*$E$47*1000+$H$6*$H$24*1000+$H$29*$H$47*1000+$E$6*$E$24*1000)/($B$49*1000))</f>
        <v>0.25090950884176721</v>
      </c>
      <c r="Z23" s="284">
        <v>0</v>
      </c>
      <c r="AA23" s="284">
        <f>AA22+(($B$6*$B$24*1000+$B$29*$B$47*1000+$E$6*$E$24*1000+$E$29*$E$47*1000+$H$6*$H$24*1000+$H$29*$H$47*1000)/($B$49*1000))</f>
        <v>0.25091081690140848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9600</v>
      </c>
      <c r="F24" s="339">
        <v>3204</v>
      </c>
      <c r="G24" s="181">
        <v>51000</v>
      </c>
      <c r="H24" s="393">
        <f>B58</f>
        <v>4440</v>
      </c>
      <c r="I24" s="241">
        <v>4207</v>
      </c>
      <c r="J24" s="211">
        <v>0</v>
      </c>
      <c r="S24" s="286">
        <f>B24</f>
        <v>0</v>
      </c>
      <c r="T24" s="286">
        <f>B47</f>
        <v>3000</v>
      </c>
      <c r="U24" s="286">
        <f>E47</f>
        <v>0</v>
      </c>
      <c r="V24" s="286">
        <f>E24</f>
        <v>9600</v>
      </c>
      <c r="W24" s="286">
        <f>H47</f>
        <v>0</v>
      </c>
      <c r="X24" s="286">
        <f>H24</f>
        <v>4440</v>
      </c>
      <c r="Y24" s="286">
        <f>SUM(S24:X24)</f>
        <v>17040</v>
      </c>
      <c r="Z24" s="286">
        <v>0</v>
      </c>
      <c r="AA24" s="286">
        <f>SUM(Y24:Z24)</f>
        <v>17040</v>
      </c>
      <c r="AB24" s="286"/>
      <c r="AC24" s="279"/>
      <c r="AD24" s="262"/>
      <c r="AE24" s="262"/>
      <c r="AF24" s="286">
        <f>Y24</f>
        <v>17040</v>
      </c>
      <c r="AG24" s="286"/>
      <c r="AH24" s="286"/>
      <c r="AI24" s="286">
        <f>Y24</f>
        <v>17040</v>
      </c>
      <c r="AJ24" s="262"/>
      <c r="AK24" s="286">
        <f>Y24</f>
        <v>17040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0.12825800000000001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3.3069000000000001E-2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0.04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1.7429577464788733E-2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9.8955399061032858E-4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3.8732394366197184E-3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0.22361937089201878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1.4958139097264749E-2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6.3284434642273922E-3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6.5119254726729936E-3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4.1983568075117371E-4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1.5183098591549295E-3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2.575E-3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3.2311653574071238E-2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0.25593102446609001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3000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17040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Summary'!$C$8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Summary'!D$8</f>
        <v>3000</v>
      </c>
      <c r="C55" s="214">
        <f t="shared" ref="C55:C60" si="46">B55/$B$60</f>
        <v>0.176056338028169</v>
      </c>
      <c r="D55" s="460">
        <f>B55/180/2</f>
        <v>8.3333333333333339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Summary'!E$8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Summary'!$F$8</f>
        <v>9600</v>
      </c>
      <c r="C57" s="214">
        <f t="shared" si="46"/>
        <v>0.56338028169014087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Summary'!$G$8</f>
        <v>4440</v>
      </c>
      <c r="C58" s="214">
        <f t="shared" si="46"/>
        <v>0.26056338028169013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Summary'!$H$8</f>
        <v>0</v>
      </c>
      <c r="C59" s="215">
        <f t="shared" si="46"/>
        <v>0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17040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0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0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1000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275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0</v>
      </c>
      <c r="L84" s="61">
        <f>J84*K84</f>
        <v>0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(B71/2000*0.75)+(B68/2000*0.25)</f>
        <v>0.10329125</v>
      </c>
      <c r="K85" s="198">
        <v>1</v>
      </c>
      <c r="L85" s="44">
        <f t="shared" ref="L85:L86" si="50">J85*K85</f>
        <v>0.10329125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103.29125000000001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1000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0.10801025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188917.55390273751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65969.136314653806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254886.6902173913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84199.625058574471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23637.051571860295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107836.67663043477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3000</v>
      </c>
      <c r="U125" s="71">
        <f>+T125/SUM($T$125:$T$126)</f>
        <v>1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>
        <f>+T126/SUM($T$125:$T$126)</f>
        <v>0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3.3333333333333335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0.317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0.53200000000000003</v>
      </c>
      <c r="F145" s="76">
        <f>G141</f>
        <v>6.6443706666712579E-2</v>
      </c>
      <c r="G145" s="113">
        <f>E145*F145</f>
        <v>3.5348051946691092E-2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0.1073480519466911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1.7429577464788733E-2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9.8955399061032858E-4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3.8732394366197184E-3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17040</v>
      </c>
      <c r="E172" s="14"/>
      <c r="F172" s="492" t="s">
        <v>8</v>
      </c>
      <c r="G172" s="492"/>
      <c r="H172" s="27">
        <f>D172/D173</f>
        <v>6.1963636363636367E-2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3.0899999999999997E-2</v>
      </c>
      <c r="G177" s="171">
        <f>$E177/$D$172/1000</f>
        <v>0</v>
      </c>
      <c r="H177" s="83">
        <f t="shared" ref="H177:H178" si="56">SUM(F177:G177)</f>
        <v>3.0899999999999997E-2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1.8219718309859155E-2</v>
      </c>
      <c r="G178" s="111">
        <f>$E178/$D$172/1000</f>
        <v>0</v>
      </c>
      <c r="H178" s="85">
        <f t="shared" si="56"/>
        <v>1.8219718309859155E-2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4.9119718309859152E-2</v>
      </c>
      <c r="G179" s="112">
        <f>SUM(G176:G178)</f>
        <v>0</v>
      </c>
      <c r="H179" s="170">
        <f>SUM(H176:H178)</f>
        <v>4.9119718309859152E-2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1CBB-009C-4051-8ACF-2FDF88F752E9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9166.1354846098202</v>
      </c>
      <c r="X7" s="266">
        <f>$I145*$H$24*1000*$H145</f>
        <v>0</v>
      </c>
      <c r="Y7" s="266">
        <f>SUM(S7:X7)</f>
        <v>9166.1354846098202</v>
      </c>
      <c r="Z7" s="266">
        <v>0</v>
      </c>
      <c r="AA7" s="266">
        <f>SUM(Y7:Z7)</f>
        <v>9166.1354846098202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125563</v>
      </c>
      <c r="AE7" s="268">
        <f>Y7/AD7</f>
        <v>7.300029056815957E-2</v>
      </c>
      <c r="AF7" s="269">
        <f>Y7/$AF$24/1000</f>
        <v>4.5830677423049099E-3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1.9184926551743607E-3</v>
      </c>
      <c r="AI7" s="266">
        <f>AH7*$Y$24*1000</f>
        <v>3836.9853103487212</v>
      </c>
      <c r="AJ7" s="268">
        <f>AI7/AD7</f>
        <v>3.0558248133197848E-2</v>
      </c>
      <c r="AK7" s="266">
        <f>Y7-AI7</f>
        <v>5329.150174261099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125563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0</v>
      </c>
      <c r="AX7" s="271">
        <f>AJ7*10000</f>
        <v>305.5824813319785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>
        <f>Y8/$AF$24/1000</f>
        <v>0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0</v>
      </c>
      <c r="AI8" s="266">
        <f>AH8*$Y$24*1000</f>
        <v>0</v>
      </c>
      <c r="AJ8" s="268" t="e">
        <f>AI8/AD8</f>
        <v>#DIV/0!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297000</v>
      </c>
      <c r="X9" s="266">
        <f>H9*H$24*1000</f>
        <v>0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2000000</v>
      </c>
      <c r="AE9" s="268">
        <f>Y9/AD9</f>
        <v>0.14849999999999999</v>
      </c>
      <c r="AF9" s="269">
        <f>Y9/$AF$24/1000</f>
        <v>0.14849999999999999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6.2162764181642439E-2</v>
      </c>
      <c r="AI9" s="266">
        <f>AH9*$Y$24*1000</f>
        <v>124325.52836328487</v>
      </c>
      <c r="AJ9" s="268">
        <f>AI9/AD9</f>
        <v>6.2162764181642439E-2</v>
      </c>
      <c r="AK9" s="266">
        <f t="shared" si="2"/>
        <v>172674.47163671511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2000000</v>
      </c>
      <c r="AQ9" s="267">
        <f t="shared" si="3"/>
        <v>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0</v>
      </c>
      <c r="AX9" s="271">
        <f>AJ9*10000</f>
        <v>621.62764181642444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16862</v>
      </c>
      <c r="X10" s="266">
        <f t="shared" ref="X10:X11" si="4">H10*H$24*1000</f>
        <v>0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2000000</v>
      </c>
      <c r="AE10" s="268">
        <f>Y10/AD10</f>
        <v>8.4309999999999993E-3</v>
      </c>
      <c r="AF10" s="269">
        <f>Y10/$AF$24/1000</f>
        <v>8.4309999999999993E-3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3.5292543085213971E-3</v>
      </c>
      <c r="AI10" s="266">
        <f>AH10*$Y$24*1000</f>
        <v>7058.5086170427949</v>
      </c>
      <c r="AJ10" s="268">
        <f>AI10/AD10</f>
        <v>3.5292543085213976E-3</v>
      </c>
      <c r="AK10" s="266">
        <f t="shared" si="2"/>
        <v>9803.4913829572051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2000000.0000000002</v>
      </c>
      <c r="AQ10" s="267">
        <f t="shared" si="3"/>
        <v>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0</v>
      </c>
      <c r="AX10" s="271">
        <f>AJ10*10000</f>
        <v>35.292543085213978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66000</v>
      </c>
      <c r="X11" s="272">
        <f t="shared" si="4"/>
        <v>0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2000000</v>
      </c>
      <c r="AE11" s="268">
        <f>Y11/AD11</f>
        <v>3.3000000000000002E-2</v>
      </c>
      <c r="AF11" s="273">
        <f>Y11/$AF$24/1000</f>
        <v>3.3000000000000002E-2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1.3813947595920544E-2</v>
      </c>
      <c r="AI11" s="272">
        <f>AH11*$Y$24*1000</f>
        <v>27627.895191841086</v>
      </c>
      <c r="AJ11" s="268">
        <f>AI11/AD11</f>
        <v>1.3813947595920542E-2</v>
      </c>
      <c r="AK11" s="272">
        <f t="shared" si="2"/>
        <v>38372.104808158911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2000000</v>
      </c>
      <c r="AQ11" s="267">
        <f>X11/$AE11</f>
        <v>0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0</v>
      </c>
      <c r="AX11" s="271">
        <f>AJ11*10000</f>
        <v>138.13947595920541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389028.13548460981</v>
      </c>
      <c r="X12" s="266">
        <f t="shared" si="6"/>
        <v>0</v>
      </c>
      <c r="Y12" s="266">
        <f t="shared" si="6"/>
        <v>389028.13548460981</v>
      </c>
      <c r="Z12" s="266">
        <f t="shared" si="6"/>
        <v>0</v>
      </c>
      <c r="AA12" s="266">
        <f t="shared" si="6"/>
        <v>389028.13548460981</v>
      </c>
      <c r="AB12" s="263"/>
      <c r="AC12" s="264"/>
      <c r="AD12" s="262"/>
      <c r="AE12" s="262"/>
      <c r="AF12" s="269">
        <f t="shared" ref="AF12" si="7">SUM(AF7:AF11)</f>
        <v>0.1945140677423049</v>
      </c>
      <c r="AG12" s="269">
        <f>SUM(AG7:AG11)</f>
        <v>8.142445874125874E-2</v>
      </c>
      <c r="AH12" s="269">
        <f>SUM(AH7:AH11)</f>
        <v>8.142445874125874E-2</v>
      </c>
      <c r="AI12" s="266">
        <f t="shared" ref="AI12:AK12" si="8">SUM(AI7:AI11)</f>
        <v>162848.91748251749</v>
      </c>
      <c r="AJ12" s="262"/>
      <c r="AK12" s="266">
        <f t="shared" si="8"/>
        <v>226179.21800209233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24508.335597826084</v>
      </c>
      <c r="X14" s="266">
        <f t="shared" ref="X14:X19" si="13">H14*H$24*1000</f>
        <v>0</v>
      </c>
      <c r="Y14" s="266">
        <f t="shared" ref="Y14:Y19" si="14">SUM(S14:X14)</f>
        <v>24508.335597826084</v>
      </c>
      <c r="Z14" s="266">
        <f>-$D$115</f>
        <v>0</v>
      </c>
      <c r="AA14" s="266">
        <f t="shared" ref="AA14:AA19" si="15">SUM(Y14:Z14)</f>
        <v>24508.335597826084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1.2254167798913041E-2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1.2055840154647609E-2</v>
      </c>
      <c r="AI14" s="266">
        <f t="shared" ref="AI14:AI19" si="18">AH14*$Y$24*1000</f>
        <v>24111.680309295218</v>
      </c>
      <c r="AJ14" s="268" t="e">
        <f t="shared" ref="AJ14:AJ19" si="19">AI14/AD14</f>
        <v>#DIV/0!</v>
      </c>
      <c r="AK14" s="266">
        <f t="shared" ref="AK14:AK19" si="20">Y14-AI14</f>
        <v>396.65528853086653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24508.335597826084</v>
      </c>
      <c r="X15" s="274">
        <f t="shared" si="13"/>
        <v>0</v>
      </c>
      <c r="Y15" s="274">
        <f t="shared" si="14"/>
        <v>24508.335597826084</v>
      </c>
      <c r="Z15" s="274">
        <f>-$H$115</f>
        <v>0</v>
      </c>
      <c r="AA15" s="274">
        <f t="shared" si="15"/>
        <v>24508.335597826084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1.2254167798913041E-2</v>
      </c>
      <c r="AG15" s="265">
        <v>7.650220979020979E-3</v>
      </c>
      <c r="AH15" s="265">
        <f t="shared" si="17"/>
        <v>1.2055840154647609E-2</v>
      </c>
      <c r="AI15" s="274">
        <f t="shared" si="18"/>
        <v>24111.680309295218</v>
      </c>
      <c r="AJ15" s="268" t="e">
        <f t="shared" si="19"/>
        <v>#DIV/0!</v>
      </c>
      <c r="AK15" s="274">
        <f t="shared" si="20"/>
        <v>396.65528853086653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16851.201358695649</v>
      </c>
      <c r="X16" s="266">
        <f t="shared" si="13"/>
        <v>0</v>
      </c>
      <c r="Y16" s="266">
        <f t="shared" si="14"/>
        <v>16851.201358695649</v>
      </c>
      <c r="Z16" s="266">
        <f>-$D$122</f>
        <v>0</v>
      </c>
      <c r="AA16" s="274">
        <f t="shared" si="15"/>
        <v>16851.201358695649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8.4256006793478246E-3</v>
      </c>
      <c r="AG16" s="269">
        <v>8.8563300699300695E-3</v>
      </c>
      <c r="AH16" s="269">
        <f t="shared" si="17"/>
        <v>8.2892365001006225E-3</v>
      </c>
      <c r="AI16" s="266">
        <f t="shared" si="18"/>
        <v>16578.473000201247</v>
      </c>
      <c r="AJ16" s="268" t="e">
        <f t="shared" si="19"/>
        <v>#DIV/0!</v>
      </c>
      <c r="AK16" s="266">
        <f t="shared" si="20"/>
        <v>272.72835849440162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7154</v>
      </c>
      <c r="X17" s="274">
        <f>H17*H$24*1000</f>
        <v>0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3.5769999999999999E-3</v>
      </c>
      <c r="AG17" s="265">
        <v>2.1273118881118881E-3</v>
      </c>
      <c r="AH17" s="265">
        <f t="shared" si="17"/>
        <v>3.5191080243735218E-3</v>
      </c>
      <c r="AI17" s="274">
        <f t="shared" si="18"/>
        <v>7038.2160487470437</v>
      </c>
      <c r="AJ17" s="268" t="e">
        <f t="shared" si="19"/>
        <v>#DIV/0!</v>
      </c>
      <c r="AK17" s="274">
        <f t="shared" si="20"/>
        <v>115.78395125295629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25872</v>
      </c>
      <c r="X18" s="274">
        <f t="shared" si="13"/>
        <v>0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166667</v>
      </c>
      <c r="AE18" s="268">
        <f>Y18/AD18</f>
        <v>0.15523168953662092</v>
      </c>
      <c r="AF18" s="265">
        <f t="shared" si="16"/>
        <v>1.2936E-2</v>
      </c>
      <c r="AG18" s="265">
        <v>3.2747211188811187E-2</v>
      </c>
      <c r="AH18" s="265">
        <f t="shared" si="17"/>
        <v>1.2726637238830269E-2</v>
      </c>
      <c r="AI18" s="274">
        <f t="shared" si="18"/>
        <v>25453.27447766054</v>
      </c>
      <c r="AJ18" s="268">
        <f>AI18/AD18</f>
        <v>0.15271934142728039</v>
      </c>
      <c r="AK18" s="274">
        <f>Y18-AI18</f>
        <v>418.72552233946044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166667</v>
      </c>
      <c r="AQ18" s="267">
        <f t="shared" si="31"/>
        <v>0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83.334000000000003</v>
      </c>
      <c r="AW18" s="270">
        <f t="shared" si="27"/>
        <v>0</v>
      </c>
      <c r="AX18" s="271">
        <f>AJ18*10000</f>
        <v>1527.1934142728039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43878</v>
      </c>
      <c r="X19" s="275">
        <f t="shared" si="13"/>
        <v>0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166667</v>
      </c>
      <c r="AE19" s="268">
        <f t="shared" si="29"/>
        <v>0.26326747346505308</v>
      </c>
      <c r="AF19" s="276">
        <f t="shared" si="16"/>
        <v>2.1939E-2</v>
      </c>
      <c r="AG19" s="276">
        <v>7.3609622377622374E-3</v>
      </c>
      <c r="AH19" s="276">
        <f t="shared" si="17"/>
        <v>2.1583928137190577E-2</v>
      </c>
      <c r="AI19" s="275">
        <f t="shared" si="18"/>
        <v>43167.856274381149</v>
      </c>
      <c r="AJ19" s="268">
        <f t="shared" si="19"/>
        <v>0.25900661963304761</v>
      </c>
      <c r="AK19" s="275">
        <f t="shared" si="20"/>
        <v>710.14372561885102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166667</v>
      </c>
      <c r="AQ19" s="267">
        <f t="shared" si="31"/>
        <v>0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83.334000000000003</v>
      </c>
      <c r="AW19" s="270">
        <f t="shared" si="27"/>
        <v>0</v>
      </c>
      <c r="AX19" s="271">
        <f t="shared" si="28"/>
        <v>2590.066196330476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142771.87255434782</v>
      </c>
      <c r="X20" s="277">
        <f t="shared" si="37"/>
        <v>0</v>
      </c>
      <c r="Y20" s="277">
        <f t="shared" si="37"/>
        <v>142771.87255434782</v>
      </c>
      <c r="Z20" s="277">
        <f t="shared" si="37"/>
        <v>0</v>
      </c>
      <c r="AA20" s="277">
        <f t="shared" si="37"/>
        <v>142771.87255434782</v>
      </c>
      <c r="AB20" s="278"/>
      <c r="AC20" s="279"/>
      <c r="AD20" s="262"/>
      <c r="AE20" s="262"/>
      <c r="AF20" s="280">
        <f>SUM(AF14:AF19)</f>
        <v>7.1385936277173906E-2</v>
      </c>
      <c r="AG20" s="280">
        <f>SUM(AG14:AG19)</f>
        <v>7.0230590209790209E-2</v>
      </c>
      <c r="AH20" s="280">
        <f>SUM(AH14:AH19)</f>
        <v>7.0230590209790209E-2</v>
      </c>
      <c r="AI20" s="277">
        <f>SUM(AI14:AI19)</f>
        <v>140461.18041958043</v>
      </c>
      <c r="AJ20" s="262"/>
      <c r="AK20" s="277">
        <f>SUM(AK14:AK19)</f>
        <v>2310.6921347674024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531800.0080389576</v>
      </c>
      <c r="X21" s="281">
        <f t="shared" si="38"/>
        <v>0</v>
      </c>
      <c r="Y21" s="281">
        <f t="shared" si="38"/>
        <v>531800.0080389576</v>
      </c>
      <c r="Z21" s="281">
        <f t="shared" si="38"/>
        <v>0</v>
      </c>
      <c r="AA21" s="281">
        <f t="shared" si="38"/>
        <v>531800.0080389576</v>
      </c>
      <c r="AB21" s="282" t="s">
        <v>98</v>
      </c>
      <c r="AC21" s="279"/>
      <c r="AD21" s="262"/>
      <c r="AE21" s="262"/>
      <c r="AF21" s="283">
        <f>AF12+AF20</f>
        <v>0.26590000401947878</v>
      </c>
      <c r="AG21" s="283">
        <f>AG12+AG20</f>
        <v>0.15165504895104895</v>
      </c>
      <c r="AH21" s="283">
        <f>AH12+AH20</f>
        <v>0.15165504895104895</v>
      </c>
      <c r="AI21" s="281">
        <f>AI12+AI20</f>
        <v>303310.09790209791</v>
      </c>
      <c r="AJ21" s="262"/>
      <c r="AK21" s="281">
        <f>AK12+AK20</f>
        <v>228489.91013685972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0.26590000000000003</v>
      </c>
      <c r="X22" s="284">
        <f>IF(H24&lt;&gt;0,ROUND(X21/(H24*1000),5),0)</f>
        <v>0</v>
      </c>
      <c r="Y22" s="284">
        <f>Y21/Y24/1000</f>
        <v>0.26590000401947878</v>
      </c>
      <c r="Z22" s="284">
        <v>0</v>
      </c>
      <c r="AA22" s="284">
        <f>ROUND(AA21/(B49*1000),5)</f>
        <v>0.26590000000000003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0.15165504895104898</v>
      </c>
      <c r="AJ22" s="262"/>
      <c r="AK22" s="284">
        <f>AK21/AK24/1000</f>
        <v>0.11424495506842985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0.34589999999999999</v>
      </c>
      <c r="X23" s="284">
        <f>ROUND(X22+H6,5)</f>
        <v>0</v>
      </c>
      <c r="Y23" s="284">
        <f>Y22+(($B$6*$B$24*1000+$B$29*$B$47*1000+$E$29*$E$47*1000+$H$6*$H$24*1000+$H$29*$H$47*1000+$E$6*$E$24*1000)/($B$49*1000))</f>
        <v>0.34590000401947879</v>
      </c>
      <c r="Z23" s="284">
        <v>0</v>
      </c>
      <c r="AA23" s="284">
        <f>AA22+(($B$6*$B$24*1000+$B$29*$B$47*1000+$E$6*$E$24*1000+$E$29*$E$47*1000+$H$6*$H$24*1000+$H$29*$H$47*1000)/($B$49*1000))</f>
        <v>0.34590000000000004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2000</v>
      </c>
      <c r="X24" s="286">
        <f>H24</f>
        <v>0</v>
      </c>
      <c r="Y24" s="286">
        <f>SUM(S24:X24)</f>
        <v>2000</v>
      </c>
      <c r="Z24" s="286">
        <v>0</v>
      </c>
      <c r="AA24" s="286">
        <f>SUM(Y24:Z24)</f>
        <v>2000</v>
      </c>
      <c r="AB24" s="286"/>
      <c r="AC24" s="279"/>
      <c r="AD24" s="262"/>
      <c r="AE24" s="262"/>
      <c r="AF24" s="286">
        <f>Y24</f>
        <v>2000</v>
      </c>
      <c r="AG24" s="286"/>
      <c r="AH24" s="286"/>
      <c r="AI24" s="286">
        <f>Y24</f>
        <v>2000</v>
      </c>
      <c r="AJ24" s="262"/>
      <c r="AK24" s="286">
        <f>Y24</f>
        <v>2000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0.14849999999999999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8.4309999999999993E-3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3.3000000000000002E-2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0.27451406774230491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1.2254167798913041E-2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1.2254167798913041E-2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8.4256006793478246E-3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3.5769999999999999E-3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1.2936E-2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2.1939E-2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7.1385936277173906E-2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0.34590000401947885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2000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2000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Summary'!$C$9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Summary'!D$9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Summary'!E$9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Summary'!$F$9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Summary'!$G$9</f>
        <v>0</v>
      </c>
      <c r="C58" s="214">
        <f t="shared" si="46"/>
        <v>0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Summary'!$H$9</f>
        <v>2000</v>
      </c>
      <c r="C59" s="215">
        <f t="shared" si="46"/>
        <v>1</v>
      </c>
      <c r="D59" s="459">
        <f>B59/200</f>
        <v>10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2000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18165.149413724757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6343.186184101326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24508.335597826084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19136.278422403291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5372.0571754227949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24508.335597826088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2830.8265468009095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2371.8998385472487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1178.0916736084812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5694.144165169685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4354.4487662570127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421.79036831231144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16851.201358695649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v>5</v>
      </c>
      <c r="C112" s="40"/>
      <c r="D112" s="38">
        <f>D106</f>
        <v>4901.667119565217</v>
      </c>
      <c r="F112" s="439">
        <f>D112*B112</f>
        <v>24508.335597826084</v>
      </c>
      <c r="H112" s="21"/>
    </row>
    <row r="113" spans="1:45">
      <c r="A113" s="15" t="s">
        <v>260</v>
      </c>
      <c r="B113" s="54">
        <v>5</v>
      </c>
      <c r="C113" s="95"/>
      <c r="D113" s="38">
        <f>D106</f>
        <v>4901.667119565217</v>
      </c>
      <c r="F113" s="439">
        <f>D113*B113</f>
        <v>24508.335597826084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16851.201358695649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2.7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2.915</v>
      </c>
      <c r="F145" s="76">
        <f>G141</f>
        <v>6.6443706666712579E-2</v>
      </c>
      <c r="G145" s="113">
        <f>E145*F145</f>
        <v>0.19368340493346717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0.2656834049334672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0.14849999999999999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8.4309999999999993E-3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3.3000000000000002E-2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2000</v>
      </c>
      <c r="E172" s="14"/>
      <c r="F172" s="492" t="s">
        <v>8</v>
      </c>
      <c r="G172" s="492"/>
      <c r="H172" s="27">
        <f>D172/D173</f>
        <v>7.2727272727272727E-3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0.26326799999999995</v>
      </c>
      <c r="G177" s="171">
        <f>$E177/$D$172/1000</f>
        <v>0</v>
      </c>
      <c r="H177" s="83">
        <f t="shared" ref="H177:H178" si="56">SUM(F177:G177)</f>
        <v>0.26326799999999995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0.15523200000000001</v>
      </c>
      <c r="G178" s="111">
        <f>$E178/$D$172/1000</f>
        <v>0</v>
      </c>
      <c r="H178" s="85">
        <f t="shared" si="56"/>
        <v>0.15523200000000001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0.41849999999999998</v>
      </c>
      <c r="G179" s="112">
        <f>SUM(G176:G178)</f>
        <v>0</v>
      </c>
      <c r="H179" s="170">
        <f>SUM(H176:H178)</f>
        <v>0.41849999999999998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FE14-5989-45D1-B58D-3E41999195D4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0.10801025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3.3069000000000001E-2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35863.32386363636</v>
      </c>
      <c r="V7" s="266">
        <f>$F145*$E$24*1000*$E145</f>
        <v>294691.12780820363</v>
      </c>
      <c r="W7" s="266">
        <f>$I151*$H$47*1000*$H151</f>
        <v>0</v>
      </c>
      <c r="X7" s="266">
        <f>$I145*$H$24*1000*$H145</f>
        <v>32637.148714689225</v>
      </c>
      <c r="Y7" s="266">
        <f>SUM(S7:X7)</f>
        <v>363191.60038652923</v>
      </c>
      <c r="Z7" s="266">
        <v>0</v>
      </c>
      <c r="AA7" s="266">
        <f>SUM(Y7:Z7)</f>
        <v>363191.60038652923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5417678</v>
      </c>
      <c r="AE7" s="268">
        <f>Y7/AD7</f>
        <v>6.7038240439267385E-2</v>
      </c>
      <c r="AF7" s="269">
        <f>Y7/$AF$24/1000</f>
        <v>3.2140849591728249E-2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2.8403222609232406E-2</v>
      </c>
      <c r="AI7" s="266">
        <f>AH7*$Y$24*1000</f>
        <v>320956.41548432619</v>
      </c>
      <c r="AJ7" s="268">
        <f>AI7/AD7</f>
        <v>5.9242431071821949E-2</v>
      </c>
      <c r="AK7" s="266">
        <f>Y7-AI7</f>
        <v>42235.184902203036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491278</v>
      </c>
      <c r="AO7" s="267">
        <f>ROUND($E145*$E$24*1000,0)</f>
        <v>4435200</v>
      </c>
      <c r="AP7" s="267">
        <f>ROUND($H151*$H$47*1000,0)</f>
        <v>0</v>
      </c>
      <c r="AQ7" s="267">
        <f>ROUND($H145*$H$24*1000,0)</f>
        <v>491200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545.86400000000003</v>
      </c>
      <c r="AU7" s="270">
        <f>IF(F$24&lt;&gt;0,ROUND(AO7/F$24,3),0)</f>
        <v>1384.27</v>
      </c>
      <c r="AV7" s="270">
        <f>IF(H$47&lt;&gt;0,ROUND(AP7/H$47,3),0)</f>
        <v>0</v>
      </c>
      <c r="AW7" s="270">
        <f>IF(H$24&lt;&gt;0,ROUND(AQ7/H$24,3),0)</f>
        <v>122.8</v>
      </c>
      <c r="AX7" s="271">
        <f>AJ7*10000</f>
        <v>592.42431071821954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IF(E24&lt;&gt;0,$D$152,0)/2</f>
        <v>0.02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51113.63636363636</v>
      </c>
      <c r="V8" s="266">
        <f>$F146*$E$24*1000*$E146</f>
        <v>460800</v>
      </c>
      <c r="W8" s="266">
        <f>$I152*$H$47*1000*$H152</f>
        <v>0</v>
      </c>
      <c r="X8" s="266">
        <f>$I146*$H$24*1000*$H146</f>
        <v>61200</v>
      </c>
      <c r="Y8" s="266">
        <f t="shared" ref="Y8:Y11" si="0">SUM(S8:X8)</f>
        <v>573113.63636363635</v>
      </c>
      <c r="Z8" s="266">
        <v>0</v>
      </c>
      <c r="AA8" s="266">
        <f t="shared" ref="AA8:AA11" si="1">SUM(Y8:Z8)</f>
        <v>573113.63636363635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70778409</v>
      </c>
      <c r="AE8" s="268">
        <f>Y8/AD8</f>
        <v>8.0972947041468013E-3</v>
      </c>
      <c r="AF8" s="269">
        <f>Y8/$AF$24/1000</f>
        <v>5.071802091713596E-2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4.482007341771882E-2</v>
      </c>
      <c r="AI8" s="266">
        <f>AH8*$Y$24*1000</f>
        <v>506466.82962022268</v>
      </c>
      <c r="AJ8" s="268">
        <f>AI8/AD8</f>
        <v>7.1556684697479242E-3</v>
      </c>
      <c r="AK8" s="266">
        <f t="shared" ref="AK8:AK11" si="2">Y8-AI8</f>
        <v>66646.806743413676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12778409</v>
      </c>
      <c r="AO8" s="267">
        <f>ROUND($E146*$E$24*1000*1000,0)</f>
        <v>51200000</v>
      </c>
      <c r="AP8" s="267">
        <f>ROUND($H152*$H$47*1000*1000,0)</f>
        <v>0</v>
      </c>
      <c r="AQ8" s="267">
        <f>ROUND($H146*$H$24*1000*1000,0)</f>
        <v>6800000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14198.232</v>
      </c>
      <c r="AU8" s="270">
        <f>IF(E$24&lt;&gt;0,ROUND(AO8/E$24,3),0)</f>
        <v>8000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71.556684697479241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2.6283185840707966E-2</v>
      </c>
      <c r="F9" s="324">
        <v>4.3366416968646904E-2</v>
      </c>
      <c r="G9" s="33">
        <v>2.2368421052631579E-2</v>
      </c>
      <c r="H9" s="236">
        <f>IF(H24&lt;&gt;0,$H$159,0)</f>
        <v>2.6283185840707966E-2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23654.867256637168</v>
      </c>
      <c r="V9" s="266">
        <f>E9*E$24*1000</f>
        <v>168212.38938053101</v>
      </c>
      <c r="W9" s="266">
        <f>H32*H$47*1000</f>
        <v>0</v>
      </c>
      <c r="X9" s="266">
        <f>H9*H$24*1000</f>
        <v>105132.74336283185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11300000</v>
      </c>
      <c r="AE9" s="268">
        <f>Y9/AD9</f>
        <v>2.6283185840707966E-2</v>
      </c>
      <c r="AF9" s="269">
        <f>Y9/$AF$24/1000</f>
        <v>2.6283185840707966E-2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2.3226740667912502E-2</v>
      </c>
      <c r="AI9" s="266">
        <f>AH9*$Y$24*1000</f>
        <v>262462.16954741126</v>
      </c>
      <c r="AJ9" s="268">
        <f>AI9/AD9</f>
        <v>2.3226740667912502E-2</v>
      </c>
      <c r="AK9" s="266">
        <f t="shared" si="2"/>
        <v>34537.830452588736</v>
      </c>
      <c r="AL9" s="267">
        <f t="shared" ref="AL9:AQ11" si="3">S9/$AE9</f>
        <v>0</v>
      </c>
      <c r="AM9" s="267">
        <f t="shared" si="3"/>
        <v>0</v>
      </c>
      <c r="AN9" s="267">
        <f t="shared" si="3"/>
        <v>900000</v>
      </c>
      <c r="AO9" s="267">
        <f t="shared" si="3"/>
        <v>6400000.0000000009</v>
      </c>
      <c r="AP9" s="267">
        <f>W9/$AE9</f>
        <v>0</v>
      </c>
      <c r="AQ9" s="267">
        <f t="shared" si="3"/>
        <v>3999999.9999999995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1000</v>
      </c>
      <c r="AU9" s="270">
        <f>IF(E$24&lt;&gt;0,ROUND(AO9/E$24,3),0)</f>
        <v>1000</v>
      </c>
      <c r="AV9" s="270">
        <f>IF(H$47&lt;&gt;0,ROUND(AP9/H$47,3),0)</f>
        <v>0</v>
      </c>
      <c r="AW9" s="270">
        <f>IF(H$24&lt;&gt;0,ROUND(AQ9/H$24,3),0)</f>
        <v>1000</v>
      </c>
      <c r="AX9" s="271">
        <f>AJ9*10000</f>
        <v>232.26740667912503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1.492212389380531E-3</v>
      </c>
      <c r="F10" s="324">
        <v>7.333625847427477E-4</v>
      </c>
      <c r="G10" s="33">
        <v>6.5789473684210525E-4</v>
      </c>
      <c r="H10" s="236">
        <f>IF($H$24&lt;&gt;0,$H$163,0)</f>
        <v>1.492212389380531E-3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1342.9911504424779</v>
      </c>
      <c r="V10" s="266">
        <f>E10*E$24*1000</f>
        <v>9550.1592920353996</v>
      </c>
      <c r="W10" s="266">
        <f>H33*H$47*1000</f>
        <v>0</v>
      </c>
      <c r="X10" s="266">
        <f t="shared" ref="X10:X11" si="4">H10*H$24*1000</f>
        <v>5968.8495575221241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11300000</v>
      </c>
      <c r="AE10" s="268">
        <f>Y10/AD10</f>
        <v>1.492212389380531E-3</v>
      </c>
      <c r="AF10" s="269">
        <f>Y10/$AF$24/1000</f>
        <v>1.492212389380531E-3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1.3186845156307764E-3</v>
      </c>
      <c r="AI10" s="266">
        <f>AH10*$Y$24*1000</f>
        <v>14901.135026627773</v>
      </c>
      <c r="AJ10" s="268">
        <f>AI10/AD10</f>
        <v>1.3186845156307764E-3</v>
      </c>
      <c r="AK10" s="266">
        <f t="shared" si="2"/>
        <v>1960.8649733722268</v>
      </c>
      <c r="AL10" s="267">
        <f t="shared" si="3"/>
        <v>0</v>
      </c>
      <c r="AM10" s="267">
        <f t="shared" si="3"/>
        <v>0</v>
      </c>
      <c r="AN10" s="267">
        <f t="shared" si="3"/>
        <v>900000</v>
      </c>
      <c r="AO10" s="267">
        <f t="shared" si="3"/>
        <v>6400000.0000000009</v>
      </c>
      <c r="AP10" s="267">
        <f>W10/$AE10</f>
        <v>0</v>
      </c>
      <c r="AQ10" s="267">
        <f t="shared" si="3"/>
        <v>4000000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1000</v>
      </c>
      <c r="AU10" s="270">
        <f>IF(E$24&lt;&gt;0,ROUND(AO10/E$24,3),0)</f>
        <v>1000</v>
      </c>
      <c r="AV10" s="270">
        <f>IF(H$47&lt;&gt;0,ROUND(AP10/H$47,3),0)</f>
        <v>0</v>
      </c>
      <c r="AW10" s="270">
        <f>IF(H$24&lt;&gt;0,ROUND(AQ10/H$24,3),0)</f>
        <v>1000</v>
      </c>
      <c r="AX10" s="271">
        <f>AJ10*10000</f>
        <v>13.186845156307765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5.8407079646017697E-3</v>
      </c>
      <c r="F11" s="325">
        <v>1.0235235631961513E-2</v>
      </c>
      <c r="G11" s="84">
        <v>4.6052631578947364E-3</v>
      </c>
      <c r="H11" s="237">
        <f>IF($H$24&lt;&gt;0,$H$166,0)</f>
        <v>5.8407079646017697E-3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5256.6371681415931</v>
      </c>
      <c r="V11" s="272">
        <f>E11*E$24*1000</f>
        <v>37380.530973451328</v>
      </c>
      <c r="W11" s="272">
        <f>H34*H$47*1000</f>
        <v>0</v>
      </c>
      <c r="X11" s="272">
        <f t="shared" si="4"/>
        <v>23362.831858407077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11300000</v>
      </c>
      <c r="AE11" s="268">
        <f>Y11/AD11</f>
        <v>5.8407079646017697E-3</v>
      </c>
      <c r="AF11" s="273">
        <f>Y11/$AF$24/1000</f>
        <v>5.8407079646017705E-3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5.1614979262027787E-3</v>
      </c>
      <c r="AI11" s="272">
        <f>AH11*$Y$24*1000</f>
        <v>58324.926566091402</v>
      </c>
      <c r="AJ11" s="268">
        <f>AI11/AD11</f>
        <v>5.1614979262027787E-3</v>
      </c>
      <c r="AK11" s="272">
        <f t="shared" si="2"/>
        <v>7675.0734339085975</v>
      </c>
      <c r="AL11" s="267">
        <f t="shared" si="3"/>
        <v>0</v>
      </c>
      <c r="AM11" s="267">
        <f t="shared" si="3"/>
        <v>0</v>
      </c>
      <c r="AN11" s="267">
        <f t="shared" si="3"/>
        <v>900000.00000000012</v>
      </c>
      <c r="AO11" s="267">
        <f>V11/$AE11</f>
        <v>6400000</v>
      </c>
      <c r="AP11" s="267">
        <f>W11/$AE11</f>
        <v>0</v>
      </c>
      <c r="AQ11" s="267">
        <f>X11/$AE11</f>
        <v>3999999.9999999995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1000</v>
      </c>
      <c r="AU11" s="270">
        <f>IF(E$24&lt;&gt;0,ROUND(AO11/E$24,3),0)</f>
        <v>1000</v>
      </c>
      <c r="AV11" s="270">
        <f>IF(H$47&lt;&gt;0,ROUND(AP11/H$47,3),0)</f>
        <v>0</v>
      </c>
      <c r="AW11" s="270">
        <f>IF(H$24&lt;&gt;0,ROUND(AQ11/H$24,3),0)</f>
        <v>1000</v>
      </c>
      <c r="AX11" s="271">
        <f>AJ11*10000</f>
        <v>51.614979262027788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0.19469535619469022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0.23494310619469025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117231.45580249396</v>
      </c>
      <c r="V12" s="266">
        <f t="shared" si="6"/>
        <v>970634.20745422144</v>
      </c>
      <c r="W12" s="266">
        <f t="shared" si="6"/>
        <v>0</v>
      </c>
      <c r="X12" s="266">
        <f t="shared" si="6"/>
        <v>228301.57349345027</v>
      </c>
      <c r="Y12" s="266">
        <f t="shared" si="6"/>
        <v>1316167.2367501655</v>
      </c>
      <c r="Z12" s="266">
        <f t="shared" si="6"/>
        <v>0</v>
      </c>
      <c r="AA12" s="266">
        <f t="shared" si="6"/>
        <v>1316167.2367501655</v>
      </c>
      <c r="AB12" s="263"/>
      <c r="AC12" s="264"/>
      <c r="AD12" s="262"/>
      <c r="AE12" s="262"/>
      <c r="AF12" s="269">
        <f t="shared" ref="AF12" si="7">SUM(AF7:AF11)</f>
        <v>0.11647497670355447</v>
      </c>
      <c r="AG12" s="269">
        <f>SUM(AG7:AG11)</f>
        <v>8.142445874125874E-2</v>
      </c>
      <c r="AH12" s="269">
        <f>SUM(AH7:AH11)</f>
        <v>0.10293021913669728</v>
      </c>
      <c r="AI12" s="266">
        <f t="shared" ref="AI12:AK12" si="8">SUM(AI7:AI11)</f>
        <v>1163111.4762446792</v>
      </c>
      <c r="AJ12" s="262"/>
      <c r="AK12" s="266">
        <f t="shared" si="8"/>
        <v>153055.76050548628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2.2556344267025779E-2</v>
      </c>
      <c r="F14" s="324">
        <v>5.568578119363226E-2</v>
      </c>
      <c r="G14" s="33">
        <v>2.6384279999999996E-2</v>
      </c>
      <c r="H14" s="236">
        <f>IF($H$24&lt;&gt;0,$F$112/$B$49/1000,0)</f>
        <v>2.2556344267025779E-2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20300.709840323201</v>
      </c>
      <c r="V14" s="266">
        <f t="shared" ref="V14:V19" si="12">E14*E$24*1000</f>
        <v>144360.60330896499</v>
      </c>
      <c r="W14" s="266">
        <f>H37*H$47*1000</f>
        <v>0</v>
      </c>
      <c r="X14" s="266">
        <f t="shared" ref="X14:X19" si="13">H14*H$24*1000</f>
        <v>90225.377068103116</v>
      </c>
      <c r="Y14" s="266">
        <f t="shared" ref="Y14:Y19" si="14">SUM(S14:X14)</f>
        <v>254886.6902173913</v>
      </c>
      <c r="Z14" s="266">
        <f>-$D$115</f>
        <v>0</v>
      </c>
      <c r="AA14" s="266">
        <f t="shared" ref="AA14:AA19" si="15">SUM(Y14:Z14)</f>
        <v>254886.6902173913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2.2556344267025779E-2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2.2556344267025779E-2</v>
      </c>
      <c r="AI14" s="266">
        <f t="shared" ref="AI14:AI19" si="18">AH14*$Y$24*1000</f>
        <v>254886.6902173913</v>
      </c>
      <c r="AJ14" s="268" t="e">
        <f t="shared" ref="AJ14:AJ19" si="19">AI14/AD14</f>
        <v>#DIV/0!</v>
      </c>
      <c r="AK14" s="266">
        <f t="shared" ref="AK14:AK19" si="20">Y14-AI14</f>
        <v>0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 t="e">
        <f t="shared" ref="AT14:AT19" si="24">IF(E$47&lt;&gt;0,ROUND(AN14/E$47,3),0)</f>
        <v>#DIV/0!</v>
      </c>
      <c r="AU14" s="270" t="e">
        <f t="shared" ref="AU14:AU19" si="25">IF(E$24&lt;&gt;0,ROUND(AO14/E$24,3),0)</f>
        <v>#DIV/0!</v>
      </c>
      <c r="AV14" s="270">
        <f t="shared" ref="AV14:AV19" si="26">IF(H$47&lt;&gt;0,ROUND(AP14/H$47,3),0)</f>
        <v>0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9.5430687283570605E-3</v>
      </c>
      <c r="F15" s="324">
        <v>1.9535757663515587E-2</v>
      </c>
      <c r="G15" s="33">
        <v>9.0204400000000011E-3</v>
      </c>
      <c r="H15" s="236">
        <f>IF($H$24&lt;&gt;0,$F$113/$B$49/1000,0)</f>
        <v>9.5430687283570605E-3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8588.7618555213558</v>
      </c>
      <c r="V15" s="274">
        <f t="shared" si="12"/>
        <v>61075.639861485186</v>
      </c>
      <c r="W15" s="266">
        <f>H38*H$47*1000</f>
        <v>0</v>
      </c>
      <c r="X15" s="274">
        <f t="shared" si="13"/>
        <v>38172.274913428242</v>
      </c>
      <c r="Y15" s="274">
        <f t="shared" si="14"/>
        <v>107836.67663043478</v>
      </c>
      <c r="Z15" s="274">
        <f>-$H$115</f>
        <v>0</v>
      </c>
      <c r="AA15" s="274">
        <f t="shared" si="15"/>
        <v>107836.67663043478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9.5430687283570605E-3</v>
      </c>
      <c r="AG15" s="265">
        <v>7.650220979020979E-3</v>
      </c>
      <c r="AH15" s="265">
        <f t="shared" si="17"/>
        <v>9.5430687283570605E-3</v>
      </c>
      <c r="AI15" s="274">
        <f t="shared" si="18"/>
        <v>107836.67663043478</v>
      </c>
      <c r="AJ15" s="268" t="e">
        <f t="shared" si="19"/>
        <v>#DIV/0!</v>
      </c>
      <c r="AK15" s="274">
        <f t="shared" si="20"/>
        <v>0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 t="e">
        <f t="shared" si="24"/>
        <v>#DIV/0!</v>
      </c>
      <c r="AU15" s="270" t="e">
        <f t="shared" si="25"/>
        <v>#DIV/0!</v>
      </c>
      <c r="AV15" s="270">
        <f t="shared" si="26"/>
        <v>0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9.8197531021546741E-3</v>
      </c>
      <c r="F16" s="324">
        <v>1.7065229602759201E-2</v>
      </c>
      <c r="G16" s="33">
        <v>1.3928937427385891E-2</v>
      </c>
      <c r="H16" s="236">
        <f>IF($H$24&lt;&gt;0,$F$115/$B$49/1000,0)</f>
        <v>9.8197531021546741E-3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8837.7777919392065</v>
      </c>
      <c r="V16" s="266">
        <f t="shared" si="12"/>
        <v>62846.419853789914</v>
      </c>
      <c r="W16" s="266">
        <f>H39*H$47*1000</f>
        <v>0</v>
      </c>
      <c r="X16" s="266">
        <f t="shared" si="13"/>
        <v>39279.012408618699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9.8197531021546741E-3</v>
      </c>
      <c r="AG16" s="269">
        <v>8.8563300699300695E-3</v>
      </c>
      <c r="AH16" s="269">
        <f t="shared" si="17"/>
        <v>9.8197531021546741E-3</v>
      </c>
      <c r="AI16" s="266">
        <f t="shared" si="18"/>
        <v>110963.21005434782</v>
      </c>
      <c r="AJ16" s="268" t="e">
        <f t="shared" si="19"/>
        <v>#DIV/0!</v>
      </c>
      <c r="AK16" s="266">
        <f t="shared" si="20"/>
        <v>0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 t="e">
        <f t="shared" si="24"/>
        <v>#DIV/0!</v>
      </c>
      <c r="AU16" s="270" t="e">
        <f t="shared" si="25"/>
        <v>#DIV/0!</v>
      </c>
      <c r="AV16" s="270">
        <f t="shared" si="26"/>
        <v>0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6.3309734513274346E-4</v>
      </c>
      <c r="F17" s="324">
        <v>4.5810515777660989E-3</v>
      </c>
      <c r="G17" s="33">
        <v>1.5771315789473684E-3</v>
      </c>
      <c r="H17" s="236">
        <f>IF($H$24&lt;&gt;0,$F$114/$B$49/1000,0)</f>
        <v>6.3309734513274346E-4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569.78761061946909</v>
      </c>
      <c r="V17" s="274">
        <f t="shared" si="12"/>
        <v>4051.8230088495579</v>
      </c>
      <c r="W17" s="266">
        <f>H40*H$47*1000</f>
        <v>0</v>
      </c>
      <c r="X17" s="274">
        <f>H17*H$24*1000</f>
        <v>2532.3893805309735</v>
      </c>
      <c r="Y17" s="274">
        <f t="shared" si="14"/>
        <v>7154.0000000000009</v>
      </c>
      <c r="Z17" s="274">
        <f>C176/($C$184+$C$185)*$C$185</f>
        <v>0</v>
      </c>
      <c r="AA17" s="274">
        <f t="shared" si="15"/>
        <v>7154.0000000000009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6.3309734513274346E-4</v>
      </c>
      <c r="AG17" s="265">
        <v>2.1273118881118881E-3</v>
      </c>
      <c r="AH17" s="265">
        <f t="shared" si="17"/>
        <v>6.3309734513274346E-4</v>
      </c>
      <c r="AI17" s="274">
        <f t="shared" si="18"/>
        <v>7154.0000000000009</v>
      </c>
      <c r="AJ17" s="268" t="e">
        <f t="shared" si="19"/>
        <v>#DIV/0!</v>
      </c>
      <c r="AK17" s="274">
        <f t="shared" si="20"/>
        <v>0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 t="e">
        <f t="shared" si="24"/>
        <v>#DIV/0!</v>
      </c>
      <c r="AU17" s="270" t="e">
        <f t="shared" si="25"/>
        <v>#DIV/0!</v>
      </c>
      <c r="AV17" s="270">
        <f t="shared" si="26"/>
        <v>0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2.2895575221238938E-3</v>
      </c>
      <c r="F18" s="324">
        <v>3.8559807065526065E-3</v>
      </c>
      <c r="G18" s="33">
        <v>1.6578947368421054E-3</v>
      </c>
      <c r="H18" s="236">
        <f>IF($H$24&lt;&gt;0,$B$178/$B$49/1000,0)</f>
        <v>2.2895575221238938E-3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2060.6017699115046</v>
      </c>
      <c r="V18" s="274">
        <f t="shared" si="12"/>
        <v>14653.168141592922</v>
      </c>
      <c r="W18" s="274">
        <f t="shared" ref="W18:W19" si="32">H41*H$47*1000</f>
        <v>0</v>
      </c>
      <c r="X18" s="274">
        <f t="shared" si="13"/>
        <v>9158.2300884955748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941667</v>
      </c>
      <c r="AE18" s="268">
        <f>Y18/AD18</f>
        <v>2.7474680539936094E-2</v>
      </c>
      <c r="AF18" s="265">
        <f t="shared" si="16"/>
        <v>2.2895575221238938E-3</v>
      </c>
      <c r="AG18" s="265">
        <v>3.2747211188811187E-2</v>
      </c>
      <c r="AH18" s="265">
        <f t="shared" si="17"/>
        <v>2.2895575221238938E-3</v>
      </c>
      <c r="AI18" s="274">
        <f t="shared" si="18"/>
        <v>25872</v>
      </c>
      <c r="AJ18" s="268">
        <f>AI18/AD18</f>
        <v>2.7474680539936094E-2</v>
      </c>
      <c r="AK18" s="274">
        <f>Y18-AI18</f>
        <v>0</v>
      </c>
      <c r="AL18" s="267">
        <f t="shared" si="31"/>
        <v>0</v>
      </c>
      <c r="AM18" s="267">
        <f t="shared" si="31"/>
        <v>0</v>
      </c>
      <c r="AN18" s="267">
        <f t="shared" si="31"/>
        <v>75000.026548672569</v>
      </c>
      <c r="AO18" s="267">
        <f t="shared" si="31"/>
        <v>533333.52212389384</v>
      </c>
      <c r="AP18" s="267">
        <f t="shared" si="31"/>
        <v>0</v>
      </c>
      <c r="AQ18" s="267">
        <f t="shared" si="31"/>
        <v>333333.45132743358</v>
      </c>
      <c r="AR18" s="270">
        <f t="shared" si="22"/>
        <v>0</v>
      </c>
      <c r="AS18" s="270" t="e">
        <f t="shared" si="23"/>
        <v>#DIV/0!</v>
      </c>
      <c r="AT18" s="270">
        <f t="shared" si="24"/>
        <v>83.332999999999998</v>
      </c>
      <c r="AU18" s="270">
        <f t="shared" si="25"/>
        <v>83.332999999999998</v>
      </c>
      <c r="AV18" s="270">
        <f t="shared" si="26"/>
        <v>0</v>
      </c>
      <c r="AW18" s="270">
        <f t="shared" si="27"/>
        <v>83.332999999999998</v>
      </c>
      <c r="AX18" s="271">
        <f>AJ18*10000</f>
        <v>274.74680539936094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IF(E24&lt;&gt;0,$B$177/B49/1000,0)</f>
        <v>3.8830088495575218E-3</v>
      </c>
      <c r="F19" s="325">
        <v>1.0801565595349401E-2</v>
      </c>
      <c r="G19" s="84">
        <v>5.8026315789473683E-3</v>
      </c>
      <c r="H19" s="237">
        <f>IF($H$24&lt;&gt;0,$B$177/$B$49/1000,0)</f>
        <v>3.8830088495575218E-3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3494.7079646017696</v>
      </c>
      <c r="V19" s="275">
        <f t="shared" si="12"/>
        <v>24851.256637168142</v>
      </c>
      <c r="W19" s="275">
        <f t="shared" si="32"/>
        <v>0</v>
      </c>
      <c r="X19" s="275">
        <f t="shared" si="13"/>
        <v>15532.035398230088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941667</v>
      </c>
      <c r="AE19" s="268">
        <f t="shared" si="29"/>
        <v>4.6596089700499221E-2</v>
      </c>
      <c r="AF19" s="276">
        <f t="shared" si="16"/>
        <v>3.8830088495575218E-3</v>
      </c>
      <c r="AG19" s="276">
        <v>7.3609622377622374E-3</v>
      </c>
      <c r="AH19" s="276">
        <f t="shared" si="17"/>
        <v>3.8830088495575218E-3</v>
      </c>
      <c r="AI19" s="275">
        <f t="shared" si="18"/>
        <v>43878</v>
      </c>
      <c r="AJ19" s="268">
        <f t="shared" si="19"/>
        <v>4.6596089700499221E-2</v>
      </c>
      <c r="AK19" s="275">
        <f t="shared" si="20"/>
        <v>0</v>
      </c>
      <c r="AL19" s="267">
        <f t="shared" si="31"/>
        <v>0</v>
      </c>
      <c r="AM19" s="267">
        <f t="shared" si="31"/>
        <v>0</v>
      </c>
      <c r="AN19" s="267">
        <f t="shared" si="31"/>
        <v>75000.026548672555</v>
      </c>
      <c r="AO19" s="267">
        <f t="shared" si="31"/>
        <v>533333.52212389384</v>
      </c>
      <c r="AP19" s="267">
        <f t="shared" si="31"/>
        <v>0</v>
      </c>
      <c r="AQ19" s="267">
        <f t="shared" si="31"/>
        <v>333333.45132743364</v>
      </c>
      <c r="AR19" s="270">
        <f t="shared" si="22"/>
        <v>0</v>
      </c>
      <c r="AS19" s="270" t="e">
        <f t="shared" si="23"/>
        <v>#DIV/0!</v>
      </c>
      <c r="AT19" s="270">
        <f t="shared" si="24"/>
        <v>83.332999999999998</v>
      </c>
      <c r="AU19" s="270">
        <f t="shared" si="25"/>
        <v>83.332999999999998</v>
      </c>
      <c r="AV19" s="270">
        <f t="shared" si="26"/>
        <v>0</v>
      </c>
      <c r="AW19" s="270">
        <f t="shared" si="27"/>
        <v>83.332999999999998</v>
      </c>
      <c r="AX19" s="271">
        <f t="shared" si="28"/>
        <v>465.9608970049922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4.8724829814351674E-2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4.8724829814351674E-2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43852.346832916497</v>
      </c>
      <c r="V20" s="277">
        <f t="shared" si="37"/>
        <v>311838.91081185074</v>
      </c>
      <c r="W20" s="277">
        <f t="shared" si="37"/>
        <v>0</v>
      </c>
      <c r="X20" s="277">
        <f t="shared" si="37"/>
        <v>194899.31925740669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4.8724829814351674E-2</v>
      </c>
      <c r="AG20" s="280">
        <f>SUM(AG14:AG19)</f>
        <v>7.0230590209790209E-2</v>
      </c>
      <c r="AH20" s="280">
        <f>SUM(AH14:AH19)</f>
        <v>4.8724829814351674E-2</v>
      </c>
      <c r="AI20" s="277">
        <f>SUM(AI14:AI19)</f>
        <v>550590.57690217393</v>
      </c>
      <c r="AJ20" s="262"/>
      <c r="AK20" s="277">
        <f>SUM(AK14:AK19)</f>
        <v>0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161083.80263541045</v>
      </c>
      <c r="V21" s="281">
        <f t="shared" si="38"/>
        <v>1282473.1182660721</v>
      </c>
      <c r="W21" s="281">
        <f t="shared" si="38"/>
        <v>0</v>
      </c>
      <c r="X21" s="281">
        <f t="shared" si="38"/>
        <v>423200.89275085693</v>
      </c>
      <c r="Y21" s="281">
        <f t="shared" si="38"/>
        <v>1866757.8136523394</v>
      </c>
      <c r="Z21" s="281">
        <f t="shared" si="38"/>
        <v>0</v>
      </c>
      <c r="AA21" s="281">
        <f t="shared" si="38"/>
        <v>1866757.8136523394</v>
      </c>
      <c r="AB21" s="282" t="s">
        <v>98</v>
      </c>
      <c r="AC21" s="279"/>
      <c r="AD21" s="262"/>
      <c r="AE21" s="262"/>
      <c r="AF21" s="283">
        <f>AF12+AF20</f>
        <v>0.16519980651790614</v>
      </c>
      <c r="AG21" s="283">
        <f>AG12+AG20</f>
        <v>0.15165504895104895</v>
      </c>
      <c r="AH21" s="283">
        <f>AH12+AH20</f>
        <v>0.15165504895104895</v>
      </c>
      <c r="AI21" s="281">
        <f>AI12+AI20</f>
        <v>1713702.0531468531</v>
      </c>
      <c r="AJ21" s="262"/>
      <c r="AK21" s="281">
        <f>AK12+AK20</f>
        <v>153055.76050548628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0.24342018600904189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0.28366793600904194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0.17898</v>
      </c>
      <c r="V22" s="284">
        <f>IF(E24&lt;&gt;0,ROUND(V21/(E24*1000),5),0)</f>
        <v>0.20039000000000001</v>
      </c>
      <c r="W22" s="284">
        <f>IF(H47&lt;&gt;0,ROUND(W21/(H47*1000),5),0)</f>
        <v>0</v>
      </c>
      <c r="X22" s="284">
        <f>IF(H24&lt;&gt;0,ROUND(X21/(H24*1000),5),0)</f>
        <v>0.10580000000000001</v>
      </c>
      <c r="Y22" s="284">
        <f>Y21/Y24/1000</f>
        <v>0.16519980651790617</v>
      </c>
      <c r="Z22" s="284">
        <v>0</v>
      </c>
      <c r="AA22" s="284">
        <f>ROUND(AA21/(B49*1000),5)</f>
        <v>0.16520000000000001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0.15165504895104895</v>
      </c>
      <c r="AJ22" s="262"/>
      <c r="AK22" s="284">
        <f>AK21/AK24/1000</f>
        <v>1.3544757566857192E-2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0.30724000000000001</v>
      </c>
      <c r="V23" s="284">
        <f>ROUND(V22+E6,5)</f>
        <v>0.30840000000000001</v>
      </c>
      <c r="W23" s="284">
        <f>ROUND(W22+H29,5)</f>
        <v>0</v>
      </c>
      <c r="X23" s="284">
        <f>ROUND(X22+H6,5)</f>
        <v>0.23405999999999999</v>
      </c>
      <c r="Y23" s="284">
        <f>Y22+(($B$6*$B$24*1000+$B$29*$B$47*1000+$E$29*$E$47*1000+$H$6*$H$24*1000+$H$29*$H$47*1000+$E$6*$E$24*1000)/($B$49*1000))</f>
        <v>0.28199005430551682</v>
      </c>
      <c r="Z23" s="284">
        <v>0</v>
      </c>
      <c r="AA23" s="284">
        <f>AA22+(($B$6*$B$24*1000+$B$29*$B$47*1000+$E$6*$E$24*1000+$E$29*$E$47*1000+$H$6*$H$24*1000+$H$29*$H$47*1000)/($B$49*1000))</f>
        <v>0.28199024778761062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6400</v>
      </c>
      <c r="F24" s="339">
        <v>3204</v>
      </c>
      <c r="G24" s="181">
        <v>51000</v>
      </c>
      <c r="H24" s="393">
        <f>B58</f>
        <v>4000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900</v>
      </c>
      <c r="V24" s="286">
        <f>E24</f>
        <v>6400</v>
      </c>
      <c r="W24" s="286">
        <f>H47</f>
        <v>0</v>
      </c>
      <c r="X24" s="286">
        <f>H24</f>
        <v>4000</v>
      </c>
      <c r="Y24" s="286">
        <f>SUM(S24:X24)</f>
        <v>11300</v>
      </c>
      <c r="Z24" s="286">
        <v>0</v>
      </c>
      <c r="AA24" s="286">
        <f>SUM(Y24:Z24)</f>
        <v>11300</v>
      </c>
      <c r="AB24" s="286"/>
      <c r="AC24" s="279"/>
      <c r="AD24" s="262"/>
      <c r="AE24" s="262"/>
      <c r="AF24" s="286">
        <f>Y24</f>
        <v>11300</v>
      </c>
      <c r="AG24" s="286"/>
      <c r="AH24" s="286"/>
      <c r="AI24" s="286">
        <f>Y24</f>
        <v>11300</v>
      </c>
      <c r="AJ24" s="262"/>
      <c r="AK24" s="286">
        <f>Y24</f>
        <v>11300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0.12825800000000001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3.9848137626262624E-2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5.6792929292929291E-2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2.6283185840707966E-2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1.492212389380531E-3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5.8407079646017697E-3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0.25851517311388222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2.2556344267025779E-2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9.5430687283570605E-3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9.8197531021546741E-3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6.3309734513274346E-4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2.2895575221238938E-3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3.8830088495575218E-3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4.8724829814351674E-2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0.30724000292823389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900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11300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Summary'!$C$10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Summary'!D$10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Summary'!E$10</f>
        <v>900</v>
      </c>
      <c r="C56" s="214">
        <f t="shared" si="46"/>
        <v>7.9646017699115043E-2</v>
      </c>
      <c r="D56" s="459">
        <f>B56/200/2</f>
        <v>2.25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Summary'!$F$10</f>
        <v>6400</v>
      </c>
      <c r="C57" s="214">
        <f t="shared" si="46"/>
        <v>0.5663716814159292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Summary'!$G$10</f>
        <v>4000</v>
      </c>
      <c r="C58" s="214">
        <f t="shared" si="46"/>
        <v>0.35398230088495575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Summary'!$H$10</f>
        <v>0</v>
      </c>
      <c r="C59" s="215">
        <f t="shared" si="46"/>
        <v>0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11300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0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0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1000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275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0</v>
      </c>
      <c r="L84" s="61">
        <f>J84*K84</f>
        <v>0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(B71/2000*0.75)+(B68/2000*0.25)</f>
        <v>0.10329125</v>
      </c>
      <c r="K85" s="198">
        <v>1</v>
      </c>
      <c r="L85" s="44">
        <f t="shared" ref="L85:L86" si="50">J85*K85</f>
        <v>0.10329125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103.29125000000001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1000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0.10801025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84199.625058574486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23637.051571860298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107836.67663043478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>
        <f>+T125/SUM($T$125:$T$126)</f>
        <v>0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900</v>
      </c>
      <c r="U126" s="71">
        <f>+T126/SUM($T$125:$T$126)</f>
        <v>1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1.2857142857142858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0.47799999999999998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0.69299999999999995</v>
      </c>
      <c r="F145" s="76">
        <f>G141</f>
        <v>6.6443706666712579E-2</v>
      </c>
      <c r="G145" s="113">
        <f>E145*F145</f>
        <v>4.6045488720031814E-2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0.11804548872003182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2.6283185840707966E-2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1.492212389380531E-3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5.8407079646017697E-3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11300</v>
      </c>
      <c r="E172" s="14"/>
      <c r="F172" s="492" t="s">
        <v>8</v>
      </c>
      <c r="G172" s="492"/>
      <c r="H172" s="27">
        <f>D172/D173</f>
        <v>4.1090909090909088E-2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4.6596106194690262E-2</v>
      </c>
      <c r="G177" s="171">
        <f>$E177/$D$172/1000</f>
        <v>0</v>
      </c>
      <c r="H177" s="83">
        <f t="shared" ref="H177:H178" si="56">SUM(F177:G177)</f>
        <v>4.6596106194690262E-2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2.7474690265486726E-2</v>
      </c>
      <c r="G178" s="111">
        <f>$E178/$D$172/1000</f>
        <v>0</v>
      </c>
      <c r="H178" s="85">
        <f t="shared" si="56"/>
        <v>2.7474690265486726E-2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7.4070796460176988E-2</v>
      </c>
      <c r="G179" s="112">
        <f>SUM(G176:G178)</f>
        <v>0</v>
      </c>
      <c r="H179" s="170">
        <f>SUM(H176:H178)</f>
        <v>7.4070796460176988E-2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8055-4AA8-4DF9-81AF-02DFA670EBB8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0.10801025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3.3069000000000001E-2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281083.45668286091</v>
      </c>
      <c r="W7" s="266">
        <f>$I151*$H$47*1000*$H151</f>
        <v>9166.1354846098202</v>
      </c>
      <c r="X7" s="266">
        <f>$I145*$H$24*1000*$H145</f>
        <v>30189.362561087528</v>
      </c>
      <c r="Y7" s="266">
        <f>SUM(S7:X7)</f>
        <v>320438.95472855825</v>
      </c>
      <c r="Z7" s="266">
        <v>0</v>
      </c>
      <c r="AA7" s="266">
        <f>SUM(Y7:Z7)</f>
        <v>320438.95472855825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4810323</v>
      </c>
      <c r="AE7" s="268">
        <f>Y7/AD7</f>
        <v>6.6614852002362057E-2</v>
      </c>
      <c r="AF7" s="269">
        <f>Y7/$AF$24/1000</f>
        <v>2.6482558242029608E-2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2.6482558242029608E-2</v>
      </c>
      <c r="AI7" s="266">
        <f>AH7*$Y$24*1000</f>
        <v>320438.95472855825</v>
      </c>
      <c r="AJ7" s="268">
        <f>AI7/AD7</f>
        <v>6.6614852002362057E-2</v>
      </c>
      <c r="AK7" s="266">
        <f>Y7-AI7</f>
        <v>0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4230400</v>
      </c>
      <c r="AP7" s="267">
        <f>ROUND($H151*$H$47*1000,0)</f>
        <v>125563</v>
      </c>
      <c r="AQ7" s="267">
        <f>ROUND($H145*$H$24*1000,0)</f>
        <v>454360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1320.35</v>
      </c>
      <c r="AV7" s="270">
        <f>IF(H$47&lt;&gt;0,ROUND(AP7/H$47,3),0)</f>
        <v>62.781999999999996</v>
      </c>
      <c r="AW7" s="270">
        <f>IF(H$24&lt;&gt;0,ROUND(AQ7/H$24,3),0)</f>
        <v>122.8</v>
      </c>
      <c r="AX7" s="271">
        <f>AJ7*10000</f>
        <v>666.14852002362056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IF(E24&lt;&gt;0,$D$152,0)/2</f>
        <v>0.02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460800</v>
      </c>
      <c r="W8" s="266">
        <f>$I152*$H$47*1000*$H152</f>
        <v>0</v>
      </c>
      <c r="X8" s="266">
        <f>$I146*$H$24*1000*$H146</f>
        <v>56610</v>
      </c>
      <c r="Y8" s="266">
        <f t="shared" ref="Y8:Y11" si="0">SUM(S8:X8)</f>
        <v>517410</v>
      </c>
      <c r="Z8" s="266">
        <v>0</v>
      </c>
      <c r="AA8" s="266">
        <f t="shared" ref="AA8:AA11" si="1">SUM(Y8:Z8)</f>
        <v>517410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57490000</v>
      </c>
      <c r="AE8" s="268">
        <f>Y8/AD8</f>
        <v>8.9999999999999993E-3</v>
      </c>
      <c r="AF8" s="269">
        <f>Y8/$AF$24/1000</f>
        <v>4.2761157024793391E-2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4.2761157024793391E-2</v>
      </c>
      <c r="AI8" s="266">
        <f>AH8*$Y$24*1000</f>
        <v>517410.00000000006</v>
      </c>
      <c r="AJ8" s="268">
        <f>AI8/AD8</f>
        <v>9.0000000000000011E-3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51200000</v>
      </c>
      <c r="AP8" s="267">
        <f>ROUND($H152*$H$47*1000*1000,0)</f>
        <v>0</v>
      </c>
      <c r="AQ8" s="267">
        <f>ROUND($H146*$H$24*1000*1000,0)</f>
        <v>6290000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8000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90.000000000000014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2.4545454545454544E-2</v>
      </c>
      <c r="F9" s="324">
        <v>4.3366416968646904E-2</v>
      </c>
      <c r="G9" s="33">
        <v>2.2368421052631579E-2</v>
      </c>
      <c r="H9" s="236">
        <f>IF(H24&lt;&gt;0,$H$159,0)</f>
        <v>2.4545454545454544E-2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157090.90909090909</v>
      </c>
      <c r="W9" s="266">
        <f>H32*H$47*1000</f>
        <v>49090.909090909088</v>
      </c>
      <c r="X9" s="266">
        <f>H9*H$24*1000</f>
        <v>90818.181818181809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12100000</v>
      </c>
      <c r="AE9" s="268">
        <f>Y9/AD9</f>
        <v>2.4545454545454544E-2</v>
      </c>
      <c r="AF9" s="269">
        <f>Y9/$AF$24/1000</f>
        <v>2.4545454545454547E-2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2.4545454545454547E-2</v>
      </c>
      <c r="AI9" s="266">
        <f>AH9*$Y$24*1000</f>
        <v>297000</v>
      </c>
      <c r="AJ9" s="268">
        <f>AI9/AD9</f>
        <v>2.4545454545454544E-2</v>
      </c>
      <c r="AK9" s="266">
        <f t="shared" si="2"/>
        <v>0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6400000</v>
      </c>
      <c r="AP9" s="267">
        <f>W9/$AE9</f>
        <v>2000000</v>
      </c>
      <c r="AQ9" s="267">
        <f t="shared" si="3"/>
        <v>3700000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1000</v>
      </c>
      <c r="AV9" s="270">
        <f>IF(H$47&lt;&gt;0,ROUND(AP9/H$47,3),0)</f>
        <v>1000</v>
      </c>
      <c r="AW9" s="270">
        <f>IF(H$24&lt;&gt;0,ROUND(AQ9/H$24,3),0)</f>
        <v>1000</v>
      </c>
      <c r="AX9" s="271">
        <f>AJ9*10000</f>
        <v>245.45454545454544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1.3935537190082645E-3</v>
      </c>
      <c r="F10" s="324">
        <v>7.333625847427477E-4</v>
      </c>
      <c r="G10" s="33">
        <v>6.5789473684210525E-4</v>
      </c>
      <c r="H10" s="236">
        <f>IF($H$24&lt;&gt;0,$H$163,0)</f>
        <v>1.3935537190082645E-3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8918.7438016528922</v>
      </c>
      <c r="W10" s="266">
        <f>H33*H$47*1000</f>
        <v>2787.1074380165292</v>
      </c>
      <c r="X10" s="266">
        <f t="shared" ref="X10:X11" si="4">H10*H$24*1000</f>
        <v>5156.1487603305786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12100000</v>
      </c>
      <c r="AE10" s="268">
        <f>Y10/AD10</f>
        <v>1.3935537190082645E-3</v>
      </c>
      <c r="AF10" s="269">
        <f>Y10/$AF$24/1000</f>
        <v>1.3935537190082645E-3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1.3935537190082645E-3</v>
      </c>
      <c r="AI10" s="266">
        <f>AH10*$Y$24*1000</f>
        <v>16862</v>
      </c>
      <c r="AJ10" s="268">
        <f>AI10/AD10</f>
        <v>1.3935537190082645E-3</v>
      </c>
      <c r="AK10" s="266">
        <f t="shared" si="2"/>
        <v>0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6400000</v>
      </c>
      <c r="AP10" s="267">
        <f>W10/$AE10</f>
        <v>2000000.0000000002</v>
      </c>
      <c r="AQ10" s="267">
        <f t="shared" si="3"/>
        <v>3700000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1000</v>
      </c>
      <c r="AV10" s="270">
        <f>IF(H$47&lt;&gt;0,ROUND(AP10/H$47,3),0)</f>
        <v>1000</v>
      </c>
      <c r="AW10" s="270">
        <f>IF(H$24&lt;&gt;0,ROUND(AQ10/H$24,3),0)</f>
        <v>1000</v>
      </c>
      <c r="AX10" s="271">
        <f>AJ10*10000</f>
        <v>13.935537190082645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5.454545454545455E-3</v>
      </c>
      <c r="F11" s="325">
        <v>1.0235235631961513E-2</v>
      </c>
      <c r="G11" s="84">
        <v>4.6052631578947364E-3</v>
      </c>
      <c r="H11" s="237">
        <f>IF($H$24&lt;&gt;0,$H$166,0)</f>
        <v>5.454545454545455E-3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34909.090909090912</v>
      </c>
      <c r="W11" s="272">
        <f>H34*H$47*1000</f>
        <v>10909.09090909091</v>
      </c>
      <c r="X11" s="272">
        <f t="shared" si="4"/>
        <v>20181.818181818184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12100000</v>
      </c>
      <c r="AE11" s="268">
        <f>Y11/AD11</f>
        <v>5.454545454545455E-3</v>
      </c>
      <c r="AF11" s="273">
        <f>Y11/$AF$24/1000</f>
        <v>5.4545454545454541E-3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5.4545454545454541E-3</v>
      </c>
      <c r="AI11" s="272">
        <f>AH11*$Y$24*1000</f>
        <v>66000</v>
      </c>
      <c r="AJ11" s="268">
        <f>AI11/AD11</f>
        <v>5.454545454545455E-3</v>
      </c>
      <c r="AK11" s="272">
        <f t="shared" si="2"/>
        <v>0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6400000</v>
      </c>
      <c r="AP11" s="267">
        <f>W11/$AE11</f>
        <v>2000000</v>
      </c>
      <c r="AQ11" s="267">
        <f>X11/$AE11</f>
        <v>3700000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1000</v>
      </c>
      <c r="AV11" s="270">
        <f>IF(H$47&lt;&gt;0,ROUND(AP11/H$47,3),0)</f>
        <v>1000</v>
      </c>
      <c r="AW11" s="270">
        <f>IF(H$24&lt;&gt;0,ROUND(AQ11/H$24,3),0)</f>
        <v>1000</v>
      </c>
      <c r="AX11" s="271">
        <f>AJ11*10000</f>
        <v>54.545454545454547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0.19247280371900824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0.23272055371900827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942802.20048451377</v>
      </c>
      <c r="W12" s="266">
        <f t="shared" si="6"/>
        <v>71953.242922626348</v>
      </c>
      <c r="X12" s="266">
        <f t="shared" si="6"/>
        <v>202955.5113214181</v>
      </c>
      <c r="Y12" s="266">
        <f t="shared" si="6"/>
        <v>1217710.9547285582</v>
      </c>
      <c r="Z12" s="266">
        <f t="shared" si="6"/>
        <v>0</v>
      </c>
      <c r="AA12" s="266">
        <f t="shared" si="6"/>
        <v>1217710.9547285582</v>
      </c>
      <c r="AB12" s="263"/>
      <c r="AC12" s="264"/>
      <c r="AD12" s="262"/>
      <c r="AE12" s="262"/>
      <c r="AF12" s="269">
        <f t="shared" ref="AF12" si="7">SUM(AF7:AF11)</f>
        <v>0.10063726898583125</v>
      </c>
      <c r="AG12" s="269">
        <f>SUM(AG7:AG11)</f>
        <v>8.142445874125874E-2</v>
      </c>
      <c r="AH12" s="269">
        <f>SUM(AH7:AH11)</f>
        <v>0.10063726898583125</v>
      </c>
      <c r="AI12" s="266">
        <f t="shared" ref="AI12:AK12" si="8">SUM(AI7:AI11)</f>
        <v>1217710.9547285582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2.106501572044556E-2</v>
      </c>
      <c r="F14" s="324">
        <v>5.568578119363226E-2</v>
      </c>
      <c r="G14" s="33">
        <v>2.6384279999999996E-2</v>
      </c>
      <c r="H14" s="236">
        <f>IF($H$24&lt;&gt;0,$F$112/$B$49/1000,0)</f>
        <v>2.106501572044556E-2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134816.10061085157</v>
      </c>
      <c r="W14" s="266">
        <f>H37*H$47*1000</f>
        <v>42130.031440891122</v>
      </c>
      <c r="X14" s="266">
        <f t="shared" ref="X14:X19" si="13">H14*H$24*1000</f>
        <v>77940.558165648574</v>
      </c>
      <c r="Y14" s="266">
        <f t="shared" ref="Y14:Y19" si="14">SUM(S14:X14)</f>
        <v>254886.69021739127</v>
      </c>
      <c r="Z14" s="266">
        <f>-$D$115</f>
        <v>0</v>
      </c>
      <c r="AA14" s="266">
        <f t="shared" ref="AA14:AA19" si="15">SUM(Y14:Z14)</f>
        <v>254886.69021739127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2.1065015720445557E-2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2.1065015720445557E-2</v>
      </c>
      <c r="AI14" s="266">
        <f t="shared" ref="AI14:AI19" si="18">AH14*$Y$24*1000</f>
        <v>254886.69021739124</v>
      </c>
      <c r="AJ14" s="268" t="e">
        <f t="shared" ref="AJ14:AJ19" si="19">AI14/AD14</f>
        <v>#DIV/0!</v>
      </c>
      <c r="AK14" s="266">
        <f t="shared" ref="AK14:AK19" si="20">Y14-AI14</f>
        <v>0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 t="e">
        <f t="shared" ref="AU14:AU19" si="25">IF(E$24&lt;&gt;0,ROUND(AO14/E$24,3),0)</f>
        <v>#DIV/0!</v>
      </c>
      <c r="AV14" s="270" t="e">
        <f t="shared" ref="AV14:AV19" si="26">IF(H$47&lt;&gt;0,ROUND(AP14/H$47,3),0)</f>
        <v>#DIV/0!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8.9121220355731206E-3</v>
      </c>
      <c r="F15" s="324">
        <v>1.9535757663515587E-2</v>
      </c>
      <c r="G15" s="33">
        <v>9.0204400000000011E-3</v>
      </c>
      <c r="H15" s="236">
        <f>IF($H$24&lt;&gt;0,$F$113/$B$49/1000,0)</f>
        <v>8.9121220355731206E-3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57037.581027667969</v>
      </c>
      <c r="W15" s="266">
        <f>H38*H$47*1000</f>
        <v>17824.244071146244</v>
      </c>
      <c r="X15" s="274">
        <f t="shared" si="13"/>
        <v>32974.851531620545</v>
      </c>
      <c r="Y15" s="274">
        <f t="shared" si="14"/>
        <v>107836.67663043475</v>
      </c>
      <c r="Z15" s="274">
        <f>-$H$115</f>
        <v>0</v>
      </c>
      <c r="AA15" s="274">
        <f t="shared" si="15"/>
        <v>107836.67663043475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8.9121220355731189E-3</v>
      </c>
      <c r="AG15" s="265">
        <v>7.650220979020979E-3</v>
      </c>
      <c r="AH15" s="265">
        <f t="shared" si="17"/>
        <v>8.9121220355731189E-3</v>
      </c>
      <c r="AI15" s="274">
        <f t="shared" si="18"/>
        <v>107836.67663043474</v>
      </c>
      <c r="AJ15" s="268" t="e">
        <f t="shared" si="19"/>
        <v>#DIV/0!</v>
      </c>
      <c r="AK15" s="274">
        <f t="shared" si="20"/>
        <v>0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 t="e">
        <f t="shared" si="25"/>
        <v>#DIV/0!</v>
      </c>
      <c r="AV15" s="270" t="e">
        <f t="shared" si="26"/>
        <v>#DIV/0!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9.170513227632052E-3</v>
      </c>
      <c r="F16" s="324">
        <v>1.7065229602759201E-2</v>
      </c>
      <c r="G16" s="33">
        <v>1.3928937427385891E-2</v>
      </c>
      <c r="H16" s="236">
        <f>IF($H$24&lt;&gt;0,$F$115/$B$49/1000,0)</f>
        <v>9.170513227632052E-3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58691.284656845135</v>
      </c>
      <c r="W16" s="266">
        <f>H39*H$47*1000</f>
        <v>18341.026455264102</v>
      </c>
      <c r="X16" s="266">
        <f t="shared" si="13"/>
        <v>33930.898942238593</v>
      </c>
      <c r="Y16" s="266">
        <f t="shared" si="14"/>
        <v>110963.21005434783</v>
      </c>
      <c r="Z16" s="266">
        <f>-$D$122</f>
        <v>0</v>
      </c>
      <c r="AA16" s="274">
        <f t="shared" si="15"/>
        <v>110963.21005434783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9.170513227632052E-3</v>
      </c>
      <c r="AG16" s="269">
        <v>8.8563300699300695E-3</v>
      </c>
      <c r="AH16" s="269">
        <f t="shared" si="17"/>
        <v>9.170513227632052E-3</v>
      </c>
      <c r="AI16" s="266">
        <f t="shared" si="18"/>
        <v>110963.21005434783</v>
      </c>
      <c r="AJ16" s="268" t="e">
        <f t="shared" si="19"/>
        <v>#DIV/0!</v>
      </c>
      <c r="AK16" s="266">
        <f t="shared" si="20"/>
        <v>0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 t="e">
        <f t="shared" si="25"/>
        <v>#DIV/0!</v>
      </c>
      <c r="AV16" s="270" t="e">
        <f t="shared" si="26"/>
        <v>#DIV/0!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5.9123966942148767E-4</v>
      </c>
      <c r="F17" s="324">
        <v>4.5810515777660989E-3</v>
      </c>
      <c r="G17" s="33">
        <v>1.5771315789473684E-3</v>
      </c>
      <c r="H17" s="236">
        <f>IF($H$24&lt;&gt;0,$F$114/$B$49/1000,0)</f>
        <v>5.9123966942148767E-4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3783.9338842975212</v>
      </c>
      <c r="W17" s="266">
        <f>H40*H$47*1000</f>
        <v>1182.4793388429753</v>
      </c>
      <c r="X17" s="274">
        <f>H17*H$24*1000</f>
        <v>2187.5867768595044</v>
      </c>
      <c r="Y17" s="274">
        <f t="shared" si="14"/>
        <v>7154.0000000000009</v>
      </c>
      <c r="Z17" s="274">
        <f>C176/($C$184+$C$185)*$C$185</f>
        <v>0</v>
      </c>
      <c r="AA17" s="274">
        <f t="shared" si="15"/>
        <v>7154.0000000000009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5.9123966942148767E-4</v>
      </c>
      <c r="AG17" s="265">
        <v>2.1273118881118881E-3</v>
      </c>
      <c r="AH17" s="265">
        <f t="shared" si="17"/>
        <v>5.9123966942148767E-4</v>
      </c>
      <c r="AI17" s="274">
        <f t="shared" si="18"/>
        <v>7154.0000000000009</v>
      </c>
      <c r="AJ17" s="268" t="e">
        <f t="shared" si="19"/>
        <v>#DIV/0!</v>
      </c>
      <c r="AK17" s="274">
        <f t="shared" si="20"/>
        <v>0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 t="e">
        <f t="shared" si="25"/>
        <v>#DIV/0!</v>
      </c>
      <c r="AV17" s="270" t="e">
        <f t="shared" si="26"/>
        <v>#DIV/0!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2.1381818181818182E-3</v>
      </c>
      <c r="F18" s="324">
        <v>3.8559807065526065E-3</v>
      </c>
      <c r="G18" s="33">
        <v>1.6578947368421054E-3</v>
      </c>
      <c r="H18" s="236">
        <f>IF($H$24&lt;&gt;0,$B$178/$B$49/1000,0)</f>
        <v>2.1381818181818182E-3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13684.363636363636</v>
      </c>
      <c r="W18" s="274">
        <f t="shared" ref="W18:W19" si="32">H41*H$47*1000</f>
        <v>4276.363636363636</v>
      </c>
      <c r="X18" s="274">
        <f t="shared" si="13"/>
        <v>7911.272727272727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1008333</v>
      </c>
      <c r="AE18" s="268">
        <f>Y18/AD18</f>
        <v>2.5658190300228197E-2</v>
      </c>
      <c r="AF18" s="265">
        <f t="shared" si="16"/>
        <v>2.1381818181818182E-3</v>
      </c>
      <c r="AG18" s="265">
        <v>3.2747211188811187E-2</v>
      </c>
      <c r="AH18" s="265">
        <f t="shared" si="17"/>
        <v>2.1381818181818182E-3</v>
      </c>
      <c r="AI18" s="274">
        <f t="shared" si="18"/>
        <v>25872</v>
      </c>
      <c r="AJ18" s="268">
        <f>AI18/AD18</f>
        <v>2.5658190300228197E-2</v>
      </c>
      <c r="AK18" s="274">
        <f>Y18-AI18</f>
        <v>0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533333.15702479344</v>
      </c>
      <c r="AP18" s="267">
        <f t="shared" si="31"/>
        <v>166666.61157024791</v>
      </c>
      <c r="AQ18" s="267">
        <f t="shared" si="31"/>
        <v>308333.2314049587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83.332999999999998</v>
      </c>
      <c r="AV18" s="270">
        <f t="shared" si="26"/>
        <v>83.332999999999998</v>
      </c>
      <c r="AW18" s="270">
        <f t="shared" si="27"/>
        <v>83.332999999999998</v>
      </c>
      <c r="AX18" s="271">
        <f>AJ18*10000</f>
        <v>256.58190300228199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IF(E24&lt;&gt;0,$B$177/B49/1000,0)</f>
        <v>3.6262809917355374E-3</v>
      </c>
      <c r="F19" s="325">
        <v>1.0801565595349401E-2</v>
      </c>
      <c r="G19" s="84">
        <v>5.8026315789473683E-3</v>
      </c>
      <c r="H19" s="237">
        <f>IF($H$24&lt;&gt;0,$B$177/$B$49/1000,0)</f>
        <v>3.6262809917355374E-3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23208.198347107442</v>
      </c>
      <c r="W19" s="275">
        <f t="shared" si="32"/>
        <v>7252.5619834710742</v>
      </c>
      <c r="X19" s="275">
        <f t="shared" si="13"/>
        <v>13417.239669421488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1008333</v>
      </c>
      <c r="AE19" s="268">
        <f t="shared" si="29"/>
        <v>4.3515386286078109E-2</v>
      </c>
      <c r="AF19" s="276">
        <f t="shared" si="16"/>
        <v>3.6262809917355374E-3</v>
      </c>
      <c r="AG19" s="276">
        <v>7.3609622377622374E-3</v>
      </c>
      <c r="AH19" s="276">
        <f t="shared" si="17"/>
        <v>3.6262809917355374E-3</v>
      </c>
      <c r="AI19" s="275">
        <f t="shared" si="18"/>
        <v>43878</v>
      </c>
      <c r="AJ19" s="268">
        <f t="shared" si="19"/>
        <v>4.3515386286078109E-2</v>
      </c>
      <c r="AK19" s="275">
        <f t="shared" si="20"/>
        <v>0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533333.15702479356</v>
      </c>
      <c r="AP19" s="267">
        <f t="shared" si="31"/>
        <v>166666.61157024794</v>
      </c>
      <c r="AQ19" s="267">
        <f t="shared" si="31"/>
        <v>308333.2314049587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83.332999999999998</v>
      </c>
      <c r="AV19" s="270">
        <f t="shared" si="26"/>
        <v>83.332999999999998</v>
      </c>
      <c r="AW19" s="270">
        <f t="shared" si="27"/>
        <v>83.332999999999998</v>
      </c>
      <c r="AX19" s="271">
        <f t="shared" si="28"/>
        <v>435.15386286078109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4.5503353462989574E-2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4.5503353462989574E-2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291221.46216313326</v>
      </c>
      <c r="W20" s="277">
        <f t="shared" si="37"/>
        <v>91006.706925979146</v>
      </c>
      <c r="X20" s="277">
        <f t="shared" si="37"/>
        <v>168362.40781306144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4.5503353462989574E-2</v>
      </c>
      <c r="AG20" s="280">
        <f>SUM(AG14:AG19)</f>
        <v>7.0230590209790209E-2</v>
      </c>
      <c r="AH20" s="280">
        <f>SUM(AH14:AH19)</f>
        <v>4.5503353462989574E-2</v>
      </c>
      <c r="AI20" s="277">
        <f>SUM(AI14:AI19)</f>
        <v>550590.57690217381</v>
      </c>
      <c r="AJ20" s="262"/>
      <c r="AK20" s="277">
        <f>SUM(AK14:AK19)</f>
        <v>0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1234023.6626476471</v>
      </c>
      <c r="W21" s="281">
        <f t="shared" si="38"/>
        <v>162959.94984860549</v>
      </c>
      <c r="X21" s="281">
        <f t="shared" si="38"/>
        <v>371317.91913447954</v>
      </c>
      <c r="Y21" s="281">
        <f t="shared" si="38"/>
        <v>1768301.5316307321</v>
      </c>
      <c r="Z21" s="281">
        <f t="shared" si="38"/>
        <v>0</v>
      </c>
      <c r="AA21" s="281">
        <f t="shared" si="38"/>
        <v>1768301.5316307321</v>
      </c>
      <c r="AB21" s="282" t="s">
        <v>98</v>
      </c>
      <c r="AC21" s="279"/>
      <c r="AD21" s="262"/>
      <c r="AE21" s="262"/>
      <c r="AF21" s="283">
        <f>AF12+AF20</f>
        <v>0.14614062244882081</v>
      </c>
      <c r="AG21" s="283">
        <f>AG12+AG20</f>
        <v>0.15165504895104895</v>
      </c>
      <c r="AH21" s="283">
        <f>AH12+AH20</f>
        <v>0.14614062244882081</v>
      </c>
      <c r="AI21" s="281">
        <f>AI12+AI20</f>
        <v>1768301.5316307321</v>
      </c>
      <c r="AJ21" s="262"/>
      <c r="AK21" s="281">
        <f>AK12+AK20</f>
        <v>0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0.23797615718199783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0.27822390718199785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0.19281999999999999</v>
      </c>
      <c r="W22" s="284">
        <f>IF(H47&lt;&gt;0,ROUND(W21/(H47*1000),5),0)</f>
        <v>8.1479999999999997E-2</v>
      </c>
      <c r="X22" s="284">
        <f>IF(H24&lt;&gt;0,ROUND(X21/(H24*1000),5),0)</f>
        <v>0.10036</v>
      </c>
      <c r="Y22" s="284">
        <f>Y21/Y24/1000</f>
        <v>0.14614062244882084</v>
      </c>
      <c r="Z22" s="284">
        <v>0</v>
      </c>
      <c r="AA22" s="284">
        <f>ROUND(AA21/(B49*1000),5)</f>
        <v>0.14613999999999999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0.14614062244882084</v>
      </c>
      <c r="AJ22" s="262"/>
      <c r="AK22" s="284">
        <f>AK21/AK24/1000</f>
        <v>0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0.30082999999999999</v>
      </c>
      <c r="W23" s="284">
        <f>ROUND(W22+H29,5)</f>
        <v>0.16148000000000001</v>
      </c>
      <c r="X23" s="284">
        <f>ROUND(X22+H6,5)</f>
        <v>0.22861999999999999</v>
      </c>
      <c r="Y23" s="284">
        <f>Y22+(($B$6*$B$24*1000+$B$29*$B$47*1000+$E$29*$E$47*1000+$H$6*$H$24*1000+$H$29*$H$47*1000+$E$6*$E$24*1000)/($B$49*1000))</f>
        <v>0.25571253980419273</v>
      </c>
      <c r="Z23" s="284">
        <v>0</v>
      </c>
      <c r="AA23" s="284">
        <f>AA22+(($B$6*$B$24*1000+$B$29*$B$47*1000+$E$6*$E$24*1000+$E$29*$E$47*1000+$H$6*$H$24*1000+$H$29*$H$47*1000)/($B$49*1000))</f>
        <v>0.25571191735537191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6400</v>
      </c>
      <c r="F24" s="339">
        <v>3204</v>
      </c>
      <c r="G24" s="181">
        <v>51000</v>
      </c>
      <c r="H24" s="393">
        <f>B58</f>
        <v>3700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6400</v>
      </c>
      <c r="W24" s="286">
        <f>H47</f>
        <v>2000</v>
      </c>
      <c r="X24" s="286">
        <f>H24</f>
        <v>3700</v>
      </c>
      <c r="Y24" s="286">
        <f>SUM(S24:X24)</f>
        <v>12100</v>
      </c>
      <c r="Z24" s="286">
        <v>0</v>
      </c>
      <c r="AA24" s="286">
        <f>SUM(Y24:Z24)</f>
        <v>12100</v>
      </c>
      <c r="AB24" s="286"/>
      <c r="AC24" s="279"/>
      <c r="AD24" s="262"/>
      <c r="AE24" s="262"/>
      <c r="AF24" s="286">
        <f>Y24</f>
        <v>12100</v>
      </c>
      <c r="AG24" s="286"/>
      <c r="AH24" s="286"/>
      <c r="AI24" s="286">
        <f>Y24</f>
        <v>12100</v>
      </c>
      <c r="AJ24" s="262"/>
      <c r="AK24" s="286">
        <f>Y24</f>
        <v>12100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2.4545454545454544E-2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1.3935537190082645E-3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5.454545454545455E-3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0.11597662146131318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2.106501572044556E-2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8.9121220355731206E-3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9.170513227632052E-3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5.9123966942148767E-4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2.1381818181818182E-3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3.6262809917355374E-3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4.5503353462989574E-2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0.16147997492430277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2000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12100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Summary'!$C$11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Summary'!D$11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Summary'!E$11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Summary'!$F$11</f>
        <v>6400</v>
      </c>
      <c r="C57" s="214">
        <f t="shared" si="46"/>
        <v>0.52892561983471076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Summary'!$G$11</f>
        <v>3700</v>
      </c>
      <c r="C58" s="214">
        <f t="shared" si="46"/>
        <v>0.30578512396694213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Summary'!$H$11</f>
        <v>2000</v>
      </c>
      <c r="C59" s="215">
        <f t="shared" si="46"/>
        <v>0.16528925619834711</v>
      </c>
      <c r="D59" s="459">
        <f>B59/200</f>
        <v>10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12100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0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0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1000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275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0</v>
      </c>
      <c r="L84" s="61">
        <f>J84*K84</f>
        <v>0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(B71/2000*0.75)+(B68/2000*0.25)</f>
        <v>0.10329125</v>
      </c>
      <c r="K85" s="198">
        <v>1</v>
      </c>
      <c r="L85" s="44">
        <f t="shared" ref="L85:L86" si="50">J85*K85</f>
        <v>0.10329125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103.29125000000001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1000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0.10801025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84199.625058574471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23637.051571860291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107836.67663043475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18640.66508100924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15618.68583789591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7757.5972810056501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37495.280106745449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28673.541003753871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2777.4407439377073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0.44600000000000001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0.66100000000000003</v>
      </c>
      <c r="F145" s="76">
        <f>G141</f>
        <v>6.6443706666712579E-2</v>
      </c>
      <c r="G145" s="113">
        <f>E145*F145</f>
        <v>4.3919290106697019E-2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0.11591929010669702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2.4545454545454544E-2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1.3935537190082645E-3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5.454545454545455E-3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12100</v>
      </c>
      <c r="E172" s="14"/>
      <c r="F172" s="492" t="s">
        <v>8</v>
      </c>
      <c r="G172" s="492"/>
      <c r="H172" s="27">
        <f>D172/D173</f>
        <v>4.3999999999999997E-2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4.3515371900826445E-2</v>
      </c>
      <c r="G177" s="171">
        <f>$E177/$D$172/1000</f>
        <v>0</v>
      </c>
      <c r="H177" s="83">
        <f t="shared" ref="H177:H178" si="56">SUM(F177:G177)</f>
        <v>4.3515371900826445E-2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2.5658181818181816E-2</v>
      </c>
      <c r="G178" s="111">
        <f>$E178/$D$172/1000</f>
        <v>0</v>
      </c>
      <c r="H178" s="85">
        <f t="shared" si="56"/>
        <v>2.5658181818181816E-2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6.9173553719008268E-2</v>
      </c>
      <c r="G179" s="112">
        <f>SUM(G176:G178)</f>
        <v>0</v>
      </c>
      <c r="H179" s="170">
        <f>SUM(H176:H178)</f>
        <v>6.9173553719008268E-2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820A-A015-4C4D-A2E7-5D7375CBEE5D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27498.406453829459</v>
      </c>
      <c r="X7" s="266">
        <f>$I145*$H$24*1000*$H145</f>
        <v>0</v>
      </c>
      <c r="Y7" s="266">
        <f>SUM(S7:X7)</f>
        <v>27498.406453829459</v>
      </c>
      <c r="Z7" s="266">
        <v>0</v>
      </c>
      <c r="AA7" s="266">
        <f>SUM(Y7:Z7)</f>
        <v>27498.406453829459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376690</v>
      </c>
      <c r="AE7" s="268">
        <f>Y7/AD7</f>
        <v>7.3000096774083353E-2</v>
      </c>
      <c r="AF7" s="269">
        <f>Y7/$AF$24/1000</f>
        <v>4.5830677423049099E-3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4.5830677423049099E-3</v>
      </c>
      <c r="AI7" s="266">
        <f>AH7*$Y$24*1000</f>
        <v>27498.406453829459</v>
      </c>
      <c r="AJ7" s="268">
        <f>AI7/AD7</f>
        <v>7.3000096774083353E-2</v>
      </c>
      <c r="AK7" s="266">
        <f>Y7-AI7</f>
        <v>0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376690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0</v>
      </c>
      <c r="AX7" s="271">
        <f>AJ7*10000</f>
        <v>730.00096774083352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>
        <f>Y8/$AF$24/1000</f>
        <v>0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0</v>
      </c>
      <c r="AI8" s="266">
        <f>AH8*$Y$24*1000</f>
        <v>0</v>
      </c>
      <c r="AJ8" s="268" t="e">
        <f>AI8/AD8</f>
        <v>#DIV/0!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297000</v>
      </c>
      <c r="X9" s="266">
        <f>H9*H$24*1000</f>
        <v>0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6000000</v>
      </c>
      <c r="AE9" s="268">
        <f>Y9/AD9</f>
        <v>4.9500000000000002E-2</v>
      </c>
      <c r="AF9" s="269">
        <f>Y9/$AF$24/1000</f>
        <v>4.9500000000000002E-2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4.9500000000000002E-2</v>
      </c>
      <c r="AI9" s="266">
        <f>AH9*$Y$24*1000</f>
        <v>297000</v>
      </c>
      <c r="AJ9" s="268">
        <f>AI9/AD9</f>
        <v>4.9500000000000002E-2</v>
      </c>
      <c r="AK9" s="266">
        <f t="shared" si="2"/>
        <v>0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6000000</v>
      </c>
      <c r="AQ9" s="267">
        <f t="shared" si="3"/>
        <v>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0</v>
      </c>
      <c r="AX9" s="271">
        <f>AJ9*10000</f>
        <v>495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16862.000000000004</v>
      </c>
      <c r="X10" s="266">
        <f t="shared" ref="X10:X11" si="4">H10*H$24*1000</f>
        <v>0</v>
      </c>
      <c r="Y10" s="266">
        <f t="shared" si="0"/>
        <v>16862.000000000004</v>
      </c>
      <c r="Z10" s="266">
        <v>0</v>
      </c>
      <c r="AA10" s="266">
        <f t="shared" si="1"/>
        <v>16862.000000000004</v>
      </c>
      <c r="AB10" s="263" t="s">
        <v>75</v>
      </c>
      <c r="AC10" s="264" t="s">
        <v>73</v>
      </c>
      <c r="AD10" s="267">
        <f>ROUND((S10/H$163)+(T10/H$163)+(U10/H$163)+(V10/H$163)+(W10/H$163)+(X10/H$163),0)</f>
        <v>6000000</v>
      </c>
      <c r="AE10" s="268">
        <f>Y10/AD10</f>
        <v>2.810333333333334E-3</v>
      </c>
      <c r="AF10" s="269">
        <f>Y10/$AF$24/1000</f>
        <v>2.810333333333334E-3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2.810333333333334E-3</v>
      </c>
      <c r="AI10" s="266">
        <f>AH10*$Y$24*1000</f>
        <v>16862.000000000004</v>
      </c>
      <c r="AJ10" s="268">
        <f>AI10/AD10</f>
        <v>2.810333333333334E-3</v>
      </c>
      <c r="AK10" s="266">
        <f t="shared" si="2"/>
        <v>0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6000000</v>
      </c>
      <c r="AQ10" s="267">
        <f t="shared" si="3"/>
        <v>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0</v>
      </c>
      <c r="AX10" s="271">
        <f>AJ10*10000</f>
        <v>28.103333333333339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66000</v>
      </c>
      <c r="X11" s="272">
        <f t="shared" si="4"/>
        <v>0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6000000</v>
      </c>
      <c r="AE11" s="268">
        <f>Y11/AD11</f>
        <v>1.0999999999999999E-2</v>
      </c>
      <c r="AF11" s="273">
        <f>Y11/$AF$24/1000</f>
        <v>1.0999999999999999E-2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1.0999999999999999E-2</v>
      </c>
      <c r="AI11" s="272">
        <f>AH11*$Y$24*1000</f>
        <v>66000</v>
      </c>
      <c r="AJ11" s="268">
        <f>AI11/AD11</f>
        <v>1.0999999999999999E-2</v>
      </c>
      <c r="AK11" s="272">
        <f t="shared" si="2"/>
        <v>0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6000000</v>
      </c>
      <c r="AQ11" s="267">
        <f>X11/$AE11</f>
        <v>0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0</v>
      </c>
      <c r="AX11" s="271">
        <f>AJ11*10000</f>
        <v>110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407360.40645382943</v>
      </c>
      <c r="X12" s="266">
        <f t="shared" si="6"/>
        <v>0</v>
      </c>
      <c r="Y12" s="266">
        <f t="shared" si="6"/>
        <v>407360.40645382943</v>
      </c>
      <c r="Z12" s="266">
        <f t="shared" si="6"/>
        <v>0</v>
      </c>
      <c r="AA12" s="266">
        <f t="shared" si="6"/>
        <v>407360.40645382943</v>
      </c>
      <c r="AB12" s="263"/>
      <c r="AC12" s="264"/>
      <c r="AD12" s="262"/>
      <c r="AE12" s="262"/>
      <c r="AF12" s="269">
        <f t="shared" ref="AF12" si="7">SUM(AF7:AF11)</f>
        <v>6.7893401075638238E-2</v>
      </c>
      <c r="AG12" s="269">
        <f>SUM(AG7:AG11)</f>
        <v>8.142445874125874E-2</v>
      </c>
      <c r="AH12" s="269">
        <f>SUM(AH7:AH11)</f>
        <v>6.7893401075638238E-2</v>
      </c>
      <c r="AI12" s="266">
        <f t="shared" ref="AI12:AK12" si="8">SUM(AI7:AI11)</f>
        <v>407360.40645382943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254886.6902173913</v>
      </c>
      <c r="X14" s="266">
        <f t="shared" ref="X14:X19" si="13">H14*H$24*1000</f>
        <v>0</v>
      </c>
      <c r="Y14" s="266">
        <f t="shared" ref="Y14:Y19" si="14">SUM(S14:X14)</f>
        <v>254886.6902173913</v>
      </c>
      <c r="Z14" s="266">
        <f>-$D$115</f>
        <v>0</v>
      </c>
      <c r="AA14" s="266">
        <f t="shared" ref="AA14:AA19" si="15">SUM(Y14:Z14)</f>
        <v>254886.6902173913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4.2481115036231885E-2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3.8776052641945835E-2</v>
      </c>
      <c r="AI14" s="266">
        <f t="shared" ref="AI14:AI19" si="18">AH14*$Y$24*1000</f>
        <v>232656.315851675</v>
      </c>
      <c r="AJ14" s="268" t="e">
        <f t="shared" ref="AJ14:AJ19" si="19">AI14/AD14</f>
        <v>#DIV/0!</v>
      </c>
      <c r="AK14" s="266">
        <f t="shared" ref="AK14:AK19" si="20">Y14-AI14</f>
        <v>22230.3743657163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107836.67663043477</v>
      </c>
      <c r="X15" s="274">
        <f t="shared" si="13"/>
        <v>0</v>
      </c>
      <c r="Y15" s="274">
        <f t="shared" si="14"/>
        <v>107836.67663043477</v>
      </c>
      <c r="Z15" s="274">
        <f>-$H$115</f>
        <v>0</v>
      </c>
      <c r="AA15" s="274">
        <f t="shared" si="15"/>
        <v>107836.67663043477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1.7972779438405796E-2</v>
      </c>
      <c r="AG15" s="265">
        <v>7.650220979020979E-3</v>
      </c>
      <c r="AH15" s="265">
        <f t="shared" si="17"/>
        <v>1.6405253040823235E-2</v>
      </c>
      <c r="AI15" s="274">
        <f t="shared" si="18"/>
        <v>98431.518244939405</v>
      </c>
      <c r="AJ15" s="268" t="e">
        <f t="shared" si="19"/>
        <v>#DIV/0!</v>
      </c>
      <c r="AK15" s="274">
        <f t="shared" si="20"/>
        <v>9405.1583854953642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110963.21005434782</v>
      </c>
      <c r="X16" s="266">
        <f t="shared" si="13"/>
        <v>0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1.8493868342391303E-2</v>
      </c>
      <c r="AG16" s="269">
        <v>8.8563300699300695E-3</v>
      </c>
      <c r="AH16" s="269">
        <f t="shared" si="17"/>
        <v>1.6880894293526759E-2</v>
      </c>
      <c r="AI16" s="266">
        <f t="shared" si="18"/>
        <v>101285.36576116054</v>
      </c>
      <c r="AJ16" s="268" t="e">
        <f t="shared" si="19"/>
        <v>#DIV/0!</v>
      </c>
      <c r="AK16" s="266">
        <f t="shared" si="20"/>
        <v>9677.8442931872705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7153.9999999999991</v>
      </c>
      <c r="X17" s="274">
        <f>H17*H$24*1000</f>
        <v>0</v>
      </c>
      <c r="Y17" s="274">
        <f t="shared" si="14"/>
        <v>7153.9999999999991</v>
      </c>
      <c r="Z17" s="274">
        <f>C176/($C$184+$C$185)*$C$185</f>
        <v>0</v>
      </c>
      <c r="AA17" s="274">
        <f t="shared" si="15"/>
        <v>7153.9999999999991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1.1923333333333332E-3</v>
      </c>
      <c r="AG17" s="265">
        <v>2.1273118881118881E-3</v>
      </c>
      <c r="AH17" s="265">
        <f t="shared" si="17"/>
        <v>1.0883419623201368E-3</v>
      </c>
      <c r="AI17" s="274">
        <f t="shared" si="18"/>
        <v>6530.0517739208208</v>
      </c>
      <c r="AJ17" s="268" t="e">
        <f t="shared" si="19"/>
        <v>#DIV/0!</v>
      </c>
      <c r="AK17" s="274">
        <f t="shared" si="20"/>
        <v>623.94822607917831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25872</v>
      </c>
      <c r="X18" s="274">
        <f t="shared" si="13"/>
        <v>0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500000</v>
      </c>
      <c r="AE18" s="268">
        <f>Y18/AD18</f>
        <v>5.1743999999999998E-2</v>
      </c>
      <c r="AF18" s="265">
        <f t="shared" si="16"/>
        <v>4.3119999999999999E-3</v>
      </c>
      <c r="AG18" s="265">
        <v>3.2747211188811187E-2</v>
      </c>
      <c r="AH18" s="265">
        <f t="shared" si="17"/>
        <v>3.9359216171577548E-3</v>
      </c>
      <c r="AI18" s="274">
        <f t="shared" si="18"/>
        <v>23615.529702946529</v>
      </c>
      <c r="AJ18" s="268">
        <f>AI18/AD18</f>
        <v>4.7231059405893061E-2</v>
      </c>
      <c r="AK18" s="274">
        <f>Y18-AI18</f>
        <v>2256.4702970534709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500000</v>
      </c>
      <c r="AQ18" s="267">
        <f t="shared" si="31"/>
        <v>0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83.332999999999998</v>
      </c>
      <c r="AW18" s="270">
        <f t="shared" si="27"/>
        <v>0</v>
      </c>
      <c r="AX18" s="271">
        <f>AJ18*10000</f>
        <v>472.31059405893063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43878</v>
      </c>
      <c r="X19" s="275">
        <f t="shared" si="13"/>
        <v>0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500000</v>
      </c>
      <c r="AE19" s="268">
        <f t="shared" si="29"/>
        <v>8.7756000000000001E-2</v>
      </c>
      <c r="AF19" s="276">
        <f t="shared" si="16"/>
        <v>7.3130000000000001E-3</v>
      </c>
      <c r="AG19" s="276">
        <v>7.3609622377622374E-3</v>
      </c>
      <c r="AH19" s="276">
        <f t="shared" si="17"/>
        <v>6.6751843196369816E-3</v>
      </c>
      <c r="AI19" s="275">
        <f t="shared" si="18"/>
        <v>40051.105917821893</v>
      </c>
      <c r="AJ19" s="268">
        <f t="shared" si="19"/>
        <v>8.0102211835643783E-2</v>
      </c>
      <c r="AK19" s="275">
        <f t="shared" si="20"/>
        <v>3826.8940821781071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500000</v>
      </c>
      <c r="AQ19" s="267">
        <f t="shared" si="31"/>
        <v>0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83.332999999999998</v>
      </c>
      <c r="AW19" s="270">
        <f t="shared" si="27"/>
        <v>0</v>
      </c>
      <c r="AX19" s="271">
        <f t="shared" si="28"/>
        <v>801.02211835643777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550590.57690217393</v>
      </c>
      <c r="X20" s="277">
        <f t="shared" si="37"/>
        <v>0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9.1765096150362324E-2</v>
      </c>
      <c r="AG20" s="280">
        <f>SUM(AG14:AG19)</f>
        <v>7.0230590209790209E-2</v>
      </c>
      <c r="AH20" s="280">
        <f>SUM(AH14:AH19)</f>
        <v>8.3761647875410697E-2</v>
      </c>
      <c r="AI20" s="277">
        <f>SUM(AI14:AI19)</f>
        <v>502569.88725246419</v>
      </c>
      <c r="AJ20" s="262"/>
      <c r="AK20" s="277">
        <f>SUM(AK14:AK19)</f>
        <v>48020.68964970969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957950.98335600342</v>
      </c>
      <c r="X21" s="281">
        <f t="shared" si="38"/>
        <v>0</v>
      </c>
      <c r="Y21" s="281">
        <f t="shared" si="38"/>
        <v>957950.98335600342</v>
      </c>
      <c r="Z21" s="281">
        <f t="shared" si="38"/>
        <v>0</v>
      </c>
      <c r="AA21" s="281">
        <f t="shared" si="38"/>
        <v>957950.98335600342</v>
      </c>
      <c r="AB21" s="282" t="s">
        <v>98</v>
      </c>
      <c r="AC21" s="279"/>
      <c r="AD21" s="262"/>
      <c r="AE21" s="262"/>
      <c r="AF21" s="283">
        <f>AF12+AF20</f>
        <v>0.15965849722600056</v>
      </c>
      <c r="AG21" s="283">
        <f>AG12+AG20</f>
        <v>0.15165504895104895</v>
      </c>
      <c r="AH21" s="283">
        <f>AH12+AH20</f>
        <v>0.15165504895104892</v>
      </c>
      <c r="AI21" s="281">
        <f>AI12+AI20</f>
        <v>909930.29370629368</v>
      </c>
      <c r="AJ21" s="262"/>
      <c r="AK21" s="281">
        <f>AK12+AK20</f>
        <v>48020.68964970969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0.15966</v>
      </c>
      <c r="X22" s="284">
        <f>IF(H24&lt;&gt;0,ROUND(X21/(H24*1000),5),0)</f>
        <v>0</v>
      </c>
      <c r="Y22" s="284">
        <f>Y21/Y24/1000</f>
        <v>0.15965849722600059</v>
      </c>
      <c r="Z22" s="284">
        <v>0</v>
      </c>
      <c r="AA22" s="284">
        <f>ROUND(AA21/(B49*1000),5)</f>
        <v>0.15966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0.15165504895104895</v>
      </c>
      <c r="AJ22" s="262"/>
      <c r="AK22" s="284">
        <f>AK21/AK24/1000</f>
        <v>8.0034482749516134E-3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0.23966000000000001</v>
      </c>
      <c r="X23" s="284">
        <f>ROUND(X22+H6,5)</f>
        <v>0</v>
      </c>
      <c r="Y23" s="284">
        <f>Y22+(($B$6*$B$24*1000+$B$29*$B$47*1000+$E$29*$E$47*1000+$H$6*$H$24*1000+$H$29*$H$47*1000+$E$6*$E$24*1000)/($B$49*1000))</f>
        <v>0.23965849722600058</v>
      </c>
      <c r="Z23" s="284">
        <v>0</v>
      </c>
      <c r="AA23" s="284">
        <f>AA22+(($B$6*$B$24*1000+$B$29*$B$47*1000+$E$6*$E$24*1000+$E$29*$E$47*1000+$H$6*$H$24*1000+$H$29*$H$47*1000)/($B$49*1000))</f>
        <v>0.23965999999999998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6000</v>
      </c>
      <c r="X24" s="286">
        <f>H24</f>
        <v>0</v>
      </c>
      <c r="Y24" s="286">
        <f>SUM(S24:X24)</f>
        <v>6000</v>
      </c>
      <c r="Z24" s="286">
        <v>0</v>
      </c>
      <c r="AA24" s="286">
        <f>SUM(Y24:Z24)</f>
        <v>6000</v>
      </c>
      <c r="AB24" s="286"/>
      <c r="AC24" s="279"/>
      <c r="AD24" s="262"/>
      <c r="AE24" s="262"/>
      <c r="AF24" s="286">
        <f>Y24</f>
        <v>6000</v>
      </c>
      <c r="AG24" s="286"/>
      <c r="AH24" s="286"/>
      <c r="AI24" s="286">
        <f>Y24</f>
        <v>6000</v>
      </c>
      <c r="AJ24" s="262"/>
      <c r="AK24" s="286">
        <f>Y24</f>
        <v>6000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4.9500000000000002E-2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2.8103333333333335E-3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1.0999999999999999E-2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0.14789340107563825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4.2481115036231885E-2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1.7972779438405796E-2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1.8493868342391303E-2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1.1923333333333332E-3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4.3119999999999999E-3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7.3130000000000001E-3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9.1765096150362324E-2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0.23965849722600058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6000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6000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Summary'!$C$12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Summary'!D$12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Summary'!E$12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Summary'!$F$12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Summary'!$G$12</f>
        <v>0</v>
      </c>
      <c r="C58" s="214">
        <f t="shared" si="46"/>
        <v>0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Summary'!$H$12</f>
        <v>6000</v>
      </c>
      <c r="C59" s="215">
        <f t="shared" si="46"/>
        <v>1</v>
      </c>
      <c r="D59" s="459">
        <f>B59/200</f>
        <v>30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6000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84199.625058574471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23637.051571860295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107836.67663043477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0.9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1.115</v>
      </c>
      <c r="F145" s="76">
        <f>G141</f>
        <v>6.6443706666712579E-2</v>
      </c>
      <c r="G145" s="113">
        <f>E145*F145</f>
        <v>7.4084732933384523E-2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0.14608473293338453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4.9500000000000002E-2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2.8103333333333335E-3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1.0999999999999999E-2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6000</v>
      </c>
      <c r="E172" s="14"/>
      <c r="F172" s="492" t="s">
        <v>8</v>
      </c>
      <c r="G172" s="492"/>
      <c r="H172" s="27">
        <f>D172/D173</f>
        <v>2.181818181818182E-2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8.7756000000000001E-2</v>
      </c>
      <c r="G177" s="171">
        <f>$E177/$D$172/1000</f>
        <v>0</v>
      </c>
      <c r="H177" s="83">
        <f t="shared" ref="H177:H178" si="56">SUM(F177:G177)</f>
        <v>8.7756000000000001E-2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5.1743999999999998E-2</v>
      </c>
      <c r="G178" s="111">
        <f>$E178/$D$172/1000</f>
        <v>0</v>
      </c>
      <c r="H178" s="85">
        <f t="shared" si="56"/>
        <v>5.1743999999999998E-2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0.13950000000000001</v>
      </c>
      <c r="G179" s="112">
        <f>SUM(G176:G178)</f>
        <v>0</v>
      </c>
      <c r="H179" s="170">
        <f>SUM(H176:H178)</f>
        <v>0.13950000000000001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884C-D46F-4568-9661-A26DD3038CDC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27498.406453829459</v>
      </c>
      <c r="X7" s="266">
        <f>$I145*$H$24*1000*$H145</f>
        <v>0</v>
      </c>
      <c r="Y7" s="266">
        <f>SUM(S7:X7)</f>
        <v>27498.406453829459</v>
      </c>
      <c r="Z7" s="266">
        <v>0</v>
      </c>
      <c r="AA7" s="266">
        <f>SUM(Y7:Z7)</f>
        <v>27498.406453829459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376690</v>
      </c>
      <c r="AE7" s="268">
        <f>Y7/AD7</f>
        <v>7.3000096774083353E-2</v>
      </c>
      <c r="AF7" s="269">
        <f>Y7/$AF$24/1000</f>
        <v>4.5830677423049099E-3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4.5830677423049099E-3</v>
      </c>
      <c r="AI7" s="266">
        <f>AH7*$Y$24*1000</f>
        <v>27498.406453829459</v>
      </c>
      <c r="AJ7" s="268">
        <f>AI7/AD7</f>
        <v>7.3000096774083353E-2</v>
      </c>
      <c r="AK7" s="266">
        <f>Y7-AI7</f>
        <v>0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376690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0</v>
      </c>
      <c r="AX7" s="271">
        <f>AJ7*10000</f>
        <v>730.00096774083352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>
        <f>Y8/$AF$24/1000</f>
        <v>0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0</v>
      </c>
      <c r="AI8" s="266">
        <f>AH8*$Y$24*1000</f>
        <v>0</v>
      </c>
      <c r="AJ8" s="268" t="e">
        <f>AI8/AD8</f>
        <v>#DIV/0!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297000</v>
      </c>
      <c r="X9" s="266">
        <f>H9*H$24*1000</f>
        <v>0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6000000</v>
      </c>
      <c r="AE9" s="268">
        <f>Y9/AD9</f>
        <v>4.9500000000000002E-2</v>
      </c>
      <c r="AF9" s="269">
        <f>Y9/$AF$24/1000</f>
        <v>4.9500000000000002E-2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4.9500000000000002E-2</v>
      </c>
      <c r="AI9" s="266">
        <f>AH9*$Y$24*1000</f>
        <v>297000</v>
      </c>
      <c r="AJ9" s="268">
        <f>AI9/AD9</f>
        <v>4.9500000000000002E-2</v>
      </c>
      <c r="AK9" s="266">
        <f t="shared" si="2"/>
        <v>0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6000000</v>
      </c>
      <c r="AQ9" s="267">
        <f t="shared" si="3"/>
        <v>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0</v>
      </c>
      <c r="AX9" s="271">
        <f>AJ9*10000</f>
        <v>495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16862.000000000004</v>
      </c>
      <c r="X10" s="266">
        <f t="shared" ref="X10:X11" si="4">H10*H$24*1000</f>
        <v>0</v>
      </c>
      <c r="Y10" s="266">
        <f t="shared" si="0"/>
        <v>16862.000000000004</v>
      </c>
      <c r="Z10" s="266">
        <v>0</v>
      </c>
      <c r="AA10" s="266">
        <f t="shared" si="1"/>
        <v>16862.000000000004</v>
      </c>
      <c r="AB10" s="263" t="s">
        <v>75</v>
      </c>
      <c r="AC10" s="264" t="s">
        <v>73</v>
      </c>
      <c r="AD10" s="267">
        <f>ROUND((S10/H$163)+(T10/H$163)+(U10/H$163)+(V10/H$163)+(W10/H$163)+(X10/H$163),0)</f>
        <v>6000000</v>
      </c>
      <c r="AE10" s="268">
        <f>Y10/AD10</f>
        <v>2.810333333333334E-3</v>
      </c>
      <c r="AF10" s="269">
        <f>Y10/$AF$24/1000</f>
        <v>2.810333333333334E-3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2.810333333333334E-3</v>
      </c>
      <c r="AI10" s="266">
        <f>AH10*$Y$24*1000</f>
        <v>16862.000000000004</v>
      </c>
      <c r="AJ10" s="268">
        <f>AI10/AD10</f>
        <v>2.810333333333334E-3</v>
      </c>
      <c r="AK10" s="266">
        <f t="shared" si="2"/>
        <v>0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6000000</v>
      </c>
      <c r="AQ10" s="267">
        <f t="shared" si="3"/>
        <v>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0</v>
      </c>
      <c r="AX10" s="271">
        <f>AJ10*10000</f>
        <v>28.103333333333339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66000</v>
      </c>
      <c r="X11" s="272">
        <f t="shared" si="4"/>
        <v>0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6000000</v>
      </c>
      <c r="AE11" s="268">
        <f>Y11/AD11</f>
        <v>1.0999999999999999E-2</v>
      </c>
      <c r="AF11" s="273">
        <f>Y11/$AF$24/1000</f>
        <v>1.0999999999999999E-2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1.0999999999999999E-2</v>
      </c>
      <c r="AI11" s="272">
        <f>AH11*$Y$24*1000</f>
        <v>66000</v>
      </c>
      <c r="AJ11" s="268">
        <f>AI11/AD11</f>
        <v>1.0999999999999999E-2</v>
      </c>
      <c r="AK11" s="272">
        <f t="shared" si="2"/>
        <v>0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6000000</v>
      </c>
      <c r="AQ11" s="267">
        <f>X11/$AE11</f>
        <v>0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0</v>
      </c>
      <c r="AX11" s="271">
        <f>AJ11*10000</f>
        <v>110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407360.40645382943</v>
      </c>
      <c r="X12" s="266">
        <f t="shared" si="6"/>
        <v>0</v>
      </c>
      <c r="Y12" s="266">
        <f t="shared" si="6"/>
        <v>407360.40645382943</v>
      </c>
      <c r="Z12" s="266">
        <f t="shared" si="6"/>
        <v>0</v>
      </c>
      <c r="AA12" s="266">
        <f t="shared" si="6"/>
        <v>407360.40645382943</v>
      </c>
      <c r="AB12" s="263"/>
      <c r="AC12" s="264"/>
      <c r="AD12" s="262"/>
      <c r="AE12" s="262"/>
      <c r="AF12" s="269">
        <f t="shared" ref="AF12" si="7">SUM(AF7:AF11)</f>
        <v>6.7893401075638238E-2</v>
      </c>
      <c r="AG12" s="269">
        <f>SUM(AG7:AG11)</f>
        <v>8.142445874125874E-2</v>
      </c>
      <c r="AH12" s="269">
        <f>SUM(AH7:AH11)</f>
        <v>6.7893401075638238E-2</v>
      </c>
      <c r="AI12" s="266">
        <f t="shared" ref="AI12:AK12" si="8">SUM(AI7:AI11)</f>
        <v>407360.40645382943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254886.6902173913</v>
      </c>
      <c r="X14" s="266">
        <f t="shared" ref="X14:X19" si="13">H14*H$24*1000</f>
        <v>0</v>
      </c>
      <c r="Y14" s="266">
        <f t="shared" ref="Y14:Y19" si="14">SUM(S14:X14)</f>
        <v>254886.6902173913</v>
      </c>
      <c r="Z14" s="266">
        <f>-$D$115</f>
        <v>0</v>
      </c>
      <c r="AA14" s="266">
        <f t="shared" ref="AA14:AA19" si="15">SUM(Y14:Z14)</f>
        <v>254886.6902173913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4.2481115036231885E-2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3.8776052641945835E-2</v>
      </c>
      <c r="AI14" s="266">
        <f t="shared" ref="AI14:AI19" si="18">AH14*$Y$24*1000</f>
        <v>232656.315851675</v>
      </c>
      <c r="AJ14" s="268" t="e">
        <f t="shared" ref="AJ14:AJ19" si="19">AI14/AD14</f>
        <v>#DIV/0!</v>
      </c>
      <c r="AK14" s="266">
        <f t="shared" ref="AK14:AK19" si="20">Y14-AI14</f>
        <v>22230.3743657163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107836.67663043477</v>
      </c>
      <c r="X15" s="274">
        <f t="shared" si="13"/>
        <v>0</v>
      </c>
      <c r="Y15" s="274">
        <f t="shared" si="14"/>
        <v>107836.67663043477</v>
      </c>
      <c r="Z15" s="274">
        <f>-$H$115</f>
        <v>0</v>
      </c>
      <c r="AA15" s="274">
        <f t="shared" si="15"/>
        <v>107836.67663043477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1.7972779438405796E-2</v>
      </c>
      <c r="AG15" s="265">
        <v>7.650220979020979E-3</v>
      </c>
      <c r="AH15" s="265">
        <f t="shared" si="17"/>
        <v>1.6405253040823235E-2</v>
      </c>
      <c r="AI15" s="274">
        <f t="shared" si="18"/>
        <v>98431.518244939405</v>
      </c>
      <c r="AJ15" s="268" t="e">
        <f t="shared" si="19"/>
        <v>#DIV/0!</v>
      </c>
      <c r="AK15" s="274">
        <f t="shared" si="20"/>
        <v>9405.1583854953642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110963.21005434782</v>
      </c>
      <c r="X16" s="266">
        <f t="shared" si="13"/>
        <v>0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1.8493868342391303E-2</v>
      </c>
      <c r="AG16" s="269">
        <v>8.8563300699300695E-3</v>
      </c>
      <c r="AH16" s="269">
        <f t="shared" si="17"/>
        <v>1.6880894293526759E-2</v>
      </c>
      <c r="AI16" s="266">
        <f t="shared" si="18"/>
        <v>101285.36576116054</v>
      </c>
      <c r="AJ16" s="268" t="e">
        <f t="shared" si="19"/>
        <v>#DIV/0!</v>
      </c>
      <c r="AK16" s="266">
        <f t="shared" si="20"/>
        <v>9677.8442931872705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7153.9999999999991</v>
      </c>
      <c r="X17" s="274">
        <f>H17*H$24*1000</f>
        <v>0</v>
      </c>
      <c r="Y17" s="274">
        <f t="shared" si="14"/>
        <v>7153.9999999999991</v>
      </c>
      <c r="Z17" s="274">
        <f>C176/($C$184+$C$185)*$C$185</f>
        <v>0</v>
      </c>
      <c r="AA17" s="274">
        <f t="shared" si="15"/>
        <v>7153.9999999999991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1.1923333333333332E-3</v>
      </c>
      <c r="AG17" s="265">
        <v>2.1273118881118881E-3</v>
      </c>
      <c r="AH17" s="265">
        <f t="shared" si="17"/>
        <v>1.0883419623201368E-3</v>
      </c>
      <c r="AI17" s="274">
        <f t="shared" si="18"/>
        <v>6530.0517739208208</v>
      </c>
      <c r="AJ17" s="268" t="e">
        <f t="shared" si="19"/>
        <v>#DIV/0!</v>
      </c>
      <c r="AK17" s="274">
        <f t="shared" si="20"/>
        <v>623.94822607917831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25872</v>
      </c>
      <c r="X18" s="274">
        <f t="shared" si="13"/>
        <v>0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500000</v>
      </c>
      <c r="AE18" s="268">
        <f>Y18/AD18</f>
        <v>5.1743999999999998E-2</v>
      </c>
      <c r="AF18" s="265">
        <f t="shared" si="16"/>
        <v>4.3119999999999999E-3</v>
      </c>
      <c r="AG18" s="265">
        <v>3.2747211188811187E-2</v>
      </c>
      <c r="AH18" s="265">
        <f t="shared" si="17"/>
        <v>3.9359216171577548E-3</v>
      </c>
      <c r="AI18" s="274">
        <f t="shared" si="18"/>
        <v>23615.529702946529</v>
      </c>
      <c r="AJ18" s="268">
        <f>AI18/AD18</f>
        <v>4.7231059405893061E-2</v>
      </c>
      <c r="AK18" s="274">
        <f>Y18-AI18</f>
        <v>2256.4702970534709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500000</v>
      </c>
      <c r="AQ18" s="267">
        <f t="shared" si="31"/>
        <v>0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83.332999999999998</v>
      </c>
      <c r="AW18" s="270">
        <f t="shared" si="27"/>
        <v>0</v>
      </c>
      <c r="AX18" s="271">
        <f>AJ18*10000</f>
        <v>472.31059405893063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43878</v>
      </c>
      <c r="X19" s="275">
        <f t="shared" si="13"/>
        <v>0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500000</v>
      </c>
      <c r="AE19" s="268">
        <f t="shared" si="29"/>
        <v>8.7756000000000001E-2</v>
      </c>
      <c r="AF19" s="276">
        <f t="shared" si="16"/>
        <v>7.3130000000000001E-3</v>
      </c>
      <c r="AG19" s="276">
        <v>7.3609622377622374E-3</v>
      </c>
      <c r="AH19" s="276">
        <f t="shared" si="17"/>
        <v>6.6751843196369816E-3</v>
      </c>
      <c r="AI19" s="275">
        <f t="shared" si="18"/>
        <v>40051.105917821893</v>
      </c>
      <c r="AJ19" s="268">
        <f t="shared" si="19"/>
        <v>8.0102211835643783E-2</v>
      </c>
      <c r="AK19" s="275">
        <f t="shared" si="20"/>
        <v>3826.8940821781071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500000</v>
      </c>
      <c r="AQ19" s="267">
        <f t="shared" si="31"/>
        <v>0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83.332999999999998</v>
      </c>
      <c r="AW19" s="270">
        <f t="shared" si="27"/>
        <v>0</v>
      </c>
      <c r="AX19" s="271">
        <f t="shared" si="28"/>
        <v>801.02211835643777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550590.57690217393</v>
      </c>
      <c r="X20" s="277">
        <f t="shared" si="37"/>
        <v>0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9.1765096150362324E-2</v>
      </c>
      <c r="AG20" s="280">
        <f>SUM(AG14:AG19)</f>
        <v>7.0230590209790209E-2</v>
      </c>
      <c r="AH20" s="280">
        <f>SUM(AH14:AH19)</f>
        <v>8.3761647875410697E-2</v>
      </c>
      <c r="AI20" s="277">
        <f>SUM(AI14:AI19)</f>
        <v>502569.88725246419</v>
      </c>
      <c r="AJ20" s="262"/>
      <c r="AK20" s="277">
        <f>SUM(AK14:AK19)</f>
        <v>48020.68964970969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957950.98335600342</v>
      </c>
      <c r="X21" s="281">
        <f t="shared" si="38"/>
        <v>0</v>
      </c>
      <c r="Y21" s="281">
        <f t="shared" si="38"/>
        <v>957950.98335600342</v>
      </c>
      <c r="Z21" s="281">
        <f t="shared" si="38"/>
        <v>0</v>
      </c>
      <c r="AA21" s="281">
        <f t="shared" si="38"/>
        <v>957950.98335600342</v>
      </c>
      <c r="AB21" s="282" t="s">
        <v>98</v>
      </c>
      <c r="AC21" s="279"/>
      <c r="AD21" s="262"/>
      <c r="AE21" s="262"/>
      <c r="AF21" s="283">
        <f>AF12+AF20</f>
        <v>0.15965849722600056</v>
      </c>
      <c r="AG21" s="283">
        <f>AG12+AG20</f>
        <v>0.15165504895104895</v>
      </c>
      <c r="AH21" s="283">
        <f>AH12+AH20</f>
        <v>0.15165504895104892</v>
      </c>
      <c r="AI21" s="281">
        <f>AI12+AI20</f>
        <v>909930.29370629368</v>
      </c>
      <c r="AJ21" s="262"/>
      <c r="AK21" s="281">
        <f>AK12+AK20</f>
        <v>48020.68964970969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0.15966</v>
      </c>
      <c r="X22" s="284">
        <f>IF(H24&lt;&gt;0,ROUND(X21/(H24*1000),5),0)</f>
        <v>0</v>
      </c>
      <c r="Y22" s="284">
        <f>Y21/Y24/1000</f>
        <v>0.15965849722600059</v>
      </c>
      <c r="Z22" s="284">
        <v>0</v>
      </c>
      <c r="AA22" s="284">
        <f>ROUND(AA21/(B49*1000),5)</f>
        <v>0.15966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0.15165504895104895</v>
      </c>
      <c r="AJ22" s="262"/>
      <c r="AK22" s="284">
        <f>AK21/AK24/1000</f>
        <v>8.0034482749516134E-3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0.23966000000000001</v>
      </c>
      <c r="X23" s="284">
        <f>ROUND(X22+H6,5)</f>
        <v>0</v>
      </c>
      <c r="Y23" s="284">
        <f>Y22+(($B$6*$B$24*1000+$B$29*$B$47*1000+$E$29*$E$47*1000+$H$6*$H$24*1000+$H$29*$H$47*1000+$E$6*$E$24*1000)/($B$49*1000))</f>
        <v>0.23965849722600058</v>
      </c>
      <c r="Z23" s="284">
        <v>0</v>
      </c>
      <c r="AA23" s="284">
        <f>AA22+(($B$6*$B$24*1000+$B$29*$B$47*1000+$E$6*$E$24*1000+$E$29*$E$47*1000+$H$6*$H$24*1000+$H$29*$H$47*1000)/($B$49*1000))</f>
        <v>0.23965999999999998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6000</v>
      </c>
      <c r="X24" s="286">
        <f>H24</f>
        <v>0</v>
      </c>
      <c r="Y24" s="286">
        <f>SUM(S24:X24)</f>
        <v>6000</v>
      </c>
      <c r="Z24" s="286">
        <v>0</v>
      </c>
      <c r="AA24" s="286">
        <f>SUM(Y24:Z24)</f>
        <v>6000</v>
      </c>
      <c r="AB24" s="286"/>
      <c r="AC24" s="279"/>
      <c r="AD24" s="262"/>
      <c r="AE24" s="262"/>
      <c r="AF24" s="286">
        <f>Y24</f>
        <v>6000</v>
      </c>
      <c r="AG24" s="286"/>
      <c r="AH24" s="286"/>
      <c r="AI24" s="286">
        <f>Y24</f>
        <v>6000</v>
      </c>
      <c r="AJ24" s="262"/>
      <c r="AK24" s="286">
        <f>Y24</f>
        <v>6000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4.9500000000000002E-2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2.8103333333333335E-3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1.0999999999999999E-2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0.14789340107563825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4.2481115036231885E-2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1.7972779438405796E-2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1.8493868342391303E-2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1.1923333333333332E-3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4.3119999999999999E-3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7.3130000000000001E-3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9.1765096150362324E-2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0.23965849722600058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6000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6000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Summary'!$C$13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Summary'!D$13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Summary'!E$13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Summary'!$F$13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Summary'!$G$13</f>
        <v>0</v>
      </c>
      <c r="C58" s="214">
        <f t="shared" si="46"/>
        <v>0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Summary'!$H$13</f>
        <v>6000</v>
      </c>
      <c r="C59" s="215">
        <f t="shared" si="46"/>
        <v>1</v>
      </c>
      <c r="D59" s="459">
        <f>B59/200</f>
        <v>30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6000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84199.625058574471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23637.051571860295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107836.67663043477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0.9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1.115</v>
      </c>
      <c r="F145" s="76">
        <f>G141</f>
        <v>6.6443706666712579E-2</v>
      </c>
      <c r="G145" s="113">
        <f>E145*F145</f>
        <v>7.4084732933384523E-2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0.14608473293338453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4.9500000000000002E-2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2.8103333333333335E-3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1.0999999999999999E-2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6000</v>
      </c>
      <c r="E172" s="14"/>
      <c r="F172" s="492" t="s">
        <v>8</v>
      </c>
      <c r="G172" s="492"/>
      <c r="H172" s="27">
        <f>D172/D173</f>
        <v>2.181818181818182E-2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8.7756000000000001E-2</v>
      </c>
      <c r="G177" s="171">
        <f>$E177/$D$172/1000</f>
        <v>0</v>
      </c>
      <c r="H177" s="83">
        <f t="shared" ref="H177:H178" si="56">SUM(F177:G177)</f>
        <v>8.7756000000000001E-2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5.1743999999999998E-2</v>
      </c>
      <c r="G178" s="111">
        <f>$E178/$D$172/1000</f>
        <v>0</v>
      </c>
      <c r="H178" s="85">
        <f t="shared" si="56"/>
        <v>5.1743999999999998E-2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0.13950000000000001</v>
      </c>
      <c r="G179" s="112">
        <f>SUM(G176:G178)</f>
        <v>0</v>
      </c>
      <c r="H179" s="170">
        <f>SUM(H176:H178)</f>
        <v>0.13950000000000001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DBB0-1743-4387-AE78-5A9B4BA449BC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21082.111614602582</v>
      </c>
      <c r="X7" s="266">
        <f>$I145*$H$24*1000*$H145</f>
        <v>21132.553792761268</v>
      </c>
      <c r="Y7" s="266">
        <f>SUM(S7:X7)</f>
        <v>42214.665407363849</v>
      </c>
      <c r="Z7" s="266">
        <v>0</v>
      </c>
      <c r="AA7" s="266">
        <f>SUM(Y7:Z7)</f>
        <v>42214.665407363849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606848</v>
      </c>
      <c r="AE7" s="268">
        <f>Y7/AD7</f>
        <v>6.9563820606418497E-2</v>
      </c>
      <c r="AF7" s="269">
        <f>Y7/$AF$24/1000</f>
        <v>5.8713025601340538E-3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5.8713025601340538E-3</v>
      </c>
      <c r="AI7" s="266">
        <f>AH7*$Y$24*1000</f>
        <v>42214.665407363849</v>
      </c>
      <c r="AJ7" s="268">
        <f>AI7/AD7</f>
        <v>6.9563820606418497E-2</v>
      </c>
      <c r="AK7" s="266">
        <f>Y7-AI7</f>
        <v>0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288796</v>
      </c>
      <c r="AQ7" s="267">
        <f>ROUND($H145*$H$24*1000,0)</f>
        <v>318052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122.8</v>
      </c>
      <c r="AX7" s="271">
        <f>AJ7*10000</f>
        <v>695.63820606418494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39627</v>
      </c>
      <c r="Y8" s="266">
        <f t="shared" ref="Y8:Y11" si="0">SUM(S8:X8)</f>
        <v>39627</v>
      </c>
      <c r="Z8" s="266">
        <v>0</v>
      </c>
      <c r="AA8" s="266">
        <f t="shared" ref="AA8:AA11" si="1">SUM(Y8:Z8)</f>
        <v>39627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4403000</v>
      </c>
      <c r="AE8" s="268">
        <f>Y8/AD8</f>
        <v>8.9999999999999993E-3</v>
      </c>
      <c r="AF8" s="269">
        <f>Y8/$AF$24/1000</f>
        <v>5.511404728789986E-3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5.511404728789986E-3</v>
      </c>
      <c r="AI8" s="266">
        <f>AH8*$Y$24*1000</f>
        <v>39627</v>
      </c>
      <c r="AJ8" s="268">
        <f>AI8/AD8</f>
        <v>8.9999999999999993E-3</v>
      </c>
      <c r="AK8" s="266">
        <f t="shared" ref="AK8:AK11" si="2">Y8-AI8</f>
        <v>0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4403000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90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4.130737134909597E-2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190013.90820584146</v>
      </c>
      <c r="X9" s="266">
        <f>H9*H$24*1000</f>
        <v>106986.09179415856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7190000</v>
      </c>
      <c r="AE9" s="268">
        <f>Y9/AD9</f>
        <v>4.130737134909597E-2</v>
      </c>
      <c r="AF9" s="269">
        <f>Y9/$AF$24/1000</f>
        <v>4.1307371349095963E-2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4.1307371349095963E-2</v>
      </c>
      <c r="AI9" s="266">
        <f>AH9*$Y$24*1000</f>
        <v>297000</v>
      </c>
      <c r="AJ9" s="268">
        <f>AI9/AD9</f>
        <v>4.130737134909597E-2</v>
      </c>
      <c r="AK9" s="266">
        <f t="shared" si="2"/>
        <v>0</v>
      </c>
      <c r="AL9" s="267">
        <f t="shared" ref="AL9:AQ11" si="3">S9/$AE9</f>
        <v>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4600000</v>
      </c>
      <c r="AQ9" s="267">
        <f t="shared" si="3"/>
        <v>2590000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1000</v>
      </c>
      <c r="AX9" s="271">
        <f>AJ9*10000</f>
        <v>413.07371349095968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2.3452016689847009E-3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10787.927677329624</v>
      </c>
      <c r="X10" s="266">
        <f t="shared" ref="X10:X11" si="4">H10*H$24*1000</f>
        <v>6074.0723226703749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7190000</v>
      </c>
      <c r="AE10" s="268">
        <f>Y10/AD10</f>
        <v>2.3452016689847009E-3</v>
      </c>
      <c r="AF10" s="269">
        <f>Y10/$AF$24/1000</f>
        <v>2.3452016689847009E-3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2.3452016689847009E-3</v>
      </c>
      <c r="AI10" s="266">
        <f>AH10*$Y$24*1000</f>
        <v>16862</v>
      </c>
      <c r="AJ10" s="268">
        <f>AI10/AD10</f>
        <v>2.3452016689847009E-3</v>
      </c>
      <c r="AK10" s="266">
        <f t="shared" si="2"/>
        <v>0</v>
      </c>
      <c r="AL10" s="267">
        <f t="shared" si="3"/>
        <v>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4600000</v>
      </c>
      <c r="AQ10" s="267">
        <f t="shared" si="3"/>
        <v>2590000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1000</v>
      </c>
      <c r="AX10" s="271">
        <f>AJ10*10000</f>
        <v>23.45201668984701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9.1794158553546584E-3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42225.312934631424</v>
      </c>
      <c r="X11" s="272">
        <f t="shared" si="4"/>
        <v>23774.687065368566</v>
      </c>
      <c r="Y11" s="272">
        <f t="shared" si="0"/>
        <v>65999.999999999985</v>
      </c>
      <c r="Z11" s="272">
        <v>0</v>
      </c>
      <c r="AA11" s="272">
        <f t="shared" si="1"/>
        <v>65999.999999999985</v>
      </c>
      <c r="AB11" s="263" t="s">
        <v>76</v>
      </c>
      <c r="AC11" s="264" t="s">
        <v>73</v>
      </c>
      <c r="AD11" s="267">
        <f>ROUND((S11/H$166)+(T11/H$166)+(U11/H$166)+(V11/H$166)+(W11/H$166)+(X11/H$166),0)</f>
        <v>7190000</v>
      </c>
      <c r="AE11" s="268">
        <f>Y11/AD11</f>
        <v>9.1794158553546567E-3</v>
      </c>
      <c r="AF11" s="273">
        <f>Y11/$AF$24/1000</f>
        <v>9.1794158553546567E-3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9.1794158553546567E-3</v>
      </c>
      <c r="AI11" s="272">
        <f>AH11*$Y$24*1000</f>
        <v>65999.999999999985</v>
      </c>
      <c r="AJ11" s="268">
        <f>AI11/AD11</f>
        <v>9.1794158553546567E-3</v>
      </c>
      <c r="AK11" s="272">
        <f t="shared" si="2"/>
        <v>0</v>
      </c>
      <c r="AL11" s="267">
        <f t="shared" si="3"/>
        <v>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4600000</v>
      </c>
      <c r="AQ11" s="267">
        <f>X11/$AE11</f>
        <v>2590000.0000000005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1000</v>
      </c>
      <c r="AX11" s="271">
        <f>AJ11*10000</f>
        <v>91.794158553546566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0.25415898887343535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264109.26043240511</v>
      </c>
      <c r="X12" s="266">
        <f t="shared" si="6"/>
        <v>197594.40497495877</v>
      </c>
      <c r="Y12" s="266">
        <f t="shared" si="6"/>
        <v>461703.66540736385</v>
      </c>
      <c r="Z12" s="266">
        <f t="shared" si="6"/>
        <v>0</v>
      </c>
      <c r="AA12" s="266">
        <f t="shared" si="6"/>
        <v>461703.66540736385</v>
      </c>
      <c r="AB12" s="263"/>
      <c r="AC12" s="264"/>
      <c r="AD12" s="262"/>
      <c r="AE12" s="262"/>
      <c r="AF12" s="269">
        <f t="shared" ref="AF12" si="7">SUM(AF7:AF11)</f>
        <v>6.421469616235935E-2</v>
      </c>
      <c r="AG12" s="269">
        <f>SUM(AG7:AG11)</f>
        <v>8.142445874125874E-2</v>
      </c>
      <c r="AH12" s="269">
        <f>SUM(AH7:AH11)</f>
        <v>6.421469616235935E-2</v>
      </c>
      <c r="AI12" s="266">
        <f t="shared" ref="AI12:AK12" si="8">SUM(AI7:AI11)</f>
        <v>461703.66540736385</v>
      </c>
      <c r="AJ12" s="262"/>
      <c r="AK12" s="266">
        <f t="shared" si="8"/>
        <v>0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3.5450165537884742E-2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163070.76147426979</v>
      </c>
      <c r="X14" s="266">
        <f t="shared" ref="X14:X19" si="13">H14*H$24*1000</f>
        <v>91815.928743121491</v>
      </c>
      <c r="Y14" s="266">
        <f t="shared" ref="Y14:Y19" si="14">SUM(S14:X14)</f>
        <v>254886.6902173913</v>
      </c>
      <c r="Z14" s="266">
        <f>-$D$115</f>
        <v>0</v>
      </c>
      <c r="AA14" s="266">
        <f t="shared" ref="AA14:AA19" si="15">SUM(Y14:Z14)</f>
        <v>254886.6902173913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3.5450165537884742E-2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3.5450165537884742E-2</v>
      </c>
      <c r="AI14" s="266">
        <f t="shared" ref="AI14:AI19" si="18">AH14*$Y$24*1000</f>
        <v>254886.6902173913</v>
      </c>
      <c r="AJ14" s="268" t="e">
        <f t="shared" ref="AJ14:AJ19" si="19">AI14/AD14</f>
        <v>#DIV/0!</v>
      </c>
      <c r="AK14" s="266">
        <f t="shared" ref="AK14:AK19" si="20">Y14-AI14</f>
        <v>0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1.4998146958335852E-2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68991.476008344922</v>
      </c>
      <c r="X15" s="274">
        <f t="shared" si="13"/>
        <v>38845.200622089855</v>
      </c>
      <c r="Y15" s="274">
        <f t="shared" si="14"/>
        <v>107836.67663043478</v>
      </c>
      <c r="Z15" s="274">
        <f>-$H$115</f>
        <v>0</v>
      </c>
      <c r="AA15" s="274">
        <f t="shared" si="15"/>
        <v>107836.67663043478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1.4998146958335854E-2</v>
      </c>
      <c r="AG15" s="265">
        <v>7.650220979020979E-3</v>
      </c>
      <c r="AH15" s="265">
        <f t="shared" si="17"/>
        <v>1.4998146958335854E-2</v>
      </c>
      <c r="AI15" s="274">
        <f t="shared" si="18"/>
        <v>107836.6766304348</v>
      </c>
      <c r="AJ15" s="268" t="e">
        <f t="shared" si="19"/>
        <v>#DIV/0!</v>
      </c>
      <c r="AK15" s="274">
        <f t="shared" si="20"/>
        <v>0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1.5432991662635301E-2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70991.761648122381</v>
      </c>
      <c r="X16" s="266">
        <f t="shared" si="13"/>
        <v>39971.448406225427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1.5432991662635301E-2</v>
      </c>
      <c r="AG16" s="269">
        <v>8.8563300699300695E-3</v>
      </c>
      <c r="AH16" s="269">
        <f t="shared" si="17"/>
        <v>1.5432991662635301E-2</v>
      </c>
      <c r="AI16" s="266">
        <f t="shared" si="18"/>
        <v>110963.21005434782</v>
      </c>
      <c r="AJ16" s="268" t="e">
        <f t="shared" si="19"/>
        <v>#DIV/0!</v>
      </c>
      <c r="AK16" s="266">
        <f t="shared" si="20"/>
        <v>0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9.9499304589707933E-4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4576.9680111265643</v>
      </c>
      <c r="X17" s="274">
        <f>H17*H$24*1000</f>
        <v>2577.0319888734352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9.9499304589707933E-4</v>
      </c>
      <c r="AG17" s="265">
        <v>2.1273118881118881E-3</v>
      </c>
      <c r="AH17" s="265">
        <f t="shared" si="17"/>
        <v>9.9499304589707933E-4</v>
      </c>
      <c r="AI17" s="274">
        <f t="shared" si="18"/>
        <v>7154.0000000000009</v>
      </c>
      <c r="AJ17" s="268" t="e">
        <f t="shared" si="19"/>
        <v>#DIV/0!</v>
      </c>
      <c r="AK17" s="274">
        <f t="shared" si="20"/>
        <v>0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3.5983310152990266E-3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16552.322670375521</v>
      </c>
      <c r="X18" s="274">
        <f t="shared" si="13"/>
        <v>9319.6773296244792</v>
      </c>
      <c r="Y18" s="274">
        <f t="shared" si="14"/>
        <v>25872</v>
      </c>
      <c r="Z18" s="274">
        <f>C178/($C$184+$C$185)*$C$185</f>
        <v>0</v>
      </c>
      <c r="AA18" s="274">
        <f>SUM(Y18:Z18)</f>
        <v>25872</v>
      </c>
      <c r="AB18" s="263" t="s">
        <v>83</v>
      </c>
      <c r="AC18" s="264" t="s">
        <v>73</v>
      </c>
      <c r="AD18" s="267">
        <f>ROUND((S18/F$178)+(T18/F$178)+(U18/F$178)+(V18/F$178)+(W18/F$178)+(X18/F$178),0)</f>
        <v>599167</v>
      </c>
      <c r="AE18" s="268">
        <f>Y18/AD18</f>
        <v>4.3179948161364029E-2</v>
      </c>
      <c r="AF18" s="265">
        <f t="shared" si="16"/>
        <v>3.5983310152990266E-3</v>
      </c>
      <c r="AG18" s="265">
        <v>3.2747211188811187E-2</v>
      </c>
      <c r="AH18" s="265">
        <f t="shared" si="17"/>
        <v>3.5983310152990266E-3</v>
      </c>
      <c r="AI18" s="274">
        <f t="shared" si="18"/>
        <v>25872</v>
      </c>
      <c r="AJ18" s="268">
        <f>AI18/AD18</f>
        <v>4.3179948161364029E-2</v>
      </c>
      <c r="AK18" s="274">
        <f>Y18-AI18</f>
        <v>0</v>
      </c>
      <c r="AL18" s="267">
        <f t="shared" si="31"/>
        <v>0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383333.54659248953</v>
      </c>
      <c r="AQ18" s="267">
        <f t="shared" si="31"/>
        <v>215833.45340751045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83.332999999999998</v>
      </c>
      <c r="AW18" s="270">
        <f t="shared" si="27"/>
        <v>83.332999999999998</v>
      </c>
      <c r="AX18" s="271">
        <f>AJ18*10000</f>
        <v>431.7994816136403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6.1026425591098749E-3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28072.155771905425</v>
      </c>
      <c r="X19" s="275">
        <f t="shared" si="13"/>
        <v>15805.844228094576</v>
      </c>
      <c r="Y19" s="275">
        <f t="shared" si="14"/>
        <v>43878</v>
      </c>
      <c r="Z19" s="275">
        <f>C177/($C$184+$C$185)*$C$185</f>
        <v>0</v>
      </c>
      <c r="AA19" s="275">
        <f t="shared" si="15"/>
        <v>43878</v>
      </c>
      <c r="AB19" s="263" t="s">
        <v>82</v>
      </c>
      <c r="AC19" s="264" t="s">
        <v>73</v>
      </c>
      <c r="AD19" s="267">
        <f>ROUND((S19/F$177)+(T19/F$177)+(U19/F$177)+(V19/F$177)+(W19/F$177)+(X19/F$177),0)</f>
        <v>599167</v>
      </c>
      <c r="AE19" s="268">
        <f t="shared" si="29"/>
        <v>7.3231669968472898E-2</v>
      </c>
      <c r="AF19" s="276">
        <f t="shared" si="16"/>
        <v>6.1026425591098749E-3</v>
      </c>
      <c r="AG19" s="276">
        <v>7.3609622377622374E-3</v>
      </c>
      <c r="AH19" s="276">
        <f t="shared" si="17"/>
        <v>6.1026425591098749E-3</v>
      </c>
      <c r="AI19" s="275">
        <f t="shared" si="18"/>
        <v>43878</v>
      </c>
      <c r="AJ19" s="268">
        <f t="shared" si="19"/>
        <v>7.3231669968472898E-2</v>
      </c>
      <c r="AK19" s="275">
        <f t="shared" si="20"/>
        <v>0</v>
      </c>
      <c r="AL19" s="267">
        <f t="shared" si="31"/>
        <v>0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383333.54659248958</v>
      </c>
      <c r="AQ19" s="267">
        <f t="shared" si="31"/>
        <v>215833.45340751045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83.332999999999998</v>
      </c>
      <c r="AW19" s="270">
        <f t="shared" si="27"/>
        <v>83.332999999999998</v>
      </c>
      <c r="AX19" s="271">
        <f t="shared" si="28"/>
        <v>732.31669968472897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7.6577270779161877E-2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352255.44558414462</v>
      </c>
      <c r="X20" s="277">
        <f t="shared" si="37"/>
        <v>198335.13131802928</v>
      </c>
      <c r="Y20" s="277">
        <f t="shared" si="37"/>
        <v>550590.57690217393</v>
      </c>
      <c r="Z20" s="277">
        <f t="shared" si="37"/>
        <v>0</v>
      </c>
      <c r="AA20" s="277">
        <f t="shared" si="37"/>
        <v>550590.57690217393</v>
      </c>
      <c r="AB20" s="278"/>
      <c r="AC20" s="279"/>
      <c r="AD20" s="262"/>
      <c r="AE20" s="262"/>
      <c r="AF20" s="280">
        <f>SUM(AF14:AF19)</f>
        <v>7.6577270779161877E-2</v>
      </c>
      <c r="AG20" s="280">
        <f>SUM(AG14:AG19)</f>
        <v>7.0230590209790209E-2</v>
      </c>
      <c r="AH20" s="280">
        <f>SUM(AH14:AH19)</f>
        <v>7.6577270779161877E-2</v>
      </c>
      <c r="AI20" s="277">
        <f>SUM(AI14:AI19)</f>
        <v>550590.57690217393</v>
      </c>
      <c r="AJ20" s="262"/>
      <c r="AK20" s="277">
        <f>SUM(AK14:AK19)</f>
        <v>0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616364.70601654972</v>
      </c>
      <c r="X21" s="281">
        <f t="shared" si="38"/>
        <v>395929.53629298805</v>
      </c>
      <c r="Y21" s="281">
        <f t="shared" si="38"/>
        <v>1012294.2423095377</v>
      </c>
      <c r="Z21" s="281">
        <f t="shared" si="38"/>
        <v>0</v>
      </c>
      <c r="AA21" s="281">
        <f t="shared" si="38"/>
        <v>1012294.2423095377</v>
      </c>
      <c r="AB21" s="282" t="s">
        <v>98</v>
      </c>
      <c r="AC21" s="279"/>
      <c r="AD21" s="262"/>
      <c r="AE21" s="262"/>
      <c r="AF21" s="283">
        <f>AF12+AF20</f>
        <v>0.14079196694152124</v>
      </c>
      <c r="AG21" s="283">
        <f>AG12+AG20</f>
        <v>0.15165504895104895</v>
      </c>
      <c r="AH21" s="283">
        <f>AH12+AH20</f>
        <v>0.14079196694152124</v>
      </c>
      <c r="AI21" s="281">
        <f>AI12+AI20</f>
        <v>1012294.2423095377</v>
      </c>
      <c r="AJ21" s="262"/>
      <c r="AK21" s="281">
        <f>AK12+AK20</f>
        <v>0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0.33073625965259723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0.13399</v>
      </c>
      <c r="X22" s="284">
        <f>IF(H24&lt;&gt;0,ROUND(X21/(H24*1000),5),0)</f>
        <v>0.15287000000000001</v>
      </c>
      <c r="Y22" s="284">
        <f>Y21/Y24/1000</f>
        <v>0.14079196694152124</v>
      </c>
      <c r="Z22" s="284">
        <v>0</v>
      </c>
      <c r="AA22" s="284">
        <f>ROUND(AA21/(B49*1000),5)</f>
        <v>0.14079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0.14079196694152124</v>
      </c>
      <c r="AJ22" s="262"/>
      <c r="AK22" s="284">
        <f>AK21/AK24/1000</f>
        <v>0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0.21399000000000001</v>
      </c>
      <c r="X23" s="284">
        <f>ROUND(X22+H6,5)</f>
        <v>0.28112999999999999</v>
      </c>
      <c r="Y23" s="284">
        <f>Y22+(($B$6*$B$24*1000+$B$29*$B$47*1000+$E$29*$E$47*1000+$H$6*$H$24*1000+$H$29*$H$47*1000+$E$6*$E$24*1000)/($B$49*1000))</f>
        <v>0.23817558585668119</v>
      </c>
      <c r="Z23" s="284">
        <v>0</v>
      </c>
      <c r="AA23" s="284">
        <f>AA22+(($B$6*$B$24*1000+$B$29*$B$47*1000+$E$6*$E$24*1000+$E$29*$E$47*1000+$H$6*$H$24*1000+$H$29*$H$47*1000)/($B$49*1000))</f>
        <v>0.23817361891515992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2590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4600</v>
      </c>
      <c r="X24" s="286">
        <f>H24</f>
        <v>2590</v>
      </c>
      <c r="Y24" s="286">
        <f>SUM(S24:X24)</f>
        <v>7190</v>
      </c>
      <c r="Z24" s="286">
        <v>0</v>
      </c>
      <c r="AA24" s="286">
        <f>SUM(Y24:Z24)</f>
        <v>7190</v>
      </c>
      <c r="AB24" s="286"/>
      <c r="AC24" s="279"/>
      <c r="AD24" s="262"/>
      <c r="AE24" s="262"/>
      <c r="AF24" s="286">
        <f>Y24</f>
        <v>7190</v>
      </c>
      <c r="AG24" s="286"/>
      <c r="AH24" s="286"/>
      <c r="AI24" s="286">
        <f>Y24</f>
        <v>7190</v>
      </c>
      <c r="AJ24" s="262"/>
      <c r="AK24" s="286">
        <f>Y24</f>
        <v>7190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4.130737134909597E-2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2.3452016689847009E-3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9.1794158553546584E-3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0.13741505661574022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3.5450165537884742E-2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1.4998146958335852E-2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1.5432991662635301E-2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9.9499304589707933E-4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3.5983310152990266E-3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6.1026425591098749E-3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7.6577270779161877E-2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0.21399232739490209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4600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7190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Summary'!$C$14</f>
        <v>0</v>
      </c>
      <c r="C54" s="214">
        <f>B54/$B$60</f>
        <v>0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Summary'!D$14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Summary'!E$14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Summary'!$F$14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Summary'!$G$14</f>
        <v>2590</v>
      </c>
      <c r="C58" s="214">
        <f t="shared" si="46"/>
        <v>0.36022253129346316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Summary'!$H$14</f>
        <v>4600</v>
      </c>
      <c r="C59" s="215">
        <f t="shared" si="46"/>
        <v>0.63977746870653684</v>
      </c>
      <c r="D59" s="459">
        <f>B59/200</f>
        <v>23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7190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84199.625058574486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23637.051571860298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107836.67663043478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0.751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0.96599999999999997</v>
      </c>
      <c r="F145" s="76">
        <f>G141</f>
        <v>6.6443706666712579E-2</v>
      </c>
      <c r="G145" s="113">
        <f>E145*F145</f>
        <v>6.4184620640044349E-2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0.13618462064004436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4.130737134909597E-2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2.3452016689847009E-3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9.1794158553546584E-3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7190</v>
      </c>
      <c r="E172" s="14"/>
      <c r="F172" s="492" t="s">
        <v>8</v>
      </c>
      <c r="G172" s="492"/>
      <c r="H172" s="27">
        <f>D172/D173</f>
        <v>2.6145454545454545E-2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7.3231710709318498E-2</v>
      </c>
      <c r="G177" s="171">
        <f>$E177/$D$172/1000</f>
        <v>0</v>
      </c>
      <c r="H177" s="83">
        <f t="shared" ref="H177:H178" si="56">SUM(F177:G177)</f>
        <v>7.3231710709318498E-2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4.3179972183588322E-2</v>
      </c>
      <c r="G178" s="111">
        <f>$E178/$D$172/1000</f>
        <v>0</v>
      </c>
      <c r="H178" s="85">
        <f t="shared" si="56"/>
        <v>4.3179972183588322E-2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30504.185064748264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0.11641168289290682</v>
      </c>
      <c r="G179" s="112">
        <f>SUM(G176:G178)</f>
        <v>0</v>
      </c>
      <c r="H179" s="170">
        <f>SUM(H176:H178)</f>
        <v>0.11641168289290682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13373.814935251736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43878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76E7-46DF-467F-A03B-61DBD8D4FC2F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0.14490000000000003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0.12825800000000001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3.3069000000000001E-2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3.3069000000000001E-2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70655.283931557715</v>
      </c>
      <c r="T7" s="266">
        <f>$C151*$B$47*1000*$B151</f>
        <v>0</v>
      </c>
      <c r="U7" s="266">
        <f>$F151*$E$47*1000*$E151</f>
        <v>0</v>
      </c>
      <c r="V7" s="266">
        <f>$F145*$E$24*1000*$E145</f>
        <v>0</v>
      </c>
      <c r="W7" s="266">
        <f>$I151*$H$47*1000*$H151</f>
        <v>9166.1354846098202</v>
      </c>
      <c r="X7" s="266">
        <f>$I145*$H$24*1000*$H145</f>
        <v>15094.681280543764</v>
      </c>
      <c r="Y7" s="266">
        <f>SUM(S7:X7)</f>
        <v>94916.100696711306</v>
      </c>
      <c r="Z7" s="266">
        <v>0</v>
      </c>
      <c r="AA7" s="266">
        <f>SUM(Y7:Z7)</f>
        <v>94916.100696711306</v>
      </c>
      <c r="AB7" s="263" t="s">
        <v>70</v>
      </c>
      <c r="AC7" s="264" t="s">
        <v>69</v>
      </c>
      <c r="AD7" s="267">
        <f>ROUND((B145*B$24*1000)+(B151*B$47*1000)+(E145*E$24*1000)+(E151*E$47*1000)+(H145*H$24*1000)+(H151*H$47*1000),0)</f>
        <v>1320624</v>
      </c>
      <c r="AE7" s="268">
        <f>Y7/AD7</f>
        <v>7.1872160960811934E-2</v>
      </c>
      <c r="AF7" s="269">
        <f>Y7/$AF$24/1000</f>
        <v>1.7741327233030152E-2</v>
      </c>
      <c r="AG7" s="269">
        <v>1.4890786013986013E-2</v>
      </c>
      <c r="AH7" s="269">
        <f>IF($AF$21&lt;$AG$21,AF7,IF($AF$12&lt;$AG$12,AF7,IF(AND($AF$12&gt;$AG$12,$AF$20&lt;$AG$20),($AG$12+($AG$20-$AF$20))/$AF$12*AF7,AF7/$AF$12*$AG$12)))</f>
        <v>1.3056357279418151E-2</v>
      </c>
      <c r="AI7" s="266">
        <f>AH7*$Y$24*1000</f>
        <v>69851.511444887103</v>
      </c>
      <c r="AJ7" s="268">
        <f>AI7/AD7</f>
        <v>5.2892807827880688E-2</v>
      </c>
      <c r="AK7" s="266">
        <f>Y7-AI7</f>
        <v>25064.589251824204</v>
      </c>
      <c r="AL7" s="267">
        <f>ROUND($B145*$B$24*1000,0)</f>
        <v>967881</v>
      </c>
      <c r="AM7" s="267">
        <f>ROUND($B151*$B$47*1000,0)</f>
        <v>0</v>
      </c>
      <c r="AN7" s="267">
        <f>ROUND($E151*$E$47*1000,0)</f>
        <v>0</v>
      </c>
      <c r="AO7" s="267">
        <f>ROUND($E145*$E$24*1000,0)</f>
        <v>0</v>
      </c>
      <c r="AP7" s="267">
        <f>ROUND($H151*$H$47*1000,0)</f>
        <v>125563</v>
      </c>
      <c r="AQ7" s="267">
        <f>ROUND($H145*$H$24*1000,0)</f>
        <v>227180</v>
      </c>
      <c r="AR7" s="270">
        <f>IF($B$24&lt;&gt;0,ROUND(AL7/B$24,3),0)</f>
        <v>645.25400000000002</v>
      </c>
      <c r="AS7" s="270" t="e">
        <f>ROUND(AM7/B$47,3)</f>
        <v>#DIV/0!</v>
      </c>
      <c r="AT7" s="270">
        <f>IF(E$47&lt;&gt;0,ROUND(AN7/E$47,3),0)</f>
        <v>0</v>
      </c>
      <c r="AU7" s="270">
        <f>IF(F$24&lt;&gt;0,ROUND(AO7/F$24,3),0)</f>
        <v>0</v>
      </c>
      <c r="AV7" s="270">
        <f>IF(H$47&lt;&gt;0,ROUND(AP7/H$47,3),0)</f>
        <v>62.781999999999996</v>
      </c>
      <c r="AW7" s="270">
        <f>IF(H$24&lt;&gt;0,ROUND(AQ7/H$24,3),0)</f>
        <v>122.8</v>
      </c>
      <c r="AX7" s="271">
        <f>AJ7*10000</f>
        <v>528.92807827880688</v>
      </c>
    </row>
    <row r="8" spans="1:50" ht="15">
      <c r="A8" s="15" t="s">
        <v>65</v>
      </c>
      <c r="B8" s="236">
        <f>IF($B$24&lt;&gt;0,$D$152,0)</f>
        <v>0.04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0.04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88850.159068139896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28305</v>
      </c>
      <c r="Y8" s="266">
        <f t="shared" ref="Y8:Y11" si="0">SUM(S8:X8)</f>
        <v>117155.1590681399</v>
      </c>
      <c r="Z8" s="266">
        <v>0</v>
      </c>
      <c r="AA8" s="266">
        <f t="shared" ref="AA8:AA11" si="1">SUM(Y8:Z8)</f>
        <v>117155.1590681399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25357540</v>
      </c>
      <c r="AE8" s="268">
        <f>Y8/AD8</f>
        <v>4.6201310958452558E-3</v>
      </c>
      <c r="AF8" s="269">
        <f>Y8/$AF$24/1000</f>
        <v>2.189816057348409E-2</v>
      </c>
      <c r="AG8" s="269">
        <v>4.2004911888111889E-2</v>
      </c>
      <c r="AH8" s="269">
        <f>IF($AF$21&lt;$AG$21,AF8,IF($AF$12&lt;$AG$12,AF8,IF(AND($AF$12&gt;$AG$12,$AF$20&lt;$AG$20),($AG$12+($AG$20-$AF$20))/$AF$12*AF8,AF8/$AF$12*$AG$12)))</f>
        <v>1.6115491499259393E-2</v>
      </c>
      <c r="AI8" s="266">
        <f>AH8*$Y$24*1000</f>
        <v>86217.879521037758</v>
      </c>
      <c r="AJ8" s="268">
        <f>AI8/AD8</f>
        <v>3.4000884755002953E-3</v>
      </c>
      <c r="AK8" s="266">
        <f t="shared" ref="AK8:AK11" si="2">Y8-AI8</f>
        <v>30937.279547102138</v>
      </c>
      <c r="AL8" s="267">
        <f>ROUND($B146*$B$24*1000*1000,0)</f>
        <v>22212540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3145000</v>
      </c>
      <c r="AR8" s="270">
        <f>IF($B$24&lt;&gt;0,ROUND(AL8/B$24,3),0)</f>
        <v>14808.36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1700</v>
      </c>
      <c r="AX8" s="271">
        <f>AJ8*10000</f>
        <v>34.00088475500295</v>
      </c>
    </row>
    <row r="9" spans="1:50">
      <c r="A9" s="42" t="s">
        <v>64</v>
      </c>
      <c r="B9" s="236">
        <f>IF($B$24&lt;&gt;0,$H$159,0)</f>
        <v>5.5514018691588785E-2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5.5514018691588785E-2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83271.028037383177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111028.03738317758</v>
      </c>
      <c r="X9" s="266">
        <f>H9*H$24*1000</f>
        <v>102700.93457943924</v>
      </c>
      <c r="Y9" s="266">
        <f t="shared" si="0"/>
        <v>297000</v>
      </c>
      <c r="Z9" s="266">
        <v>0</v>
      </c>
      <c r="AA9" s="266">
        <f t="shared" si="1"/>
        <v>297000</v>
      </c>
      <c r="AB9" s="263" t="s">
        <v>74</v>
      </c>
      <c r="AC9" s="264" t="s">
        <v>73</v>
      </c>
      <c r="AD9" s="267">
        <f>ROUND((S9/H$159)+(T9/H$159)+(U9/H$159)+(V9/H$159)+(W9/H$159)+(X9/H$159),0)</f>
        <v>5350000</v>
      </c>
      <c r="AE9" s="268">
        <f>Y9/AD9</f>
        <v>5.5514018691588785E-2</v>
      </c>
      <c r="AF9" s="269">
        <f>Y9/$AF$24/1000</f>
        <v>5.5514018691588791E-2</v>
      </c>
      <c r="AG9" s="269">
        <v>1.9544346853146852E-2</v>
      </c>
      <c r="AH9" s="269">
        <f>IF($AF$21&lt;$AG$21,AF9,IF($AF$12&lt;$AG$12,AF9,IF(AND($AF$12&gt;$AG$12,$AF$20&lt;$AG$20),($AG$12+($AG$20-$AF$20))/$AF$12*AF9,AF9/$AF$12*$AG$12)))</f>
        <v>4.0854376481160568E-2</v>
      </c>
      <c r="AI9" s="266">
        <f>AH9*$Y$24*1000</f>
        <v>218570.91417420903</v>
      </c>
      <c r="AJ9" s="268">
        <f>AI9/AD9</f>
        <v>4.0854376481160568E-2</v>
      </c>
      <c r="AK9" s="266">
        <f t="shared" si="2"/>
        <v>78429.085825790971</v>
      </c>
      <c r="AL9" s="267">
        <f t="shared" ref="AL9:AQ11" si="3">S9/$AE9</f>
        <v>1500000</v>
      </c>
      <c r="AM9" s="267">
        <f t="shared" si="3"/>
        <v>0</v>
      </c>
      <c r="AN9" s="267">
        <f t="shared" si="3"/>
        <v>0</v>
      </c>
      <c r="AO9" s="267">
        <f t="shared" si="3"/>
        <v>0</v>
      </c>
      <c r="AP9" s="267">
        <f>W9/$AE9</f>
        <v>2000000.0000000002</v>
      </c>
      <c r="AQ9" s="267">
        <f t="shared" si="3"/>
        <v>1849999.9999999998</v>
      </c>
      <c r="AR9" s="270">
        <f>IF($B$24&lt;&gt;0,ROUND(AL9/B$24,3),0)</f>
        <v>1000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1000</v>
      </c>
      <c r="AW9" s="270">
        <f>IF(H$24&lt;&gt;0,ROUND(AQ9/H$24,3),0)</f>
        <v>1000</v>
      </c>
      <c r="AX9" s="271">
        <f>AJ9*10000</f>
        <v>408.54376481160568</v>
      </c>
    </row>
    <row r="10" spans="1:50">
      <c r="A10" s="42" t="s">
        <v>63</v>
      </c>
      <c r="B10" s="236">
        <f>IF($B$24&lt;&gt;0,$H$163,0)</f>
        <v>3.1517757009345794E-3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3.1517757009345794E-3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4727.663551401869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6303.5514018691592</v>
      </c>
      <c r="X10" s="266">
        <f t="shared" ref="X10:X11" si="4">H10*H$24*1000</f>
        <v>5830.7850467289718</v>
      </c>
      <c r="Y10" s="266">
        <f t="shared" si="0"/>
        <v>16862</v>
      </c>
      <c r="Z10" s="266">
        <v>0</v>
      </c>
      <c r="AA10" s="266">
        <f t="shared" si="1"/>
        <v>16862</v>
      </c>
      <c r="AB10" s="263" t="s">
        <v>75</v>
      </c>
      <c r="AC10" s="264" t="s">
        <v>73</v>
      </c>
      <c r="AD10" s="267">
        <f>ROUND((S10/H$163)+(T10/H$163)+(U10/H$163)+(V10/H$163)+(W10/H$163)+(X10/H$163),0)</f>
        <v>5350000</v>
      </c>
      <c r="AE10" s="268">
        <f>Y10/AD10</f>
        <v>3.1517757009345794E-3</v>
      </c>
      <c r="AF10" s="269">
        <f>Y10/$AF$24/1000</f>
        <v>3.1517757009345794E-3</v>
      </c>
      <c r="AG10" s="269">
        <v>1.2510769230769231E-3</v>
      </c>
      <c r="AH10" s="269">
        <f>IF($AF$21&lt;$AG$21,AF10,IF($AF$12&lt;$AG$12,AF10,IF(AND($AF$12&gt;$AG$12,$AF$20&lt;$AG$20),($AG$12+($AG$20-$AF$20))/$AF$12*AF10,AF10/$AF$12*$AG$12)))</f>
        <v>2.3194831522738366E-3</v>
      </c>
      <c r="AI10" s="266">
        <f>AH10*$Y$24*1000</f>
        <v>12409.234864665026</v>
      </c>
      <c r="AJ10" s="268">
        <f>AI10/AD10</f>
        <v>2.3194831522738366E-3</v>
      </c>
      <c r="AK10" s="266">
        <f t="shared" si="2"/>
        <v>4452.7651353349738</v>
      </c>
      <c r="AL10" s="267">
        <f t="shared" si="3"/>
        <v>1500000</v>
      </c>
      <c r="AM10" s="267">
        <f t="shared" si="3"/>
        <v>0</v>
      </c>
      <c r="AN10" s="267">
        <f t="shared" si="3"/>
        <v>0</v>
      </c>
      <c r="AO10" s="267">
        <f t="shared" si="3"/>
        <v>0</v>
      </c>
      <c r="AP10" s="267">
        <f>W10/$AE10</f>
        <v>2000000.0000000002</v>
      </c>
      <c r="AQ10" s="267">
        <f t="shared" si="3"/>
        <v>1850000</v>
      </c>
      <c r="AR10" s="270">
        <f>IF($B$24&lt;&gt;0,ROUND(AL10/B$24,3),0)</f>
        <v>1000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1000</v>
      </c>
      <c r="AW10" s="270">
        <f>IF(H$24&lt;&gt;0,ROUND(AQ10/H$24,3),0)</f>
        <v>1000</v>
      </c>
      <c r="AX10" s="271">
        <f>AJ10*10000</f>
        <v>23.194831522738365</v>
      </c>
    </row>
    <row r="11" spans="1:50" ht="15">
      <c r="A11" s="42" t="s">
        <v>62</v>
      </c>
      <c r="B11" s="237">
        <f>IF($B$24&lt;&gt;0,$H$166,0)</f>
        <v>1.2336448598130842E-2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1.2336448598130842E-2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18504.672897196262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24672.897196261682</v>
      </c>
      <c r="X11" s="272">
        <f t="shared" si="4"/>
        <v>22822.429906542056</v>
      </c>
      <c r="Y11" s="272">
        <f t="shared" si="0"/>
        <v>66000</v>
      </c>
      <c r="Z11" s="272">
        <v>0</v>
      </c>
      <c r="AA11" s="272">
        <f t="shared" si="1"/>
        <v>66000</v>
      </c>
      <c r="AB11" s="263" t="s">
        <v>76</v>
      </c>
      <c r="AC11" s="264" t="s">
        <v>73</v>
      </c>
      <c r="AD11" s="267">
        <f>ROUND((S11/H$166)+(T11/H$166)+(U11/H$166)+(V11/H$166)+(W11/H$166)+(X11/H$166),0)</f>
        <v>5350000</v>
      </c>
      <c r="AE11" s="268">
        <f>Y11/AD11</f>
        <v>1.2336448598130842E-2</v>
      </c>
      <c r="AF11" s="273">
        <f>Y11/$AF$24/1000</f>
        <v>1.2336448598130842E-2</v>
      </c>
      <c r="AG11" s="273">
        <v>3.7333370629370629E-3</v>
      </c>
      <c r="AH11" s="273">
        <f>IF($AF$21&lt;$AG$21,AF11,IF($AF$12&lt;$AG$12,AF11,IF(AND($AF$12&gt;$AG$12,$AF$20&lt;$AG$20),($AG$12+($AG$20-$AF$20))/$AF$12*AF11,AF11/$AF$12*$AG$12)))</f>
        <v>9.0787503291467932E-3</v>
      </c>
      <c r="AI11" s="272">
        <f>AH11*$Y$24*1000</f>
        <v>48571.314260935345</v>
      </c>
      <c r="AJ11" s="268">
        <f>AI11/AD11</f>
        <v>9.0787503291467932E-3</v>
      </c>
      <c r="AK11" s="272">
        <f t="shared" si="2"/>
        <v>17428.685739064655</v>
      </c>
      <c r="AL11" s="267">
        <f t="shared" si="3"/>
        <v>1500000</v>
      </c>
      <c r="AM11" s="267">
        <f t="shared" si="3"/>
        <v>0</v>
      </c>
      <c r="AN11" s="267">
        <f t="shared" si="3"/>
        <v>0</v>
      </c>
      <c r="AO11" s="267">
        <f>V11/$AE11</f>
        <v>0</v>
      </c>
      <c r="AP11" s="267">
        <f>W11/$AE11</f>
        <v>1999999.9999999998</v>
      </c>
      <c r="AQ11" s="267">
        <f>X11/$AE11</f>
        <v>1850000</v>
      </c>
      <c r="AR11" s="270">
        <f>IF($B$24&lt;&gt;0,ROUND(AL11/B$24,3),0)</f>
        <v>1000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1000</v>
      </c>
      <c r="AW11" s="270">
        <f>IF(H$24&lt;&gt;0,ROUND(AQ11/H$24,3),0)</f>
        <v>1000</v>
      </c>
      <c r="AX11" s="271">
        <f>AJ11*10000</f>
        <v>90.787503291467928</v>
      </c>
    </row>
    <row r="12" spans="1:50" ht="15">
      <c r="A12" s="42" t="s">
        <v>61</v>
      </c>
      <c r="B12" s="236">
        <f>SUM(B6:B11)</f>
        <v>0.28897124299065424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0.2723292429906542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266008.80748567893</v>
      </c>
      <c r="T12" s="266">
        <f t="shared" si="6"/>
        <v>0</v>
      </c>
      <c r="U12" s="266">
        <f t="shared" si="6"/>
        <v>0</v>
      </c>
      <c r="V12" s="266">
        <f t="shared" si="6"/>
        <v>0</v>
      </c>
      <c r="W12" s="266">
        <f t="shared" si="6"/>
        <v>151170.62146591826</v>
      </c>
      <c r="X12" s="266">
        <f t="shared" si="6"/>
        <v>174753.83081325406</v>
      </c>
      <c r="Y12" s="266">
        <f t="shared" si="6"/>
        <v>591933.25976485119</v>
      </c>
      <c r="Z12" s="266">
        <f t="shared" si="6"/>
        <v>0</v>
      </c>
      <c r="AA12" s="266">
        <f t="shared" si="6"/>
        <v>591933.25976485119</v>
      </c>
      <c r="AB12" s="263"/>
      <c r="AC12" s="264"/>
      <c r="AD12" s="262"/>
      <c r="AE12" s="262"/>
      <c r="AF12" s="269">
        <f t="shared" ref="AF12" si="7">SUM(AF7:AF11)</f>
        <v>0.11064173079716845</v>
      </c>
      <c r="AG12" s="269">
        <f>SUM(AG7:AG11)</f>
        <v>8.142445874125874E-2</v>
      </c>
      <c r="AH12" s="269">
        <f>SUM(AH7:AH11)</f>
        <v>8.1424458741258754E-2</v>
      </c>
      <c r="AI12" s="266">
        <f t="shared" ref="AI12:AK12" si="8">SUM(AI7:AI11)</f>
        <v>435620.85426573426</v>
      </c>
      <c r="AJ12" s="262"/>
      <c r="AK12" s="266">
        <f t="shared" si="8"/>
        <v>156312.40549911693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4.7642372003250708E-2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4.7642372003250708E-2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71463.55800487606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95284.744006501409</v>
      </c>
      <c r="X14" s="266">
        <f t="shared" ref="X14:X19" si="13">H14*H$24*1000</f>
        <v>88138.388206013813</v>
      </c>
      <c r="Y14" s="266">
        <f t="shared" ref="Y14:Y19" si="14">SUM(S14:X14)</f>
        <v>254886.6902173913</v>
      </c>
      <c r="Z14" s="266">
        <f>-$D$115</f>
        <v>0</v>
      </c>
      <c r="AA14" s="266">
        <f t="shared" ref="AA14:AA19" si="15">SUM(Y14:Z14)</f>
        <v>254886.6902173913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>
        <f t="shared" ref="AF14:AF19" si="16">Y14/$AF$24/1000</f>
        <v>4.7642372003250708E-2</v>
      </c>
      <c r="AG14" s="269">
        <v>1.1488553846153847E-2</v>
      </c>
      <c r="AH14" s="269">
        <f t="shared" ref="AH14:AH19" si="17">IF($AF$21&lt;$AG$21,AF14,IF($AF$20&lt;$AG$20,AF14,IF(AND($AF$20&gt;$AG$20,$AF$12&lt;$AG$12),($AG$20+($AG$12-$AF$12))/$AF$20*AF14,AF14/$AF$20*$AG$20)))</f>
        <v>3.2512076017181597E-2</v>
      </c>
      <c r="AI14" s="266">
        <f t="shared" ref="AI14:AI19" si="18">AH14*$Y$24*1000</f>
        <v>173939.60669192154</v>
      </c>
      <c r="AJ14" s="268" t="e">
        <f t="shared" ref="AJ14:AJ19" si="19">AI14/AD14</f>
        <v>#DIV/0!</v>
      </c>
      <c r="AK14" s="266">
        <f t="shared" ref="AK14:AK19" si="20">Y14-AI14</f>
        <v>80947.083525469759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 t="e">
        <f t="shared" ref="AR14:AR19" si="22">IF($B$24&lt;&gt;0,ROUND(AL14/B$24,3),0)</f>
        <v>#DIV/0!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 t="e">
        <f t="shared" ref="AV14:AV19" si="26">IF(H$47&lt;&gt;0,ROUND(AP14/H$47,3),0)</f>
        <v>#DIV/0!</v>
      </c>
      <c r="AW14" s="270" t="e">
        <f t="shared" ref="AW14:AW19" si="27">IF(H$24&lt;&gt;0,ROUND(AQ14/H$24,3),0)</f>
        <v>#DIV/0!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2.0156388155221455E-2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2.0156388155221455E-2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30234.582232832181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40312.776310442903</v>
      </c>
      <c r="X15" s="274">
        <f t="shared" si="13"/>
        <v>37289.318087159692</v>
      </c>
      <c r="Y15" s="274">
        <f t="shared" si="14"/>
        <v>107836.67663043478</v>
      </c>
      <c r="Z15" s="274">
        <f>-$H$115</f>
        <v>0</v>
      </c>
      <c r="AA15" s="274">
        <f t="shared" si="15"/>
        <v>107836.67663043478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>
        <f t="shared" si="16"/>
        <v>2.0156388155221455E-2</v>
      </c>
      <c r="AG15" s="265">
        <v>7.650220979020979E-3</v>
      </c>
      <c r="AH15" s="265">
        <f t="shared" si="17"/>
        <v>1.3755109084192215E-2</v>
      </c>
      <c r="AI15" s="274">
        <f t="shared" si="18"/>
        <v>73589.833600428348</v>
      </c>
      <c r="AJ15" s="268" t="e">
        <f t="shared" si="19"/>
        <v>#DIV/0!</v>
      </c>
      <c r="AK15" s="274">
        <f t="shared" si="20"/>
        <v>34246.843030006436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 t="e">
        <f t="shared" si="22"/>
        <v>#DIV/0!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 t="e">
        <f t="shared" si="26"/>
        <v>#DIV/0!</v>
      </c>
      <c r="AW15" s="270" t="e">
        <f t="shared" si="27"/>
        <v>#DIV/0!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2.0740786926046324E-2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2.0740786926046324E-2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31111.180389069486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41481.573852092646</v>
      </c>
      <c r="X16" s="266">
        <f t="shared" si="13"/>
        <v>38370.455813185697</v>
      </c>
      <c r="Y16" s="266">
        <f t="shared" si="14"/>
        <v>110963.21005434782</v>
      </c>
      <c r="Z16" s="266">
        <f>-$D$122</f>
        <v>0</v>
      </c>
      <c r="AA16" s="274">
        <f t="shared" si="15"/>
        <v>110963.21005434782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>
        <f t="shared" si="16"/>
        <v>2.0740786926046324E-2</v>
      </c>
      <c r="AG16" s="269">
        <v>8.8563300699300695E-3</v>
      </c>
      <c r="AH16" s="269">
        <f t="shared" si="17"/>
        <v>1.4153914107168595E-2</v>
      </c>
      <c r="AI16" s="266">
        <f t="shared" si="18"/>
        <v>75723.440473351991</v>
      </c>
      <c r="AJ16" s="268" t="e">
        <f t="shared" si="19"/>
        <v>#DIV/0!</v>
      </c>
      <c r="AK16" s="266">
        <f t="shared" si="20"/>
        <v>35239.769580995824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 t="e">
        <f t="shared" si="22"/>
        <v>#DIV/0!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 t="e">
        <f t="shared" si="26"/>
        <v>#DIV/0!</v>
      </c>
      <c r="AW16" s="270" t="e">
        <f t="shared" si="27"/>
        <v>#DIV/0!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1.3371962616822431E-3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1.3371962616822431E-3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2005.7943925233649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2674.3925233644859</v>
      </c>
      <c r="X17" s="274">
        <f>H17*H$24*1000</f>
        <v>2473.8130841121497</v>
      </c>
      <c r="Y17" s="274">
        <f t="shared" si="14"/>
        <v>7154</v>
      </c>
      <c r="Z17" s="274">
        <f>C176/($C$184+$C$185)*$C$185</f>
        <v>0</v>
      </c>
      <c r="AA17" s="274">
        <f t="shared" si="15"/>
        <v>7154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>
        <f t="shared" si="16"/>
        <v>1.3371962616822431E-3</v>
      </c>
      <c r="AG17" s="265">
        <v>2.1273118881118881E-3</v>
      </c>
      <c r="AH17" s="265">
        <f t="shared" si="17"/>
        <v>9.1252858918816594E-4</v>
      </c>
      <c r="AI17" s="274">
        <f t="shared" si="18"/>
        <v>4882.0279521566872</v>
      </c>
      <c r="AJ17" s="268" t="e">
        <f t="shared" si="19"/>
        <v>#DIV/0!</v>
      </c>
      <c r="AK17" s="274">
        <f t="shared" si="20"/>
        <v>2271.9720478433128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 t="e">
        <f t="shared" si="22"/>
        <v>#DIV/0!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 t="e">
        <f t="shared" si="26"/>
        <v>#DIV/0!</v>
      </c>
      <c r="AW17" s="270" t="e">
        <f>IF(H$24&lt;&gt;0,ROUND(AQ17/H$24,3),0)</f>
        <v>#DIV/0!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4.83588785046729E-3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4.83588785046729E-3</v>
      </c>
      <c r="I18" s="33"/>
      <c r="J18" s="83">
        <v>0</v>
      </c>
      <c r="S18" s="274">
        <f t="shared" si="9"/>
        <v>7253.8317757009354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9671.7757009345805</v>
      </c>
      <c r="X18" s="274">
        <f t="shared" si="13"/>
        <v>8946.3925233644877</v>
      </c>
      <c r="Y18" s="274">
        <f t="shared" si="14"/>
        <v>25872.000000000004</v>
      </c>
      <c r="Z18" s="274">
        <f>C178/($C$184+$C$185)*$C$185</f>
        <v>0</v>
      </c>
      <c r="AA18" s="274">
        <f>SUM(Y18:Z18)</f>
        <v>25872.000000000004</v>
      </c>
      <c r="AB18" s="263" t="s">
        <v>83</v>
      </c>
      <c r="AC18" s="264" t="s">
        <v>73</v>
      </c>
      <c r="AD18" s="267">
        <f>ROUND((S18/F$178)+(T18/F$178)+(U18/F$178)+(V18/F$178)+(W18/F$178)+(X18/F$178),0)</f>
        <v>445833</v>
      </c>
      <c r="AE18" s="268">
        <f>Y18/AD18</f>
        <v>5.8030697593044939E-2</v>
      </c>
      <c r="AF18" s="265">
        <f t="shared" si="16"/>
        <v>4.83588785046729E-3</v>
      </c>
      <c r="AG18" s="265">
        <v>3.2747211188811187E-2</v>
      </c>
      <c r="AH18" s="265">
        <f t="shared" si="17"/>
        <v>3.3001033910366549E-3</v>
      </c>
      <c r="AI18" s="274">
        <f t="shared" si="18"/>
        <v>17655.553142046101</v>
      </c>
      <c r="AJ18" s="268">
        <f>AI18/AD18</f>
        <v>3.9601270300866249E-2</v>
      </c>
      <c r="AK18" s="274">
        <f>Y18-AI18</f>
        <v>8216.4468579539025</v>
      </c>
      <c r="AL18" s="267">
        <f t="shared" si="31"/>
        <v>124999.90654205607</v>
      </c>
      <c r="AM18" s="267">
        <f t="shared" si="31"/>
        <v>0</v>
      </c>
      <c r="AN18" s="267">
        <f t="shared" si="31"/>
        <v>0</v>
      </c>
      <c r="AO18" s="267">
        <f t="shared" si="31"/>
        <v>0</v>
      </c>
      <c r="AP18" s="267">
        <f t="shared" si="31"/>
        <v>166666.54205607474</v>
      </c>
      <c r="AQ18" s="267">
        <f t="shared" si="31"/>
        <v>154166.55140186916</v>
      </c>
      <c r="AR18" s="270">
        <f t="shared" si="22"/>
        <v>83.332999999999998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83.332999999999998</v>
      </c>
      <c r="AW18" s="270">
        <f t="shared" si="27"/>
        <v>83.332999999999998</v>
      </c>
      <c r="AX18" s="271">
        <f>AJ18*10000</f>
        <v>396.01270300866247</v>
      </c>
    </row>
    <row r="19" spans="1:50" ht="15">
      <c r="A19" s="15" t="s">
        <v>4</v>
      </c>
      <c r="B19" s="237">
        <f>IF($B$24&lt;&gt;0,$B$177/$B$49/1000,0)</f>
        <v>8.2014953271028028E-3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8.2014953271028028E-3</v>
      </c>
      <c r="I19" s="84"/>
      <c r="J19" s="85">
        <v>0</v>
      </c>
      <c r="K19" s="57"/>
      <c r="L19" s="57"/>
      <c r="S19" s="275">
        <f t="shared" si="9"/>
        <v>12302.242990654204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16402.990654205605</v>
      </c>
      <c r="X19" s="275">
        <f t="shared" si="13"/>
        <v>15172.766355140186</v>
      </c>
      <c r="Y19" s="275">
        <f t="shared" si="14"/>
        <v>43877.999999999993</v>
      </c>
      <c r="Z19" s="275">
        <f>C177/($C$184+$C$185)*$C$185</f>
        <v>0</v>
      </c>
      <c r="AA19" s="275">
        <f t="shared" si="15"/>
        <v>43877.999999999993</v>
      </c>
      <c r="AB19" s="263" t="s">
        <v>82</v>
      </c>
      <c r="AC19" s="264" t="s">
        <v>73</v>
      </c>
      <c r="AD19" s="267">
        <f>ROUND((S19/F$177)+(T19/F$177)+(U19/F$177)+(V19/F$177)+(W19/F$177)+(X19/F$177),0)</f>
        <v>445833</v>
      </c>
      <c r="AE19" s="268">
        <f t="shared" si="29"/>
        <v>9.8418017508798125E-2</v>
      </c>
      <c r="AF19" s="276">
        <f t="shared" si="16"/>
        <v>8.2014953271028028E-3</v>
      </c>
      <c r="AG19" s="276">
        <v>7.3609622377622374E-3</v>
      </c>
      <c r="AH19" s="276">
        <f t="shared" si="17"/>
        <v>5.5968590210229716E-3</v>
      </c>
      <c r="AI19" s="275">
        <f t="shared" si="18"/>
        <v>29943.195762472897</v>
      </c>
      <c r="AJ19" s="268">
        <f t="shared" si="19"/>
        <v>6.7162358467123109E-2</v>
      </c>
      <c r="AK19" s="275">
        <f t="shared" si="20"/>
        <v>13934.804237527096</v>
      </c>
      <c r="AL19" s="267">
        <f t="shared" si="31"/>
        <v>124999.90654205607</v>
      </c>
      <c r="AM19" s="267">
        <f t="shared" si="31"/>
        <v>0</v>
      </c>
      <c r="AN19" s="267">
        <f t="shared" si="31"/>
        <v>0</v>
      </c>
      <c r="AO19" s="267">
        <f t="shared" si="31"/>
        <v>0</v>
      </c>
      <c r="AP19" s="267">
        <f t="shared" si="31"/>
        <v>166666.54205607477</v>
      </c>
      <c r="AQ19" s="267">
        <f t="shared" si="31"/>
        <v>154166.55140186916</v>
      </c>
      <c r="AR19" s="270">
        <f t="shared" si="22"/>
        <v>83.332999999999998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83.332999999999998</v>
      </c>
      <c r="AW19" s="270">
        <f t="shared" si="27"/>
        <v>83.332999999999998</v>
      </c>
      <c r="AX19" s="271">
        <f t="shared" si="28"/>
        <v>671.62358467123113</v>
      </c>
    </row>
    <row r="20" spans="1:50">
      <c r="A20" s="93" t="s">
        <v>233</v>
      </c>
      <c r="B20" s="236">
        <f t="shared" ref="B20" si="33">SUM(B14:B19)</f>
        <v>0.10291412652377083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0.10291412652377083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154371.1897856562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205828.25304754163</v>
      </c>
      <c r="X20" s="277">
        <f t="shared" si="37"/>
        <v>190391.13406897604</v>
      </c>
      <c r="Y20" s="277">
        <f t="shared" si="37"/>
        <v>550590.57690217381</v>
      </c>
      <c r="Z20" s="277">
        <f t="shared" si="37"/>
        <v>0</v>
      </c>
      <c r="AA20" s="277">
        <f t="shared" si="37"/>
        <v>550590.57690217381</v>
      </c>
      <c r="AB20" s="278"/>
      <c r="AC20" s="279"/>
      <c r="AD20" s="262"/>
      <c r="AE20" s="262"/>
      <c r="AF20" s="280">
        <f>SUM(AF14:AF19)</f>
        <v>0.10291412652377083</v>
      </c>
      <c r="AG20" s="280">
        <f>SUM(AG14:AG19)</f>
        <v>7.0230590209790209E-2</v>
      </c>
      <c r="AH20" s="280">
        <f>SUM(AH14:AH19)</f>
        <v>7.0230590209790209E-2</v>
      </c>
      <c r="AI20" s="277">
        <f>SUM(AI14:AI19)</f>
        <v>375733.6576223775</v>
      </c>
      <c r="AJ20" s="262"/>
      <c r="AK20" s="277">
        <f>SUM(AK14:AK19)</f>
        <v>174856.91927979633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420379.9972713351</v>
      </c>
      <c r="T21" s="281">
        <f t="shared" si="38"/>
        <v>0</v>
      </c>
      <c r="U21" s="281">
        <f t="shared" si="38"/>
        <v>0</v>
      </c>
      <c r="V21" s="281">
        <f t="shared" si="38"/>
        <v>0</v>
      </c>
      <c r="W21" s="281">
        <f t="shared" si="38"/>
        <v>356998.87451345986</v>
      </c>
      <c r="X21" s="281">
        <f t="shared" si="38"/>
        <v>365144.9648822301</v>
      </c>
      <c r="Y21" s="281">
        <f t="shared" si="38"/>
        <v>1142523.836667025</v>
      </c>
      <c r="Z21" s="281">
        <f t="shared" si="38"/>
        <v>0</v>
      </c>
      <c r="AA21" s="281">
        <f t="shared" si="38"/>
        <v>1142523.836667025</v>
      </c>
      <c r="AB21" s="282" t="s">
        <v>98</v>
      </c>
      <c r="AC21" s="279"/>
      <c r="AD21" s="262"/>
      <c r="AE21" s="262"/>
      <c r="AF21" s="283">
        <f>AF12+AF20</f>
        <v>0.21355585732093929</v>
      </c>
      <c r="AG21" s="283">
        <f>AG12+AG20</f>
        <v>0.15165504895104895</v>
      </c>
      <c r="AH21" s="283">
        <f>AH12+AH20</f>
        <v>0.15165504895104898</v>
      </c>
      <c r="AI21" s="281">
        <f>AI12+AI20</f>
        <v>811354.51188811171</v>
      </c>
      <c r="AJ21" s="262"/>
      <c r="AK21" s="281">
        <f>AK12+AK20</f>
        <v>331169.32477891329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0.3918853695144251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0.37524336951442505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0.28025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0.17849999999999999</v>
      </c>
      <c r="X22" s="284">
        <f>IF(H24&lt;&gt;0,ROUND(X21/(H24*1000),5),0)</f>
        <v>0.19738</v>
      </c>
      <c r="Y22" s="284">
        <f>Y21/Y24/1000</f>
        <v>0.21355585732093926</v>
      </c>
      <c r="Z22" s="284">
        <v>0</v>
      </c>
      <c r="AA22" s="284">
        <f>ROUND(AA21/(B49*1000),5)</f>
        <v>0.21356</v>
      </c>
      <c r="AB22" s="282" t="s">
        <v>101</v>
      </c>
      <c r="AC22" s="279"/>
      <c r="AD22" s="262"/>
      <c r="AE22" s="262"/>
      <c r="AF22" s="284"/>
      <c r="AG22" s="284"/>
      <c r="AH22" s="284"/>
      <c r="AI22" s="284">
        <f>AI21/AI24/1000</f>
        <v>0.15165504895104892</v>
      </c>
      <c r="AJ22" s="262"/>
      <c r="AK22" s="284">
        <f>AK21/AK24/1000</f>
        <v>6.1900808369890335E-2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0.42514999999999997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0.25850000000000001</v>
      </c>
      <c r="X23" s="284">
        <f>ROUND(X22+H6,5)</f>
        <v>0.32563999999999999</v>
      </c>
      <c r="Y23" s="284">
        <f>Y22+(($B$6*$B$24*1000+$B$29*$B$47*1000+$E$29*$E$47*1000+$H$6*$H$24*1000+$H$29*$H$47*1000+$E$6*$E$24*1000)/($B$49*1000))</f>
        <v>0.3284394647975748</v>
      </c>
      <c r="Z23" s="284">
        <v>0</v>
      </c>
      <c r="AA23" s="284">
        <f>AA22+(($B$6*$B$24*1000+$B$29*$B$47*1000+$E$6*$E$24*1000+$E$29*$E$47*1000+$H$6*$H$24*1000+$H$29*$H$47*1000)/($B$49*1000))</f>
        <v>0.32844360747663554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1500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1850</v>
      </c>
      <c r="I24" s="241">
        <v>4207</v>
      </c>
      <c r="J24" s="211">
        <v>0</v>
      </c>
      <c r="S24" s="286">
        <f>B24</f>
        <v>1500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2000</v>
      </c>
      <c r="X24" s="286">
        <f>H24</f>
        <v>1850</v>
      </c>
      <c r="Y24" s="286">
        <f>SUM(S24:X24)</f>
        <v>5350</v>
      </c>
      <c r="Z24" s="286">
        <v>0</v>
      </c>
      <c r="AA24" s="286">
        <f>SUM(Y24:Z24)</f>
        <v>5350</v>
      </c>
      <c r="AB24" s="286"/>
      <c r="AC24" s="279"/>
      <c r="AD24" s="262"/>
      <c r="AE24" s="262"/>
      <c r="AF24" s="286">
        <f>Y24</f>
        <v>5350</v>
      </c>
      <c r="AG24" s="286"/>
      <c r="AH24" s="286"/>
      <c r="AI24" s="286">
        <f>Y24</f>
        <v>5350</v>
      </c>
      <c r="AJ24" s="262"/>
      <c r="AK24" s="286">
        <f>Y24</f>
        <v>5350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0.08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4.5830677423049091E-3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5.5514018691588785E-2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3.1517757009345794E-3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1.2336448598130842E-2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0.15558531073295911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4.7642372003250708E-2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2.0156388155221455E-2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2.0740786926046324E-2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1.3371962616822431E-3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4.83588785046729E-3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8.2014953271028028E-3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0.10291412652377083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0.25849943725672997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2000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5350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Summary'!$C$15</f>
        <v>1500</v>
      </c>
      <c r="C54" s="214">
        <f>B54/$B$60</f>
        <v>0.28037383177570091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Summary'!D$15</f>
        <v>0</v>
      </c>
      <c r="C55" s="214">
        <f t="shared" ref="C55:C60" si="46">B55/$B$60</f>
        <v>0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Summary'!E$15</f>
        <v>0</v>
      </c>
      <c r="C56" s="214">
        <f t="shared" si="46"/>
        <v>0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Summary'!$F$15</f>
        <v>0</v>
      </c>
      <c r="C57" s="214">
        <f t="shared" si="46"/>
        <v>0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Summary'!$G$15</f>
        <v>1850</v>
      </c>
      <c r="C58" s="214">
        <f t="shared" si="46"/>
        <v>0.34579439252336447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Summary'!$H$15</f>
        <v>2000</v>
      </c>
      <c r="C59" s="215">
        <f t="shared" si="46"/>
        <v>0.37383177570093457</v>
      </c>
      <c r="D59" s="459">
        <f>B59/200</f>
        <v>10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5350</v>
      </c>
      <c r="C60" s="315">
        <f t="shared" si="46"/>
        <v>1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188917.55390273748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65969.136314653791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254886.69021739127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84199.625058574486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23637.051571860298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107836.67663043478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18640.665081009236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15618.685837895908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7757.5972810056492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37495.280106745442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28673.541003753868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2777.4407439377069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110963.21005434782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1500</v>
      </c>
      <c r="U125" s="71">
        <f>+T125/SUM($T$125:$T$126)</f>
        <v>1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>
        <f>+T126/SUM($T$125:$T$126)</f>
        <v>0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1.6666666666666667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>
        <f>ROUND(J141/B49/1000,3)</f>
        <v>1.0089999999999999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>
        <f>0.215+$J$142</f>
        <v>1.224</v>
      </c>
      <c r="F145" s="76">
        <f>G141</f>
        <v>6.6443706666712579E-2</v>
      </c>
      <c r="G145" s="113">
        <f>E145*F145</f>
        <v>8.1327096960056189E-2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>
        <f>SUM(G145:G146)</f>
        <v>0.1533270969600562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>
        <f>G159/(B$49*1000)</f>
        <v>5.5514018691588785E-2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>
        <f>G163/(B$49*1000)</f>
        <v>3.1517757009345794E-3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>
        <f>G166/(B$49*1000)</f>
        <v>1.2336448598130842E-2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6792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16486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5350</v>
      </c>
      <c r="E172" s="14"/>
      <c r="F172" s="492" t="s">
        <v>8</v>
      </c>
      <c r="G172" s="492"/>
      <c r="H172" s="27">
        <f>D172/D173</f>
        <v>1.9454545454545454E-2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258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3028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39436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>
        <f>$D176/$D$172/1000</f>
        <v>0</v>
      </c>
      <c r="G176" s="112">
        <f>$E176/$D$172/1000</f>
        <v>0</v>
      </c>
      <c r="H176" s="170">
        <f>SUM(F176:G176)</f>
        <v>0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66000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>
        <f>$D177/D$172/1000</f>
        <v>9.8417943925233647E-2</v>
      </c>
      <c r="G177" s="171">
        <f>$E177/$D$172/1000</f>
        <v>0</v>
      </c>
      <c r="H177" s="83">
        <f t="shared" ref="H177:H178" si="56">SUM(F177:G177)</f>
        <v>9.8417943925233647E-2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>
        <f>$D178/D$172/1000</f>
        <v>5.8030654205607476E-2</v>
      </c>
      <c r="G178" s="111">
        <f>$E178/$D$172/1000</f>
        <v>0</v>
      </c>
      <c r="H178" s="85">
        <f t="shared" si="56"/>
        <v>5.8030654205607476E-2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30504.185064748261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>
        <f>SUM(F176:F178)</f>
        <v>0.15644859813084111</v>
      </c>
      <c r="G179" s="112">
        <f>SUM(G176:G178)</f>
        <v>0</v>
      </c>
      <c r="H179" s="170">
        <f>SUM(H176:H178)</f>
        <v>0.15644859813084111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13373.814935251732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43877.999999999993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176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9391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16304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25871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DA2B-934C-415D-B04F-C9FE0C91CB5C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 t="e">
        <f>$F145*$E$24*1000*$E145</f>
        <v>#DIV/0!</v>
      </c>
      <c r="W7" s="266">
        <f>$I151*$H$47*1000*$H151</f>
        <v>0</v>
      </c>
      <c r="X7" s="266">
        <f>$I145*$H$24*1000*$H145</f>
        <v>0</v>
      </c>
      <c r="Y7" s="266" t="e">
        <f>SUM(S7:X7)</f>
        <v>#DIV/0!</v>
      </c>
      <c r="Z7" s="266">
        <v>0</v>
      </c>
      <c r="AA7" s="266" t="e">
        <f>SUM(Y7:Z7)</f>
        <v>#DIV/0!</v>
      </c>
      <c r="AB7" s="263" t="s">
        <v>70</v>
      </c>
      <c r="AC7" s="264" t="s">
        <v>69</v>
      </c>
      <c r="AD7" s="267" t="e">
        <f>ROUND((B145*B$24*1000)+(B151*B$47*1000)+(E145*E$24*1000)+(E151*E$47*1000)+(H145*H$24*1000)+(H151*H$47*1000),0)</f>
        <v>#DIV/0!</v>
      </c>
      <c r="AE7" s="268" t="e">
        <f>Y7/AD7</f>
        <v>#DIV/0!</v>
      </c>
      <c r="AF7" s="269" t="e">
        <f>Y7/$AF$24/1000</f>
        <v>#DIV/0!</v>
      </c>
      <c r="AG7" s="269">
        <v>1.4890786013986013E-2</v>
      </c>
      <c r="AH7" s="269" t="e">
        <f>IF($AF$21&lt;$AG$21,AF7,IF($AF$12&lt;$AG$12,AF7,IF(AND($AF$12&gt;$AG$12,$AF$20&lt;$AG$20),($AG$12+($AG$20-$AF$20))/$AF$12*AF7,AF7/$AF$12*$AG$12)))</f>
        <v>#DIV/0!</v>
      </c>
      <c r="AI7" s="266" t="e">
        <f>AH7*$Y$24*1000</f>
        <v>#DIV/0!</v>
      </c>
      <c r="AJ7" s="268" t="e">
        <f>AI7/AD7</f>
        <v>#DIV/0!</v>
      </c>
      <c r="AK7" s="266" t="e">
        <f>Y7-AI7</f>
        <v>#DIV/0!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 t="e">
        <f>ROUND($E145*$E$24*1000,0)</f>
        <v>#DIV/0!</v>
      </c>
      <c r="AP7" s="267">
        <f>ROUND($H151*$H$47*1000,0)</f>
        <v>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 t="e">
        <f>IF(F$24&lt;&gt;0,ROUND(AO7/F$24,3),0)</f>
        <v>#DIV/0!</v>
      </c>
      <c r="AV7" s="270">
        <f>IF(H$47&lt;&gt;0,ROUND(AP7/H$47,3),0)</f>
        <v>0</v>
      </c>
      <c r="AW7" s="270">
        <f>IF(H$24&lt;&gt;0,ROUND(AQ7/H$24,3),0)</f>
        <v>0</v>
      </c>
      <c r="AX7" s="271" t="e">
        <f>AJ7*10000</f>
        <v>#DIV/0!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 t="e">
        <f>Y8/$AF$24/1000</f>
        <v>#DIV/0!</v>
      </c>
      <c r="AG8" s="269">
        <v>4.2004911888111889E-2</v>
      </c>
      <c r="AH8" s="269" t="e">
        <f>IF($AF$21&lt;$AG$21,AF8,IF($AF$12&lt;$AG$12,AF8,IF(AND($AF$12&gt;$AG$12,$AF$20&lt;$AG$20),($AG$12+($AG$20-$AF$20))/$AF$12*AF8,AF8/$AF$12*$AG$12)))</f>
        <v>#DIV/0!</v>
      </c>
      <c r="AI8" s="266" t="e">
        <f>AH8*$Y$24*1000</f>
        <v>#DIV/0!</v>
      </c>
      <c r="AJ8" s="268" t="e">
        <f>AI8/AD8</f>
        <v>#DIV/0!</v>
      </c>
      <c r="AK8" s="266" t="e">
        <f t="shared" ref="AK8:AK11" si="2">Y8-AI8</f>
        <v>#DIV/0!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0</v>
      </c>
      <c r="X9" s="266">
        <f>H9*H$24*1000</f>
        <v>0</v>
      </c>
      <c r="Y9" s="266">
        <f t="shared" si="0"/>
        <v>0</v>
      </c>
      <c r="Z9" s="266">
        <v>0</v>
      </c>
      <c r="AA9" s="266">
        <f t="shared" si="1"/>
        <v>0</v>
      </c>
      <c r="AB9" s="263" t="s">
        <v>74</v>
      </c>
      <c r="AC9" s="264" t="s">
        <v>73</v>
      </c>
      <c r="AD9" s="267" t="e">
        <f>ROUND((S9/H$159)+(T9/H$159)+(U9/H$159)+(V9/H$159)+(W9/H$159)+(X9/H$159),0)</f>
        <v>#DIV/0!</v>
      </c>
      <c r="AE9" s="268" t="e">
        <f>Y9/AD9</f>
        <v>#DIV/0!</v>
      </c>
      <c r="AF9" s="269" t="e">
        <f>Y9/$AF$24/1000</f>
        <v>#DIV/0!</v>
      </c>
      <c r="AG9" s="269">
        <v>1.9544346853146852E-2</v>
      </c>
      <c r="AH9" s="269" t="e">
        <f>IF($AF$21&lt;$AG$21,AF9,IF($AF$12&lt;$AG$12,AF9,IF(AND($AF$12&gt;$AG$12,$AF$20&lt;$AG$20),($AG$12+($AG$20-$AF$20))/$AF$12*AF9,AF9/$AF$12*$AG$12)))</f>
        <v>#DIV/0!</v>
      </c>
      <c r="AI9" s="266" t="e">
        <f>AH9*$Y$24*1000</f>
        <v>#DIV/0!</v>
      </c>
      <c r="AJ9" s="268" t="e">
        <f>AI9/AD9</f>
        <v>#DIV/0!</v>
      </c>
      <c r="AK9" s="266" t="e">
        <f t="shared" si="2"/>
        <v>#DIV/0!</v>
      </c>
      <c r="AL9" s="267" t="e">
        <f t="shared" ref="AL9:AQ11" si="3">S9/$AE9</f>
        <v>#DIV/0!</v>
      </c>
      <c r="AM9" s="267" t="e">
        <f t="shared" si="3"/>
        <v>#DIV/0!</v>
      </c>
      <c r="AN9" s="267" t="e">
        <f t="shared" si="3"/>
        <v>#DIV/0!</v>
      </c>
      <c r="AO9" s="267" t="e">
        <f t="shared" si="3"/>
        <v>#DIV/0!</v>
      </c>
      <c r="AP9" s="267" t="e">
        <f>W9/$AE9</f>
        <v>#DIV/0!</v>
      </c>
      <c r="AQ9" s="267" t="e">
        <f t="shared" si="3"/>
        <v>#DIV/0!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0</v>
      </c>
      <c r="AW9" s="270">
        <f>IF(H$24&lt;&gt;0,ROUND(AQ9/H$24,3),0)</f>
        <v>0</v>
      </c>
      <c r="AX9" s="271" t="e">
        <f>AJ9*10000</f>
        <v>#DIV/0!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0</v>
      </c>
      <c r="X10" s="266">
        <f t="shared" ref="X10:X11" si="4">H10*H$24*1000</f>
        <v>0</v>
      </c>
      <c r="Y10" s="266">
        <f t="shared" si="0"/>
        <v>0</v>
      </c>
      <c r="Z10" s="266">
        <v>0</v>
      </c>
      <c r="AA10" s="266">
        <f t="shared" si="1"/>
        <v>0</v>
      </c>
      <c r="AB10" s="263" t="s">
        <v>75</v>
      </c>
      <c r="AC10" s="264" t="s">
        <v>73</v>
      </c>
      <c r="AD10" s="267" t="e">
        <f>ROUND((S10/H$163)+(T10/H$163)+(U10/H$163)+(V10/H$163)+(W10/H$163)+(X10/H$163),0)</f>
        <v>#DIV/0!</v>
      </c>
      <c r="AE10" s="268" t="e">
        <f>Y10/AD10</f>
        <v>#DIV/0!</v>
      </c>
      <c r="AF10" s="269" t="e">
        <f>Y10/$AF$24/1000</f>
        <v>#DIV/0!</v>
      </c>
      <c r="AG10" s="269">
        <v>1.2510769230769231E-3</v>
      </c>
      <c r="AH10" s="269" t="e">
        <f>IF($AF$21&lt;$AG$21,AF10,IF($AF$12&lt;$AG$12,AF10,IF(AND($AF$12&gt;$AG$12,$AF$20&lt;$AG$20),($AG$12+($AG$20-$AF$20))/$AF$12*AF10,AF10/$AF$12*$AG$12)))</f>
        <v>#DIV/0!</v>
      </c>
      <c r="AI10" s="266" t="e">
        <f>AH10*$Y$24*1000</f>
        <v>#DIV/0!</v>
      </c>
      <c r="AJ10" s="268" t="e">
        <f>AI10/AD10</f>
        <v>#DIV/0!</v>
      </c>
      <c r="AK10" s="266" t="e">
        <f t="shared" si="2"/>
        <v>#DIV/0!</v>
      </c>
      <c r="AL10" s="267" t="e">
        <f t="shared" si="3"/>
        <v>#DIV/0!</v>
      </c>
      <c r="AM10" s="267" t="e">
        <f t="shared" si="3"/>
        <v>#DIV/0!</v>
      </c>
      <c r="AN10" s="267" t="e">
        <f t="shared" si="3"/>
        <v>#DIV/0!</v>
      </c>
      <c r="AO10" s="267" t="e">
        <f t="shared" si="3"/>
        <v>#DIV/0!</v>
      </c>
      <c r="AP10" s="267" t="e">
        <f>W10/$AE10</f>
        <v>#DIV/0!</v>
      </c>
      <c r="AQ10" s="267" t="e">
        <f t="shared" si="3"/>
        <v>#DIV/0!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0</v>
      </c>
      <c r="AW10" s="270">
        <f>IF(H$24&lt;&gt;0,ROUND(AQ10/H$24,3),0)</f>
        <v>0</v>
      </c>
      <c r="AX10" s="271" t="e">
        <f>AJ10*10000</f>
        <v>#DIV/0!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0</v>
      </c>
      <c r="X11" s="272">
        <f t="shared" si="4"/>
        <v>0</v>
      </c>
      <c r="Y11" s="272">
        <f t="shared" si="0"/>
        <v>0</v>
      </c>
      <c r="Z11" s="272">
        <v>0</v>
      </c>
      <c r="AA11" s="272">
        <f t="shared" si="1"/>
        <v>0</v>
      </c>
      <c r="AB11" s="263" t="s">
        <v>76</v>
      </c>
      <c r="AC11" s="264" t="s">
        <v>73</v>
      </c>
      <c r="AD11" s="267" t="e">
        <f>ROUND((S11/H$166)+(T11/H$166)+(U11/H$166)+(V11/H$166)+(W11/H$166)+(X11/H$166),0)</f>
        <v>#DIV/0!</v>
      </c>
      <c r="AE11" s="268" t="e">
        <f>Y11/AD11</f>
        <v>#DIV/0!</v>
      </c>
      <c r="AF11" s="273" t="e">
        <f>Y11/$AF$24/1000</f>
        <v>#DIV/0!</v>
      </c>
      <c r="AG11" s="273">
        <v>3.7333370629370629E-3</v>
      </c>
      <c r="AH11" s="273" t="e">
        <f>IF($AF$21&lt;$AG$21,AF11,IF($AF$12&lt;$AG$12,AF11,IF(AND($AF$12&gt;$AG$12,$AF$20&lt;$AG$20),($AG$12+($AG$20-$AF$20))/$AF$12*AF11,AF11/$AF$12*$AG$12)))</f>
        <v>#DIV/0!</v>
      </c>
      <c r="AI11" s="272" t="e">
        <f>AH11*$Y$24*1000</f>
        <v>#DIV/0!</v>
      </c>
      <c r="AJ11" s="268" t="e">
        <f>AI11/AD11</f>
        <v>#DIV/0!</v>
      </c>
      <c r="AK11" s="272" t="e">
        <f t="shared" si="2"/>
        <v>#DIV/0!</v>
      </c>
      <c r="AL11" s="267" t="e">
        <f t="shared" si="3"/>
        <v>#DIV/0!</v>
      </c>
      <c r="AM11" s="267" t="e">
        <f t="shared" si="3"/>
        <v>#DIV/0!</v>
      </c>
      <c r="AN11" s="267" t="e">
        <f t="shared" si="3"/>
        <v>#DIV/0!</v>
      </c>
      <c r="AO11" s="267" t="e">
        <f>V11/$AE11</f>
        <v>#DIV/0!</v>
      </c>
      <c r="AP11" s="267" t="e">
        <f>W11/$AE11</f>
        <v>#DIV/0!</v>
      </c>
      <c r="AQ11" s="267" t="e">
        <f>X11/$AE11</f>
        <v>#DIV/0!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0</v>
      </c>
      <c r="AW11" s="270">
        <f>IF(H$24&lt;&gt;0,ROUND(AQ11/H$24,3),0)</f>
        <v>0</v>
      </c>
      <c r="AX11" s="271" t="e">
        <f>AJ11*10000</f>
        <v>#DIV/0!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 t="e">
        <f t="shared" si="6"/>
        <v>#DIV/0!</v>
      </c>
      <c r="W12" s="266">
        <f t="shared" si="6"/>
        <v>0</v>
      </c>
      <c r="X12" s="266">
        <f t="shared" si="6"/>
        <v>0</v>
      </c>
      <c r="Y12" s="266" t="e">
        <f t="shared" si="6"/>
        <v>#DIV/0!</v>
      </c>
      <c r="Z12" s="266">
        <f t="shared" si="6"/>
        <v>0</v>
      </c>
      <c r="AA12" s="266" t="e">
        <f t="shared" si="6"/>
        <v>#DIV/0!</v>
      </c>
      <c r="AB12" s="263"/>
      <c r="AC12" s="264"/>
      <c r="AD12" s="262"/>
      <c r="AE12" s="262"/>
      <c r="AF12" s="269" t="e">
        <f t="shared" ref="AF12" si="7">SUM(AF7:AF11)</f>
        <v>#DIV/0!</v>
      </c>
      <c r="AG12" s="269">
        <f>SUM(AG7:AG11)</f>
        <v>8.142445874125874E-2</v>
      </c>
      <c r="AH12" s="269" t="e">
        <f>SUM(AH7:AH11)</f>
        <v>#DIV/0!</v>
      </c>
      <c r="AI12" s="266" t="e">
        <f t="shared" ref="AI12:AK12" si="8">SUM(AI7:AI11)</f>
        <v>#DIV/0!</v>
      </c>
      <c r="AJ12" s="262"/>
      <c r="AK12" s="266" t="e">
        <f t="shared" si="8"/>
        <v>#DIV/0!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0</v>
      </c>
      <c r="X14" s="266">
        <f t="shared" ref="X14:X19" si="13">H14*H$24*1000</f>
        <v>0</v>
      </c>
      <c r="Y14" s="266">
        <f t="shared" ref="Y14:Y19" si="14">SUM(S14:X14)</f>
        <v>0</v>
      </c>
      <c r="Z14" s="266">
        <f>-$D$115</f>
        <v>0</v>
      </c>
      <c r="AA14" s="266">
        <f t="shared" ref="AA14:AA19" si="15">SUM(Y14:Z14)</f>
        <v>0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 t="e">
        <f t="shared" ref="AF14:AF19" si="16">Y14/$AF$24/1000</f>
        <v>#DIV/0!</v>
      </c>
      <c r="AG14" s="269">
        <v>1.1488553846153847E-2</v>
      </c>
      <c r="AH14" s="269" t="e">
        <f t="shared" ref="AH14:AH19" si="17">IF($AF$21&lt;$AG$21,AF14,IF($AF$20&lt;$AG$20,AF14,IF(AND($AF$20&gt;$AG$20,$AF$12&lt;$AG$12),($AG$20+($AG$12-$AF$12))/$AF$20*AF14,AF14/$AF$20*$AG$20)))</f>
        <v>#DIV/0!</v>
      </c>
      <c r="AI14" s="266" t="e">
        <f t="shared" ref="AI14:AI19" si="18">AH14*$Y$24*1000</f>
        <v>#DIV/0!</v>
      </c>
      <c r="AJ14" s="268" t="e">
        <f t="shared" ref="AJ14:AJ19" si="19">AI14/AD14</f>
        <v>#DIV/0!</v>
      </c>
      <c r="AK14" s="266" t="e">
        <f t="shared" ref="AK14:AK19" si="20">Y14-AI14</f>
        <v>#DIV/0!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>
        <f t="shared" ref="AV14:AV19" si="26">IF(H$47&lt;&gt;0,ROUND(AP14/H$47,3),0)</f>
        <v>0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0</v>
      </c>
      <c r="X15" s="274">
        <f t="shared" si="13"/>
        <v>0</v>
      </c>
      <c r="Y15" s="274">
        <f t="shared" si="14"/>
        <v>0</v>
      </c>
      <c r="Z15" s="274">
        <f>-$H$115</f>
        <v>0</v>
      </c>
      <c r="AA15" s="274">
        <f t="shared" si="15"/>
        <v>0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 t="e">
        <f t="shared" si="16"/>
        <v>#DIV/0!</v>
      </c>
      <c r="AG15" s="265">
        <v>7.650220979020979E-3</v>
      </c>
      <c r="AH15" s="265" t="e">
        <f t="shared" si="17"/>
        <v>#DIV/0!</v>
      </c>
      <c r="AI15" s="274" t="e">
        <f t="shared" si="18"/>
        <v>#DIV/0!</v>
      </c>
      <c r="AJ15" s="268" t="e">
        <f t="shared" si="19"/>
        <v>#DIV/0!</v>
      </c>
      <c r="AK15" s="274" t="e">
        <f t="shared" si="20"/>
        <v>#DIV/0!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>
        <f t="shared" si="26"/>
        <v>0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0</v>
      </c>
      <c r="X16" s="266">
        <f t="shared" si="13"/>
        <v>0</v>
      </c>
      <c r="Y16" s="266">
        <f t="shared" si="14"/>
        <v>0</v>
      </c>
      <c r="Z16" s="266">
        <f>-$D$122</f>
        <v>0</v>
      </c>
      <c r="AA16" s="274">
        <f t="shared" si="15"/>
        <v>0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 t="e">
        <f t="shared" si="16"/>
        <v>#DIV/0!</v>
      </c>
      <c r="AG16" s="269">
        <v>8.8563300699300695E-3</v>
      </c>
      <c r="AH16" s="269" t="e">
        <f t="shared" si="17"/>
        <v>#DIV/0!</v>
      </c>
      <c r="AI16" s="266" t="e">
        <f t="shared" si="18"/>
        <v>#DIV/0!</v>
      </c>
      <c r="AJ16" s="268" t="e">
        <f t="shared" si="19"/>
        <v>#DIV/0!</v>
      </c>
      <c r="AK16" s="266" t="e">
        <f t="shared" si="20"/>
        <v>#DIV/0!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>
        <f t="shared" si="26"/>
        <v>0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0</v>
      </c>
      <c r="X17" s="274">
        <f>H17*H$24*1000</f>
        <v>0</v>
      </c>
      <c r="Y17" s="274">
        <f t="shared" si="14"/>
        <v>0</v>
      </c>
      <c r="Z17" s="274">
        <f>C176/($C$184+$C$185)*$C$185</f>
        <v>0</v>
      </c>
      <c r="AA17" s="274">
        <f t="shared" si="15"/>
        <v>0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 t="e">
        <f t="shared" si="16"/>
        <v>#DIV/0!</v>
      </c>
      <c r="AG17" s="265">
        <v>2.1273118881118881E-3</v>
      </c>
      <c r="AH17" s="265" t="e">
        <f t="shared" si="17"/>
        <v>#DIV/0!</v>
      </c>
      <c r="AI17" s="274" t="e">
        <f t="shared" si="18"/>
        <v>#DIV/0!</v>
      </c>
      <c r="AJ17" s="268" t="e">
        <f t="shared" si="19"/>
        <v>#DIV/0!</v>
      </c>
      <c r="AK17" s="274" t="e">
        <f t="shared" si="20"/>
        <v>#DIV/0!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>
        <f t="shared" si="26"/>
        <v>0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0</v>
      </c>
      <c r="X18" s="274">
        <f t="shared" si="13"/>
        <v>0</v>
      </c>
      <c r="Y18" s="274">
        <f t="shared" si="14"/>
        <v>0</v>
      </c>
      <c r="Z18" s="274">
        <f>C178/($C$184+$C$185)*$C$185</f>
        <v>0</v>
      </c>
      <c r="AA18" s="274">
        <f>SUM(Y18:Z18)</f>
        <v>0</v>
      </c>
      <c r="AB18" s="263" t="s">
        <v>83</v>
      </c>
      <c r="AC18" s="264" t="s">
        <v>73</v>
      </c>
      <c r="AD18" s="267" t="e">
        <f>ROUND((S18/F$178)+(T18/F$178)+(U18/F$178)+(V18/F$178)+(W18/F$178)+(X18/F$178),0)</f>
        <v>#DIV/0!</v>
      </c>
      <c r="AE18" s="268" t="e">
        <f>Y18/AD18</f>
        <v>#DIV/0!</v>
      </c>
      <c r="AF18" s="265" t="e">
        <f t="shared" si="16"/>
        <v>#DIV/0!</v>
      </c>
      <c r="AG18" s="265">
        <v>3.2747211188811187E-2</v>
      </c>
      <c r="AH18" s="265" t="e">
        <f t="shared" si="17"/>
        <v>#DIV/0!</v>
      </c>
      <c r="AI18" s="274" t="e">
        <f t="shared" si="18"/>
        <v>#DIV/0!</v>
      </c>
      <c r="AJ18" s="268" t="e">
        <f>AI18/AD18</f>
        <v>#DIV/0!</v>
      </c>
      <c r="AK18" s="274" t="e">
        <f>Y18-AI18</f>
        <v>#DIV/0!</v>
      </c>
      <c r="AL18" s="267" t="e">
        <f t="shared" si="31"/>
        <v>#DIV/0!</v>
      </c>
      <c r="AM18" s="267" t="e">
        <f t="shared" si="31"/>
        <v>#DIV/0!</v>
      </c>
      <c r="AN18" s="267" t="e">
        <f t="shared" si="31"/>
        <v>#DIV/0!</v>
      </c>
      <c r="AO18" s="267" t="e">
        <f t="shared" si="31"/>
        <v>#DIV/0!</v>
      </c>
      <c r="AP18" s="267" t="e">
        <f t="shared" si="31"/>
        <v>#DIV/0!</v>
      </c>
      <c r="AQ18" s="267" t="e">
        <f t="shared" si="31"/>
        <v>#DIV/0!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0</v>
      </c>
      <c r="AW18" s="270">
        <f t="shared" si="27"/>
        <v>0</v>
      </c>
      <c r="AX18" s="271" t="e">
        <f>AJ18*10000</f>
        <v>#DIV/0!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0</v>
      </c>
      <c r="X19" s="275">
        <f t="shared" si="13"/>
        <v>0</v>
      </c>
      <c r="Y19" s="275">
        <f t="shared" si="14"/>
        <v>0</v>
      </c>
      <c r="Z19" s="275">
        <f>C177/($C$184+$C$185)*$C$185</f>
        <v>0</v>
      </c>
      <c r="AA19" s="275">
        <f t="shared" si="15"/>
        <v>0</v>
      </c>
      <c r="AB19" s="263" t="s">
        <v>82</v>
      </c>
      <c r="AC19" s="264" t="s">
        <v>73</v>
      </c>
      <c r="AD19" s="267" t="e">
        <f>ROUND((S19/F$177)+(T19/F$177)+(U19/F$177)+(V19/F$177)+(W19/F$177)+(X19/F$177),0)</f>
        <v>#DIV/0!</v>
      </c>
      <c r="AE19" s="268" t="e">
        <f t="shared" si="29"/>
        <v>#DIV/0!</v>
      </c>
      <c r="AF19" s="276" t="e">
        <f t="shared" si="16"/>
        <v>#DIV/0!</v>
      </c>
      <c r="AG19" s="276">
        <v>7.3609622377622374E-3</v>
      </c>
      <c r="AH19" s="276" t="e">
        <f t="shared" si="17"/>
        <v>#DIV/0!</v>
      </c>
      <c r="AI19" s="275" t="e">
        <f t="shared" si="18"/>
        <v>#DIV/0!</v>
      </c>
      <c r="AJ19" s="268" t="e">
        <f t="shared" si="19"/>
        <v>#DIV/0!</v>
      </c>
      <c r="AK19" s="275" t="e">
        <f t="shared" si="20"/>
        <v>#DIV/0!</v>
      </c>
      <c r="AL19" s="267" t="e">
        <f t="shared" si="31"/>
        <v>#DIV/0!</v>
      </c>
      <c r="AM19" s="267" t="e">
        <f t="shared" si="31"/>
        <v>#DIV/0!</v>
      </c>
      <c r="AN19" s="267" t="e">
        <f t="shared" si="31"/>
        <v>#DIV/0!</v>
      </c>
      <c r="AO19" s="267" t="e">
        <f t="shared" si="31"/>
        <v>#DIV/0!</v>
      </c>
      <c r="AP19" s="267" t="e">
        <f t="shared" si="31"/>
        <v>#DIV/0!</v>
      </c>
      <c r="AQ19" s="267" t="e">
        <f t="shared" si="31"/>
        <v>#DIV/0!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0</v>
      </c>
      <c r="AW19" s="270">
        <f t="shared" si="27"/>
        <v>0</v>
      </c>
      <c r="AX19" s="271" t="e">
        <f t="shared" si="28"/>
        <v>#DIV/0!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0</v>
      </c>
      <c r="X20" s="277">
        <f t="shared" si="37"/>
        <v>0</v>
      </c>
      <c r="Y20" s="277">
        <f t="shared" si="37"/>
        <v>0</v>
      </c>
      <c r="Z20" s="277">
        <f t="shared" si="37"/>
        <v>0</v>
      </c>
      <c r="AA20" s="277">
        <f t="shared" si="37"/>
        <v>0</v>
      </c>
      <c r="AB20" s="278"/>
      <c r="AC20" s="279"/>
      <c r="AD20" s="262"/>
      <c r="AE20" s="262"/>
      <c r="AF20" s="280" t="e">
        <f>SUM(AF14:AF19)</f>
        <v>#DIV/0!</v>
      </c>
      <c r="AG20" s="280">
        <f>SUM(AG14:AG19)</f>
        <v>7.0230590209790209E-2</v>
      </c>
      <c r="AH20" s="280" t="e">
        <f>SUM(AH14:AH19)</f>
        <v>#DIV/0!</v>
      </c>
      <c r="AI20" s="277" t="e">
        <f>SUM(AI14:AI19)</f>
        <v>#DIV/0!</v>
      </c>
      <c r="AJ20" s="262"/>
      <c r="AK20" s="277" t="e">
        <f>SUM(AK14:AK19)</f>
        <v>#DIV/0!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 t="e">
        <f t="shared" si="38"/>
        <v>#DIV/0!</v>
      </c>
      <c r="W21" s="281">
        <f t="shared" si="38"/>
        <v>0</v>
      </c>
      <c r="X21" s="281">
        <f t="shared" si="38"/>
        <v>0</v>
      </c>
      <c r="Y21" s="281" t="e">
        <f t="shared" si="38"/>
        <v>#DIV/0!</v>
      </c>
      <c r="Z21" s="281">
        <f t="shared" si="38"/>
        <v>0</v>
      </c>
      <c r="AA21" s="281" t="e">
        <f t="shared" si="38"/>
        <v>#DIV/0!</v>
      </c>
      <c r="AB21" s="282" t="s">
        <v>98</v>
      </c>
      <c r="AC21" s="279"/>
      <c r="AD21" s="262"/>
      <c r="AE21" s="262"/>
      <c r="AF21" s="283" t="e">
        <f>AF12+AF20</f>
        <v>#DIV/0!</v>
      </c>
      <c r="AG21" s="283">
        <f>AG12+AG20</f>
        <v>0.15165504895104895</v>
      </c>
      <c r="AH21" s="283" t="e">
        <f>AH12+AH20</f>
        <v>#DIV/0!</v>
      </c>
      <c r="AI21" s="281" t="e">
        <f>AI12+AI20</f>
        <v>#DIV/0!</v>
      </c>
      <c r="AJ21" s="262"/>
      <c r="AK21" s="281" t="e">
        <f>AK12+AK20</f>
        <v>#DIV/0!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</v>
      </c>
      <c r="X22" s="284">
        <f>IF(H24&lt;&gt;0,ROUND(X21/(H24*1000),5),0)</f>
        <v>0</v>
      </c>
      <c r="Y22" s="284" t="e">
        <f>Y21/Y24/1000</f>
        <v>#DIV/0!</v>
      </c>
      <c r="Z22" s="284">
        <v>0</v>
      </c>
      <c r="AA22" s="284" t="e">
        <f>ROUND(AA21/(B49*1000),5)</f>
        <v>#DIV/0!</v>
      </c>
      <c r="AB22" s="282" t="s">
        <v>101</v>
      </c>
      <c r="AC22" s="279"/>
      <c r="AD22" s="262"/>
      <c r="AE22" s="262"/>
      <c r="AF22" s="284"/>
      <c r="AG22" s="284"/>
      <c r="AH22" s="284"/>
      <c r="AI22" s="284" t="e">
        <f>AI21/AI24/1000</f>
        <v>#DIV/0!</v>
      </c>
      <c r="AJ22" s="262"/>
      <c r="AK22" s="284" t="e">
        <f>AK21/AK24/1000</f>
        <v>#DIV/0!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</v>
      </c>
      <c r="X23" s="284">
        <f>ROUND(X22+H6,5)</f>
        <v>0</v>
      </c>
      <c r="Y23" s="284" t="e">
        <f>Y22+(($B$6*$B$24*1000+$B$29*$B$47*1000+$E$29*$E$47*1000+$H$6*$H$24*1000+$H$29*$H$47*1000+$E$6*$E$24*1000)/($B$49*1000))</f>
        <v>#DIV/0!</v>
      </c>
      <c r="Z23" s="284">
        <v>0</v>
      </c>
      <c r="AA23" s="284" t="e">
        <f>AA22+(($B$6*$B$24*1000+$B$29*$B$47*1000+$E$6*$E$24*1000+$E$29*$E$47*1000+$H$6*$H$24*1000+$H$29*$H$47*1000)/($B$49*1000))</f>
        <v>#DIV/0!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0</v>
      </c>
      <c r="X24" s="286">
        <f>H24</f>
        <v>0</v>
      </c>
      <c r="Y24" s="286">
        <f>SUM(S24:X24)</f>
        <v>0</v>
      </c>
      <c r="Z24" s="286">
        <v>0</v>
      </c>
      <c r="AA24" s="286">
        <f>SUM(Y24:Z24)</f>
        <v>0</v>
      </c>
      <c r="AB24" s="286"/>
      <c r="AC24" s="279"/>
      <c r="AD24" s="262"/>
      <c r="AE24" s="262"/>
      <c r="AF24" s="286">
        <f>Y24</f>
        <v>0</v>
      </c>
      <c r="AG24" s="286"/>
      <c r="AH24" s="286"/>
      <c r="AI24" s="286">
        <f>Y24</f>
        <v>0</v>
      </c>
      <c r="AJ24" s="262"/>
      <c r="AK24" s="286">
        <f>Y24</f>
        <v>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Summary'!$C$16</f>
        <v>0</v>
      </c>
      <c r="C54" s="214" t="e">
        <f>B54/$B$60</f>
        <v>#DIV/0!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Summary'!D$16</f>
        <v>0</v>
      </c>
      <c r="C55" s="214" t="e">
        <f t="shared" ref="C55:C60" si="46">B55/$B$60</f>
        <v>#DIV/0!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Summary'!E$16</f>
        <v>0</v>
      </c>
      <c r="C56" s="214" t="e">
        <f t="shared" si="46"/>
        <v>#DIV/0!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Summary'!$F$16</f>
        <v>0</v>
      </c>
      <c r="C57" s="214" t="e">
        <f t="shared" si="46"/>
        <v>#DIV/0!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Summary'!$G$16</f>
        <v>0</v>
      </c>
      <c r="C58" s="214" t="e">
        <f t="shared" si="46"/>
        <v>#DIV/0!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Summary'!$H$16</f>
        <v>0</v>
      </c>
      <c r="C59" s="215" t="e">
        <f t="shared" si="46"/>
        <v>#DIV/0!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0</v>
      </c>
      <c r="C60" s="315" t="e">
        <f t="shared" si="46"/>
        <v>#DIV/0!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0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0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0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0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0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0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0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0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0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0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0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0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0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 t="e">
        <f>ROUND(J141/B49/1000,3)</f>
        <v>#DIV/0!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 t="e">
        <f>0.215+$J$142</f>
        <v>#DIV/0!</v>
      </c>
      <c r="F145" s="76">
        <f>G141</f>
        <v>6.6443706666712579E-2</v>
      </c>
      <c r="G145" s="113" t="e">
        <f>E145*F145</f>
        <v>#DIV/0!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 t="e">
        <f>SUM(G145:G146)</f>
        <v>#DIV/0!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 t="e">
        <f>G159/(B$49*1000)</f>
        <v>#DIV/0!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 t="e">
        <f>G163/(B$49*1000)</f>
        <v>#DIV/0!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 t="e">
        <f>G166/(B$49*1000)</f>
        <v>#DIV/0!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0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0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0</v>
      </c>
      <c r="E172" s="14"/>
      <c r="F172" s="492" t="s">
        <v>8</v>
      </c>
      <c r="G172" s="492"/>
      <c r="H172" s="27">
        <f>D172/D173</f>
        <v>0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0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0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0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 t="e">
        <f>$D176/$D$172/1000</f>
        <v>#DIV/0!</v>
      </c>
      <c r="G176" s="112" t="e">
        <f>$E176/$D$172/1000</f>
        <v>#DIV/0!</v>
      </c>
      <c r="H176" s="170" t="e">
        <f>SUM(F176:G176)</f>
        <v>#DIV/0!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 t="e">
        <f>$D177/D$172/1000</f>
        <v>#DIV/0!</v>
      </c>
      <c r="G177" s="171" t="e">
        <f>$E177/$D$172/1000</f>
        <v>#DIV/0!</v>
      </c>
      <c r="H177" s="83" t="e">
        <f t="shared" ref="H177:H178" si="56">SUM(F177:G177)</f>
        <v>#DIV/0!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 t="e">
        <f>$D178/D$172/1000</f>
        <v>#DIV/0!</v>
      </c>
      <c r="G178" s="111" t="e">
        <f>$E178/$D$172/1000</f>
        <v>#DIV/0!</v>
      </c>
      <c r="H178" s="85" t="e">
        <f t="shared" si="56"/>
        <v>#DIV/0!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0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 t="e">
        <f>SUM(F176:F178)</f>
        <v>#DIV/0!</v>
      </c>
      <c r="G179" s="112" t="e">
        <f>SUM(G176:G178)</f>
        <v>#DIV/0!</v>
      </c>
      <c r="H179" s="170" t="e">
        <f>SUM(H176:H178)</f>
        <v>#DIV/0!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0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0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0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0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0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0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FD20-5561-40FA-96FE-41F3AEB44BF8}">
  <dimension ref="A1:AY198"/>
  <sheetViews>
    <sheetView workbookViewId="0">
      <selection activeCell="E3" sqref="E3:G3"/>
    </sheetView>
  </sheetViews>
  <sheetFormatPr defaultColWidth="10.7109375" defaultRowHeight="12.75" outlineLevelCol="1"/>
  <cols>
    <col min="1" max="1" width="37.28515625" style="1" bestFit="1" customWidth="1"/>
    <col min="2" max="2" width="14" style="1" customWidth="1"/>
    <col min="3" max="3" width="16.7109375" style="1" customWidth="1"/>
    <col min="4" max="4" width="15.28515625" style="1" customWidth="1"/>
    <col min="5" max="5" width="15" style="1" customWidth="1"/>
    <col min="6" max="6" width="12.42578125" style="1" customWidth="1"/>
    <col min="7" max="7" width="14.28515625" style="1" bestFit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15.28515625" style="1" customWidth="1"/>
    <col min="14" max="14" width="12.5703125" style="1" customWidth="1"/>
    <col min="15" max="15" width="10.7109375" style="1"/>
    <col min="16" max="16" width="12.42578125" style="1" customWidth="1"/>
    <col min="17" max="17" width="9.7109375" style="1" customWidth="1"/>
    <col min="18" max="18" width="2.7109375" style="1" customWidth="1"/>
    <col min="19" max="19" width="10.7109375" style="1" hidden="1" customWidth="1" outlineLevel="1"/>
    <col min="20" max="20" width="11.42578125" style="1" hidden="1" customWidth="1" outlineLevel="1"/>
    <col min="21" max="21" width="17.7109375" style="1" hidden="1" customWidth="1" outlineLevel="1"/>
    <col min="22" max="24" width="15.28515625" style="1" hidden="1" customWidth="1" outlineLevel="1"/>
    <col min="25" max="25" width="14.7109375" style="1" hidden="1" customWidth="1" outlineLevel="1"/>
    <col min="26" max="26" width="12.42578125" style="1" hidden="1" customWidth="1" outlineLevel="1"/>
    <col min="27" max="27" width="15.28515625" style="1" hidden="1" customWidth="1" outlineLevel="1"/>
    <col min="28" max="28" width="12.5703125" style="1" hidden="1" customWidth="1" outlineLevel="1"/>
    <col min="29" max="29" width="6.7109375" style="1" hidden="1" customWidth="1" outlineLevel="1"/>
    <col min="30" max="30" width="12.42578125" style="1" hidden="1" customWidth="1" outlineLevel="1"/>
    <col min="31" max="31" width="13.28515625" style="1" hidden="1" customWidth="1" outlineLevel="1"/>
    <col min="32" max="32" width="8.7109375" style="1" hidden="1" customWidth="1" outlineLevel="1"/>
    <col min="33" max="33" width="9.28515625" style="1" hidden="1" customWidth="1" outlineLevel="1"/>
    <col min="34" max="34" width="8.7109375" style="1" hidden="1" customWidth="1" outlineLevel="1"/>
    <col min="35" max="35" width="12" style="1" hidden="1" customWidth="1" outlineLevel="1"/>
    <col min="36" max="36" width="11.7109375" style="1" hidden="1" customWidth="1" outlineLevel="1"/>
    <col min="37" max="37" width="11" style="1" hidden="1" customWidth="1" outlineLevel="1"/>
    <col min="38" max="38" width="11.42578125" style="1" hidden="1" customWidth="1" outlineLevel="1"/>
    <col min="39" max="39" width="12.42578125" style="1" hidden="1" customWidth="1" outlineLevel="1"/>
    <col min="40" max="40" width="12.28515625" style="1" hidden="1" customWidth="1" outlineLevel="1"/>
    <col min="41" max="41" width="12.5703125" style="1" hidden="1" customWidth="1" outlineLevel="1"/>
    <col min="42" max="42" width="12.42578125" style="1" hidden="1" customWidth="1" outlineLevel="1"/>
    <col min="43" max="43" width="14.28515625" style="1" hidden="1" customWidth="1" outlineLevel="1"/>
    <col min="44" max="44" width="10.28515625" style="1" hidden="1" customWidth="1" outlineLevel="1"/>
    <col min="45" max="45" width="11.5703125" style="1" hidden="1" customWidth="1" outlineLevel="1"/>
    <col min="46" max="46" width="5.7109375" style="1" hidden="1" customWidth="1" outlineLevel="1"/>
    <col min="47" max="48" width="12.7109375" style="1" hidden="1" customWidth="1" outlineLevel="1"/>
    <col min="49" max="49" width="11" style="1" hidden="1" customWidth="1" outlineLevel="1"/>
    <col min="50" max="50" width="12.7109375" style="1" hidden="1" customWidth="1" outlineLevel="1"/>
    <col min="51" max="51" width="8.7109375" style="1" customWidth="1" collapsed="1"/>
    <col min="52" max="250" width="8.7109375" style="1" customWidth="1"/>
    <col min="251" max="16384" width="10.7109375" style="1"/>
  </cols>
  <sheetData>
    <row r="1" spans="1:50" ht="18.75" customHeight="1">
      <c r="A1" s="519" t="s">
        <v>241</v>
      </c>
      <c r="B1" s="519"/>
      <c r="C1" s="519"/>
      <c r="D1" s="519"/>
      <c r="E1" s="519"/>
      <c r="F1" s="519"/>
      <c r="G1" s="519"/>
      <c r="H1" s="519"/>
      <c r="I1" s="519"/>
      <c r="J1" s="519"/>
      <c r="K1" s="152"/>
      <c r="L1" s="152"/>
      <c r="S1" s="520" t="s">
        <v>100</v>
      </c>
      <c r="T1" s="520"/>
      <c r="U1" s="520"/>
      <c r="V1" s="520"/>
      <c r="W1" s="520"/>
      <c r="X1" s="520"/>
      <c r="Y1" s="520"/>
      <c r="Z1" s="520"/>
      <c r="AA1" s="520"/>
      <c r="AB1" s="246"/>
      <c r="AC1" s="247"/>
      <c r="AD1" s="247"/>
      <c r="AE1" s="248" t="s">
        <v>139</v>
      </c>
      <c r="AF1" s="248" t="s">
        <v>193</v>
      </c>
      <c r="AG1" s="248" t="s">
        <v>192</v>
      </c>
      <c r="AH1" s="248" t="s">
        <v>191</v>
      </c>
      <c r="AI1" s="249">
        <v>10001003</v>
      </c>
      <c r="AJ1" s="248" t="s">
        <v>138</v>
      </c>
      <c r="AK1" s="249" t="s">
        <v>141</v>
      </c>
      <c r="AL1" s="247"/>
      <c r="AM1" s="247"/>
      <c r="AN1" s="250"/>
      <c r="AO1" s="250"/>
      <c r="AP1" s="250"/>
      <c r="AQ1" s="250"/>
      <c r="AR1" s="250"/>
      <c r="AS1" s="250"/>
      <c r="AT1" s="251"/>
      <c r="AU1" s="251"/>
      <c r="AV1" s="251"/>
      <c r="AW1" s="251"/>
      <c r="AX1" s="248" t="s">
        <v>184</v>
      </c>
    </row>
    <row r="2" spans="1:50" ht="28.5" customHeight="1">
      <c r="A2" s="68" t="s">
        <v>111</v>
      </c>
      <c r="B2" s="308"/>
      <c r="C2" s="68"/>
      <c r="D2" s="68"/>
      <c r="E2" s="68"/>
      <c r="F2" s="68"/>
      <c r="G2" s="68"/>
      <c r="H2" s="110"/>
      <c r="I2" s="153"/>
      <c r="J2" s="153"/>
      <c r="K2" s="153"/>
      <c r="L2" s="153"/>
      <c r="S2" s="252" t="s">
        <v>209</v>
      </c>
      <c r="T2" s="252" t="s">
        <v>52</v>
      </c>
      <c r="U2" s="252" t="s">
        <v>68</v>
      </c>
      <c r="V2" s="252" t="s">
        <v>210</v>
      </c>
      <c r="W2" s="252" t="s">
        <v>194</v>
      </c>
      <c r="X2" s="252" t="s">
        <v>211</v>
      </c>
      <c r="Y2" s="252" t="s">
        <v>133</v>
      </c>
      <c r="Z2" s="252" t="s">
        <v>132</v>
      </c>
      <c r="AA2" s="253" t="s">
        <v>99</v>
      </c>
      <c r="AB2" s="298" t="s">
        <v>103</v>
      </c>
      <c r="AC2" s="248" t="s">
        <v>67</v>
      </c>
      <c r="AD2" s="247" t="s">
        <v>91</v>
      </c>
      <c r="AE2" s="254" t="s">
        <v>29</v>
      </c>
      <c r="AF2" s="254" t="s">
        <v>190</v>
      </c>
      <c r="AG2" s="254" t="s">
        <v>190</v>
      </c>
      <c r="AH2" s="254" t="s">
        <v>190</v>
      </c>
      <c r="AI2" s="252" t="s">
        <v>140</v>
      </c>
      <c r="AJ2" s="254" t="s">
        <v>29</v>
      </c>
      <c r="AK2" s="255" t="s">
        <v>142</v>
      </c>
      <c r="AL2" s="256" t="s">
        <v>92</v>
      </c>
      <c r="AM2" s="256" t="s">
        <v>93</v>
      </c>
      <c r="AN2" s="256" t="s">
        <v>94</v>
      </c>
      <c r="AO2" s="252" t="s">
        <v>213</v>
      </c>
      <c r="AP2" s="252" t="s">
        <v>201</v>
      </c>
      <c r="AQ2" s="252" t="s">
        <v>214</v>
      </c>
      <c r="AR2" s="257" t="s">
        <v>95</v>
      </c>
      <c r="AS2" s="257" t="s">
        <v>96</v>
      </c>
      <c r="AT2" s="257" t="s">
        <v>97</v>
      </c>
      <c r="AU2" s="257" t="s">
        <v>215</v>
      </c>
      <c r="AV2" s="257" t="s">
        <v>202</v>
      </c>
      <c r="AW2" s="257" t="s">
        <v>216</v>
      </c>
      <c r="AX2" s="254" t="s">
        <v>185</v>
      </c>
    </row>
    <row r="3" spans="1:50" ht="18" customHeight="1">
      <c r="A3" s="80" t="s">
        <v>25</v>
      </c>
      <c r="B3" s="521" t="s">
        <v>272</v>
      </c>
      <c r="C3" s="522"/>
      <c r="D3" s="522"/>
      <c r="E3" s="521" t="s">
        <v>275</v>
      </c>
      <c r="F3" s="522"/>
      <c r="G3" s="522"/>
      <c r="H3" s="521" t="s">
        <v>269</v>
      </c>
      <c r="I3" s="522"/>
      <c r="J3" s="523"/>
      <c r="M3" s="343"/>
      <c r="N3" s="524"/>
      <c r="O3" s="524"/>
      <c r="P3" s="524"/>
      <c r="Q3" s="525"/>
      <c r="S3" s="258"/>
      <c r="T3" s="259"/>
      <c r="U3" s="258"/>
      <c r="V3" s="258"/>
      <c r="W3" s="258"/>
      <c r="X3" s="258"/>
      <c r="Y3" s="258"/>
      <c r="Z3" s="258"/>
      <c r="AA3" s="259"/>
      <c r="AB3" s="248"/>
      <c r="AC3" s="259"/>
      <c r="AD3" s="259"/>
      <c r="AE3" s="258"/>
      <c r="AF3" s="258"/>
      <c r="AG3" s="258"/>
      <c r="AH3" s="258"/>
      <c r="AI3" s="259"/>
      <c r="AJ3" s="258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</row>
    <row r="4" spans="1:50" s="57" customFormat="1" ht="15">
      <c r="A4" s="82"/>
      <c r="B4" s="233" t="s">
        <v>242</v>
      </c>
      <c r="C4" s="234" t="s">
        <v>235</v>
      </c>
      <c r="D4" s="234" t="s">
        <v>221</v>
      </c>
      <c r="E4" s="233" t="str">
        <f>B4</f>
        <v>25 Standard</v>
      </c>
      <c r="F4" s="234" t="s">
        <v>235</v>
      </c>
      <c r="G4" s="234" t="str">
        <f>+D4</f>
        <v>22 Standard</v>
      </c>
      <c r="H4" s="233" t="str">
        <f>B4</f>
        <v>25 Standard</v>
      </c>
      <c r="I4" s="234" t="s">
        <v>235</v>
      </c>
      <c r="J4" s="310" t="str">
        <f>+D4</f>
        <v>22 Standard</v>
      </c>
      <c r="M4" s="344"/>
      <c r="N4" s="345"/>
      <c r="O4" s="345"/>
      <c r="P4" s="345"/>
      <c r="Q4" s="346"/>
      <c r="S4" s="260"/>
      <c r="T4" s="261"/>
      <c r="U4" s="261"/>
      <c r="V4" s="261"/>
      <c r="W4" s="261"/>
      <c r="X4" s="261"/>
      <c r="Y4" s="261"/>
      <c r="Z4" s="261"/>
      <c r="AA4" s="262"/>
      <c r="AB4" s="263"/>
      <c r="AC4" s="264"/>
      <c r="AD4" s="262"/>
      <c r="AE4" s="262"/>
      <c r="AF4" s="262"/>
      <c r="AG4" s="262"/>
      <c r="AH4" s="262"/>
      <c r="AI4" s="261"/>
      <c r="AJ4" s="262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2"/>
      <c r="AX4" s="262"/>
    </row>
    <row r="5" spans="1:50" s="57" customFormat="1">
      <c r="A5" s="82"/>
      <c r="B5" s="235"/>
      <c r="C5" s="34"/>
      <c r="D5" s="34"/>
      <c r="E5" s="235"/>
      <c r="F5" s="330" t="s">
        <v>230</v>
      </c>
      <c r="G5" s="34"/>
      <c r="H5" s="235"/>
      <c r="I5" s="34"/>
      <c r="J5" s="168"/>
      <c r="M5" s="344"/>
      <c r="N5" s="347"/>
      <c r="O5" s="347"/>
      <c r="P5" s="347"/>
      <c r="Q5" s="348"/>
      <c r="S5" s="260"/>
      <c r="T5" s="261"/>
      <c r="U5" s="261"/>
      <c r="V5" s="261"/>
      <c r="W5" s="261"/>
      <c r="X5" s="261"/>
      <c r="Y5" s="261"/>
      <c r="Z5" s="261"/>
      <c r="AA5" s="262"/>
      <c r="AB5" s="263"/>
      <c r="AC5" s="264"/>
      <c r="AD5" s="262"/>
      <c r="AE5" s="262"/>
      <c r="AF5" s="262"/>
      <c r="AG5" s="262"/>
      <c r="AH5" s="262"/>
      <c r="AI5" s="261"/>
      <c r="AJ5" s="262"/>
      <c r="AK5" s="261"/>
      <c r="AL5" s="262"/>
      <c r="AM5" s="262"/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</row>
    <row r="6" spans="1:50">
      <c r="A6" s="42" t="s">
        <v>66</v>
      </c>
      <c r="B6" s="236">
        <f>IF($B$24&lt;&gt;0,$D$80,0)</f>
        <v>0</v>
      </c>
      <c r="C6" s="33"/>
      <c r="D6" s="33">
        <v>0</v>
      </c>
      <c r="E6" s="236">
        <f>IF(E24&lt;&gt;0,$L$88,0)</f>
        <v>0</v>
      </c>
      <c r="F6" s="324">
        <v>7.1053253584753978E-2</v>
      </c>
      <c r="G6" s="33">
        <v>2.6849999999999999E-2</v>
      </c>
      <c r="H6" s="236">
        <f>IF($H$24&lt;&gt;0,$D$88,0)</f>
        <v>0</v>
      </c>
      <c r="I6" s="33"/>
      <c r="J6" s="83">
        <v>0</v>
      </c>
      <c r="M6" s="349"/>
      <c r="N6" s="350"/>
      <c r="O6" s="351"/>
      <c r="P6" s="350"/>
      <c r="Q6" s="352"/>
      <c r="S6" s="265"/>
      <c r="T6" s="261"/>
      <c r="U6" s="261"/>
      <c r="V6" s="261"/>
      <c r="W6" s="261"/>
      <c r="X6" s="261"/>
      <c r="Y6" s="261"/>
      <c r="Z6" s="261"/>
      <c r="AA6" s="262"/>
      <c r="AB6" s="263"/>
      <c r="AC6" s="264"/>
      <c r="AD6" s="262"/>
      <c r="AE6" s="262"/>
      <c r="AF6" s="262"/>
      <c r="AG6" s="262"/>
      <c r="AH6" s="262"/>
      <c r="AI6" s="261"/>
      <c r="AJ6" s="262"/>
      <c r="AK6" s="261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</row>
    <row r="7" spans="1:50" ht="15">
      <c r="A7" s="42" t="s">
        <v>38</v>
      </c>
      <c r="B7" s="236">
        <f>IF($B$24&lt;&gt;0,$D$151,0)</f>
        <v>0</v>
      </c>
      <c r="C7" s="33"/>
      <c r="D7" s="33">
        <v>0</v>
      </c>
      <c r="E7" s="236">
        <f>IF(E24&lt;&gt;0,$D$151,0)</f>
        <v>0</v>
      </c>
      <c r="F7" s="324">
        <v>3.3926789505942447E-2</v>
      </c>
      <c r="G7" s="33">
        <v>1.8883379475127554E-2</v>
      </c>
      <c r="H7" s="236">
        <f>IF(H24&lt;&gt;0,$D$151,0)</f>
        <v>0</v>
      </c>
      <c r="I7" s="33"/>
      <c r="J7" s="83">
        <v>0</v>
      </c>
      <c r="M7" s="353"/>
      <c r="N7" s="354"/>
      <c r="O7" s="355"/>
      <c r="P7" s="354"/>
      <c r="Q7" s="356"/>
      <c r="S7" s="266">
        <f>$C145*$B$24*1000*$B145</f>
        <v>0</v>
      </c>
      <c r="T7" s="266">
        <f>$C151*$B$47*1000*$B151</f>
        <v>0</v>
      </c>
      <c r="U7" s="266">
        <f>$F151*$E$47*1000*$E151</f>
        <v>0</v>
      </c>
      <c r="V7" s="266" t="e">
        <f>$F145*$E$24*1000*$E145</f>
        <v>#DIV/0!</v>
      </c>
      <c r="W7" s="266">
        <f>$I151*$H$47*1000*$H151</f>
        <v>0</v>
      </c>
      <c r="X7" s="266">
        <f>$I145*$H$24*1000*$H145</f>
        <v>0</v>
      </c>
      <c r="Y7" s="266" t="e">
        <f>SUM(S7:X7)</f>
        <v>#DIV/0!</v>
      </c>
      <c r="Z7" s="266">
        <v>0</v>
      </c>
      <c r="AA7" s="266" t="e">
        <f>SUM(Y7:Z7)</f>
        <v>#DIV/0!</v>
      </c>
      <c r="AB7" s="263" t="s">
        <v>70</v>
      </c>
      <c r="AC7" s="264" t="s">
        <v>69</v>
      </c>
      <c r="AD7" s="267" t="e">
        <f>ROUND((B145*B$24*1000)+(B151*B$47*1000)+(E145*E$24*1000)+(E151*E$47*1000)+(H145*H$24*1000)+(H151*H$47*1000),0)</f>
        <v>#DIV/0!</v>
      </c>
      <c r="AE7" s="268" t="e">
        <f>Y7/AD7</f>
        <v>#DIV/0!</v>
      </c>
      <c r="AF7" s="269" t="e">
        <f>Y7/$AF$24/1000</f>
        <v>#DIV/0!</v>
      </c>
      <c r="AG7" s="269">
        <v>1.4890786013986013E-2</v>
      </c>
      <c r="AH7" s="269" t="e">
        <f>IF($AF$21&lt;$AG$21,AF7,IF($AF$12&lt;$AG$12,AF7,IF(AND($AF$12&gt;$AG$12,$AF$20&lt;$AG$20),($AG$12+($AG$20-$AF$20))/$AF$12*AF7,AF7/$AF$12*$AG$12)))</f>
        <v>#DIV/0!</v>
      </c>
      <c r="AI7" s="266" t="e">
        <f>AH7*$Y$24*1000</f>
        <v>#DIV/0!</v>
      </c>
      <c r="AJ7" s="268" t="e">
        <f>AI7/AD7</f>
        <v>#DIV/0!</v>
      </c>
      <c r="AK7" s="266" t="e">
        <f>Y7-AI7</f>
        <v>#DIV/0!</v>
      </c>
      <c r="AL7" s="267">
        <f>ROUND($B145*$B$24*1000,0)</f>
        <v>0</v>
      </c>
      <c r="AM7" s="267">
        <f>ROUND($B151*$B$47*1000,0)</f>
        <v>0</v>
      </c>
      <c r="AN7" s="267">
        <f>ROUND($E151*$E$47*1000,0)</f>
        <v>0</v>
      </c>
      <c r="AO7" s="267" t="e">
        <f>ROUND($E145*$E$24*1000,0)</f>
        <v>#DIV/0!</v>
      </c>
      <c r="AP7" s="267">
        <f>ROUND($H151*$H$47*1000,0)</f>
        <v>0</v>
      </c>
      <c r="AQ7" s="267">
        <f>ROUND($H145*$H$24*1000,0)</f>
        <v>0</v>
      </c>
      <c r="AR7" s="270">
        <f>IF($B$24&lt;&gt;0,ROUND(AL7/B$24,3),0)</f>
        <v>0</v>
      </c>
      <c r="AS7" s="270" t="e">
        <f>ROUND(AM7/B$47,3)</f>
        <v>#DIV/0!</v>
      </c>
      <c r="AT7" s="270">
        <f>IF(E$47&lt;&gt;0,ROUND(AN7/E$47,3),0)</f>
        <v>0</v>
      </c>
      <c r="AU7" s="270" t="e">
        <f>IF(F$24&lt;&gt;0,ROUND(AO7/F$24,3),0)</f>
        <v>#DIV/0!</v>
      </c>
      <c r="AV7" s="270">
        <f>IF(H$47&lt;&gt;0,ROUND(AP7/H$47,3),0)</f>
        <v>0</v>
      </c>
      <c r="AW7" s="270">
        <f>IF(H$24&lt;&gt;0,ROUND(AQ7/H$24,3),0)</f>
        <v>0</v>
      </c>
      <c r="AX7" s="271" t="e">
        <f>AJ7*10000</f>
        <v>#DIV/0!</v>
      </c>
    </row>
    <row r="8" spans="1:50" ht="15">
      <c r="A8" s="15" t="s">
        <v>65</v>
      </c>
      <c r="B8" s="236">
        <f>IF($B$24&lt;&gt;0,$D$152,0)</f>
        <v>0</v>
      </c>
      <c r="C8" s="33"/>
      <c r="D8" s="33">
        <v>0</v>
      </c>
      <c r="E8" s="236">
        <f>IF(E24&lt;&gt;0,$D$152,0)</f>
        <v>0</v>
      </c>
      <c r="F8" s="324">
        <v>0.1460044145494763</v>
      </c>
      <c r="G8" s="33">
        <v>4.1840000000000002E-2</v>
      </c>
      <c r="H8" s="236">
        <f>IF(H24&lt;&gt;0,$D$152,0)</f>
        <v>0</v>
      </c>
      <c r="I8" s="33"/>
      <c r="J8" s="83">
        <v>0</v>
      </c>
      <c r="M8" s="353"/>
      <c r="N8" s="357"/>
      <c r="O8" s="358"/>
      <c r="P8" s="357"/>
      <c r="Q8" s="359"/>
      <c r="S8" s="266">
        <f>$C146*$B$24*1000*$B146</f>
        <v>0</v>
      </c>
      <c r="T8" s="266">
        <f>$C152*$B$47*1000*$B152</f>
        <v>0</v>
      </c>
      <c r="U8" s="266">
        <f>$F152*$E$47*1000*$E152</f>
        <v>0</v>
      </c>
      <c r="V8" s="266">
        <f>$F146*$E$24*1000*$E146</f>
        <v>0</v>
      </c>
      <c r="W8" s="266">
        <f>$I152*$H$47*1000*$H152</f>
        <v>0</v>
      </c>
      <c r="X8" s="266">
        <f>$I146*$H$24*1000*$H146</f>
        <v>0</v>
      </c>
      <c r="Y8" s="266">
        <f t="shared" ref="Y8:Y11" si="0">SUM(S8:X8)</f>
        <v>0</v>
      </c>
      <c r="Z8" s="266">
        <v>0</v>
      </c>
      <c r="AA8" s="266">
        <f t="shared" ref="AA8:AA11" si="1">SUM(Y8:Z8)</f>
        <v>0</v>
      </c>
      <c r="AB8" s="263" t="s">
        <v>72</v>
      </c>
      <c r="AC8" s="264" t="s">
        <v>71</v>
      </c>
      <c r="AD8" s="267">
        <f>ROUND((B146*B$24*1000*1000)+(B152*B$47*1000*1000)+(E146*E$24*1000*1000)+(E152*E$47*1000*1000)+(H146*H$24*1000*1000)+(H152*H$47*1000*1000),0)</f>
        <v>0</v>
      </c>
      <c r="AE8" s="268" t="e">
        <f>Y8/AD8</f>
        <v>#DIV/0!</v>
      </c>
      <c r="AF8" s="269" t="e">
        <f>Y8/$AF$24/1000</f>
        <v>#DIV/0!</v>
      </c>
      <c r="AG8" s="269">
        <v>4.2004911888111889E-2</v>
      </c>
      <c r="AH8" s="269" t="e">
        <f>IF($AF$21&lt;$AG$21,AF8,IF($AF$12&lt;$AG$12,AF8,IF(AND($AF$12&gt;$AG$12,$AF$20&lt;$AG$20),($AG$12+($AG$20-$AF$20))/$AF$12*AF8,AF8/$AF$12*$AG$12)))</f>
        <v>#DIV/0!</v>
      </c>
      <c r="AI8" s="266" t="e">
        <f>AH8*$Y$24*1000</f>
        <v>#DIV/0!</v>
      </c>
      <c r="AJ8" s="268" t="e">
        <f>AI8/AD8</f>
        <v>#DIV/0!</v>
      </c>
      <c r="AK8" s="266" t="e">
        <f t="shared" ref="AK8:AK11" si="2">Y8-AI8</f>
        <v>#DIV/0!</v>
      </c>
      <c r="AL8" s="267">
        <f>ROUND($B146*$B$24*1000*1000,0)</f>
        <v>0</v>
      </c>
      <c r="AM8" s="267">
        <f>ROUND($B152*$B$47*1000*1000,0)</f>
        <v>0</v>
      </c>
      <c r="AN8" s="267">
        <f>ROUND($E152*$E$47*1000*1000,0)</f>
        <v>0</v>
      </c>
      <c r="AO8" s="267">
        <f>ROUND($E146*$E$24*1000*1000,0)</f>
        <v>0</v>
      </c>
      <c r="AP8" s="267">
        <f>ROUND($H152*$H$47*1000*1000,0)</f>
        <v>0</v>
      </c>
      <c r="AQ8" s="267">
        <f>ROUND($H146*$H$24*1000*1000,0)</f>
        <v>0</v>
      </c>
      <c r="AR8" s="270">
        <f>IF($B$24&lt;&gt;0,ROUND(AL8/B$24,3),0)</f>
        <v>0</v>
      </c>
      <c r="AS8" s="270" t="e">
        <f>ROUND(AM8/B$47,3)</f>
        <v>#DIV/0!</v>
      </c>
      <c r="AT8" s="270">
        <f>IF(E$47&lt;&gt;0,ROUND(AN8/E$47,3),0)</f>
        <v>0</v>
      </c>
      <c r="AU8" s="270">
        <f>IF(E$24&lt;&gt;0,ROUND(AO8/E$24,3),0)</f>
        <v>0</v>
      </c>
      <c r="AV8" s="270">
        <f>IF(H$47&lt;&gt;0,ROUND(AP8/H$47,3),0)</f>
        <v>0</v>
      </c>
      <c r="AW8" s="270">
        <f>IF(H$24&lt;&gt;0,ROUND(AQ8/H$24,3),0)</f>
        <v>0</v>
      </c>
      <c r="AX8" s="271" t="e">
        <f>AJ8*10000</f>
        <v>#DIV/0!</v>
      </c>
    </row>
    <row r="9" spans="1:50">
      <c r="A9" s="42" t="s">
        <v>64</v>
      </c>
      <c r="B9" s="236">
        <f>IF($B$24&lt;&gt;0,$H$159,0)</f>
        <v>0</v>
      </c>
      <c r="C9" s="33"/>
      <c r="D9" s="33">
        <v>0</v>
      </c>
      <c r="E9" s="236">
        <f>IF(E24&lt;&gt;0,$H$159,0)</f>
        <v>0</v>
      </c>
      <c r="F9" s="324">
        <v>4.3366416968646904E-2</v>
      </c>
      <c r="G9" s="33">
        <v>2.2368421052631579E-2</v>
      </c>
      <c r="H9" s="236">
        <f>IF(H24&lt;&gt;0,$H$159,0)</f>
        <v>0</v>
      </c>
      <c r="I9" s="33"/>
      <c r="J9" s="83">
        <v>0</v>
      </c>
      <c r="M9" s="349"/>
      <c r="N9" s="350"/>
      <c r="O9" s="351"/>
      <c r="P9" s="360"/>
      <c r="Q9" s="352"/>
      <c r="S9" s="266">
        <f>B9*B$24*1000</f>
        <v>0</v>
      </c>
      <c r="T9" s="266">
        <f>B32*B$47*1000</f>
        <v>0</v>
      </c>
      <c r="U9" s="266">
        <f>E32*E$47*1000</f>
        <v>0</v>
      </c>
      <c r="V9" s="266">
        <f>E9*E$24*1000</f>
        <v>0</v>
      </c>
      <c r="W9" s="266">
        <f>H32*H$47*1000</f>
        <v>0</v>
      </c>
      <c r="X9" s="266">
        <f>H9*H$24*1000</f>
        <v>0</v>
      </c>
      <c r="Y9" s="266">
        <f t="shared" si="0"/>
        <v>0</v>
      </c>
      <c r="Z9" s="266">
        <v>0</v>
      </c>
      <c r="AA9" s="266">
        <f t="shared" si="1"/>
        <v>0</v>
      </c>
      <c r="AB9" s="263" t="s">
        <v>74</v>
      </c>
      <c r="AC9" s="264" t="s">
        <v>73</v>
      </c>
      <c r="AD9" s="267" t="e">
        <f>ROUND((S9/H$159)+(T9/H$159)+(U9/H$159)+(V9/H$159)+(W9/H$159)+(X9/H$159),0)</f>
        <v>#DIV/0!</v>
      </c>
      <c r="AE9" s="268" t="e">
        <f>Y9/AD9</f>
        <v>#DIV/0!</v>
      </c>
      <c r="AF9" s="269" t="e">
        <f>Y9/$AF$24/1000</f>
        <v>#DIV/0!</v>
      </c>
      <c r="AG9" s="269">
        <v>1.9544346853146852E-2</v>
      </c>
      <c r="AH9" s="269" t="e">
        <f>IF($AF$21&lt;$AG$21,AF9,IF($AF$12&lt;$AG$12,AF9,IF(AND($AF$12&gt;$AG$12,$AF$20&lt;$AG$20),($AG$12+($AG$20-$AF$20))/$AF$12*AF9,AF9/$AF$12*$AG$12)))</f>
        <v>#DIV/0!</v>
      </c>
      <c r="AI9" s="266" t="e">
        <f>AH9*$Y$24*1000</f>
        <v>#DIV/0!</v>
      </c>
      <c r="AJ9" s="268" t="e">
        <f>AI9/AD9</f>
        <v>#DIV/0!</v>
      </c>
      <c r="AK9" s="266" t="e">
        <f t="shared" si="2"/>
        <v>#DIV/0!</v>
      </c>
      <c r="AL9" s="267" t="e">
        <f t="shared" ref="AL9:AQ11" si="3">S9/$AE9</f>
        <v>#DIV/0!</v>
      </c>
      <c r="AM9" s="267" t="e">
        <f t="shared" si="3"/>
        <v>#DIV/0!</v>
      </c>
      <c r="AN9" s="267" t="e">
        <f t="shared" si="3"/>
        <v>#DIV/0!</v>
      </c>
      <c r="AO9" s="267" t="e">
        <f t="shared" si="3"/>
        <v>#DIV/0!</v>
      </c>
      <c r="AP9" s="267" t="e">
        <f>W9/$AE9</f>
        <v>#DIV/0!</v>
      </c>
      <c r="AQ9" s="267" t="e">
        <f t="shared" si="3"/>
        <v>#DIV/0!</v>
      </c>
      <c r="AR9" s="270">
        <f>IF($B$24&lt;&gt;0,ROUND(AL9/B$24,3),0)</f>
        <v>0</v>
      </c>
      <c r="AS9" s="270" t="e">
        <f>ROUND(AM9/B$47,3)</f>
        <v>#DIV/0!</v>
      </c>
      <c r="AT9" s="270">
        <f>IF(E$47&lt;&gt;0,ROUND(AN9/E$47,3),0)</f>
        <v>0</v>
      </c>
      <c r="AU9" s="270">
        <f>IF(E$24&lt;&gt;0,ROUND(AO9/E$24,3),0)</f>
        <v>0</v>
      </c>
      <c r="AV9" s="270">
        <f>IF(H$47&lt;&gt;0,ROUND(AP9/H$47,3),0)</f>
        <v>0</v>
      </c>
      <c r="AW9" s="270">
        <f>IF(H$24&lt;&gt;0,ROUND(AQ9/H$24,3),0)</f>
        <v>0</v>
      </c>
      <c r="AX9" s="271" t="e">
        <f>AJ9*10000</f>
        <v>#DIV/0!</v>
      </c>
    </row>
    <row r="10" spans="1:50">
      <c r="A10" s="42" t="s">
        <v>63</v>
      </c>
      <c r="B10" s="236">
        <f>IF($B$24&lt;&gt;0,$H$163,0)</f>
        <v>0</v>
      </c>
      <c r="C10" s="33"/>
      <c r="D10" s="33">
        <v>0</v>
      </c>
      <c r="E10" s="236">
        <f>IF(E24&lt;&gt;0,$H$163,0)</f>
        <v>0</v>
      </c>
      <c r="F10" s="324">
        <v>7.333625847427477E-4</v>
      </c>
      <c r="G10" s="33">
        <v>6.5789473684210525E-4</v>
      </c>
      <c r="H10" s="236">
        <f>IF($H$24&lt;&gt;0,$H$163,0)</f>
        <v>0</v>
      </c>
      <c r="I10" s="33"/>
      <c r="J10" s="83">
        <v>0</v>
      </c>
      <c r="M10" s="353"/>
      <c r="N10" s="350"/>
      <c r="O10" s="351"/>
      <c r="P10" s="350"/>
      <c r="Q10" s="352"/>
      <c r="S10" s="266">
        <f>B10*B$24*1000</f>
        <v>0</v>
      </c>
      <c r="T10" s="266">
        <f>B33*B$47*1000</f>
        <v>0</v>
      </c>
      <c r="U10" s="266">
        <f>E33*E$47*1000</f>
        <v>0</v>
      </c>
      <c r="V10" s="266">
        <f>E10*E$24*1000</f>
        <v>0</v>
      </c>
      <c r="W10" s="266">
        <f>H33*H$47*1000</f>
        <v>0</v>
      </c>
      <c r="X10" s="266">
        <f t="shared" ref="X10:X11" si="4">H10*H$24*1000</f>
        <v>0</v>
      </c>
      <c r="Y10" s="266">
        <f t="shared" si="0"/>
        <v>0</v>
      </c>
      <c r="Z10" s="266">
        <v>0</v>
      </c>
      <c r="AA10" s="266">
        <f t="shared" si="1"/>
        <v>0</v>
      </c>
      <c r="AB10" s="263" t="s">
        <v>75</v>
      </c>
      <c r="AC10" s="264" t="s">
        <v>73</v>
      </c>
      <c r="AD10" s="267" t="e">
        <f>ROUND((S10/H$163)+(T10/H$163)+(U10/H$163)+(V10/H$163)+(W10/H$163)+(X10/H$163),0)</f>
        <v>#DIV/0!</v>
      </c>
      <c r="AE10" s="268" t="e">
        <f>Y10/AD10</f>
        <v>#DIV/0!</v>
      </c>
      <c r="AF10" s="269" t="e">
        <f>Y10/$AF$24/1000</f>
        <v>#DIV/0!</v>
      </c>
      <c r="AG10" s="269">
        <v>1.2510769230769231E-3</v>
      </c>
      <c r="AH10" s="269" t="e">
        <f>IF($AF$21&lt;$AG$21,AF10,IF($AF$12&lt;$AG$12,AF10,IF(AND($AF$12&gt;$AG$12,$AF$20&lt;$AG$20),($AG$12+($AG$20-$AF$20))/$AF$12*AF10,AF10/$AF$12*$AG$12)))</f>
        <v>#DIV/0!</v>
      </c>
      <c r="AI10" s="266" t="e">
        <f>AH10*$Y$24*1000</f>
        <v>#DIV/0!</v>
      </c>
      <c r="AJ10" s="268" t="e">
        <f>AI10/AD10</f>
        <v>#DIV/0!</v>
      </c>
      <c r="AK10" s="266" t="e">
        <f t="shared" si="2"/>
        <v>#DIV/0!</v>
      </c>
      <c r="AL10" s="267" t="e">
        <f t="shared" si="3"/>
        <v>#DIV/0!</v>
      </c>
      <c r="AM10" s="267" t="e">
        <f t="shared" si="3"/>
        <v>#DIV/0!</v>
      </c>
      <c r="AN10" s="267" t="e">
        <f t="shared" si="3"/>
        <v>#DIV/0!</v>
      </c>
      <c r="AO10" s="267" t="e">
        <f t="shared" si="3"/>
        <v>#DIV/0!</v>
      </c>
      <c r="AP10" s="267" t="e">
        <f>W10/$AE10</f>
        <v>#DIV/0!</v>
      </c>
      <c r="AQ10" s="267" t="e">
        <f t="shared" si="3"/>
        <v>#DIV/0!</v>
      </c>
      <c r="AR10" s="270">
        <f>IF($B$24&lt;&gt;0,ROUND(AL10/B$24,3),0)</f>
        <v>0</v>
      </c>
      <c r="AS10" s="270" t="e">
        <f>ROUND(AM10/B$47,3)</f>
        <v>#DIV/0!</v>
      </c>
      <c r="AT10" s="270">
        <f>IF(E$47&lt;&gt;0,ROUND(AN10/E$47,3),0)</f>
        <v>0</v>
      </c>
      <c r="AU10" s="270">
        <f>IF(E$24&lt;&gt;0,ROUND(AO10/E$24,3),0)</f>
        <v>0</v>
      </c>
      <c r="AV10" s="270">
        <f>IF(H$47&lt;&gt;0,ROUND(AP10/H$47,3),0)</f>
        <v>0</v>
      </c>
      <c r="AW10" s="270">
        <f>IF(H$24&lt;&gt;0,ROUND(AQ10/H$24,3),0)</f>
        <v>0</v>
      </c>
      <c r="AX10" s="271" t="e">
        <f>AJ10*10000</f>
        <v>#DIV/0!</v>
      </c>
    </row>
    <row r="11" spans="1:50" ht="15">
      <c r="A11" s="42" t="s">
        <v>62</v>
      </c>
      <c r="B11" s="237">
        <f>IF($B$24&lt;&gt;0,$H$166,0)</f>
        <v>0</v>
      </c>
      <c r="C11" s="84"/>
      <c r="D11" s="84">
        <v>0</v>
      </c>
      <c r="E11" s="237">
        <f>IF(E24&lt;&gt;0,$H$166,0)</f>
        <v>0</v>
      </c>
      <c r="F11" s="325">
        <v>1.0235235631961513E-2</v>
      </c>
      <c r="G11" s="84">
        <v>4.6052631578947364E-3</v>
      </c>
      <c r="H11" s="237">
        <f>IF($H$24&lt;&gt;0,$H$166,0)</f>
        <v>0</v>
      </c>
      <c r="I11" s="84"/>
      <c r="J11" s="85">
        <v>0</v>
      </c>
      <c r="M11" s="353"/>
      <c r="N11" s="361"/>
      <c r="O11" s="362"/>
      <c r="P11" s="361"/>
      <c r="Q11" s="363"/>
      <c r="S11" s="272">
        <f>B11*B$24*1000</f>
        <v>0</v>
      </c>
      <c r="T11" s="272">
        <f>B34*B$47*1000</f>
        <v>0</v>
      </c>
      <c r="U11" s="272">
        <f>E34*E$47*1000</f>
        <v>0</v>
      </c>
      <c r="V11" s="272">
        <f>E11*E$24*1000</f>
        <v>0</v>
      </c>
      <c r="W11" s="272">
        <f>H34*H$47*1000</f>
        <v>0</v>
      </c>
      <c r="X11" s="272">
        <f t="shared" si="4"/>
        <v>0</v>
      </c>
      <c r="Y11" s="272">
        <f t="shared" si="0"/>
        <v>0</v>
      </c>
      <c r="Z11" s="272">
        <v>0</v>
      </c>
      <c r="AA11" s="272">
        <f t="shared" si="1"/>
        <v>0</v>
      </c>
      <c r="AB11" s="263" t="s">
        <v>76</v>
      </c>
      <c r="AC11" s="264" t="s">
        <v>73</v>
      </c>
      <c r="AD11" s="267" t="e">
        <f>ROUND((S11/H$166)+(T11/H$166)+(U11/H$166)+(V11/H$166)+(W11/H$166)+(X11/H$166),0)</f>
        <v>#DIV/0!</v>
      </c>
      <c r="AE11" s="268" t="e">
        <f>Y11/AD11</f>
        <v>#DIV/0!</v>
      </c>
      <c r="AF11" s="273" t="e">
        <f>Y11/$AF$24/1000</f>
        <v>#DIV/0!</v>
      </c>
      <c r="AG11" s="273">
        <v>3.7333370629370629E-3</v>
      </c>
      <c r="AH11" s="273" t="e">
        <f>IF($AF$21&lt;$AG$21,AF11,IF($AF$12&lt;$AG$12,AF11,IF(AND($AF$12&gt;$AG$12,$AF$20&lt;$AG$20),($AG$12+($AG$20-$AF$20))/$AF$12*AF11,AF11/$AF$12*$AG$12)))</f>
        <v>#DIV/0!</v>
      </c>
      <c r="AI11" s="272" t="e">
        <f>AH11*$Y$24*1000</f>
        <v>#DIV/0!</v>
      </c>
      <c r="AJ11" s="268" t="e">
        <f>AI11/AD11</f>
        <v>#DIV/0!</v>
      </c>
      <c r="AK11" s="272" t="e">
        <f t="shared" si="2"/>
        <v>#DIV/0!</v>
      </c>
      <c r="AL11" s="267" t="e">
        <f t="shared" si="3"/>
        <v>#DIV/0!</v>
      </c>
      <c r="AM11" s="267" t="e">
        <f t="shared" si="3"/>
        <v>#DIV/0!</v>
      </c>
      <c r="AN11" s="267" t="e">
        <f t="shared" si="3"/>
        <v>#DIV/0!</v>
      </c>
      <c r="AO11" s="267" t="e">
        <f>V11/$AE11</f>
        <v>#DIV/0!</v>
      </c>
      <c r="AP11" s="267" t="e">
        <f>W11/$AE11</f>
        <v>#DIV/0!</v>
      </c>
      <c r="AQ11" s="267" t="e">
        <f>X11/$AE11</f>
        <v>#DIV/0!</v>
      </c>
      <c r="AR11" s="270">
        <f>IF($B$24&lt;&gt;0,ROUND(AL11/B$24,3),0)</f>
        <v>0</v>
      </c>
      <c r="AS11" s="270" t="e">
        <f>ROUND(AM11/B$47,3)</f>
        <v>#DIV/0!</v>
      </c>
      <c r="AT11" s="270">
        <f>IF(E$47&lt;&gt;0,ROUND(AN11/E$47,3),0)</f>
        <v>0</v>
      </c>
      <c r="AU11" s="270">
        <f>IF(E$24&lt;&gt;0,ROUND(AO11/E$24,3),0)</f>
        <v>0</v>
      </c>
      <c r="AV11" s="270">
        <f>IF(H$47&lt;&gt;0,ROUND(AP11/H$47,3),0)</f>
        <v>0</v>
      </c>
      <c r="AW11" s="270">
        <f>IF(H$24&lt;&gt;0,ROUND(AQ11/H$24,3),0)</f>
        <v>0</v>
      </c>
      <c r="AX11" s="271" t="e">
        <f>AJ11*10000</f>
        <v>#DIV/0!</v>
      </c>
    </row>
    <row r="12" spans="1:50" ht="15">
      <c r="A12" s="42" t="s">
        <v>61</v>
      </c>
      <c r="B12" s="236">
        <f>SUM(B6:B11)</f>
        <v>0</v>
      </c>
      <c r="C12" s="33"/>
      <c r="D12" s="33">
        <f>SUM(D6:D11)</f>
        <v>0</v>
      </c>
      <c r="E12" s="236">
        <f>SUM(E6:E11)</f>
        <v>0</v>
      </c>
      <c r="F12" s="324">
        <f t="shared" ref="F12" si="5">SUM(F6:F11)</f>
        <v>0.30531947282552391</v>
      </c>
      <c r="G12" s="33">
        <f>SUM(G6:G11)</f>
        <v>0.11520495842249598</v>
      </c>
      <c r="H12" s="236">
        <f>SUM(H6:H11)</f>
        <v>0</v>
      </c>
      <c r="I12" s="33"/>
      <c r="J12" s="83">
        <f>SUM(J6:J11)</f>
        <v>0</v>
      </c>
      <c r="M12" s="353"/>
      <c r="N12" s="354"/>
      <c r="O12" s="355"/>
      <c r="P12" s="354"/>
      <c r="Q12" s="356"/>
      <c r="S12" s="266">
        <f t="shared" ref="S12:AA12" si="6">SUM(S7:S11)</f>
        <v>0</v>
      </c>
      <c r="T12" s="266">
        <f t="shared" si="6"/>
        <v>0</v>
      </c>
      <c r="U12" s="266">
        <f t="shared" si="6"/>
        <v>0</v>
      </c>
      <c r="V12" s="266" t="e">
        <f t="shared" si="6"/>
        <v>#DIV/0!</v>
      </c>
      <c r="W12" s="266">
        <f t="shared" si="6"/>
        <v>0</v>
      </c>
      <c r="X12" s="266">
        <f t="shared" si="6"/>
        <v>0</v>
      </c>
      <c r="Y12" s="266" t="e">
        <f t="shared" si="6"/>
        <v>#DIV/0!</v>
      </c>
      <c r="Z12" s="266">
        <f t="shared" si="6"/>
        <v>0</v>
      </c>
      <c r="AA12" s="266" t="e">
        <f t="shared" si="6"/>
        <v>#DIV/0!</v>
      </c>
      <c r="AB12" s="263"/>
      <c r="AC12" s="264"/>
      <c r="AD12" s="262"/>
      <c r="AE12" s="262"/>
      <c r="AF12" s="269" t="e">
        <f t="shared" ref="AF12" si="7">SUM(AF7:AF11)</f>
        <v>#DIV/0!</v>
      </c>
      <c r="AG12" s="269">
        <f>SUM(AG7:AG11)</f>
        <v>8.142445874125874E-2</v>
      </c>
      <c r="AH12" s="269" t="e">
        <f>SUM(AH7:AH11)</f>
        <v>#DIV/0!</v>
      </c>
      <c r="AI12" s="266" t="e">
        <f t="shared" ref="AI12:AK12" si="8">SUM(AI7:AI11)</f>
        <v>#DIV/0!</v>
      </c>
      <c r="AJ12" s="262"/>
      <c r="AK12" s="266" t="e">
        <f t="shared" si="8"/>
        <v>#DIV/0!</v>
      </c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71"/>
    </row>
    <row r="13" spans="1:50" ht="15">
      <c r="A13" s="42"/>
      <c r="B13" s="236"/>
      <c r="C13" s="33"/>
      <c r="D13" s="33"/>
      <c r="E13" s="236"/>
      <c r="F13" s="324"/>
      <c r="G13" s="33"/>
      <c r="H13" s="236"/>
      <c r="I13" s="33"/>
      <c r="J13" s="83"/>
      <c r="M13" s="353"/>
      <c r="N13" s="357"/>
      <c r="O13" s="358"/>
      <c r="P13" s="357"/>
      <c r="Q13" s="359"/>
      <c r="S13" s="261"/>
      <c r="T13" s="261"/>
      <c r="U13" s="261"/>
      <c r="V13" s="261"/>
      <c r="W13" s="261"/>
      <c r="X13" s="261"/>
      <c r="Y13" s="261"/>
      <c r="Z13" s="261"/>
      <c r="AA13" s="262"/>
      <c r="AB13" s="263"/>
      <c r="AC13" s="264"/>
      <c r="AD13" s="262"/>
      <c r="AE13" s="262"/>
      <c r="AF13" s="265"/>
      <c r="AG13" s="265"/>
      <c r="AH13" s="265"/>
      <c r="AI13" s="261"/>
      <c r="AJ13" s="262"/>
      <c r="AK13" s="261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71"/>
    </row>
    <row r="14" spans="1:50">
      <c r="A14" s="42" t="s">
        <v>50</v>
      </c>
      <c r="B14" s="236">
        <f>IF($B$24&lt;&gt;0,$F$112/$B$49/1000,0)</f>
        <v>0</v>
      </c>
      <c r="C14" s="33"/>
      <c r="D14" s="33">
        <v>0</v>
      </c>
      <c r="E14" s="236">
        <f>IF(E24&lt;&gt;0,$F$112/$B$49/1000,0)</f>
        <v>0</v>
      </c>
      <c r="F14" s="324">
        <v>5.568578119363226E-2</v>
      </c>
      <c r="G14" s="33">
        <v>2.6384279999999996E-2</v>
      </c>
      <c r="H14" s="236">
        <f>IF($H$24&lt;&gt;0,$F$112/$B$49/1000,0)</f>
        <v>0</v>
      </c>
      <c r="I14" s="33"/>
      <c r="J14" s="83">
        <v>0</v>
      </c>
      <c r="M14" s="349"/>
      <c r="N14" s="361"/>
      <c r="O14" s="364"/>
      <c r="P14" s="361"/>
      <c r="Q14" s="365"/>
      <c r="S14" s="266">
        <f t="shared" ref="S14:S19" si="9">B14*B$24*1000</f>
        <v>0</v>
      </c>
      <c r="T14" s="266">
        <f t="shared" ref="T14:T19" si="10">B37*B$47*1000</f>
        <v>0</v>
      </c>
      <c r="U14" s="266">
        <f t="shared" ref="U14:U19" si="11">E37*E$47*1000</f>
        <v>0</v>
      </c>
      <c r="V14" s="266">
        <f t="shared" ref="V14:V19" si="12">E14*E$24*1000</f>
        <v>0</v>
      </c>
      <c r="W14" s="266">
        <f>H37*H$47*1000</f>
        <v>0</v>
      </c>
      <c r="X14" s="266">
        <f t="shared" ref="X14:X19" si="13">H14*H$24*1000</f>
        <v>0</v>
      </c>
      <c r="Y14" s="266">
        <f t="shared" ref="Y14:Y19" si="14">SUM(S14:X14)</f>
        <v>0</v>
      </c>
      <c r="Z14" s="266">
        <f>-$D$115</f>
        <v>0</v>
      </c>
      <c r="AA14" s="266">
        <f t="shared" ref="AA14:AA19" si="15">SUM(Y14:Z14)</f>
        <v>0</v>
      </c>
      <c r="AB14" s="263" t="s">
        <v>78</v>
      </c>
      <c r="AC14" s="264" t="s">
        <v>77</v>
      </c>
      <c r="AD14" s="267" t="e">
        <f>ROUND((S14/C$116)+(T14/C$116)+(U14/C$116)+(V14/C$116)+(W14/C$116)+(X14/C$116),0)</f>
        <v>#DIV/0!</v>
      </c>
      <c r="AE14" s="268" t="e">
        <f>Y14/AD14</f>
        <v>#DIV/0!</v>
      </c>
      <c r="AF14" s="269" t="e">
        <f t="shared" ref="AF14:AF19" si="16">Y14/$AF$24/1000</f>
        <v>#DIV/0!</v>
      </c>
      <c r="AG14" s="269">
        <v>1.1488553846153847E-2</v>
      </c>
      <c r="AH14" s="269" t="e">
        <f t="shared" ref="AH14:AH19" si="17">IF($AF$21&lt;$AG$21,AF14,IF($AF$20&lt;$AG$20,AF14,IF(AND($AF$20&gt;$AG$20,$AF$12&lt;$AG$12),($AG$20+($AG$12-$AF$12))/$AF$20*AF14,AF14/$AF$20*$AG$20)))</f>
        <v>#DIV/0!</v>
      </c>
      <c r="AI14" s="266" t="e">
        <f t="shared" ref="AI14:AI19" si="18">AH14*$Y$24*1000</f>
        <v>#DIV/0!</v>
      </c>
      <c r="AJ14" s="268" t="e">
        <f t="shared" ref="AJ14:AJ19" si="19">AI14/AD14</f>
        <v>#DIV/0!</v>
      </c>
      <c r="AK14" s="266" t="e">
        <f t="shared" ref="AK14:AK19" si="20">Y14-AI14</f>
        <v>#DIV/0!</v>
      </c>
      <c r="AL14" s="267" t="e">
        <f t="shared" ref="AL14:AQ14" si="21">ROUND(S14/$C116,0)</f>
        <v>#DIV/0!</v>
      </c>
      <c r="AM14" s="267" t="e">
        <f t="shared" si="21"/>
        <v>#DIV/0!</v>
      </c>
      <c r="AN14" s="267" t="e">
        <f t="shared" si="21"/>
        <v>#DIV/0!</v>
      </c>
      <c r="AO14" s="267" t="e">
        <f t="shared" si="21"/>
        <v>#DIV/0!</v>
      </c>
      <c r="AP14" s="267" t="e">
        <f t="shared" si="21"/>
        <v>#DIV/0!</v>
      </c>
      <c r="AQ14" s="267" t="e">
        <f t="shared" si="21"/>
        <v>#DIV/0!</v>
      </c>
      <c r="AR14" s="270">
        <f t="shared" ref="AR14:AR19" si="22">IF($B$24&lt;&gt;0,ROUND(AL14/B$24,3),0)</f>
        <v>0</v>
      </c>
      <c r="AS14" s="270" t="e">
        <f t="shared" ref="AS14:AS19" si="23">ROUND(AM14/B$47,3)</f>
        <v>#DIV/0!</v>
      </c>
      <c r="AT14" s="270">
        <f t="shared" ref="AT14:AT19" si="24">IF(E$47&lt;&gt;0,ROUND(AN14/E$47,3),0)</f>
        <v>0</v>
      </c>
      <c r="AU14" s="270">
        <f t="shared" ref="AU14:AU19" si="25">IF(E$24&lt;&gt;0,ROUND(AO14/E$24,3),0)</f>
        <v>0</v>
      </c>
      <c r="AV14" s="270">
        <f t="shared" ref="AV14:AV19" si="26">IF(H$47&lt;&gt;0,ROUND(AP14/H$47,3),0)</f>
        <v>0</v>
      </c>
      <c r="AW14" s="270">
        <f t="shared" ref="AW14:AW19" si="27">IF(H$24&lt;&gt;0,ROUND(AQ14/H$24,3),0)</f>
        <v>0</v>
      </c>
      <c r="AX14" s="271" t="e">
        <f t="shared" ref="AX14:AX19" si="28">AJ14*10000</f>
        <v>#DIV/0!</v>
      </c>
    </row>
    <row r="15" spans="1:50">
      <c r="A15" s="42" t="s">
        <v>60</v>
      </c>
      <c r="B15" s="236">
        <f>IF($B$24&lt;&gt;0,$F$113/$B$49/1000,0)</f>
        <v>0</v>
      </c>
      <c r="C15" s="33"/>
      <c r="D15" s="33">
        <v>0</v>
      </c>
      <c r="E15" s="236">
        <f>IF(E24&lt;&gt;0,$F$113/$B$49/1000,0)</f>
        <v>0</v>
      </c>
      <c r="F15" s="324">
        <v>1.9535757663515587E-2</v>
      </c>
      <c r="G15" s="33">
        <v>9.0204400000000011E-3</v>
      </c>
      <c r="H15" s="236">
        <f>IF($H$24&lt;&gt;0,$F$113/$B$49/1000,0)</f>
        <v>0</v>
      </c>
      <c r="I15" s="33"/>
      <c r="J15" s="83">
        <v>0</v>
      </c>
      <c r="M15" s="353"/>
      <c r="N15" s="361"/>
      <c r="O15" s="360"/>
      <c r="P15" s="361"/>
      <c r="Q15" s="366"/>
      <c r="S15" s="274">
        <f t="shared" si="9"/>
        <v>0</v>
      </c>
      <c r="T15" s="274">
        <f t="shared" si="10"/>
        <v>0</v>
      </c>
      <c r="U15" s="274">
        <f t="shared" si="11"/>
        <v>0</v>
      </c>
      <c r="V15" s="274">
        <f t="shared" si="12"/>
        <v>0</v>
      </c>
      <c r="W15" s="266">
        <f>H38*H$47*1000</f>
        <v>0</v>
      </c>
      <c r="X15" s="274">
        <f t="shared" si="13"/>
        <v>0</v>
      </c>
      <c r="Y15" s="274">
        <f t="shared" si="14"/>
        <v>0</v>
      </c>
      <c r="Z15" s="274">
        <f>-$H$115</f>
        <v>0</v>
      </c>
      <c r="AA15" s="274">
        <f t="shared" si="15"/>
        <v>0</v>
      </c>
      <c r="AB15" s="263" t="s">
        <v>79</v>
      </c>
      <c r="AC15" s="264" t="s">
        <v>77</v>
      </c>
      <c r="AD15" s="267" t="e">
        <f>ROUND((S15/G$116)+(T15/G$116)+(U15/G$116)+(V15/G$116)+(W15/G$116)+(X15/G$116),0)</f>
        <v>#DIV/0!</v>
      </c>
      <c r="AE15" s="268" t="e">
        <f t="shared" ref="AE15:AE19" si="29">Y15/AD15</f>
        <v>#DIV/0!</v>
      </c>
      <c r="AF15" s="265" t="e">
        <f t="shared" si="16"/>
        <v>#DIV/0!</v>
      </c>
      <c r="AG15" s="265">
        <v>7.650220979020979E-3</v>
      </c>
      <c r="AH15" s="265" t="e">
        <f t="shared" si="17"/>
        <v>#DIV/0!</v>
      </c>
      <c r="AI15" s="274" t="e">
        <f t="shared" si="18"/>
        <v>#DIV/0!</v>
      </c>
      <c r="AJ15" s="268" t="e">
        <f t="shared" si="19"/>
        <v>#DIV/0!</v>
      </c>
      <c r="AK15" s="274" t="e">
        <f t="shared" si="20"/>
        <v>#DIV/0!</v>
      </c>
      <c r="AL15" s="267" t="e">
        <f>ROUND(S15/$G$116,0)</f>
        <v>#DIV/0!</v>
      </c>
      <c r="AM15" s="267" t="e">
        <f>ROUND(T15/$G$116,0)</f>
        <v>#DIV/0!</v>
      </c>
      <c r="AN15" s="267" t="e">
        <f>ROUND(U15/$G$116,0)</f>
        <v>#DIV/0!</v>
      </c>
      <c r="AO15" s="267" t="e">
        <f>ROUND(V15/$G$116,0)-1</f>
        <v>#DIV/0!</v>
      </c>
      <c r="AP15" s="267" t="e">
        <f>ROUND(W15/$G$116,0)</f>
        <v>#DIV/0!</v>
      </c>
      <c r="AQ15" s="267" t="e">
        <f>ROUND(X15/$G$116,0)</f>
        <v>#DIV/0!</v>
      </c>
      <c r="AR15" s="270">
        <f t="shared" si="22"/>
        <v>0</v>
      </c>
      <c r="AS15" s="270" t="e">
        <f t="shared" si="23"/>
        <v>#DIV/0!</v>
      </c>
      <c r="AT15" s="270">
        <f t="shared" si="24"/>
        <v>0</v>
      </c>
      <c r="AU15" s="270">
        <f t="shared" si="25"/>
        <v>0</v>
      </c>
      <c r="AV15" s="270">
        <f t="shared" si="26"/>
        <v>0</v>
      </c>
      <c r="AW15" s="270">
        <f t="shared" si="27"/>
        <v>0</v>
      </c>
      <c r="AX15" s="271" t="e">
        <f t="shared" si="28"/>
        <v>#DIV/0!</v>
      </c>
    </row>
    <row r="16" spans="1:50">
      <c r="A16" s="42" t="s">
        <v>59</v>
      </c>
      <c r="B16" s="236">
        <f>IF(B24&lt;&gt;0,$F$115/$B$49/1000,0)</f>
        <v>0</v>
      </c>
      <c r="C16" s="33"/>
      <c r="D16" s="33">
        <v>0</v>
      </c>
      <c r="E16" s="236">
        <f>IF(E24&lt;&gt;0,$F$115/$B$49/1000,0)</f>
        <v>0</v>
      </c>
      <c r="F16" s="324">
        <v>1.7065229602759201E-2</v>
      </c>
      <c r="G16" s="33">
        <v>1.3928937427385891E-2</v>
      </c>
      <c r="H16" s="236">
        <f>IF($H$24&lt;&gt;0,$F$115/$B$49/1000,0)</f>
        <v>0</v>
      </c>
      <c r="I16" s="33"/>
      <c r="J16" s="83">
        <v>0</v>
      </c>
      <c r="M16" s="353"/>
      <c r="N16" s="361"/>
      <c r="O16" s="360"/>
      <c r="P16" s="361"/>
      <c r="Q16" s="366"/>
      <c r="S16" s="266">
        <f t="shared" si="9"/>
        <v>0</v>
      </c>
      <c r="T16" s="274">
        <f t="shared" si="10"/>
        <v>0</v>
      </c>
      <c r="U16" s="266">
        <f t="shared" si="11"/>
        <v>0</v>
      </c>
      <c r="V16" s="266">
        <f t="shared" si="12"/>
        <v>0</v>
      </c>
      <c r="W16" s="266">
        <f>H39*H$47*1000</f>
        <v>0</v>
      </c>
      <c r="X16" s="266">
        <f t="shared" si="13"/>
        <v>0</v>
      </c>
      <c r="Y16" s="266">
        <f t="shared" si="14"/>
        <v>0</v>
      </c>
      <c r="Z16" s="266">
        <f>-$D$122</f>
        <v>0</v>
      </c>
      <c r="AA16" s="274">
        <f t="shared" si="15"/>
        <v>0</v>
      </c>
      <c r="AB16" s="263" t="s">
        <v>80</v>
      </c>
      <c r="AC16" s="264" t="s">
        <v>77</v>
      </c>
      <c r="AD16" s="267" t="e">
        <f>ROUND((S16/C$123)+(T16/C$123)+(U16/C$123)+(V16/C$123)+(W16/C$123)+(X16/C$123),0)</f>
        <v>#DIV/0!</v>
      </c>
      <c r="AE16" s="268" t="e">
        <f t="shared" si="29"/>
        <v>#DIV/0!</v>
      </c>
      <c r="AF16" s="269" t="e">
        <f t="shared" si="16"/>
        <v>#DIV/0!</v>
      </c>
      <c r="AG16" s="269">
        <v>8.8563300699300695E-3</v>
      </c>
      <c r="AH16" s="269" t="e">
        <f t="shared" si="17"/>
        <v>#DIV/0!</v>
      </c>
      <c r="AI16" s="266" t="e">
        <f t="shared" si="18"/>
        <v>#DIV/0!</v>
      </c>
      <c r="AJ16" s="268" t="e">
        <f t="shared" si="19"/>
        <v>#DIV/0!</v>
      </c>
      <c r="AK16" s="266" t="e">
        <f t="shared" si="20"/>
        <v>#DIV/0!</v>
      </c>
      <c r="AL16" s="267" t="e">
        <f t="shared" ref="AL16:AQ16" si="30">ROUND(S16/$C123,0)</f>
        <v>#DIV/0!</v>
      </c>
      <c r="AM16" s="267" t="e">
        <f t="shared" si="30"/>
        <v>#DIV/0!</v>
      </c>
      <c r="AN16" s="267" t="e">
        <f t="shared" si="30"/>
        <v>#DIV/0!</v>
      </c>
      <c r="AO16" s="267" t="e">
        <f t="shared" si="30"/>
        <v>#DIV/0!</v>
      </c>
      <c r="AP16" s="267" t="e">
        <f t="shared" si="30"/>
        <v>#DIV/0!</v>
      </c>
      <c r="AQ16" s="267" t="e">
        <f t="shared" si="30"/>
        <v>#DIV/0!</v>
      </c>
      <c r="AR16" s="270">
        <f t="shared" si="22"/>
        <v>0</v>
      </c>
      <c r="AS16" s="270" t="e">
        <f t="shared" si="23"/>
        <v>#DIV/0!</v>
      </c>
      <c r="AT16" s="270">
        <f t="shared" si="24"/>
        <v>0</v>
      </c>
      <c r="AU16" s="270">
        <f t="shared" si="25"/>
        <v>0</v>
      </c>
      <c r="AV16" s="270">
        <f t="shared" si="26"/>
        <v>0</v>
      </c>
      <c r="AW16" s="270">
        <f t="shared" si="27"/>
        <v>0</v>
      </c>
      <c r="AX16" s="271" t="e">
        <f t="shared" si="28"/>
        <v>#DIV/0!</v>
      </c>
    </row>
    <row r="17" spans="1:50">
      <c r="A17" s="15" t="s">
        <v>5</v>
      </c>
      <c r="B17" s="236">
        <f>IF($B$24&lt;&gt;0,$F$114/$B$49/1000,0)</f>
        <v>0</v>
      </c>
      <c r="C17" s="33"/>
      <c r="D17" s="33">
        <v>0</v>
      </c>
      <c r="E17" s="236">
        <f>IF(E24&lt;&gt;0,$F$114/$B$49/1000,0)</f>
        <v>0</v>
      </c>
      <c r="F17" s="324">
        <v>4.5810515777660989E-3</v>
      </c>
      <c r="G17" s="33">
        <v>1.5771315789473684E-3</v>
      </c>
      <c r="H17" s="236">
        <f>IF($H$24&lt;&gt;0,$F$114/$B$49/1000,0)</f>
        <v>0</v>
      </c>
      <c r="I17" s="33"/>
      <c r="J17" s="83">
        <v>0</v>
      </c>
      <c r="M17" s="367"/>
      <c r="N17" s="368"/>
      <c r="O17" s="369"/>
      <c r="P17" s="370"/>
      <c r="Q17" s="371"/>
      <c r="S17" s="274">
        <f t="shared" si="9"/>
        <v>0</v>
      </c>
      <c r="T17" s="274">
        <f t="shared" si="10"/>
        <v>0</v>
      </c>
      <c r="U17" s="274">
        <f t="shared" si="11"/>
        <v>0</v>
      </c>
      <c r="V17" s="274">
        <f t="shared" si="12"/>
        <v>0</v>
      </c>
      <c r="W17" s="266">
        <f>H40*H$47*1000</f>
        <v>0</v>
      </c>
      <c r="X17" s="274">
        <f>H17*H$24*1000</f>
        <v>0</v>
      </c>
      <c r="Y17" s="274">
        <f t="shared" si="14"/>
        <v>0</v>
      </c>
      <c r="Z17" s="274">
        <f>C176/($C$184+$C$185)*$C$185</f>
        <v>0</v>
      </c>
      <c r="AA17" s="274">
        <f t="shared" si="15"/>
        <v>0</v>
      </c>
      <c r="AB17" s="263" t="s">
        <v>81</v>
      </c>
      <c r="AC17" s="264" t="s">
        <v>73</v>
      </c>
      <c r="AD17" s="267" t="e">
        <f>ROUND((S17/F$176)+(T17/F$176)+(U17/F$176)+(V17/F$176)+(W17/F$176)+(X17/F$176),0)</f>
        <v>#DIV/0!</v>
      </c>
      <c r="AE17" s="268" t="e">
        <f t="shared" si="29"/>
        <v>#DIV/0!</v>
      </c>
      <c r="AF17" s="265" t="e">
        <f t="shared" si="16"/>
        <v>#DIV/0!</v>
      </c>
      <c r="AG17" s="265">
        <v>2.1273118881118881E-3</v>
      </c>
      <c r="AH17" s="265" t="e">
        <f t="shared" si="17"/>
        <v>#DIV/0!</v>
      </c>
      <c r="AI17" s="274" t="e">
        <f t="shared" si="18"/>
        <v>#DIV/0!</v>
      </c>
      <c r="AJ17" s="268" t="e">
        <f t="shared" si="19"/>
        <v>#DIV/0!</v>
      </c>
      <c r="AK17" s="274" t="e">
        <f t="shared" si="20"/>
        <v>#DIV/0!</v>
      </c>
      <c r="AL17" s="267" t="e">
        <f t="shared" ref="AL17:AQ19" si="31">S17/$AE17</f>
        <v>#DIV/0!</v>
      </c>
      <c r="AM17" s="267" t="e">
        <f t="shared" si="31"/>
        <v>#DIV/0!</v>
      </c>
      <c r="AN17" s="267" t="e">
        <f t="shared" si="31"/>
        <v>#DIV/0!</v>
      </c>
      <c r="AO17" s="267" t="e">
        <f t="shared" si="31"/>
        <v>#DIV/0!</v>
      </c>
      <c r="AP17" s="267" t="e">
        <f t="shared" si="31"/>
        <v>#DIV/0!</v>
      </c>
      <c r="AQ17" s="267" t="e">
        <f>X17/$AE17</f>
        <v>#DIV/0!</v>
      </c>
      <c r="AR17" s="270">
        <f t="shared" si="22"/>
        <v>0</v>
      </c>
      <c r="AS17" s="270" t="e">
        <f t="shared" si="23"/>
        <v>#DIV/0!</v>
      </c>
      <c r="AT17" s="270">
        <f t="shared" si="24"/>
        <v>0</v>
      </c>
      <c r="AU17" s="270">
        <f t="shared" si="25"/>
        <v>0</v>
      </c>
      <c r="AV17" s="270">
        <f t="shared" si="26"/>
        <v>0</v>
      </c>
      <c r="AW17" s="270">
        <f>IF(H$24&lt;&gt;0,ROUND(AQ17/H$24,3),0)</f>
        <v>0</v>
      </c>
      <c r="AX17" s="271" t="e">
        <f t="shared" si="28"/>
        <v>#DIV/0!</v>
      </c>
    </row>
    <row r="18" spans="1:50">
      <c r="A18" s="15" t="s">
        <v>3</v>
      </c>
      <c r="B18" s="236">
        <f>IF($B$24&lt;&gt;0,$B$178/$B$49/1000,0)</f>
        <v>0</v>
      </c>
      <c r="C18" s="33"/>
      <c r="D18" s="33">
        <v>0</v>
      </c>
      <c r="E18" s="236">
        <f>IF(E24&lt;&gt;0,$B$178/$B$49/1000,0)</f>
        <v>0</v>
      </c>
      <c r="F18" s="324">
        <v>3.8559807065526065E-3</v>
      </c>
      <c r="G18" s="33">
        <v>1.6578947368421054E-3</v>
      </c>
      <c r="H18" s="236">
        <f>IF($H$24&lt;&gt;0,$B$178/$B$49/1000,0)</f>
        <v>0</v>
      </c>
      <c r="I18" s="33"/>
      <c r="J18" s="83">
        <v>0</v>
      </c>
      <c r="S18" s="274">
        <f t="shared" si="9"/>
        <v>0</v>
      </c>
      <c r="T18" s="274">
        <f t="shared" si="10"/>
        <v>0</v>
      </c>
      <c r="U18" s="274">
        <f t="shared" si="11"/>
        <v>0</v>
      </c>
      <c r="V18" s="274">
        <f t="shared" si="12"/>
        <v>0</v>
      </c>
      <c r="W18" s="274">
        <f t="shared" ref="W18:W19" si="32">H41*H$47*1000</f>
        <v>0</v>
      </c>
      <c r="X18" s="274">
        <f t="shared" si="13"/>
        <v>0</v>
      </c>
      <c r="Y18" s="274">
        <f t="shared" si="14"/>
        <v>0</v>
      </c>
      <c r="Z18" s="274">
        <f>C178/($C$184+$C$185)*$C$185</f>
        <v>0</v>
      </c>
      <c r="AA18" s="274">
        <f>SUM(Y18:Z18)</f>
        <v>0</v>
      </c>
      <c r="AB18" s="263" t="s">
        <v>83</v>
      </c>
      <c r="AC18" s="264" t="s">
        <v>73</v>
      </c>
      <c r="AD18" s="267" t="e">
        <f>ROUND((S18/F$178)+(T18/F$178)+(U18/F$178)+(V18/F$178)+(W18/F$178)+(X18/F$178),0)</f>
        <v>#DIV/0!</v>
      </c>
      <c r="AE18" s="268" t="e">
        <f>Y18/AD18</f>
        <v>#DIV/0!</v>
      </c>
      <c r="AF18" s="265" t="e">
        <f t="shared" si="16"/>
        <v>#DIV/0!</v>
      </c>
      <c r="AG18" s="265">
        <v>3.2747211188811187E-2</v>
      </c>
      <c r="AH18" s="265" t="e">
        <f t="shared" si="17"/>
        <v>#DIV/0!</v>
      </c>
      <c r="AI18" s="274" t="e">
        <f t="shared" si="18"/>
        <v>#DIV/0!</v>
      </c>
      <c r="AJ18" s="268" t="e">
        <f>AI18/AD18</f>
        <v>#DIV/0!</v>
      </c>
      <c r="AK18" s="274" t="e">
        <f>Y18-AI18</f>
        <v>#DIV/0!</v>
      </c>
      <c r="AL18" s="267" t="e">
        <f t="shared" si="31"/>
        <v>#DIV/0!</v>
      </c>
      <c r="AM18" s="267" t="e">
        <f t="shared" si="31"/>
        <v>#DIV/0!</v>
      </c>
      <c r="AN18" s="267" t="e">
        <f t="shared" si="31"/>
        <v>#DIV/0!</v>
      </c>
      <c r="AO18" s="267" t="e">
        <f t="shared" si="31"/>
        <v>#DIV/0!</v>
      </c>
      <c r="AP18" s="267" t="e">
        <f t="shared" si="31"/>
        <v>#DIV/0!</v>
      </c>
      <c r="AQ18" s="267" t="e">
        <f t="shared" si="31"/>
        <v>#DIV/0!</v>
      </c>
      <c r="AR18" s="270">
        <f t="shared" si="22"/>
        <v>0</v>
      </c>
      <c r="AS18" s="270" t="e">
        <f t="shared" si="23"/>
        <v>#DIV/0!</v>
      </c>
      <c r="AT18" s="270">
        <f t="shared" si="24"/>
        <v>0</v>
      </c>
      <c r="AU18" s="270">
        <f t="shared" si="25"/>
        <v>0</v>
      </c>
      <c r="AV18" s="270">
        <f t="shared" si="26"/>
        <v>0</v>
      </c>
      <c r="AW18" s="270">
        <f t="shared" si="27"/>
        <v>0</v>
      </c>
      <c r="AX18" s="271" t="e">
        <f>AJ18*10000</f>
        <v>#DIV/0!</v>
      </c>
    </row>
    <row r="19" spans="1:50" ht="15">
      <c r="A19" s="15" t="s">
        <v>4</v>
      </c>
      <c r="B19" s="237">
        <f>IF($B$24&lt;&gt;0,$B$177/$B$49/1000,0)</f>
        <v>0</v>
      </c>
      <c r="C19" s="84"/>
      <c r="D19" s="84">
        <v>0</v>
      </c>
      <c r="E19" s="237">
        <f>IF(E24&lt;&gt;0,$B$177/E26/1000,0)</f>
        <v>0</v>
      </c>
      <c r="F19" s="325">
        <v>1.0801565595349401E-2</v>
      </c>
      <c r="G19" s="84">
        <v>5.8026315789473683E-3</v>
      </c>
      <c r="H19" s="237">
        <f>IF($H$24&lt;&gt;0,$B$177/$B$49/1000,0)</f>
        <v>0</v>
      </c>
      <c r="I19" s="84"/>
      <c r="J19" s="85">
        <v>0</v>
      </c>
      <c r="K19" s="57"/>
      <c r="L19" s="57"/>
      <c r="S19" s="275">
        <f t="shared" si="9"/>
        <v>0</v>
      </c>
      <c r="T19" s="275">
        <f t="shared" si="10"/>
        <v>0</v>
      </c>
      <c r="U19" s="275">
        <f t="shared" si="11"/>
        <v>0</v>
      </c>
      <c r="V19" s="275">
        <f t="shared" si="12"/>
        <v>0</v>
      </c>
      <c r="W19" s="275">
        <f t="shared" si="32"/>
        <v>0</v>
      </c>
      <c r="X19" s="275">
        <f t="shared" si="13"/>
        <v>0</v>
      </c>
      <c r="Y19" s="275">
        <f t="shared" si="14"/>
        <v>0</v>
      </c>
      <c r="Z19" s="275">
        <f>C177/($C$184+$C$185)*$C$185</f>
        <v>0</v>
      </c>
      <c r="AA19" s="275">
        <f t="shared" si="15"/>
        <v>0</v>
      </c>
      <c r="AB19" s="263" t="s">
        <v>82</v>
      </c>
      <c r="AC19" s="264" t="s">
        <v>73</v>
      </c>
      <c r="AD19" s="267" t="e">
        <f>ROUND((S19/F$177)+(T19/F$177)+(U19/F$177)+(V19/F$177)+(W19/F$177)+(X19/F$177),0)</f>
        <v>#DIV/0!</v>
      </c>
      <c r="AE19" s="268" t="e">
        <f t="shared" si="29"/>
        <v>#DIV/0!</v>
      </c>
      <c r="AF19" s="276" t="e">
        <f t="shared" si="16"/>
        <v>#DIV/0!</v>
      </c>
      <c r="AG19" s="276">
        <v>7.3609622377622374E-3</v>
      </c>
      <c r="AH19" s="276" t="e">
        <f t="shared" si="17"/>
        <v>#DIV/0!</v>
      </c>
      <c r="AI19" s="275" t="e">
        <f t="shared" si="18"/>
        <v>#DIV/0!</v>
      </c>
      <c r="AJ19" s="268" t="e">
        <f t="shared" si="19"/>
        <v>#DIV/0!</v>
      </c>
      <c r="AK19" s="275" t="e">
        <f t="shared" si="20"/>
        <v>#DIV/0!</v>
      </c>
      <c r="AL19" s="267" t="e">
        <f t="shared" si="31"/>
        <v>#DIV/0!</v>
      </c>
      <c r="AM19" s="267" t="e">
        <f t="shared" si="31"/>
        <v>#DIV/0!</v>
      </c>
      <c r="AN19" s="267" t="e">
        <f t="shared" si="31"/>
        <v>#DIV/0!</v>
      </c>
      <c r="AO19" s="267" t="e">
        <f t="shared" si="31"/>
        <v>#DIV/0!</v>
      </c>
      <c r="AP19" s="267" t="e">
        <f t="shared" si="31"/>
        <v>#DIV/0!</v>
      </c>
      <c r="AQ19" s="267" t="e">
        <f t="shared" si="31"/>
        <v>#DIV/0!</v>
      </c>
      <c r="AR19" s="270">
        <f t="shared" si="22"/>
        <v>0</v>
      </c>
      <c r="AS19" s="270" t="e">
        <f t="shared" si="23"/>
        <v>#DIV/0!</v>
      </c>
      <c r="AT19" s="270">
        <f t="shared" si="24"/>
        <v>0</v>
      </c>
      <c r="AU19" s="270">
        <f t="shared" si="25"/>
        <v>0</v>
      </c>
      <c r="AV19" s="270">
        <f t="shared" si="26"/>
        <v>0</v>
      </c>
      <c r="AW19" s="270">
        <f t="shared" si="27"/>
        <v>0</v>
      </c>
      <c r="AX19" s="271" t="e">
        <f t="shared" si="28"/>
        <v>#DIV/0!</v>
      </c>
    </row>
    <row r="20" spans="1:50">
      <c r="A20" s="93" t="s">
        <v>233</v>
      </c>
      <c r="B20" s="236">
        <f t="shared" ref="B20" si="33">SUM(B14:B19)</f>
        <v>0</v>
      </c>
      <c r="C20" s="33">
        <f t="shared" ref="C20:I20" si="34">SUM(C14:C19)</f>
        <v>0</v>
      </c>
      <c r="D20" s="33">
        <f>SUM(D14:D19)</f>
        <v>0</v>
      </c>
      <c r="E20" s="236">
        <f t="shared" ref="E20:F20" si="35">SUM(E14:E19)</f>
        <v>0</v>
      </c>
      <c r="F20" s="324">
        <f t="shared" si="35"/>
        <v>0.11152536633957516</v>
      </c>
      <c r="G20" s="33">
        <f>SUM(G14:G19)</f>
        <v>5.8371315322122738E-2</v>
      </c>
      <c r="H20" s="236">
        <f t="shared" ref="H20" si="36">SUM(H14:H19)</f>
        <v>0</v>
      </c>
      <c r="I20" s="33">
        <f t="shared" si="34"/>
        <v>0</v>
      </c>
      <c r="J20" s="83">
        <f>SUM(J14:J19)</f>
        <v>0</v>
      </c>
      <c r="K20" s="14"/>
      <c r="L20" s="14"/>
      <c r="S20" s="277">
        <f t="shared" ref="S20:AA20" si="37">SUM(S14:S19)</f>
        <v>0</v>
      </c>
      <c r="T20" s="277">
        <f t="shared" si="37"/>
        <v>0</v>
      </c>
      <c r="U20" s="277">
        <f t="shared" si="37"/>
        <v>0</v>
      </c>
      <c r="V20" s="277">
        <f t="shared" si="37"/>
        <v>0</v>
      </c>
      <c r="W20" s="277">
        <f t="shared" si="37"/>
        <v>0</v>
      </c>
      <c r="X20" s="277">
        <f t="shared" si="37"/>
        <v>0</v>
      </c>
      <c r="Y20" s="277">
        <f t="shared" si="37"/>
        <v>0</v>
      </c>
      <c r="Z20" s="277">
        <f t="shared" si="37"/>
        <v>0</v>
      </c>
      <c r="AA20" s="277">
        <f t="shared" si="37"/>
        <v>0</v>
      </c>
      <c r="AB20" s="278"/>
      <c r="AC20" s="279"/>
      <c r="AD20" s="262"/>
      <c r="AE20" s="262"/>
      <c r="AF20" s="280" t="e">
        <f>SUM(AF14:AF19)</f>
        <v>#DIV/0!</v>
      </c>
      <c r="AG20" s="280">
        <f>SUM(AG14:AG19)</f>
        <v>7.0230590209790209E-2</v>
      </c>
      <c r="AH20" s="280" t="e">
        <f>SUM(AH14:AH19)</f>
        <v>#DIV/0!</v>
      </c>
      <c r="AI20" s="277" t="e">
        <f>SUM(AI14:AI19)</f>
        <v>#DIV/0!</v>
      </c>
      <c r="AJ20" s="262"/>
      <c r="AK20" s="277" t="e">
        <f>SUM(AK14:AK19)</f>
        <v>#DIV/0!</v>
      </c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</row>
    <row r="21" spans="1:50" ht="15">
      <c r="A21" s="93" t="s">
        <v>232</v>
      </c>
      <c r="B21" s="236"/>
      <c r="C21" s="33">
        <v>-2.7300000000000001E-2</v>
      </c>
      <c r="D21" s="33"/>
      <c r="E21" s="236"/>
      <c r="F21" s="324">
        <v>-5.0457361181673703E-2</v>
      </c>
      <c r="G21" s="33"/>
      <c r="H21" s="311"/>
      <c r="I21" s="33"/>
      <c r="J21" s="312"/>
      <c r="K21" s="173"/>
      <c r="L21" s="173"/>
      <c r="S21" s="281">
        <f t="shared" ref="S21:AA21" si="38">S12+S20</f>
        <v>0</v>
      </c>
      <c r="T21" s="281">
        <f t="shared" si="38"/>
        <v>0</v>
      </c>
      <c r="U21" s="281">
        <f t="shared" si="38"/>
        <v>0</v>
      </c>
      <c r="V21" s="281" t="e">
        <f t="shared" si="38"/>
        <v>#DIV/0!</v>
      </c>
      <c r="W21" s="281">
        <f t="shared" si="38"/>
        <v>0</v>
      </c>
      <c r="X21" s="281">
        <f t="shared" si="38"/>
        <v>0</v>
      </c>
      <c r="Y21" s="281" t="e">
        <f t="shared" si="38"/>
        <v>#DIV/0!</v>
      </c>
      <c r="Z21" s="281">
        <f t="shared" si="38"/>
        <v>0</v>
      </c>
      <c r="AA21" s="281" t="e">
        <f t="shared" si="38"/>
        <v>#DIV/0!</v>
      </c>
      <c r="AB21" s="282" t="s">
        <v>98</v>
      </c>
      <c r="AC21" s="279"/>
      <c r="AD21" s="262"/>
      <c r="AE21" s="262"/>
      <c r="AF21" s="283" t="e">
        <f>AF12+AF20</f>
        <v>#DIV/0!</v>
      </c>
      <c r="AG21" s="283">
        <f>AG12+AG20</f>
        <v>0.15165504895104895</v>
      </c>
      <c r="AH21" s="283" t="e">
        <f>AH12+AH20</f>
        <v>#DIV/0!</v>
      </c>
      <c r="AI21" s="281" t="e">
        <f>AI12+AI20</f>
        <v>#DIV/0!</v>
      </c>
      <c r="AJ21" s="262"/>
      <c r="AK21" s="281" t="e">
        <f>AK12+AK20</f>
        <v>#DIV/0!</v>
      </c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</row>
    <row r="22" spans="1:50">
      <c r="A22" s="93" t="s">
        <v>234</v>
      </c>
      <c r="B22" s="238">
        <f t="shared" ref="B22:J22" si="39">B12+B20</f>
        <v>0</v>
      </c>
      <c r="C22" s="209">
        <f>+C20+C21+C12</f>
        <v>-2.7300000000000001E-2</v>
      </c>
      <c r="D22" s="209">
        <f t="shared" si="39"/>
        <v>0</v>
      </c>
      <c r="E22" s="238">
        <f t="shared" si="39"/>
        <v>0</v>
      </c>
      <c r="F22" s="326">
        <f>F12+F20+F21</f>
        <v>0.36638747798342536</v>
      </c>
      <c r="G22" s="384">
        <f t="shared" si="39"/>
        <v>0.1735762737446187</v>
      </c>
      <c r="H22" s="238">
        <f t="shared" si="39"/>
        <v>0</v>
      </c>
      <c r="I22" s="209">
        <f t="shared" si="39"/>
        <v>0</v>
      </c>
      <c r="J22" s="210">
        <f t="shared" si="39"/>
        <v>0</v>
      </c>
      <c r="S22" s="284">
        <f>IF(B24&lt;&gt;0,ROUND(S21/(B24*1000),5),0)</f>
        <v>0</v>
      </c>
      <c r="T22" s="284">
        <f>IF(B47&lt;&gt;0,ROUND(T21/(B47*1000),5),0)</f>
        <v>0</v>
      </c>
      <c r="U22" s="284">
        <f>IF(E47&lt;&gt;0,ROUND(U21/(E47*1000),5),0)</f>
        <v>0</v>
      </c>
      <c r="V22" s="284">
        <f>IF(E24&lt;&gt;0,ROUND(V21/(E24*1000),5),0)</f>
        <v>0</v>
      </c>
      <c r="W22" s="284">
        <f>IF(H47&lt;&gt;0,ROUND(W21/(H47*1000),5),0)</f>
        <v>0</v>
      </c>
      <c r="X22" s="284">
        <f>IF(H24&lt;&gt;0,ROUND(X21/(H24*1000),5),0)</f>
        <v>0</v>
      </c>
      <c r="Y22" s="284" t="e">
        <f>Y21/Y24/1000</f>
        <v>#DIV/0!</v>
      </c>
      <c r="Z22" s="284">
        <v>0</v>
      </c>
      <c r="AA22" s="284" t="e">
        <f>ROUND(AA21/(B49*1000),5)</f>
        <v>#DIV/0!</v>
      </c>
      <c r="AB22" s="282" t="s">
        <v>101</v>
      </c>
      <c r="AC22" s="279"/>
      <c r="AD22" s="262"/>
      <c r="AE22" s="262"/>
      <c r="AF22" s="284"/>
      <c r="AG22" s="284"/>
      <c r="AH22" s="284"/>
      <c r="AI22" s="284" t="e">
        <f>AI21/AI24/1000</f>
        <v>#DIV/0!</v>
      </c>
      <c r="AJ22" s="262"/>
      <c r="AK22" s="284" t="e">
        <f>AK21/AK24/1000</f>
        <v>#DIV/0!</v>
      </c>
      <c r="AL22" s="262"/>
      <c r="AM22" s="262"/>
      <c r="AN22" s="262"/>
      <c r="AO22" s="262"/>
      <c r="AP22" s="262"/>
      <c r="AQ22" s="262"/>
      <c r="AR22" s="285"/>
      <c r="AS22" s="285"/>
      <c r="AT22" s="262"/>
      <c r="AU22" s="262"/>
      <c r="AV22" s="262"/>
      <c r="AW22" s="262"/>
      <c r="AX22" s="262"/>
    </row>
    <row r="23" spans="1:50">
      <c r="A23" s="15"/>
      <c r="B23" s="239"/>
      <c r="C23" s="58"/>
      <c r="D23" s="58"/>
      <c r="E23" s="239"/>
      <c r="F23" s="327"/>
      <c r="G23" s="58"/>
      <c r="H23" s="239"/>
      <c r="I23" s="58"/>
      <c r="J23" s="313"/>
      <c r="S23" s="284">
        <f>ROUND(S22+B6,5)</f>
        <v>0</v>
      </c>
      <c r="T23" s="284">
        <f>ROUND(T22+B29,5)</f>
        <v>0</v>
      </c>
      <c r="U23" s="284">
        <f>ROUND(U22+E29,5)</f>
        <v>0</v>
      </c>
      <c r="V23" s="284">
        <f>ROUND(V22+E6,5)</f>
        <v>0</v>
      </c>
      <c r="W23" s="284">
        <f>ROUND(W22+H29,5)</f>
        <v>0</v>
      </c>
      <c r="X23" s="284">
        <f>ROUND(X22+H6,5)</f>
        <v>0</v>
      </c>
      <c r="Y23" s="284" t="e">
        <f>Y22+(($B$6*$B$24*1000+$B$29*$B$47*1000+$E$29*$E$47*1000+$H$6*$H$24*1000+$H$29*$H$47*1000+$E$6*$E$24*1000)/($B$49*1000))</f>
        <v>#DIV/0!</v>
      </c>
      <c r="Z23" s="284">
        <v>0</v>
      </c>
      <c r="AA23" s="284" t="e">
        <f>AA22+(($B$6*$B$24*1000+$B$29*$B$47*1000+$E$6*$E$24*1000+$E$29*$E$47*1000+$H$6*$H$24*1000+$H$29*$H$47*1000)/($B$49*1000))</f>
        <v>#DIV/0!</v>
      </c>
      <c r="AB23" s="282" t="s">
        <v>102</v>
      </c>
      <c r="AC23" s="262"/>
      <c r="AD23" s="262"/>
      <c r="AE23" s="283"/>
      <c r="AF23" s="262"/>
      <c r="AG23" s="262"/>
      <c r="AH23" s="262"/>
      <c r="AI23" s="262"/>
      <c r="AJ23" s="283"/>
      <c r="AK23" s="262"/>
      <c r="AL23" s="262"/>
      <c r="AM23" s="262"/>
      <c r="AN23" s="285"/>
      <c r="AO23" s="285"/>
      <c r="AP23" s="285"/>
      <c r="AQ23" s="285"/>
      <c r="AR23" s="285"/>
      <c r="AS23" s="262"/>
      <c r="AT23" s="262"/>
      <c r="AU23" s="262"/>
      <c r="AV23" s="262"/>
      <c r="AW23" s="262"/>
      <c r="AX23" s="262"/>
    </row>
    <row r="24" spans="1:50">
      <c r="A24" s="37" t="s">
        <v>58</v>
      </c>
      <c r="B24" s="240">
        <f>B54</f>
        <v>0</v>
      </c>
      <c r="C24" s="241">
        <v>6211</v>
      </c>
      <c r="D24" s="241">
        <v>0</v>
      </c>
      <c r="E24" s="240">
        <f>B57</f>
        <v>0</v>
      </c>
      <c r="F24" s="339">
        <v>3204</v>
      </c>
      <c r="G24" s="181">
        <v>51000</v>
      </c>
      <c r="H24" s="393">
        <f>B58</f>
        <v>0</v>
      </c>
      <c r="I24" s="241">
        <v>4207</v>
      </c>
      <c r="J24" s="211">
        <v>0</v>
      </c>
      <c r="S24" s="286">
        <f>B24</f>
        <v>0</v>
      </c>
      <c r="T24" s="286">
        <f>B47</f>
        <v>0</v>
      </c>
      <c r="U24" s="286">
        <f>E47</f>
        <v>0</v>
      </c>
      <c r="V24" s="286">
        <f>E24</f>
        <v>0</v>
      </c>
      <c r="W24" s="286">
        <f>H47</f>
        <v>0</v>
      </c>
      <c r="X24" s="286">
        <f>H24</f>
        <v>0</v>
      </c>
      <c r="Y24" s="286">
        <f>SUM(S24:X24)</f>
        <v>0</v>
      </c>
      <c r="Z24" s="286">
        <v>0</v>
      </c>
      <c r="AA24" s="286">
        <f>SUM(Y24:Z24)</f>
        <v>0</v>
      </c>
      <c r="AB24" s="286"/>
      <c r="AC24" s="279"/>
      <c r="AD24" s="262"/>
      <c r="AE24" s="262"/>
      <c r="AF24" s="286">
        <f>Y24</f>
        <v>0</v>
      </c>
      <c r="AG24" s="286"/>
      <c r="AH24" s="286"/>
      <c r="AI24" s="286">
        <f>Y24</f>
        <v>0</v>
      </c>
      <c r="AJ24" s="262"/>
      <c r="AK24" s="286">
        <f>Y24</f>
        <v>0</v>
      </c>
      <c r="AL24" s="262"/>
      <c r="AM24" s="262"/>
      <c r="AN24" s="262"/>
      <c r="AO24" s="262"/>
      <c r="AP24" s="262"/>
      <c r="AQ24" s="262"/>
      <c r="AR24" s="285"/>
      <c r="AS24" s="285"/>
      <c r="AT24" s="262"/>
      <c r="AU24" s="262"/>
      <c r="AV24" s="262"/>
      <c r="AW24" s="262"/>
      <c r="AX24" s="262"/>
    </row>
    <row r="25" spans="1:50">
      <c r="B25" s="60"/>
      <c r="C25" s="58"/>
      <c r="D25" s="58"/>
      <c r="E25" s="58"/>
      <c r="F25" s="59"/>
      <c r="G25" s="58"/>
      <c r="H25" s="58"/>
      <c r="J25" s="57"/>
      <c r="K25" s="57"/>
      <c r="L25" s="57"/>
      <c r="S25" s="57"/>
    </row>
    <row r="26" spans="1:50" ht="18" customHeight="1">
      <c r="A26" s="80"/>
      <c r="B26" s="514" t="s">
        <v>270</v>
      </c>
      <c r="C26" s="515"/>
      <c r="D26" s="516"/>
      <c r="E26" s="514" t="s">
        <v>68</v>
      </c>
      <c r="F26" s="515"/>
      <c r="G26" s="516"/>
      <c r="H26" s="514" t="s">
        <v>194</v>
      </c>
      <c r="I26" s="515"/>
      <c r="J26" s="516"/>
      <c r="K26" s="193"/>
      <c r="L26" s="193"/>
      <c r="T26" s="57"/>
      <c r="U26" s="57"/>
      <c r="V26" s="57"/>
      <c r="W26" s="57"/>
      <c r="X26" s="57"/>
      <c r="AS26" s="380">
        <v>0.93600000000000005</v>
      </c>
    </row>
    <row r="27" spans="1:50" s="57" customFormat="1" ht="15">
      <c r="A27" s="82"/>
      <c r="B27" s="233" t="str">
        <f>B4</f>
        <v>25 Standard</v>
      </c>
      <c r="C27" s="234" t="s">
        <v>235</v>
      </c>
      <c r="D27" s="199" t="str">
        <f>+D4</f>
        <v>22 Standard</v>
      </c>
      <c r="E27" s="233" t="str">
        <f>E4</f>
        <v>25 Standard</v>
      </c>
      <c r="F27" s="329" t="str">
        <f>+C27</f>
        <v>23 Actual</v>
      </c>
      <c r="G27" s="200" t="str">
        <f>+D27</f>
        <v>22 Standard</v>
      </c>
      <c r="H27" s="233" t="str">
        <f>H4</f>
        <v>25 Standard</v>
      </c>
      <c r="I27" s="234" t="s">
        <v>235</v>
      </c>
      <c r="J27" s="199" t="str">
        <f>+J4</f>
        <v>22 Standard</v>
      </c>
      <c r="K27" s="194"/>
      <c r="L27" s="194"/>
      <c r="AS27" s="381">
        <v>0.26400000000000001</v>
      </c>
    </row>
    <row r="28" spans="1:50" s="57" customFormat="1">
      <c r="A28" s="82"/>
      <c r="B28" s="242"/>
      <c r="C28" s="330" t="s">
        <v>230</v>
      </c>
      <c r="D28" s="87"/>
      <c r="E28" s="242"/>
      <c r="F28" s="330" t="s">
        <v>230</v>
      </c>
      <c r="G28" s="87"/>
      <c r="H28" s="242"/>
      <c r="I28" s="34" t="s">
        <v>230</v>
      </c>
      <c r="J28" s="87"/>
      <c r="K28" s="195"/>
      <c r="L28" s="195"/>
      <c r="AC28" s="102"/>
      <c r="AS28" s="381">
        <v>286</v>
      </c>
    </row>
    <row r="29" spans="1:50">
      <c r="A29" s="42" t="s">
        <v>66</v>
      </c>
      <c r="B29" s="236">
        <f>IF($B$47&lt;&gt;0,$D$88,0)</f>
        <v>0</v>
      </c>
      <c r="C29" s="324">
        <v>0.1396</v>
      </c>
      <c r="D29" s="83">
        <v>6.0374340000000006E-2</v>
      </c>
      <c r="E29" s="236">
        <f>IF(E47&lt;&gt;0,$D$88,0)</f>
        <v>0</v>
      </c>
      <c r="F29" s="324">
        <v>8.6499999999999994E-2</v>
      </c>
      <c r="G29" s="83">
        <v>0</v>
      </c>
      <c r="H29" s="236">
        <f>IF(H47&lt;&gt;0,$L$80,0)</f>
        <v>0</v>
      </c>
      <c r="I29" s="33">
        <v>7.9200000000000007E-2</v>
      </c>
      <c r="J29" s="83">
        <v>0.02</v>
      </c>
      <c r="K29" s="33"/>
      <c r="L29" s="33"/>
      <c r="T29" s="99"/>
      <c r="U29" s="100"/>
      <c r="V29" s="100"/>
      <c r="W29" s="100"/>
      <c r="X29" s="100"/>
      <c r="AC29" s="102"/>
      <c r="AS29" s="380">
        <v>8000</v>
      </c>
    </row>
    <row r="30" spans="1:50">
      <c r="A30" s="42" t="s">
        <v>38</v>
      </c>
      <c r="B30" s="236">
        <f>IF(B47&lt;&gt;0,$D$151,0)</f>
        <v>0</v>
      </c>
      <c r="C30" s="324">
        <v>2.7300000000000001E-2</v>
      </c>
      <c r="D30" s="83">
        <v>1.8883379475127554E-2</v>
      </c>
      <c r="E30" s="236">
        <f>IF(E47&lt;&gt;0,$G$151,0)</f>
        <v>0</v>
      </c>
      <c r="F30" s="324">
        <v>2.9399999999999999E-2</v>
      </c>
      <c r="G30" s="83">
        <v>0</v>
      </c>
      <c r="H30" s="236">
        <f>IF(H47&lt;&gt;0,$J$151,0)</f>
        <v>0</v>
      </c>
      <c r="I30" s="33">
        <v>1.24E-2</v>
      </c>
      <c r="J30" s="83">
        <v>2.7366212536003407E-3</v>
      </c>
      <c r="K30" s="33"/>
      <c r="L30" s="33"/>
      <c r="T30" s="99"/>
      <c r="U30" s="100"/>
      <c r="V30" s="100"/>
      <c r="W30" s="100"/>
      <c r="X30" s="100"/>
      <c r="AC30" s="102"/>
      <c r="AS30" s="380">
        <v>1.2</v>
      </c>
    </row>
    <row r="31" spans="1:50">
      <c r="A31" s="15" t="s">
        <v>65</v>
      </c>
      <c r="B31" s="236">
        <f>IF(B47&lt;&gt;0,$D$152,0)</f>
        <v>0</v>
      </c>
      <c r="C31" s="324">
        <v>3.7900000000000003E-2</v>
      </c>
      <c r="D31" s="83">
        <v>4.1840000000000002E-2</v>
      </c>
      <c r="E31" s="236">
        <f>IF(E47&lt;&gt;0,$G$152,0)</f>
        <v>0</v>
      </c>
      <c r="F31" s="324">
        <v>4.65E-2</v>
      </c>
      <c r="G31" s="83">
        <v>0</v>
      </c>
      <c r="H31" s="236">
        <f>IF(H47&lt;&gt;0,$J$152,0)</f>
        <v>0</v>
      </c>
      <c r="I31" s="33">
        <v>0</v>
      </c>
      <c r="J31" s="83">
        <v>0</v>
      </c>
      <c r="K31" s="33"/>
      <c r="L31" s="33"/>
      <c r="T31" s="99"/>
      <c r="U31" s="100"/>
      <c r="V31" s="100"/>
      <c r="W31" s="100"/>
      <c r="X31" s="100"/>
      <c r="AC31" s="102"/>
      <c r="AS31" s="380"/>
    </row>
    <row r="32" spans="1:50">
      <c r="A32" s="42" t="s">
        <v>64</v>
      </c>
      <c r="B32" s="236">
        <f>IF(B47&lt;&gt;0,$H$159,0)</f>
        <v>0</v>
      </c>
      <c r="C32" s="324">
        <v>3.5799999999999998E-2</v>
      </c>
      <c r="D32" s="83">
        <v>2.2368421052631579E-2</v>
      </c>
      <c r="E32" s="236">
        <f>IF(E47&lt;&gt;0,$H$159,0)</f>
        <v>0</v>
      </c>
      <c r="F32" s="324">
        <v>3.04E-2</v>
      </c>
      <c r="G32" s="83">
        <v>0</v>
      </c>
      <c r="H32" s="236">
        <f>IF(H47&lt;&gt;0,$H$159,0)</f>
        <v>0</v>
      </c>
      <c r="I32" s="33">
        <v>1.6400000000000001E-2</v>
      </c>
      <c r="J32" s="83">
        <v>2.2368421052631579E-2</v>
      </c>
      <c r="K32" s="33"/>
      <c r="L32" s="33"/>
      <c r="T32" s="99"/>
      <c r="U32" s="100"/>
      <c r="V32" s="100"/>
      <c r="W32" s="100"/>
      <c r="X32" s="100"/>
      <c r="AC32" s="102"/>
    </row>
    <row r="33" spans="1:29">
      <c r="A33" s="42" t="s">
        <v>63</v>
      </c>
      <c r="B33" s="236">
        <f>IF(B47&lt;&gt;0,$H$163,0)</f>
        <v>0</v>
      </c>
      <c r="C33" s="324">
        <v>5.9999999999999995E-4</v>
      </c>
      <c r="D33" s="83">
        <v>6.5789473684210525E-4</v>
      </c>
      <c r="E33" s="236">
        <f>IF(E47&lt;&gt;0,$H$163,0)</f>
        <v>0</v>
      </c>
      <c r="F33" s="324">
        <v>2E-3</v>
      </c>
      <c r="G33" s="83">
        <v>0</v>
      </c>
      <c r="H33" s="236">
        <f>IF(H47&lt;&gt;0,$H$163,0)</f>
        <v>0</v>
      </c>
      <c r="I33" s="33">
        <v>1.4E-3</v>
      </c>
      <c r="J33" s="83">
        <v>6.5789473684210525E-4</v>
      </c>
      <c r="K33" s="33"/>
      <c r="L33" s="33"/>
      <c r="T33" s="109"/>
      <c r="U33" s="100"/>
      <c r="V33" s="100"/>
      <c r="W33" s="100"/>
      <c r="X33" s="100"/>
      <c r="AC33" s="102"/>
    </row>
    <row r="34" spans="1:29" ht="15">
      <c r="A34" s="42" t="s">
        <v>62</v>
      </c>
      <c r="B34" s="237">
        <f>IF($B$47&lt;&gt;0,$H$166,0)</f>
        <v>0</v>
      </c>
      <c r="C34" s="325">
        <v>1.01E-2</v>
      </c>
      <c r="D34" s="85">
        <v>4.6052631578947364E-3</v>
      </c>
      <c r="E34" s="237">
        <f>IF(E47&lt;&gt;0,$H$166,0)</f>
        <v>0</v>
      </c>
      <c r="F34" s="325">
        <v>1.18E-2</v>
      </c>
      <c r="G34" s="85">
        <v>0</v>
      </c>
      <c r="H34" s="237">
        <f>IF(H47&lt;&gt;0,$H$166,0)</f>
        <v>0</v>
      </c>
      <c r="I34" s="84">
        <v>1.0800000000000001E-2</v>
      </c>
      <c r="J34" s="85">
        <v>4.6052631578947364E-3</v>
      </c>
      <c r="K34" s="84"/>
      <c r="L34" s="84"/>
      <c r="T34" s="101"/>
      <c r="U34" s="100"/>
      <c r="V34" s="100"/>
      <c r="W34" s="100"/>
      <c r="X34" s="100"/>
      <c r="AC34" s="102"/>
    </row>
    <row r="35" spans="1:29">
      <c r="A35" s="42" t="s">
        <v>61</v>
      </c>
      <c r="B35" s="236">
        <f>SUM(B29:B34)</f>
        <v>0</v>
      </c>
      <c r="C35" s="324">
        <f t="shared" ref="C35" si="40">SUM(C29:C34)</f>
        <v>0.25129999999999997</v>
      </c>
      <c r="D35" s="83">
        <f>SUM(D29:D34)</f>
        <v>0.14872929842249596</v>
      </c>
      <c r="E35" s="236">
        <f>SUM(E29:E34)</f>
        <v>0</v>
      </c>
      <c r="F35" s="324">
        <f>SUM(F29:F34)</f>
        <v>0.20660000000000001</v>
      </c>
      <c r="G35" s="83">
        <f>SUM(G29:G34)</f>
        <v>0</v>
      </c>
      <c r="H35" s="236">
        <f>SUM(H29:H34)</f>
        <v>0</v>
      </c>
      <c r="I35" s="33">
        <f t="shared" ref="I35" si="41">SUM(I29:I34)</f>
        <v>0.1202</v>
      </c>
      <c r="J35" s="83">
        <f>SUM(J29:J34)</f>
        <v>5.0368200200968764E-2</v>
      </c>
      <c r="K35" s="33"/>
      <c r="L35" s="33"/>
      <c r="T35" s="99"/>
      <c r="U35" s="100"/>
      <c r="V35" s="100"/>
      <c r="W35" s="100"/>
      <c r="X35" s="100"/>
      <c r="AC35" s="102"/>
    </row>
    <row r="36" spans="1:29">
      <c r="A36" s="42"/>
      <c r="B36" s="236"/>
      <c r="C36" s="324"/>
      <c r="D36" s="83"/>
      <c r="E36" s="236"/>
      <c r="F36" s="324"/>
      <c r="G36" s="83"/>
      <c r="H36" s="236"/>
      <c r="I36" s="33"/>
      <c r="J36" s="83"/>
      <c r="K36" s="33"/>
      <c r="L36" s="33"/>
      <c r="T36" s="100"/>
      <c r="U36" s="100"/>
      <c r="V36" s="100"/>
      <c r="W36" s="100"/>
      <c r="X36" s="100"/>
      <c r="AC36" s="102"/>
    </row>
    <row r="37" spans="1:29">
      <c r="A37" s="42" t="s">
        <v>50</v>
      </c>
      <c r="B37" s="236">
        <f>IF(B47&lt;&gt;0,$F$112/$B$49/1000,0)</f>
        <v>0</v>
      </c>
      <c r="C37" s="324">
        <v>4.4499999999999998E-2</v>
      </c>
      <c r="D37" s="83">
        <v>2.6384279999999996E-2</v>
      </c>
      <c r="E37" s="236">
        <f>IF(E47&lt;&gt;0,$F$112/$B$49/1000,0)</f>
        <v>0</v>
      </c>
      <c r="F37" s="324">
        <v>4.8300000000000003E-2</v>
      </c>
      <c r="G37" s="83">
        <v>0</v>
      </c>
      <c r="H37" s="236">
        <f>IF(H47&lt;&gt;0,$F$112/$B$49/1000,0)</f>
        <v>0</v>
      </c>
      <c r="I37" s="33">
        <v>4.5100000000000001E-2</v>
      </c>
      <c r="J37" s="83">
        <v>2.6384279999999996E-2</v>
      </c>
      <c r="K37" s="33"/>
      <c r="L37" s="33"/>
      <c r="T37" s="99"/>
      <c r="U37" s="100"/>
      <c r="V37" s="100"/>
      <c r="W37" s="100"/>
      <c r="X37" s="100"/>
      <c r="AC37" s="102"/>
    </row>
    <row r="38" spans="1:29">
      <c r="A38" s="42" t="s">
        <v>60</v>
      </c>
      <c r="B38" s="236">
        <f>IF(B47&lt;&gt;0,$F$113/$B$49/1000,0)</f>
        <v>0</v>
      </c>
      <c r="C38" s="324">
        <v>1.4999999999999999E-2</v>
      </c>
      <c r="D38" s="83">
        <v>9.0204400000000011E-3</v>
      </c>
      <c r="E38" s="236">
        <f>IF(E47&lt;&gt;0,$F$113/$B$49/1000,0)</f>
        <v>0</v>
      </c>
      <c r="F38" s="324">
        <v>1.44E-2</v>
      </c>
      <c r="G38" s="83">
        <v>0</v>
      </c>
      <c r="H38" s="236">
        <f>IF(H47&lt;&gt;0,$F$113/$B$49/1000,0)</f>
        <v>0</v>
      </c>
      <c r="I38" s="33">
        <v>1.5599999999999999E-2</v>
      </c>
      <c r="J38" s="83">
        <v>9.0204400000000011E-3</v>
      </c>
      <c r="K38" s="33"/>
      <c r="L38" s="33"/>
      <c r="T38" s="99"/>
      <c r="U38" s="100"/>
      <c r="V38" s="100"/>
      <c r="W38" s="100"/>
      <c r="X38" s="100"/>
    </row>
    <row r="39" spans="1:29">
      <c r="A39" s="42" t="s">
        <v>59</v>
      </c>
      <c r="B39" s="236">
        <f>IF(B47&lt;&gt;0,$F$115/$B$49/1000,0)</f>
        <v>0</v>
      </c>
      <c r="C39" s="324">
        <v>1.9400000000000001E-2</v>
      </c>
      <c r="D39" s="83">
        <v>1.3928937427385891E-2</v>
      </c>
      <c r="E39" s="236">
        <f>IF(E47&lt;&gt;0,$F$115/$B$49/1000,0)</f>
        <v>0</v>
      </c>
      <c r="F39" s="324">
        <v>1.9599999999999999E-2</v>
      </c>
      <c r="G39" s="83">
        <v>0</v>
      </c>
      <c r="H39" s="236">
        <f>IF(H47&lt;&gt;0,$F$115/$B$49/1000,0)</f>
        <v>0</v>
      </c>
      <c r="I39" s="33">
        <v>2.8500000000000001E-2</v>
      </c>
      <c r="J39" s="83">
        <v>1.3928937427385891E-2</v>
      </c>
      <c r="K39" s="33"/>
      <c r="L39" s="33"/>
      <c r="T39" s="99"/>
      <c r="U39" s="100"/>
      <c r="V39" s="100"/>
      <c r="W39" s="100"/>
      <c r="X39" s="100"/>
    </row>
    <row r="40" spans="1:29">
      <c r="A40" s="15" t="s">
        <v>5</v>
      </c>
      <c r="B40" s="236">
        <f>IF($B$47&lt;&gt;0,$F$114/$B$49/1000,0)</f>
        <v>0</v>
      </c>
      <c r="C40" s="324">
        <v>1.8E-3</v>
      </c>
      <c r="D40" s="83">
        <v>1.5771315789473684E-3</v>
      </c>
      <c r="E40" s="236">
        <f>IF(E47&lt;&gt;0,$F$114/$B$49/1000,0)</f>
        <v>0</v>
      </c>
      <c r="F40" s="324">
        <v>1.4E-3</v>
      </c>
      <c r="G40" s="83">
        <v>0</v>
      </c>
      <c r="H40" s="236">
        <f>IF(H47&lt;&gt;0,$F$114/$B$49/1000,0)</f>
        <v>0</v>
      </c>
      <c r="I40" s="33">
        <v>2.2000000000000001E-3</v>
      </c>
      <c r="J40" s="83">
        <v>1.5771315789473684E-3</v>
      </c>
      <c r="K40" s="33"/>
      <c r="L40" s="33"/>
      <c r="T40" s="99"/>
      <c r="U40" s="100"/>
      <c r="V40" s="100"/>
      <c r="W40" s="100"/>
      <c r="X40" s="100"/>
    </row>
    <row r="41" spans="1:29" ht="15">
      <c r="A41" s="15" t="s">
        <v>3</v>
      </c>
      <c r="B41" s="236">
        <f>IF(B47&lt;&gt;0,$B$178/$B$49/1000,0)</f>
        <v>0</v>
      </c>
      <c r="C41" s="324">
        <v>4.3E-3</v>
      </c>
      <c r="D41" s="83">
        <v>1.6578947368421054E-3</v>
      </c>
      <c r="E41" s="236">
        <f>IF(E47&lt;&gt;0,$B$178/$B$49/1000,0)</f>
        <v>0</v>
      </c>
      <c r="F41" s="324">
        <v>4.1999999999999997E-3</v>
      </c>
      <c r="G41" s="83">
        <v>0</v>
      </c>
      <c r="H41" s="236">
        <f>IF(H47&lt;&gt;0,$B$178/$B$49/1000,0)</f>
        <v>0</v>
      </c>
      <c r="I41" s="33">
        <v>6.7000000000000002E-3</v>
      </c>
      <c r="J41" s="83">
        <v>1.6578947368421054E-3</v>
      </c>
      <c r="K41" s="84"/>
      <c r="L41" s="84"/>
      <c r="T41" s="101"/>
      <c r="U41" s="100"/>
      <c r="V41" s="100"/>
      <c r="W41" s="100"/>
      <c r="X41" s="100"/>
    </row>
    <row r="42" spans="1:29" ht="15">
      <c r="A42" s="15" t="s">
        <v>4</v>
      </c>
      <c r="B42" s="237">
        <f>IF(B47&lt;&gt;0,$B$177/B49/1000,0)</f>
        <v>0</v>
      </c>
      <c r="C42" s="325">
        <v>9.2999999999999992E-3</v>
      </c>
      <c r="D42" s="85">
        <v>5.8026315789473683E-3</v>
      </c>
      <c r="E42" s="237">
        <f>IF(E47&lt;&gt;0,$B$177/B49/1000,0)</f>
        <v>0</v>
      </c>
      <c r="F42" s="325">
        <v>9.7999999999999997E-3</v>
      </c>
      <c r="G42" s="85">
        <v>0</v>
      </c>
      <c r="H42" s="237">
        <f>IF(H47&lt;&gt;0,$B$177/$B$49/1000,0)</f>
        <v>0</v>
      </c>
      <c r="I42" s="84">
        <v>1.4E-2</v>
      </c>
      <c r="J42" s="85">
        <v>5.8026315789473683E-3</v>
      </c>
      <c r="K42" s="33"/>
      <c r="L42" s="33"/>
      <c r="T42" s="192" t="s">
        <v>25</v>
      </c>
      <c r="U42" s="100"/>
      <c r="V42" s="100"/>
      <c r="W42" s="100"/>
      <c r="X42" s="100"/>
    </row>
    <row r="43" spans="1:29">
      <c r="A43" s="93" t="s">
        <v>233</v>
      </c>
      <c r="B43" s="236">
        <f t="shared" ref="B43:I43" si="42">SUM(B37:B42)</f>
        <v>0</v>
      </c>
      <c r="C43" s="324">
        <f t="shared" si="42"/>
        <v>9.4299999999999995E-2</v>
      </c>
      <c r="D43" s="83">
        <f>SUM(D37:D42)</f>
        <v>5.8371315322122738E-2</v>
      </c>
      <c r="E43" s="236">
        <f t="shared" ref="E43" si="43">SUM(E37:E42)</f>
        <v>0</v>
      </c>
      <c r="F43" s="324">
        <f t="shared" si="42"/>
        <v>9.7700000000000009E-2</v>
      </c>
      <c r="G43" s="83">
        <f>SUM(G37:G42)</f>
        <v>0</v>
      </c>
      <c r="H43" s="236">
        <f t="shared" ref="H43" si="44">SUM(H37:H42)</f>
        <v>0</v>
      </c>
      <c r="I43" s="33">
        <f t="shared" si="42"/>
        <v>0.11209999999999999</v>
      </c>
      <c r="J43" s="83">
        <f>SUM(J37:J42)</f>
        <v>5.8371315322122738E-2</v>
      </c>
      <c r="K43" s="33"/>
      <c r="L43" s="33"/>
      <c r="T43" s="99"/>
      <c r="U43" s="100"/>
      <c r="V43" s="100"/>
      <c r="W43" s="100"/>
      <c r="X43" s="100"/>
    </row>
    <row r="44" spans="1:29">
      <c r="A44" s="93" t="s">
        <v>232</v>
      </c>
      <c r="B44" s="236"/>
      <c r="C44" s="324"/>
      <c r="D44" s="83"/>
      <c r="E44" s="236"/>
      <c r="F44" s="324"/>
      <c r="G44" s="83"/>
      <c r="H44" s="236"/>
      <c r="I44" s="33"/>
      <c r="J44" s="83"/>
      <c r="K44" s="33"/>
      <c r="L44" s="33"/>
      <c r="T44" s="99"/>
      <c r="U44" s="100"/>
      <c r="V44" s="100"/>
      <c r="W44" s="100"/>
      <c r="X44" s="100"/>
    </row>
    <row r="45" spans="1:29">
      <c r="A45" s="93" t="s">
        <v>234</v>
      </c>
      <c r="B45" s="238">
        <f>B35+B43</f>
        <v>0</v>
      </c>
      <c r="C45" s="326">
        <f>C35+C43+C44</f>
        <v>0.34559999999999996</v>
      </c>
      <c r="D45" s="384">
        <f>D35+D43</f>
        <v>0.20710061374461869</v>
      </c>
      <c r="E45" s="238">
        <f t="shared" ref="E45:H45" si="45">E35+E43</f>
        <v>0</v>
      </c>
      <c r="F45" s="326">
        <f>F35+F43+F44</f>
        <v>0.30430000000000001</v>
      </c>
      <c r="G45" s="210">
        <v>0</v>
      </c>
      <c r="H45" s="238">
        <f t="shared" si="45"/>
        <v>0</v>
      </c>
      <c r="I45" s="209">
        <f>I35+I43+I44</f>
        <v>0.23230000000000001</v>
      </c>
      <c r="J45" s="210">
        <f>+J35+J43</f>
        <v>0.1087395155230915</v>
      </c>
      <c r="K45" s="196"/>
      <c r="L45" s="196"/>
      <c r="T45" s="99"/>
      <c r="U45" s="100"/>
      <c r="V45" s="100"/>
      <c r="W45" s="100"/>
      <c r="X45" s="100"/>
    </row>
    <row r="46" spans="1:29">
      <c r="A46" s="15"/>
      <c r="B46" s="239"/>
      <c r="C46" s="327"/>
      <c r="D46" s="83"/>
      <c r="E46" s="239"/>
      <c r="F46" s="327"/>
      <c r="G46" s="86"/>
      <c r="H46" s="239"/>
      <c r="I46" s="58"/>
      <c r="J46" s="86"/>
      <c r="K46" s="58"/>
      <c r="L46" s="58"/>
      <c r="T46" s="98"/>
    </row>
    <row r="47" spans="1:29">
      <c r="A47" s="37" t="s">
        <v>58</v>
      </c>
      <c r="B47" s="240">
        <f>B55</f>
        <v>0</v>
      </c>
      <c r="C47" s="328">
        <v>13494</v>
      </c>
      <c r="D47" s="211">
        <v>22600</v>
      </c>
      <c r="E47" s="240">
        <f>B56</f>
        <v>0</v>
      </c>
      <c r="F47" s="328">
        <v>1391</v>
      </c>
      <c r="G47" s="211">
        <v>0</v>
      </c>
      <c r="H47" s="240">
        <f>B59</f>
        <v>0</v>
      </c>
      <c r="I47" s="181">
        <v>6147</v>
      </c>
      <c r="J47" s="211">
        <v>2400</v>
      </c>
      <c r="K47" s="197"/>
      <c r="L47" s="197"/>
    </row>
    <row r="48" spans="1:29">
      <c r="A48" s="14"/>
      <c r="B48" s="57"/>
      <c r="D48" s="78"/>
      <c r="E48" s="57"/>
      <c r="G48" s="35"/>
    </row>
    <row r="49" spans="1:44">
      <c r="A49" s="88" t="s">
        <v>57</v>
      </c>
      <c r="B49" s="184">
        <f>B24+E24+H24+B47+E47+H47</f>
        <v>0</v>
      </c>
      <c r="C49" s="212">
        <f>C24+F24+I24+C47+F47+I47</f>
        <v>34654</v>
      </c>
      <c r="D49" s="213">
        <v>76000</v>
      </c>
      <c r="E49" s="182"/>
    </row>
    <row r="50" spans="1:44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44">
      <c r="A51" s="66" t="s">
        <v>56</v>
      </c>
      <c r="B51" s="492" t="s">
        <v>55</v>
      </c>
      <c r="C51" s="492"/>
      <c r="D51" s="492"/>
      <c r="E51" s="492"/>
      <c r="F51" s="492"/>
      <c r="G51" s="492"/>
      <c r="H51" s="492"/>
      <c r="I51" s="492"/>
      <c r="J51" s="492"/>
      <c r="K51" s="492"/>
      <c r="L51" s="21"/>
      <c r="S51" s="12"/>
      <c r="T51" s="12"/>
      <c r="U51" s="12"/>
      <c r="V51" s="12"/>
      <c r="W51" s="12"/>
      <c r="X51" s="12"/>
      <c r="Y51" s="12"/>
    </row>
    <row r="52" spans="1:44">
      <c r="A52" s="42"/>
      <c r="L52" s="21"/>
      <c r="S52" s="12"/>
      <c r="T52" s="12"/>
      <c r="U52" s="12"/>
      <c r="V52" s="12"/>
      <c r="W52" s="12"/>
      <c r="X52" s="12"/>
      <c r="Y52" s="12"/>
    </row>
    <row r="53" spans="1:44" ht="15">
      <c r="A53" s="107" t="s">
        <v>115</v>
      </c>
      <c r="B53" s="56" t="s">
        <v>116</v>
      </c>
      <c r="C53" s="56" t="s">
        <v>118</v>
      </c>
      <c r="D53" s="307" t="s">
        <v>267</v>
      </c>
      <c r="E53" s="14"/>
      <c r="F53" s="56"/>
      <c r="G53" s="14"/>
      <c r="H53" s="14"/>
      <c r="L53" s="21"/>
      <c r="Y53" s="189"/>
      <c r="Z53" s="12"/>
      <c r="AA53" s="190"/>
    </row>
    <row r="54" spans="1:44" ht="15">
      <c r="A54" s="42" t="s">
        <v>273</v>
      </c>
      <c r="B54" s="176">
        <f>'2025 Summary'!$C$17</f>
        <v>0</v>
      </c>
      <c r="C54" s="214" t="e">
        <f>B54/$B$60</f>
        <v>#DIV/0!</v>
      </c>
      <c r="D54" s="459"/>
      <c r="E54" s="14"/>
      <c r="F54" s="55"/>
      <c r="G54" s="14" t="s">
        <v>25</v>
      </c>
      <c r="H54" s="206"/>
      <c r="L54" s="21"/>
      <c r="Y54" s="189"/>
      <c r="Z54" s="12"/>
      <c r="AA54" s="190"/>
    </row>
    <row r="55" spans="1:44" ht="15">
      <c r="A55" s="42" t="s">
        <v>268</v>
      </c>
      <c r="B55" s="176">
        <f>'2025 Summary'!D$17</f>
        <v>0</v>
      </c>
      <c r="C55" s="214" t="e">
        <f t="shared" ref="C55:C60" si="46">B55/$B$60</f>
        <v>#DIV/0!</v>
      </c>
      <c r="D55" s="460">
        <f>B55/180/2</f>
        <v>0</v>
      </c>
      <c r="E55" s="14" t="s">
        <v>25</v>
      </c>
      <c r="F55" s="55" t="s">
        <v>25</v>
      </c>
      <c r="G55" s="14" t="s">
        <v>25</v>
      </c>
      <c r="H55" s="206"/>
      <c r="L55" s="21"/>
      <c r="Y55" s="189"/>
      <c r="Z55" s="12"/>
      <c r="AA55" s="12"/>
    </row>
    <row r="56" spans="1:44" ht="15">
      <c r="A56" s="42" t="s">
        <v>119</v>
      </c>
      <c r="B56" s="176">
        <f>'2025 Summary'!E$17</f>
        <v>0</v>
      </c>
      <c r="C56" s="214" t="e">
        <f t="shared" si="46"/>
        <v>#DIV/0!</v>
      </c>
      <c r="D56" s="459">
        <f>B56/200/2</f>
        <v>0</v>
      </c>
      <c r="E56" s="14"/>
      <c r="F56" s="14"/>
      <c r="G56" s="14"/>
      <c r="H56" s="14"/>
      <c r="L56" s="21"/>
      <c r="Z56" s="191"/>
      <c r="AA56" s="12"/>
    </row>
    <row r="57" spans="1:44" ht="15">
      <c r="A57" s="42" t="s">
        <v>275</v>
      </c>
      <c r="B57" s="176">
        <f>'2025 Summary'!$F$17</f>
        <v>0</v>
      </c>
      <c r="C57" s="214" t="e">
        <f t="shared" si="46"/>
        <v>#DIV/0!</v>
      </c>
      <c r="D57" s="459"/>
      <c r="E57" s="14"/>
      <c r="F57" s="14"/>
      <c r="G57" s="14"/>
      <c r="H57" s="14"/>
      <c r="L57" s="21"/>
      <c r="N57" s="331"/>
      <c r="O57" s="331"/>
      <c r="P57" s="331"/>
      <c r="Q57" s="331"/>
      <c r="S57" s="331"/>
      <c r="Z57" s="191"/>
      <c r="AA57" s="12"/>
    </row>
    <row r="58" spans="1:44" ht="15">
      <c r="A58" s="42" t="s">
        <v>271</v>
      </c>
      <c r="B58" s="391">
        <f>'2025 Summary'!$G$17</f>
        <v>0</v>
      </c>
      <c r="C58" s="214" t="e">
        <f t="shared" si="46"/>
        <v>#DIV/0!</v>
      </c>
      <c r="D58" s="459"/>
      <c r="E58" s="390"/>
      <c r="F58" s="14"/>
      <c r="G58" s="14"/>
      <c r="H58" s="14"/>
      <c r="L58" s="21"/>
      <c r="Z58" s="191"/>
      <c r="AA58" s="12"/>
    </row>
    <row r="59" spans="1:44" ht="15">
      <c r="A59" s="42" t="s">
        <v>194</v>
      </c>
      <c r="B59" s="391">
        <f>'2025 Summary'!$H$17</f>
        <v>0</v>
      </c>
      <c r="C59" s="215" t="e">
        <f t="shared" si="46"/>
        <v>#DIV/0!</v>
      </c>
      <c r="D59" s="459">
        <f>B59/200</f>
        <v>0</v>
      </c>
      <c r="E59" s="14"/>
      <c r="F59" s="14"/>
      <c r="G59" s="14"/>
      <c r="H59" s="14"/>
      <c r="L59" s="21"/>
      <c r="N59" s="185"/>
      <c r="O59" s="185"/>
      <c r="P59" s="185"/>
      <c r="Q59" s="185"/>
      <c r="S59" s="185"/>
      <c r="Z59" s="191"/>
      <c r="AA59" s="12"/>
    </row>
    <row r="60" spans="1:44">
      <c r="A60" s="108" t="s">
        <v>120</v>
      </c>
      <c r="B60" s="181">
        <f>SUM(B54:B59)</f>
        <v>0</v>
      </c>
      <c r="C60" s="315" t="e">
        <f t="shared" si="46"/>
        <v>#DIV/0!</v>
      </c>
      <c r="D60" s="461"/>
      <c r="E60" s="64"/>
      <c r="F60" s="64"/>
      <c r="G60" s="64"/>
      <c r="H60" s="64"/>
      <c r="I60" s="19"/>
      <c r="J60" s="19"/>
      <c r="K60" s="19"/>
      <c r="L60" s="18"/>
      <c r="U60" s="185"/>
      <c r="V60" s="185"/>
      <c r="W60" s="185"/>
      <c r="X60" s="185"/>
      <c r="Y60" s="185"/>
      <c r="Z60" s="191"/>
      <c r="AA60" s="12"/>
    </row>
    <row r="61" spans="1:44">
      <c r="A61" s="26"/>
      <c r="B61" s="14"/>
      <c r="C61" s="14"/>
      <c r="D61" s="14"/>
      <c r="E61" s="14"/>
      <c r="F61" s="14"/>
      <c r="G61" s="14"/>
      <c r="H61" s="207"/>
      <c r="L61" s="21"/>
      <c r="S61" s="12"/>
      <c r="T61" s="12"/>
      <c r="U61" s="12"/>
      <c r="V61" s="12"/>
      <c r="W61" s="12"/>
      <c r="X61" s="12"/>
      <c r="Y61" s="12"/>
      <c r="Z61" s="12"/>
      <c r="AB61" s="167" t="s">
        <v>224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244"/>
    </row>
    <row r="62" spans="1:44" ht="15" customHeight="1">
      <c r="A62" s="26"/>
      <c r="B62" s="14"/>
      <c r="C62" s="517" t="s">
        <v>53</v>
      </c>
      <c r="D62" s="517"/>
      <c r="E62" s="517"/>
      <c r="F62" s="517"/>
      <c r="G62" s="518" t="s">
        <v>114</v>
      </c>
      <c r="H62" s="518"/>
      <c r="I62" s="518"/>
      <c r="J62" s="518"/>
      <c r="K62" s="518"/>
      <c r="L62" s="201"/>
      <c r="S62" s="12"/>
      <c r="T62" s="12"/>
      <c r="U62" s="12"/>
      <c r="V62" s="12"/>
      <c r="W62" s="12"/>
      <c r="X62" s="12"/>
      <c r="Y62" s="12"/>
      <c r="Z62" s="12"/>
      <c r="AB62" s="26"/>
      <c r="AR62" s="21"/>
    </row>
    <row r="63" spans="1:44" s="48" customFormat="1" ht="15">
      <c r="A63" s="225" t="s">
        <v>122</v>
      </c>
      <c r="B63" s="172" t="s">
        <v>54</v>
      </c>
      <c r="C63" s="202" t="s">
        <v>209</v>
      </c>
      <c r="D63" s="202" t="s">
        <v>52</v>
      </c>
      <c r="E63" s="202" t="s">
        <v>68</v>
      </c>
      <c r="F63" s="202" t="s">
        <v>210</v>
      </c>
      <c r="G63" s="202" t="s">
        <v>231</v>
      </c>
      <c r="H63" s="306" t="s">
        <v>209</v>
      </c>
      <c r="I63" s="306" t="s">
        <v>127</v>
      </c>
      <c r="J63" s="306" t="s">
        <v>68</v>
      </c>
      <c r="K63" s="307" t="s">
        <v>210</v>
      </c>
      <c r="L63" s="309" t="s">
        <v>231</v>
      </c>
      <c r="AB63" s="229"/>
      <c r="AE63" s="288" t="s">
        <v>112</v>
      </c>
      <c r="AF63" s="75"/>
      <c r="AG63" s="75"/>
      <c r="AH63" s="75"/>
      <c r="AI63" s="75"/>
      <c r="AJ63" s="75"/>
      <c r="AK63" s="75"/>
      <c r="AM63" s="90" t="s">
        <v>226</v>
      </c>
      <c r="AR63" s="203"/>
    </row>
    <row r="64" spans="1:44" s="48" customFormat="1" ht="15">
      <c r="A64" s="226" t="s">
        <v>128</v>
      </c>
      <c r="B64" s="341">
        <f>11.75*2</f>
        <v>23.5</v>
      </c>
      <c r="C64" s="198">
        <f>$C$76*H64</f>
        <v>0.26680000000000004</v>
      </c>
      <c r="D64" s="198">
        <f>$C$84*I64</f>
        <v>5.6000000000000008E-2</v>
      </c>
      <c r="E64" s="198">
        <f>$G$84*J64</f>
        <v>0</v>
      </c>
      <c r="F64" s="198">
        <f>$K$84*K64</f>
        <v>2</v>
      </c>
      <c r="G64" s="198">
        <f>$K$84*L64</f>
        <v>0</v>
      </c>
      <c r="H64" s="205">
        <v>0.66700000000000004</v>
      </c>
      <c r="I64" s="205">
        <v>0.14000000000000001</v>
      </c>
      <c r="J64" s="205">
        <v>0</v>
      </c>
      <c r="K64" s="205">
        <v>1</v>
      </c>
      <c r="L64" s="314">
        <v>0</v>
      </c>
      <c r="V64" s="186"/>
      <c r="W64" s="186"/>
      <c r="X64" s="186"/>
      <c r="Y64" s="186"/>
      <c r="AB64" s="290" t="s">
        <v>106</v>
      </c>
      <c r="AC64" s="90"/>
      <c r="AD64" s="90"/>
      <c r="AE64" s="372">
        <f>B64/2000*1000</f>
        <v>11.75</v>
      </c>
      <c r="AF64" s="151"/>
      <c r="AG64" s="151"/>
      <c r="AH64" s="151"/>
      <c r="AI64" s="151"/>
      <c r="AJ64" s="151"/>
      <c r="AK64" s="151"/>
      <c r="AM64" s="299">
        <f>$AM$76*I64</f>
        <v>56.000000000000007</v>
      </c>
      <c r="AO64" s="299">
        <f>$AO$84*K64</f>
        <v>2000</v>
      </c>
      <c r="AP64" s="378"/>
      <c r="AR64" s="300"/>
    </row>
    <row r="65" spans="1:44" s="48" customFormat="1" ht="15">
      <c r="A65" s="226" t="s">
        <v>121</v>
      </c>
      <c r="B65" s="204">
        <v>0</v>
      </c>
      <c r="C65" s="198">
        <f>$C$76*H65</f>
        <v>0</v>
      </c>
      <c r="D65" s="198">
        <f>$C$84*I65</f>
        <v>0</v>
      </c>
      <c r="E65" s="198">
        <f>$G$84*J65</f>
        <v>0</v>
      </c>
      <c r="F65" s="198">
        <f>$K$84*K65</f>
        <v>0</v>
      </c>
      <c r="G65" s="198">
        <f>$K$84*L65</f>
        <v>0</v>
      </c>
      <c r="H65" s="205">
        <v>0</v>
      </c>
      <c r="I65" s="205">
        <v>0</v>
      </c>
      <c r="J65" s="205">
        <v>0</v>
      </c>
      <c r="K65" s="205">
        <v>0</v>
      </c>
      <c r="L65" s="314">
        <v>0</v>
      </c>
      <c r="V65" s="186"/>
      <c r="W65" s="186"/>
      <c r="X65" s="186"/>
      <c r="Y65" s="186"/>
      <c r="AB65" s="290" t="s">
        <v>106</v>
      </c>
      <c r="AC65" s="90"/>
      <c r="AD65" s="90"/>
      <c r="AE65" s="372">
        <f>B65/2000*1000</f>
        <v>0</v>
      </c>
      <c r="AF65" s="151"/>
      <c r="AG65" s="151"/>
      <c r="AH65" s="151"/>
      <c r="AI65" s="151"/>
      <c r="AJ65" s="151"/>
      <c r="AK65" s="151"/>
      <c r="AM65" s="299">
        <f>$AM$76*I65</f>
        <v>0</v>
      </c>
      <c r="AO65" s="375">
        <f>$AO$85*J65</f>
        <v>0</v>
      </c>
      <c r="AP65" s="378"/>
      <c r="AR65" s="300"/>
    </row>
    <row r="66" spans="1:44" s="48" customFormat="1" ht="15">
      <c r="A66" s="226"/>
      <c r="B66" s="53"/>
      <c r="C66" s="389">
        <f>SUM(C64:C65)</f>
        <v>0.26680000000000004</v>
      </c>
      <c r="D66" s="389">
        <f>SUM(D64:D65)</f>
        <v>5.6000000000000008E-2</v>
      </c>
      <c r="E66" s="389">
        <f>SUM(E64:E65)</f>
        <v>0</v>
      </c>
      <c r="F66" s="389">
        <f>SUM(F64:F65)</f>
        <v>2</v>
      </c>
      <c r="G66" s="389">
        <f>SUM(G64:G65)</f>
        <v>0</v>
      </c>
      <c r="H66" s="104"/>
      <c r="I66" s="104"/>
      <c r="J66" s="104"/>
      <c r="K66" s="104"/>
      <c r="L66" s="180"/>
      <c r="V66" s="187"/>
      <c r="W66" s="187"/>
      <c r="X66" s="187"/>
      <c r="Y66" s="187"/>
      <c r="AB66" s="287"/>
      <c r="AE66" s="289"/>
      <c r="AF66" s="151"/>
      <c r="AG66" s="151"/>
      <c r="AH66" s="151"/>
      <c r="AI66" s="151"/>
      <c r="AJ66" s="151"/>
      <c r="AK66" s="151"/>
      <c r="AM66" s="299" t="s">
        <v>25</v>
      </c>
      <c r="AO66" s="375"/>
      <c r="AP66" s="378"/>
      <c r="AR66" s="300"/>
    </row>
    <row r="67" spans="1:44" s="48" customFormat="1">
      <c r="A67" s="227" t="s">
        <v>126</v>
      </c>
      <c r="B67" s="53"/>
      <c r="C67" s="53"/>
      <c r="D67" s="53"/>
      <c r="E67" s="53"/>
      <c r="F67" s="53"/>
      <c r="G67" s="53"/>
      <c r="H67" s="104"/>
      <c r="I67" s="104"/>
      <c r="J67" s="104"/>
      <c r="K67" s="104"/>
      <c r="L67" s="180"/>
      <c r="AB67" s="287"/>
      <c r="AE67" s="289"/>
      <c r="AF67" s="151"/>
      <c r="AG67" s="151"/>
      <c r="AH67" s="151"/>
      <c r="AI67" s="151"/>
      <c r="AJ67" s="151"/>
      <c r="AK67" s="151"/>
      <c r="AM67" s="299" t="s">
        <v>25</v>
      </c>
      <c r="AO67" s="375">
        <f>$AO$85*J66</f>
        <v>0</v>
      </c>
      <c r="AP67" s="378"/>
      <c r="AR67" s="300"/>
    </row>
    <row r="68" spans="1:44" s="48" customFormat="1" ht="15">
      <c r="A68" s="226" t="s">
        <v>198</v>
      </c>
      <c r="B68" s="392">
        <f>60.33+8+44</f>
        <v>112.33</v>
      </c>
      <c r="C68" s="198">
        <f>$C$77*H68</f>
        <v>0.18370000000000003</v>
      </c>
      <c r="D68" s="198">
        <f>$C$85*I68</f>
        <v>0.98000000000000009</v>
      </c>
      <c r="E68" s="198">
        <f>$G$85*J68</f>
        <v>1.8</v>
      </c>
      <c r="F68" s="198">
        <f t="shared" ref="F68:G71" si="47">$K$85*K68</f>
        <v>0</v>
      </c>
      <c r="G68" s="198">
        <f t="shared" si="47"/>
        <v>0</v>
      </c>
      <c r="H68" s="205">
        <v>0.16700000000000001</v>
      </c>
      <c r="I68" s="205">
        <v>0.56000000000000005</v>
      </c>
      <c r="J68" s="335">
        <v>1</v>
      </c>
      <c r="K68" s="205">
        <v>0</v>
      </c>
      <c r="L68" s="314">
        <v>0</v>
      </c>
      <c r="V68" s="186"/>
      <c r="W68" s="186"/>
      <c r="X68" s="186"/>
      <c r="Y68" s="186"/>
      <c r="AB68" s="290" t="s">
        <v>104</v>
      </c>
      <c r="AC68" s="90"/>
      <c r="AD68" s="90"/>
      <c r="AE68" s="372">
        <f>B68/2000*1000</f>
        <v>56.164999999999999</v>
      </c>
      <c r="AF68" s="151"/>
      <c r="AG68" s="151"/>
      <c r="AH68" s="151"/>
      <c r="AI68" s="151"/>
      <c r="AJ68" s="151"/>
      <c r="AK68" s="151"/>
      <c r="AM68" s="299">
        <f>$AM$77*I68</f>
        <v>980.00000000000011</v>
      </c>
      <c r="AN68" s="375">
        <f>$AN$85*I68</f>
        <v>980.00000000000011</v>
      </c>
      <c r="AO68" s="375">
        <f>$AO$85*J68</f>
        <v>0</v>
      </c>
      <c r="AP68" s="378"/>
      <c r="AQ68" s="375"/>
      <c r="AR68" s="302"/>
    </row>
    <row r="69" spans="1:44" s="48" customFormat="1" ht="15">
      <c r="A69" s="226" t="s">
        <v>197</v>
      </c>
      <c r="B69" s="341">
        <f>56.29*2</f>
        <v>112.58</v>
      </c>
      <c r="C69" s="198">
        <f>$C$77*H69</f>
        <v>0</v>
      </c>
      <c r="D69" s="198">
        <f>$C$85*I69</f>
        <v>0</v>
      </c>
      <c r="E69" s="198">
        <f>$G$85*J69</f>
        <v>0</v>
      </c>
      <c r="F69" s="198">
        <f t="shared" si="47"/>
        <v>0</v>
      </c>
      <c r="G69" s="198">
        <f t="shared" si="47"/>
        <v>0</v>
      </c>
      <c r="H69" s="205">
        <v>0</v>
      </c>
      <c r="I69" s="205">
        <v>0</v>
      </c>
      <c r="J69" s="205">
        <v>0</v>
      </c>
      <c r="K69" s="205">
        <v>0</v>
      </c>
      <c r="L69" s="314">
        <v>0</v>
      </c>
      <c r="AB69" s="290" t="s">
        <v>105</v>
      </c>
      <c r="AC69" s="90"/>
      <c r="AD69" s="90"/>
      <c r="AE69" s="372">
        <f>B69/2000*1000</f>
        <v>56.29</v>
      </c>
      <c r="AF69" s="151"/>
      <c r="AG69" s="151"/>
      <c r="AH69" s="151"/>
      <c r="AI69" s="151"/>
      <c r="AJ69" s="151"/>
      <c r="AK69" s="151"/>
      <c r="AM69" s="299">
        <f>$AM$77*I69</f>
        <v>0</v>
      </c>
      <c r="AN69" s="375">
        <f>$AN$85*I69</f>
        <v>0</v>
      </c>
      <c r="AO69" s="375">
        <f>$AO$85*J69</f>
        <v>0</v>
      </c>
      <c r="AP69" s="378"/>
      <c r="AQ69" s="375"/>
      <c r="AR69" s="302"/>
    </row>
    <row r="70" spans="1:44" s="48" customFormat="1" ht="15">
      <c r="A70" s="228" t="s">
        <v>236</v>
      </c>
      <c r="B70" s="402">
        <v>160</v>
      </c>
      <c r="C70" s="198">
        <v>0</v>
      </c>
      <c r="D70" s="198">
        <f>$C$85*I70</f>
        <v>0</v>
      </c>
      <c r="E70" s="198">
        <f>$G$85*J70</f>
        <v>0</v>
      </c>
      <c r="F70" s="198">
        <f t="shared" si="47"/>
        <v>0</v>
      </c>
      <c r="G70" s="198">
        <f t="shared" si="47"/>
        <v>0</v>
      </c>
      <c r="H70" s="205">
        <v>0</v>
      </c>
      <c r="I70" s="205">
        <v>0</v>
      </c>
      <c r="J70" s="205">
        <v>0</v>
      </c>
      <c r="K70" s="205">
        <v>0</v>
      </c>
      <c r="L70" s="314">
        <v>0</v>
      </c>
      <c r="M70" s="406" t="s">
        <v>237</v>
      </c>
      <c r="N70" s="406"/>
      <c r="O70" s="406"/>
      <c r="AB70" s="290" t="s">
        <v>113</v>
      </c>
      <c r="AC70" s="90"/>
      <c r="AD70" s="90"/>
      <c r="AE70" s="372">
        <f>B70/2000*1000</f>
        <v>80</v>
      </c>
      <c r="AF70" s="151"/>
      <c r="AG70" s="151"/>
      <c r="AH70" s="151"/>
      <c r="AI70" s="151"/>
      <c r="AJ70" s="151"/>
      <c r="AK70" s="151"/>
      <c r="AM70" s="299">
        <f>$AM$77*I70</f>
        <v>0</v>
      </c>
      <c r="AN70" s="375">
        <f>$AN$85*I70</f>
        <v>0</v>
      </c>
      <c r="AO70" s="375"/>
      <c r="AP70" s="378"/>
      <c r="AQ70" s="375"/>
      <c r="AR70" s="302"/>
    </row>
    <row r="71" spans="1:44" s="48" customFormat="1" ht="15">
      <c r="A71" s="226" t="s">
        <v>203</v>
      </c>
      <c r="B71" s="392">
        <f>194+44</f>
        <v>238</v>
      </c>
      <c r="C71" s="396">
        <f>$C$77*H71</f>
        <v>0.18370000000000003</v>
      </c>
      <c r="D71" s="198">
        <f>$C$85*I71</f>
        <v>0.52500000000000002</v>
      </c>
      <c r="E71" s="198">
        <f>$G$85*J71</f>
        <v>0</v>
      </c>
      <c r="F71" s="198">
        <f t="shared" si="47"/>
        <v>0</v>
      </c>
      <c r="G71" s="198">
        <f t="shared" si="47"/>
        <v>0</v>
      </c>
      <c r="H71" s="205">
        <v>0.16700000000000001</v>
      </c>
      <c r="I71" s="205">
        <v>0.3</v>
      </c>
      <c r="J71" s="205">
        <v>0</v>
      </c>
      <c r="K71" s="205">
        <v>0</v>
      </c>
      <c r="L71" s="314">
        <v>0</v>
      </c>
      <c r="V71" s="186"/>
      <c r="W71" s="186"/>
      <c r="X71" s="186"/>
      <c r="Y71" s="186"/>
      <c r="AB71" s="290" t="s">
        <v>204</v>
      </c>
      <c r="AC71" s="90"/>
      <c r="AD71" s="90"/>
      <c r="AE71" s="372">
        <f>B71/2000*1000</f>
        <v>119</v>
      </c>
      <c r="AF71" s="151"/>
      <c r="AG71" s="151"/>
      <c r="AH71" s="151"/>
      <c r="AI71" s="151"/>
      <c r="AJ71" s="151"/>
      <c r="AK71" s="151"/>
      <c r="AM71" s="299">
        <f>$AM$77*I71</f>
        <v>525</v>
      </c>
      <c r="AN71" s="375">
        <f>$AN$85*I71</f>
        <v>525</v>
      </c>
      <c r="AO71" s="375">
        <f>$AO$85*J70</f>
        <v>0</v>
      </c>
      <c r="AP71" s="378"/>
      <c r="AQ71" s="375"/>
      <c r="AR71" s="302"/>
    </row>
    <row r="72" spans="1:44" s="48" customFormat="1" ht="15">
      <c r="A72" s="229"/>
      <c r="B72" s="53"/>
      <c r="C72" s="389">
        <f>SUM(C68:C71)</f>
        <v>0.36740000000000006</v>
      </c>
      <c r="D72" s="389">
        <f>SUM(D68:D71)</f>
        <v>1.5050000000000001</v>
      </c>
      <c r="E72" s="389">
        <f>SUM(E68:E71)</f>
        <v>1.8</v>
      </c>
      <c r="F72" s="389">
        <f>SUM(F68:F71)</f>
        <v>0</v>
      </c>
      <c r="G72" s="389">
        <f>SUM(G68:G71)</f>
        <v>0</v>
      </c>
      <c r="H72" s="104"/>
      <c r="I72" s="104"/>
      <c r="L72" s="203"/>
      <c r="V72" s="186"/>
      <c r="W72" s="186"/>
      <c r="X72" s="186"/>
      <c r="Y72" s="186"/>
      <c r="AB72" s="229"/>
      <c r="AM72" s="301"/>
      <c r="AR72" s="300"/>
    </row>
    <row r="73" spans="1:44" s="48" customFormat="1">
      <c r="A73" s="229"/>
      <c r="B73" s="53"/>
      <c r="C73" s="179"/>
      <c r="D73" s="179"/>
      <c r="E73" s="179"/>
      <c r="F73" s="104"/>
      <c r="G73" s="104"/>
      <c r="H73" s="104"/>
      <c r="I73" s="104"/>
      <c r="L73" s="203"/>
      <c r="V73" s="186"/>
      <c r="W73" s="186"/>
      <c r="X73" s="186"/>
      <c r="Y73" s="186"/>
      <c r="AB73" s="229"/>
      <c r="AR73" s="300"/>
    </row>
    <row r="74" spans="1:44" s="48" customFormat="1" ht="15">
      <c r="A74" s="15"/>
      <c r="B74" s="512" t="s">
        <v>272</v>
      </c>
      <c r="C74" s="512"/>
      <c r="D74" s="512"/>
      <c r="E74" s="49"/>
      <c r="F74" s="512" t="s">
        <v>231</v>
      </c>
      <c r="G74" s="512"/>
      <c r="H74" s="512"/>
      <c r="I74" s="307"/>
      <c r="J74" s="512" t="s">
        <v>261</v>
      </c>
      <c r="K74" s="512"/>
      <c r="L74" s="512"/>
      <c r="V74" s="188"/>
      <c r="W74" s="188"/>
      <c r="X74" s="188"/>
      <c r="Y74" s="188"/>
      <c r="AB74" s="229"/>
      <c r="AE74" s="90" t="s">
        <v>209</v>
      </c>
      <c r="AR74" s="300"/>
    </row>
    <row r="75" spans="1:44" s="48" customFormat="1" ht="15" customHeight="1">
      <c r="A75" s="225"/>
      <c r="B75" s="47" t="s">
        <v>51</v>
      </c>
      <c r="C75" s="52" t="s">
        <v>53</v>
      </c>
      <c r="D75" s="47" t="s">
        <v>117</v>
      </c>
      <c r="E75" s="49"/>
      <c r="F75" s="47" t="s">
        <v>51</v>
      </c>
      <c r="G75" s="52" t="s">
        <v>53</v>
      </c>
      <c r="H75" s="47" t="s">
        <v>117</v>
      </c>
      <c r="I75" s="47"/>
      <c r="J75" s="47" t="s">
        <v>51</v>
      </c>
      <c r="K75" s="52" t="s">
        <v>53</v>
      </c>
      <c r="L75" s="47" t="s">
        <v>117</v>
      </c>
      <c r="AB75" s="229"/>
      <c r="AE75" s="288" t="s">
        <v>112</v>
      </c>
      <c r="AF75" s="75"/>
      <c r="AG75" s="75"/>
      <c r="AH75" s="75"/>
      <c r="AI75" s="75"/>
      <c r="AJ75" s="75"/>
      <c r="AK75" s="75"/>
      <c r="AR75" s="300"/>
    </row>
    <row r="76" spans="1:44" s="48" customFormat="1" ht="15">
      <c r="A76" s="42" t="s">
        <v>122</v>
      </c>
      <c r="B76" s="91">
        <v>1.2999999999999999E-2</v>
      </c>
      <c r="C76" s="198">
        <v>0.4</v>
      </c>
      <c r="D76" s="112">
        <f>B76*C76</f>
        <v>5.1999999999999998E-3</v>
      </c>
      <c r="F76" s="91">
        <f>($B$64*$L$64+$B$65*$L$65)/2000</f>
        <v>0</v>
      </c>
      <c r="G76" s="198">
        <v>0</v>
      </c>
      <c r="H76" s="112">
        <f>F76*G76</f>
        <v>0</v>
      </c>
      <c r="I76" s="45"/>
      <c r="J76" s="91">
        <f>($B$64*$L$64+$B$65*$L$65)/2000</f>
        <v>0</v>
      </c>
      <c r="K76" s="198">
        <v>0</v>
      </c>
      <c r="L76" s="112">
        <f>J76*K76</f>
        <v>0</v>
      </c>
      <c r="AB76" s="290" t="s">
        <v>106</v>
      </c>
      <c r="AD76" s="90"/>
      <c r="AE76" s="372">
        <f>B76*1000</f>
        <v>13</v>
      </c>
      <c r="AF76" s="151"/>
      <c r="AG76" s="151"/>
      <c r="AH76" s="151"/>
      <c r="AI76" s="151"/>
      <c r="AJ76" s="151"/>
      <c r="AK76" s="377" t="s">
        <v>227</v>
      </c>
      <c r="AM76" s="299">
        <f>IF(B84&lt;&gt;0,D84/B84*1000,0)</f>
        <v>400</v>
      </c>
      <c r="AR76" s="300"/>
    </row>
    <row r="77" spans="1:44" s="48" customFormat="1" ht="15">
      <c r="A77" s="230" t="s">
        <v>125</v>
      </c>
      <c r="B77" s="33">
        <f>B71/2000</f>
        <v>0.11899999999999999</v>
      </c>
      <c r="C77" s="198">
        <v>1.1000000000000001</v>
      </c>
      <c r="D77" s="171">
        <f>B77*C77</f>
        <v>0.13090000000000002</v>
      </c>
      <c r="F77" s="33">
        <f>($B$68*$L$68+$B$69*$L$69+$B$70*$L$70+$B$71*$L$71)/2000</f>
        <v>0</v>
      </c>
      <c r="G77" s="198">
        <v>0</v>
      </c>
      <c r="H77" s="171">
        <f>F77*G77</f>
        <v>0</v>
      </c>
      <c r="I77" s="63"/>
      <c r="J77" s="33">
        <f>($B$68*$L$68+$B$69*$L$69+$B$70*$L$70+$B$71*$L$71)/2000</f>
        <v>0</v>
      </c>
      <c r="K77" s="198">
        <v>0</v>
      </c>
      <c r="L77" s="171">
        <f>J77*K77</f>
        <v>0</v>
      </c>
      <c r="AB77" s="290" t="s">
        <v>107</v>
      </c>
      <c r="AD77" s="90"/>
      <c r="AE77" s="372">
        <f>B77*1000</f>
        <v>119</v>
      </c>
      <c r="AF77" s="151"/>
      <c r="AG77" s="151"/>
      <c r="AH77" s="151"/>
      <c r="AI77" s="151"/>
      <c r="AJ77" s="151"/>
      <c r="AK77" s="377" t="s">
        <v>228</v>
      </c>
      <c r="AM77" s="299">
        <f>IF(B85&lt;&gt;0,D85/B85*1000,0)</f>
        <v>1750</v>
      </c>
      <c r="AR77" s="300"/>
    </row>
    <row r="78" spans="1:44" s="48" customFormat="1" ht="15">
      <c r="A78" s="42" t="s">
        <v>217</v>
      </c>
      <c r="B78" s="33">
        <v>0.88</v>
      </c>
      <c r="C78" s="198">
        <v>0.01</v>
      </c>
      <c r="D78" s="171">
        <f>B78*C78</f>
        <v>8.8000000000000005E-3</v>
      </c>
      <c r="F78" s="33">
        <f>B86</f>
        <v>0.72599999999999998</v>
      </c>
      <c r="G78" s="198">
        <v>0</v>
      </c>
      <c r="H78" s="171">
        <f>F78*G78</f>
        <v>0</v>
      </c>
      <c r="I78" s="63"/>
      <c r="J78" s="33"/>
      <c r="K78" s="198">
        <v>0</v>
      </c>
      <c r="L78" s="171">
        <f>J78*K78</f>
        <v>0</v>
      </c>
      <c r="AB78" s="290" t="s">
        <v>108</v>
      </c>
      <c r="AD78" s="90"/>
      <c r="AE78" s="372">
        <f>B78*1000</f>
        <v>880</v>
      </c>
      <c r="AF78" s="151"/>
      <c r="AG78" s="151"/>
      <c r="AH78" s="151"/>
      <c r="AI78" s="151"/>
      <c r="AJ78" s="151"/>
      <c r="AK78" s="377" t="s">
        <v>229</v>
      </c>
      <c r="AM78" s="299">
        <f>IF(B86&lt;&gt;0,D86/B86*1000,0)</f>
        <v>8</v>
      </c>
      <c r="AR78" s="300"/>
    </row>
    <row r="79" spans="1:44" s="48" customFormat="1" ht="16.5">
      <c r="A79" s="42" t="s">
        <v>212</v>
      </c>
      <c r="B79" s="33"/>
      <c r="C79" s="198"/>
      <c r="D79" s="111">
        <v>0</v>
      </c>
      <c r="F79" s="33"/>
      <c r="G79" s="198">
        <v>0</v>
      </c>
      <c r="H79" s="111">
        <f>F79*G79</f>
        <v>0</v>
      </c>
      <c r="I79" s="51"/>
      <c r="J79" s="33"/>
      <c r="K79" s="198">
        <v>0</v>
      </c>
      <c r="L79" s="111">
        <f>J79*K79</f>
        <v>0</v>
      </c>
      <c r="AB79" s="287"/>
      <c r="AE79" s="372"/>
      <c r="AF79" s="151"/>
      <c r="AG79" s="151"/>
      <c r="AH79" s="151"/>
      <c r="AI79" s="151"/>
      <c r="AJ79" s="151"/>
      <c r="AK79" s="151"/>
      <c r="AM79" s="378"/>
      <c r="AR79" s="300"/>
    </row>
    <row r="80" spans="1:44" s="48" customFormat="1">
      <c r="A80" s="93" t="s">
        <v>123</v>
      </c>
      <c r="B80" s="64"/>
      <c r="C80" s="92"/>
      <c r="D80" s="385">
        <f>SUM(D76:D79)</f>
        <v>0.14490000000000003</v>
      </c>
      <c r="F80" s="64"/>
      <c r="G80" s="92"/>
      <c r="H80" s="385">
        <f>SUM(H76:H79)</f>
        <v>0</v>
      </c>
      <c r="I80" s="50"/>
      <c r="J80" s="64"/>
      <c r="K80" s="92"/>
      <c r="L80" s="385">
        <v>0.08</v>
      </c>
      <c r="AB80" s="229"/>
      <c r="AR80" s="300"/>
    </row>
    <row r="81" spans="1:44" s="48" customFormat="1">
      <c r="A81" s="42"/>
      <c r="E81" s="49"/>
      <c r="F81" s="54"/>
      <c r="G81" s="53"/>
      <c r="H81" s="53"/>
      <c r="I81" s="53"/>
      <c r="L81" s="203"/>
      <c r="AB81" s="229"/>
      <c r="AR81" s="300"/>
    </row>
    <row r="82" spans="1:44" ht="15">
      <c r="A82" s="15"/>
      <c r="B82" s="512" t="str">
        <f>B26</f>
        <v xml:space="preserve">CP </v>
      </c>
      <c r="C82" s="512"/>
      <c r="D82" s="512"/>
      <c r="E82" s="14"/>
      <c r="F82" s="512" t="str">
        <f>E26</f>
        <v>HSP</v>
      </c>
      <c r="G82" s="512"/>
      <c r="H82" s="512"/>
      <c r="I82" s="307"/>
      <c r="J82" s="512" t="s">
        <v>210</v>
      </c>
      <c r="K82" s="512"/>
      <c r="L82" s="513"/>
      <c r="T82" s="12"/>
      <c r="U82" s="12"/>
      <c r="V82" s="12"/>
      <c r="W82" s="12"/>
      <c r="X82" s="12"/>
      <c r="Y82" s="12"/>
      <c r="Z82" s="12"/>
      <c r="AB82" s="26"/>
      <c r="AE82" s="14" t="s">
        <v>225</v>
      </c>
      <c r="AG82" s="14" t="s">
        <v>210</v>
      </c>
      <c r="AR82" s="17"/>
    </row>
    <row r="83" spans="1:44" ht="14.25" customHeight="1">
      <c r="A83" s="15"/>
      <c r="B83" s="47" t="s">
        <v>51</v>
      </c>
      <c r="C83" s="52" t="s">
        <v>53</v>
      </c>
      <c r="D83" s="47" t="s">
        <v>117</v>
      </c>
      <c r="F83" s="47" t="s">
        <v>51</v>
      </c>
      <c r="G83" s="52" t="s">
        <v>53</v>
      </c>
      <c r="H83" s="47" t="s">
        <v>117</v>
      </c>
      <c r="I83" s="47"/>
      <c r="J83" s="47" t="s">
        <v>51</v>
      </c>
      <c r="K83" s="52" t="s">
        <v>53</v>
      </c>
      <c r="L83" s="46" t="s">
        <v>117</v>
      </c>
      <c r="T83" s="156"/>
      <c r="AB83" s="26"/>
      <c r="AE83" s="288" t="s">
        <v>112</v>
      </c>
      <c r="AF83" s="75"/>
      <c r="AG83" s="288" t="s">
        <v>112</v>
      </c>
      <c r="AH83" s="75"/>
      <c r="AI83" s="75"/>
      <c r="AJ83" s="75"/>
      <c r="AK83" s="75"/>
      <c r="AR83" s="17"/>
    </row>
    <row r="84" spans="1:44" ht="15">
      <c r="A84" s="231" t="s">
        <v>124</v>
      </c>
      <c r="B84" s="397">
        <v>1.2999999999999999E-2</v>
      </c>
      <c r="C84" s="198">
        <v>0.4</v>
      </c>
      <c r="D84" s="45">
        <f>B84*C84</f>
        <v>5.1999999999999998E-3</v>
      </c>
      <c r="F84" s="91">
        <f>($B$64*$J$64+$B$65*$J$65)/2000</f>
        <v>0</v>
      </c>
      <c r="G84" s="198">
        <v>0</v>
      </c>
      <c r="H84" s="112">
        <f>F84*G84</f>
        <v>0</v>
      </c>
      <c r="I84" s="112"/>
      <c r="J84" s="91">
        <f>($B$64*$K$64+$B$65*$K$65)/2000</f>
        <v>1.175E-2</v>
      </c>
      <c r="K84" s="198">
        <v>2</v>
      </c>
      <c r="L84" s="61">
        <f>J84*K84</f>
        <v>2.35E-2</v>
      </c>
      <c r="M84" s="156"/>
      <c r="T84" s="43"/>
      <c r="U84" s="156"/>
      <c r="V84" s="156"/>
      <c r="W84" s="156"/>
      <c r="X84" s="156"/>
      <c r="Y84" s="156"/>
      <c r="Z84" s="156"/>
      <c r="AB84" s="290" t="s">
        <v>106</v>
      </c>
      <c r="AC84" s="14"/>
      <c r="AD84" s="14"/>
      <c r="AE84" s="372">
        <f>B84*1000</f>
        <v>13</v>
      </c>
      <c r="AF84" s="151"/>
      <c r="AG84" s="372">
        <f>J84*1000</f>
        <v>11.75</v>
      </c>
      <c r="AH84" s="151"/>
      <c r="AI84" s="151"/>
      <c r="AJ84" s="151"/>
      <c r="AK84" s="151"/>
      <c r="AN84" s="375">
        <f>IF(B84&lt;&gt;0,D84/B84*1000,0)</f>
        <v>400</v>
      </c>
      <c r="AO84" s="299">
        <f>IF(J84&lt;&gt;0,L84/J84*1000,0)</f>
        <v>2000</v>
      </c>
      <c r="AP84" s="378"/>
      <c r="AQ84" s="375"/>
      <c r="AR84" s="302"/>
    </row>
    <row r="85" spans="1:44" ht="15">
      <c r="A85" s="15" t="s">
        <v>125</v>
      </c>
      <c r="B85" s="337">
        <v>6.7000000000000004E-2</v>
      </c>
      <c r="C85" s="198">
        <v>1.75</v>
      </c>
      <c r="D85" s="23">
        <f t="shared" ref="D85:D86" si="48">B85*C85</f>
        <v>0.11725000000000001</v>
      </c>
      <c r="F85" s="337">
        <f>($B$68*$J$68+$B$69*$J$69+$B$70*$J$70+$B$71*$J$71)/2000</f>
        <v>5.6165E-2</v>
      </c>
      <c r="G85" s="198">
        <v>1.8</v>
      </c>
      <c r="H85" s="171">
        <f t="shared" ref="H85:H86" si="49">F85*G85</f>
        <v>0.10109700000000001</v>
      </c>
      <c r="I85" s="23"/>
      <c r="J85" s="33">
        <f>($B$68*$K$68+$B$69*$K$69+$B$70*$K$70+$B$71*$K$71)/2000</f>
        <v>0</v>
      </c>
      <c r="K85" s="198">
        <v>1.0649999999999999</v>
      </c>
      <c r="L85" s="44">
        <f t="shared" ref="L85:L86" si="50">J85*K85</f>
        <v>0</v>
      </c>
      <c r="M85" s="156"/>
      <c r="N85" s="185"/>
      <c r="T85" s="43"/>
      <c r="U85" s="156"/>
      <c r="V85" s="156"/>
      <c r="W85" s="156"/>
      <c r="X85" s="156"/>
      <c r="Y85" s="156"/>
      <c r="Z85" s="156"/>
      <c r="AB85" s="290" t="s">
        <v>223</v>
      </c>
      <c r="AC85" s="14"/>
      <c r="AD85" s="14"/>
      <c r="AE85" s="372">
        <f>B85*1000</f>
        <v>67</v>
      </c>
      <c r="AF85" s="151"/>
      <c r="AG85" s="372">
        <f>J85*1000</f>
        <v>0</v>
      </c>
      <c r="AH85" s="151"/>
      <c r="AI85" s="151"/>
      <c r="AJ85" s="151"/>
      <c r="AK85" s="151"/>
      <c r="AN85" s="375">
        <f>IF(B85&lt;&gt;0,D85/B85*1000,0)</f>
        <v>1750</v>
      </c>
      <c r="AO85" s="299">
        <f>IF(J85&lt;&gt;0,L85/J85*1000,0)</f>
        <v>0</v>
      </c>
      <c r="AP85" s="378"/>
      <c r="AQ85" s="375"/>
      <c r="AR85" s="302"/>
    </row>
    <row r="86" spans="1:44" ht="16.5">
      <c r="A86" s="42" t="s">
        <v>217</v>
      </c>
      <c r="B86" s="337">
        <v>0.72599999999999998</v>
      </c>
      <c r="C86" s="336">
        <v>8.0000000000000002E-3</v>
      </c>
      <c r="D86" s="23">
        <f t="shared" si="48"/>
        <v>5.8079999999999998E-3</v>
      </c>
      <c r="F86" s="337">
        <f>B86</f>
        <v>0.72599999999999998</v>
      </c>
      <c r="G86" s="336">
        <v>8.0000000000000002E-3</v>
      </c>
      <c r="H86" s="171">
        <f t="shared" si="49"/>
        <v>5.8079999999999998E-3</v>
      </c>
      <c r="I86" s="111"/>
      <c r="J86" s="33">
        <f>B86</f>
        <v>0.72599999999999998</v>
      </c>
      <c r="K86" s="198">
        <v>6.4999999999999997E-3</v>
      </c>
      <c r="L86" s="317">
        <f t="shared" si="50"/>
        <v>4.7189999999999992E-3</v>
      </c>
      <c r="M86" s="405" t="s">
        <v>238</v>
      </c>
      <c r="N86" s="403"/>
      <c r="T86" s="43"/>
      <c r="U86" s="156"/>
      <c r="V86" s="156"/>
      <c r="W86" s="156"/>
      <c r="X86" s="156"/>
      <c r="Y86" s="156"/>
      <c r="Z86" s="156"/>
      <c r="AB86" s="373" t="s">
        <v>108</v>
      </c>
      <c r="AC86" s="64"/>
      <c r="AD86" s="64"/>
      <c r="AE86" s="374">
        <f>B86*1000</f>
        <v>726</v>
      </c>
      <c r="AF86" s="245"/>
      <c r="AG86" s="374">
        <f>J86*1000</f>
        <v>726</v>
      </c>
      <c r="AH86" s="245"/>
      <c r="AI86" s="245"/>
      <c r="AJ86" s="245"/>
      <c r="AK86" s="245"/>
      <c r="AL86" s="19"/>
      <c r="AM86" s="19"/>
      <c r="AN86" s="376">
        <f>IF(B86&lt;&gt;0,D86/B86*1000,0)</f>
        <v>8</v>
      </c>
      <c r="AO86" s="303">
        <f>IF(J86&lt;&gt;0,L86/J86*1000,0)</f>
        <v>6.4999999999999991</v>
      </c>
      <c r="AP86" s="379"/>
      <c r="AQ86" s="376"/>
      <c r="AR86" s="304"/>
    </row>
    <row r="87" spans="1:44" ht="16.5">
      <c r="A87" s="42" t="s">
        <v>212</v>
      </c>
      <c r="B87" s="33"/>
      <c r="C87" s="198"/>
      <c r="D87" s="22">
        <v>0</v>
      </c>
      <c r="F87" s="33"/>
      <c r="G87" s="198"/>
      <c r="H87" s="111">
        <v>0</v>
      </c>
      <c r="I87" s="111"/>
      <c r="J87" s="33"/>
      <c r="K87" s="198"/>
      <c r="L87" s="62">
        <v>0</v>
      </c>
      <c r="M87" s="156"/>
      <c r="T87" s="43"/>
      <c r="U87" s="156"/>
      <c r="V87" s="156"/>
      <c r="W87" s="156"/>
      <c r="X87" s="156"/>
      <c r="Y87" s="156"/>
      <c r="Z87" s="156"/>
      <c r="AB87" s="48"/>
      <c r="AE87" s="151"/>
      <c r="AF87" s="151"/>
      <c r="AG87" s="151"/>
      <c r="AH87" s="151"/>
      <c r="AI87" s="151"/>
      <c r="AJ87" s="151"/>
      <c r="AK87" s="151"/>
      <c r="AM87" s="14"/>
      <c r="AN87" s="301"/>
      <c r="AO87" s="301"/>
      <c r="AP87" s="301"/>
      <c r="AQ87" s="301"/>
      <c r="AR87" s="301"/>
    </row>
    <row r="88" spans="1:44">
      <c r="A88" s="108" t="s">
        <v>123</v>
      </c>
      <c r="B88" s="64"/>
      <c r="C88" s="92"/>
      <c r="D88" s="316">
        <f>SUM(D84:D86)</f>
        <v>0.12825800000000001</v>
      </c>
      <c r="E88" s="64"/>
      <c r="F88" s="64"/>
      <c r="G88" s="92"/>
      <c r="H88" s="385">
        <f>SUM(H84:H86)</f>
        <v>0.106905</v>
      </c>
      <c r="I88" s="208"/>
      <c r="J88" s="64"/>
      <c r="K88" s="92"/>
      <c r="L88" s="89">
        <f>SUM(L84:L87)</f>
        <v>2.8219000000000001E-2</v>
      </c>
    </row>
    <row r="89" spans="1:44">
      <c r="A89" s="12"/>
      <c r="D89" s="43"/>
      <c r="E89" s="39"/>
      <c r="F89" s="41"/>
      <c r="Z89" s="39"/>
      <c r="AB89" s="41"/>
    </row>
    <row r="90" spans="1:44" ht="15">
      <c r="A90" s="167" t="s">
        <v>243</v>
      </c>
      <c r="B90" s="507"/>
      <c r="C90" s="507"/>
      <c r="D90" s="507"/>
      <c r="E90" s="65"/>
      <c r="F90" s="507"/>
      <c r="G90" s="507"/>
      <c r="H90" s="508"/>
      <c r="AB90" s="12"/>
    </row>
    <row r="91" spans="1:44" ht="14.65" customHeight="1">
      <c r="A91" s="26"/>
      <c r="B91" s="408"/>
      <c r="C91" s="408"/>
      <c r="D91" s="408"/>
      <c r="E91" s="14"/>
      <c r="F91" s="408"/>
      <c r="G91" s="408"/>
      <c r="H91" s="416"/>
      <c r="AB91" s="12"/>
      <c r="AE91" s="103" t="s">
        <v>218</v>
      </c>
    </row>
    <row r="92" spans="1:44">
      <c r="A92" s="15"/>
      <c r="B92" s="14"/>
      <c r="C92" s="14"/>
      <c r="D92" s="14"/>
      <c r="E92" s="14"/>
      <c r="F92" s="14"/>
      <c r="G92" s="14"/>
      <c r="H92" s="417"/>
      <c r="U92" s="291">
        <f>$Z$14*$AD92</f>
        <v>0</v>
      </c>
      <c r="V92" s="291"/>
      <c r="W92" s="291"/>
      <c r="X92" s="291"/>
      <c r="Z92" s="291">
        <f>AA14*$AD92</f>
        <v>0</v>
      </c>
      <c r="AA92" s="248"/>
      <c r="AB92" s="293" t="s">
        <v>143</v>
      </c>
      <c r="AC92" s="249" t="s">
        <v>144</v>
      </c>
      <c r="AD92" s="154">
        <f>+AE92/AE94</f>
        <v>0.74118249855106544</v>
      </c>
      <c r="AE92" s="14">
        <v>882400</v>
      </c>
      <c r="AK92" s="12"/>
    </row>
    <row r="93" spans="1:44" ht="15">
      <c r="A93" s="15"/>
      <c r="B93" s="14"/>
      <c r="C93" s="14"/>
      <c r="D93" s="14"/>
      <c r="E93" s="14"/>
      <c r="F93" s="14"/>
      <c r="G93" s="14"/>
      <c r="H93" s="418"/>
      <c r="U93" s="292">
        <f>$Z$14*$AD93</f>
        <v>0</v>
      </c>
      <c r="V93" s="292"/>
      <c r="W93" s="292"/>
      <c r="X93" s="292"/>
      <c r="Z93" s="292">
        <f>AA14*$AD93</f>
        <v>0</v>
      </c>
      <c r="AA93" s="248"/>
      <c r="AB93" s="293" t="s">
        <v>145</v>
      </c>
      <c r="AC93" s="249" t="s">
        <v>146</v>
      </c>
      <c r="AD93" s="154">
        <f>+AE93/AE94</f>
        <v>0.25881750144893451</v>
      </c>
      <c r="AE93" s="103">
        <v>308130</v>
      </c>
      <c r="AK93" s="12"/>
    </row>
    <row r="94" spans="1:44">
      <c r="A94" s="15"/>
      <c r="B94" s="14"/>
      <c r="C94" s="14"/>
      <c r="D94" s="14"/>
      <c r="E94" s="14"/>
      <c r="F94" s="14"/>
      <c r="G94" s="14"/>
      <c r="H94" s="419"/>
      <c r="U94" s="266">
        <f>SUM(U92:U93)</f>
        <v>0</v>
      </c>
      <c r="V94" s="266"/>
      <c r="W94" s="266"/>
      <c r="X94" s="266"/>
      <c r="Z94" s="266">
        <f>SUM(Z92:Z93)</f>
        <v>0</v>
      </c>
      <c r="AA94" s="248" t="s">
        <v>77</v>
      </c>
      <c r="AB94" s="282" t="s">
        <v>78</v>
      </c>
      <c r="AC94" s="294" t="s">
        <v>120</v>
      </c>
      <c r="AD94" s="14"/>
      <c r="AE94" s="14">
        <f>SUM(AE92:AE93)</f>
        <v>1190530</v>
      </c>
      <c r="AK94" s="12"/>
    </row>
    <row r="95" spans="1:44">
      <c r="A95" s="26"/>
      <c r="H95" s="21"/>
      <c r="AA95" s="156"/>
      <c r="AD95" s="14"/>
      <c r="AE95" s="14"/>
      <c r="AK95" s="12"/>
    </row>
    <row r="96" spans="1:44">
      <c r="A96" s="15"/>
      <c r="B96" s="509"/>
      <c r="C96" s="509"/>
      <c r="D96" s="509"/>
      <c r="F96" s="509"/>
      <c r="G96" s="509"/>
      <c r="H96" s="510"/>
      <c r="AA96" s="156"/>
      <c r="AD96" s="14"/>
      <c r="AE96" s="14"/>
      <c r="AK96" s="12"/>
    </row>
    <row r="97" spans="1:37" ht="15">
      <c r="A97" s="15"/>
      <c r="B97" t="s">
        <v>244</v>
      </c>
      <c r="C97" t="s">
        <v>245</v>
      </c>
      <c r="D97" t="s">
        <v>246</v>
      </c>
      <c r="E97" t="s">
        <v>247</v>
      </c>
      <c r="F97" t="s">
        <v>248</v>
      </c>
      <c r="G97" s="446" t="s">
        <v>249</v>
      </c>
      <c r="H97" s="420" t="s">
        <v>250</v>
      </c>
      <c r="AA97" s="156"/>
      <c r="AD97" s="14"/>
      <c r="AE97" s="14"/>
      <c r="AK97" s="12"/>
    </row>
    <row r="98" spans="1:37" ht="15">
      <c r="A98" s="421" t="s">
        <v>50</v>
      </c>
      <c r="B98" s="423">
        <v>268968.01</v>
      </c>
      <c r="C98" s="423">
        <v>288390.24</v>
      </c>
      <c r="D98" s="422">
        <v>154345.41</v>
      </c>
      <c r="E98" s="422">
        <v>13412.75</v>
      </c>
      <c r="F98" s="444">
        <v>229529.76</v>
      </c>
      <c r="G98" s="423">
        <v>274156.28999999998</v>
      </c>
      <c r="H98" s="424">
        <v>267092.21000000002</v>
      </c>
      <c r="AA98" s="156"/>
      <c r="AD98" s="14"/>
      <c r="AE98" s="14"/>
      <c r="AK98" s="12"/>
    </row>
    <row r="99" spans="1:37" ht="15">
      <c r="A99" s="421" t="s">
        <v>49</v>
      </c>
      <c r="B99" s="423">
        <v>67812.91</v>
      </c>
      <c r="C99" s="423">
        <v>64354.51</v>
      </c>
      <c r="D99" s="422">
        <v>40616.39</v>
      </c>
      <c r="E99" s="422">
        <v>14950.76</v>
      </c>
      <c r="F99" s="444">
        <v>74301.16</v>
      </c>
      <c r="G99" s="423">
        <v>85619.44</v>
      </c>
      <c r="H99" s="424">
        <v>74393.95</v>
      </c>
      <c r="U99" s="291">
        <f>$Z$15*$AD99</f>
        <v>0</v>
      </c>
      <c r="V99" s="291"/>
      <c r="W99" s="291"/>
      <c r="X99" s="291"/>
      <c r="Z99" s="291">
        <f>AA15*$AD99</f>
        <v>0</v>
      </c>
      <c r="AA99" s="248"/>
      <c r="AB99" s="293" t="s">
        <v>147</v>
      </c>
      <c r="AC99" s="249" t="s">
        <v>148</v>
      </c>
      <c r="AD99" s="154">
        <f>+AE99/AE102</f>
        <v>0.7808069359104377</v>
      </c>
      <c r="AE99" s="14">
        <v>392660</v>
      </c>
      <c r="AK99" s="12"/>
    </row>
    <row r="100" spans="1:37" ht="16.5">
      <c r="A100" s="421" t="s">
        <v>48</v>
      </c>
      <c r="B100" s="423">
        <v>102162.56</v>
      </c>
      <c r="C100" s="423">
        <v>97023.8</v>
      </c>
      <c r="D100" s="422">
        <v>87771.29</v>
      </c>
      <c r="E100" s="422">
        <v>18740.91</v>
      </c>
      <c r="F100" s="444">
        <v>135347.70000000001</v>
      </c>
      <c r="G100" s="423">
        <v>89284.14</v>
      </c>
      <c r="H100" s="424">
        <v>88862.54</v>
      </c>
      <c r="U100" s="292">
        <f>$Z$15*$AD100</f>
        <v>0</v>
      </c>
      <c r="V100" s="292"/>
      <c r="W100" s="292"/>
      <c r="X100" s="292"/>
      <c r="Z100" s="292">
        <f>AA15*$AD100</f>
        <v>0</v>
      </c>
      <c r="AA100" s="248"/>
      <c r="AB100" s="293" t="s">
        <v>149</v>
      </c>
      <c r="AC100" s="249" t="s">
        <v>150</v>
      </c>
      <c r="AD100" s="154">
        <f>+AE100/AE102</f>
        <v>0.21919306408956232</v>
      </c>
      <c r="AE100" s="103">
        <v>110230</v>
      </c>
      <c r="AK100" s="12"/>
    </row>
    <row r="101" spans="1:37" ht="16.5">
      <c r="A101" s="421" t="s">
        <v>5</v>
      </c>
      <c r="B101" s="423">
        <v>6248.2</v>
      </c>
      <c r="C101" s="423">
        <v>7823.13</v>
      </c>
      <c r="D101" s="422">
        <v>4541.8500000000004</v>
      </c>
      <c r="E101" s="422">
        <v>10625.36</v>
      </c>
      <c r="F101" s="444">
        <v>11684.3</v>
      </c>
      <c r="G101" s="423">
        <v>7724.39</v>
      </c>
      <c r="H101" s="424">
        <v>6820.85</v>
      </c>
      <c r="U101" s="292"/>
      <c r="V101" s="292"/>
      <c r="W101" s="292"/>
      <c r="X101" s="292"/>
      <c r="Z101" s="292"/>
      <c r="AA101" s="248"/>
      <c r="AB101" s="293"/>
      <c r="AC101" s="249"/>
      <c r="AD101" s="154"/>
      <c r="AE101" s="103"/>
      <c r="AK101" s="12"/>
    </row>
    <row r="102" spans="1:37" ht="15">
      <c r="A102" s="425" t="s">
        <v>251</v>
      </c>
      <c r="B102" s="446">
        <v>35640</v>
      </c>
      <c r="C102" s="446">
        <v>61311</v>
      </c>
      <c r="D102">
        <v>50554</v>
      </c>
      <c r="E102"/>
      <c r="F102">
        <v>65416</v>
      </c>
      <c r="G102">
        <v>62538</v>
      </c>
      <c r="H102" s="447">
        <v>37211</v>
      </c>
      <c r="U102" s="266">
        <f>SUM(U99:U100)</f>
        <v>0</v>
      </c>
      <c r="V102" s="266"/>
      <c r="W102" s="266"/>
      <c r="X102" s="266"/>
      <c r="Z102" s="266">
        <f>SUM(Z99:Z100)</f>
        <v>0</v>
      </c>
      <c r="AA102" s="248" t="s">
        <v>77</v>
      </c>
      <c r="AB102" s="282" t="s">
        <v>79</v>
      </c>
      <c r="AC102" s="294" t="s">
        <v>120</v>
      </c>
      <c r="AD102" s="14"/>
      <c r="AE102" s="14">
        <f>SUM(AE99:AE100)</f>
        <v>502890</v>
      </c>
      <c r="AK102" s="12"/>
    </row>
    <row r="103" spans="1:37" ht="15">
      <c r="A103" s="425" t="s">
        <v>252</v>
      </c>
      <c r="B103" s="427">
        <f>B100/(B98+B99-B102+B101)</f>
        <v>0.3323558101210608</v>
      </c>
      <c r="C103" s="427">
        <f t="shared" ref="C103:H103" si="51">C100/(C98+C99-C102+C101)</f>
        <v>0.3242157707451872</v>
      </c>
      <c r="D103" s="427">
        <f t="shared" si="51"/>
        <v>0.58926818559157401</v>
      </c>
      <c r="E103" s="427">
        <f t="shared" si="51"/>
        <v>0.48067333061973838</v>
      </c>
      <c r="F103" s="427">
        <f t="shared" si="51"/>
        <v>0.54117601806195159</v>
      </c>
      <c r="G103" s="427">
        <f t="shared" si="51"/>
        <v>0.29277124647480807</v>
      </c>
      <c r="H103" s="427">
        <f t="shared" si="51"/>
        <v>0.28564345778655276</v>
      </c>
      <c r="U103"/>
      <c r="V103"/>
      <c r="W103"/>
      <c r="X103"/>
      <c r="Z103"/>
      <c r="AA103" s="106"/>
      <c r="AB103" s="105"/>
      <c r="AC103" s="157"/>
      <c r="AD103" s="14"/>
      <c r="AE103" s="14"/>
    </row>
    <row r="104" spans="1:37" ht="15">
      <c r="A104" s="425"/>
      <c r="B104" s="426"/>
      <c r="C104" s="426"/>
      <c r="D104" s="426"/>
      <c r="E104" s="426"/>
      <c r="F104" s="426"/>
      <c r="G104" s="426"/>
      <c r="H104" s="428"/>
      <c r="U104" s="291">
        <f t="shared" ref="U104:U109" si="52">$Z$16*$AD104</f>
        <v>0</v>
      </c>
      <c r="V104" s="291"/>
      <c r="W104" s="291"/>
      <c r="X104" s="291"/>
      <c r="Z104" s="291">
        <f>$AA$16*$AD104</f>
        <v>0</v>
      </c>
      <c r="AA104" s="264"/>
      <c r="AB104" s="293" t="s">
        <v>151</v>
      </c>
      <c r="AC104" s="249" t="s">
        <v>152</v>
      </c>
      <c r="AD104" s="154">
        <f>+AE104/AE110</f>
        <v>0.16798959828108226</v>
      </c>
      <c r="AE104" s="14">
        <v>109692</v>
      </c>
    </row>
    <row r="105" spans="1:37">
      <c r="A105" s="15"/>
      <c r="B105" s="54"/>
      <c r="C105" s="429"/>
      <c r="D105" s="25" t="s">
        <v>253</v>
      </c>
      <c r="E105" s="79"/>
      <c r="F105" s="54" t="s">
        <v>254</v>
      </c>
      <c r="G105" s="429"/>
      <c r="H105" s="417"/>
      <c r="I105" s="338"/>
      <c r="J105" s="338"/>
      <c r="K105" s="403"/>
      <c r="L105" s="404"/>
      <c r="M105" s="403"/>
      <c r="N105" s="403"/>
      <c r="U105" s="291">
        <f t="shared" si="52"/>
        <v>0</v>
      </c>
      <c r="V105" s="291"/>
      <c r="W105" s="291"/>
      <c r="X105" s="291"/>
      <c r="Z105" s="291">
        <f t="shared" ref="Z105:Z109" si="53">$AA$16*$AD105</f>
        <v>0</v>
      </c>
      <c r="AA105" s="264"/>
      <c r="AB105" s="293" t="s">
        <v>153</v>
      </c>
      <c r="AC105" s="249" t="s">
        <v>154</v>
      </c>
      <c r="AD105" s="154">
        <f>+AE105/AE110</f>
        <v>0.14075553357050641</v>
      </c>
      <c r="AE105" s="14">
        <v>91909</v>
      </c>
    </row>
    <row r="106" spans="1:37" ht="15">
      <c r="A106" s="421" t="s">
        <v>255</v>
      </c>
      <c r="B106" s="430">
        <v>46</v>
      </c>
      <c r="C106" s="40"/>
      <c r="D106" s="38">
        <f>(AVERAGE((B98-B102),(C98-C102),(G98-G102),(H98-H102)))/B106</f>
        <v>4901.667119565217</v>
      </c>
      <c r="E106" s="79"/>
      <c r="F106" s="431">
        <f>D106*B106</f>
        <v>225476.68749999997</v>
      </c>
      <c r="G106" s="40"/>
      <c r="H106" s="445"/>
      <c r="U106" s="291">
        <f t="shared" si="52"/>
        <v>0</v>
      </c>
      <c r="V106" s="291"/>
      <c r="W106" s="291"/>
      <c r="X106" s="291"/>
      <c r="Z106" s="291">
        <f t="shared" si="53"/>
        <v>0</v>
      </c>
      <c r="AA106" s="264"/>
      <c r="AB106" s="293" t="s">
        <v>155</v>
      </c>
      <c r="AC106" s="249" t="s">
        <v>156</v>
      </c>
      <c r="AD106" s="154">
        <f>+AE106/AE110</f>
        <v>6.9911435305504546E-2</v>
      </c>
      <c r="AE106" s="14">
        <v>45650</v>
      </c>
    </row>
    <row r="107" spans="1:37" ht="15">
      <c r="A107" s="421" t="s">
        <v>256</v>
      </c>
      <c r="B107" s="430">
        <v>16</v>
      </c>
      <c r="C107" s="95"/>
      <c r="D107" s="38">
        <f>AVERAGE($G$99:$H$99,B99:C99)/B107</f>
        <v>4565.32515625</v>
      </c>
      <c r="E107" s="79"/>
      <c r="F107" s="431">
        <f>D107*B107</f>
        <v>73045.202499999999</v>
      </c>
      <c r="G107" s="432"/>
      <c r="H107" s="21"/>
      <c r="U107" s="291">
        <f t="shared" si="52"/>
        <v>0</v>
      </c>
      <c r="V107" s="291"/>
      <c r="W107" s="291"/>
      <c r="X107" s="291"/>
      <c r="Z107" s="291">
        <f t="shared" si="53"/>
        <v>0</v>
      </c>
      <c r="AA107" s="264"/>
      <c r="AB107" s="293" t="s">
        <v>157</v>
      </c>
      <c r="AC107" s="249" t="s">
        <v>158</v>
      </c>
      <c r="AD107" s="154">
        <f>+AE107/AE110</f>
        <v>0.33790731259830098</v>
      </c>
      <c r="AE107" s="14">
        <v>220643</v>
      </c>
    </row>
    <row r="108" spans="1:37">
      <c r="A108" s="93"/>
      <c r="B108" s="197"/>
      <c r="C108" s="411"/>
      <c r="D108" s="433"/>
      <c r="E108" s="79"/>
      <c r="F108" s="434"/>
      <c r="G108" s="448"/>
      <c r="H108" s="435"/>
      <c r="U108" s="291">
        <f t="shared" si="52"/>
        <v>0</v>
      </c>
      <c r="V108" s="291"/>
      <c r="W108" s="291"/>
      <c r="X108" s="291"/>
      <c r="Z108" s="291">
        <f t="shared" si="53"/>
        <v>0</v>
      </c>
      <c r="AA108" s="264"/>
      <c r="AB108" s="293" t="s">
        <v>159</v>
      </c>
      <c r="AC108" s="249" t="s">
        <v>160</v>
      </c>
      <c r="AD108" s="154">
        <f>+AE108/AE110</f>
        <v>0.25840583549908186</v>
      </c>
      <c r="AE108" s="14">
        <v>168731</v>
      </c>
    </row>
    <row r="109" spans="1:37" ht="15">
      <c r="A109" s="436" t="s">
        <v>257</v>
      </c>
      <c r="B109" s="197">
        <v>6</v>
      </c>
      <c r="C109" s="411"/>
      <c r="D109" s="38">
        <f>D106</f>
        <v>4901.667119565217</v>
      </c>
      <c r="E109" s="79"/>
      <c r="F109" s="431">
        <f>D109*B109</f>
        <v>29410.002717391304</v>
      </c>
      <c r="G109" s="152"/>
      <c r="H109" s="435"/>
      <c r="I109" s="78"/>
      <c r="U109" s="292">
        <f t="shared" si="52"/>
        <v>0</v>
      </c>
      <c r="V109" s="292"/>
      <c r="W109" s="292"/>
      <c r="X109" s="292"/>
      <c r="Z109" s="292">
        <f t="shared" si="53"/>
        <v>0</v>
      </c>
      <c r="AA109" s="264"/>
      <c r="AB109" s="293" t="s">
        <v>161</v>
      </c>
      <c r="AC109" s="249" t="s">
        <v>162</v>
      </c>
      <c r="AD109" s="154">
        <f>+AE109/AE110</f>
        <v>2.5030284745523906E-2</v>
      </c>
      <c r="AE109" s="103">
        <v>16344</v>
      </c>
    </row>
    <row r="110" spans="1:37">
      <c r="A110" s="436" t="s">
        <v>258</v>
      </c>
      <c r="B110" s="197">
        <v>6</v>
      </c>
      <c r="C110" s="411"/>
      <c r="D110" s="38">
        <f>D107</f>
        <v>4565.32515625</v>
      </c>
      <c r="E110" s="79"/>
      <c r="F110" s="431">
        <f>D110*B110</f>
        <v>27391.950937499998</v>
      </c>
      <c r="G110" s="448"/>
      <c r="H110" s="437"/>
      <c r="J110" s="38"/>
      <c r="K110" s="38"/>
      <c r="L110" s="38"/>
      <c r="U110" s="266">
        <f>SUM(U104:U109)</f>
        <v>0</v>
      </c>
      <c r="V110" s="266"/>
      <c r="W110" s="266"/>
      <c r="X110" s="266"/>
      <c r="Z110" s="266">
        <f>SUM(Z104:Z109)</f>
        <v>0</v>
      </c>
      <c r="AA110" s="248" t="s">
        <v>77</v>
      </c>
      <c r="AB110" s="282" t="s">
        <v>80</v>
      </c>
      <c r="AC110" s="294" t="s">
        <v>120</v>
      </c>
      <c r="AD110" s="14"/>
      <c r="AE110" s="14">
        <f>SUM(AE104:AE109)</f>
        <v>652969</v>
      </c>
    </row>
    <row r="111" spans="1:37">
      <c r="A111" s="15"/>
      <c r="B111" s="414"/>
      <c r="F111" s="438"/>
      <c r="H111" s="21"/>
    </row>
    <row r="112" spans="1:37">
      <c r="A112" s="15" t="s">
        <v>259</v>
      </c>
      <c r="B112" s="54">
        <f>B106+B109</f>
        <v>52</v>
      </c>
      <c r="C112" s="40"/>
      <c r="D112" s="38">
        <f>D106</f>
        <v>4901.667119565217</v>
      </c>
      <c r="F112" s="439">
        <f>D112*B112</f>
        <v>254886.6902173913</v>
      </c>
      <c r="H112" s="21"/>
    </row>
    <row r="113" spans="1:45">
      <c r="A113" s="15" t="s">
        <v>260</v>
      </c>
      <c r="B113" s="54">
        <f>B107+B110</f>
        <v>22</v>
      </c>
      <c r="C113" s="95"/>
      <c r="D113" s="38">
        <f>D106</f>
        <v>4901.667119565217</v>
      </c>
      <c r="F113" s="439">
        <f>D113*B113</f>
        <v>107836.67663043477</v>
      </c>
      <c r="H113" s="21"/>
      <c r="J113" s="69"/>
      <c r="K113" s="69"/>
      <c r="L113" s="69"/>
      <c r="S113" s="70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70"/>
      <c r="AF113" s="70"/>
      <c r="AG113" s="70"/>
      <c r="AH113" s="70"/>
      <c r="AI113" s="70"/>
      <c r="AJ113" s="70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 spans="1:45">
      <c r="A114" s="93" t="s">
        <v>5</v>
      </c>
      <c r="B114" s="54"/>
      <c r="C114" s="40"/>
      <c r="D114" s="94"/>
      <c r="F114" s="440">
        <v>7154</v>
      </c>
      <c r="H114" s="21"/>
      <c r="J114" s="69"/>
      <c r="K114" s="69"/>
      <c r="L114" s="69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 spans="1:45" ht="15">
      <c r="A115" s="93" t="s">
        <v>48</v>
      </c>
      <c r="B115" s="449"/>
      <c r="C115" s="95"/>
      <c r="D115" s="441"/>
      <c r="F115" s="440">
        <f>(F112+F113+F114)*0.3</f>
        <v>110963.21005434782</v>
      </c>
      <c r="H115" s="21"/>
      <c r="J115" s="69"/>
      <c r="K115" s="69"/>
      <c r="L115" s="69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 spans="1:45">
      <c r="A116" s="108"/>
      <c r="B116" s="241"/>
      <c r="C116" s="442"/>
      <c r="D116" s="443"/>
      <c r="E116" s="19"/>
      <c r="F116" s="19"/>
      <c r="G116" s="19"/>
      <c r="H116" s="18"/>
      <c r="I116" s="79"/>
      <c r="J116" s="243"/>
      <c r="K116" s="72"/>
      <c r="L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 spans="1:45">
      <c r="I117" s="79"/>
      <c r="J117" s="72"/>
      <c r="K117" s="72"/>
      <c r="L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 spans="1:45">
      <c r="A118" s="413"/>
      <c r="B118" s="414"/>
      <c r="C118" s="96"/>
      <c r="D118" s="415"/>
      <c r="E118" s="79"/>
      <c r="I118" s="79"/>
      <c r="J118" s="72"/>
      <c r="K118" s="72"/>
      <c r="L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 spans="1:45">
      <c r="A119" s="14"/>
      <c r="B119" s="54"/>
      <c r="C119" s="95"/>
      <c r="D119" s="94"/>
      <c r="J119" s="72"/>
      <c r="K119" s="72"/>
      <c r="L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 spans="1:45">
      <c r="A120" s="409"/>
      <c r="B120" s="54"/>
      <c r="C120" s="95"/>
      <c r="D120" s="94"/>
      <c r="J120" s="72"/>
      <c r="K120" s="72"/>
      <c r="L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3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 spans="1:45">
      <c r="A121" s="410"/>
      <c r="B121" s="197"/>
      <c r="C121" s="411"/>
      <c r="D121" s="412"/>
      <c r="J121" s="72"/>
      <c r="K121" s="72"/>
      <c r="L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3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 spans="1:45" ht="16.5" customHeight="1">
      <c r="A122" s="409"/>
      <c r="B122" s="54"/>
      <c r="C122" s="95"/>
      <c r="D122" s="94"/>
      <c r="J122" s="72"/>
      <c r="K122" s="72"/>
      <c r="L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3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 spans="1:45">
      <c r="A123" s="410"/>
      <c r="B123" s="197"/>
      <c r="C123" s="411"/>
      <c r="D123" s="412"/>
      <c r="E123" s="79"/>
      <c r="J123" s="72"/>
      <c r="K123" s="72"/>
      <c r="L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3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 spans="1:45">
      <c r="D124" s="36"/>
      <c r="H124" s="36"/>
      <c r="J124" s="72"/>
      <c r="K124" s="72"/>
      <c r="L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3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 spans="1:45" ht="14.65" customHeight="1">
      <c r="A125" s="114" t="s">
        <v>47</v>
      </c>
      <c r="B125" s="115"/>
      <c r="C125" s="115"/>
      <c r="D125" s="115"/>
      <c r="E125" s="115"/>
      <c r="F125" s="115"/>
      <c r="G125" s="115"/>
      <c r="H125" s="116"/>
      <c r="J125" s="70"/>
      <c r="K125" s="70"/>
      <c r="L125" s="70"/>
      <c r="S125" s="70"/>
      <c r="T125" s="70">
        <f>+B24+B47</f>
        <v>0</v>
      </c>
      <c r="U125" s="71" t="e">
        <f>+T125/SUM($T$125:$T$126)</f>
        <v>#DIV/0!</v>
      </c>
      <c r="V125" s="71"/>
      <c r="W125" s="71"/>
      <c r="X125" s="71"/>
      <c r="Y125" s="71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 spans="1:45" ht="12.75" customHeight="1">
      <c r="A126" s="117"/>
      <c r="B126" s="118"/>
      <c r="C126" s="118"/>
      <c r="D126" s="119"/>
      <c r="E126" s="118"/>
      <c r="F126" s="118"/>
      <c r="G126" s="118"/>
      <c r="H126" s="120"/>
      <c r="J126" s="70"/>
      <c r="K126" s="70"/>
      <c r="L126" s="70"/>
      <c r="S126" s="70"/>
      <c r="T126" s="70">
        <f>+E47</f>
        <v>0</v>
      </c>
      <c r="U126" s="71" t="e">
        <f>+T126/SUM($T$125:$T$126)</f>
        <v>#DIV/0!</v>
      </c>
      <c r="V126" s="71"/>
      <c r="W126" s="71"/>
      <c r="X126" s="71"/>
      <c r="Y126" s="71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 spans="1:45" ht="12.75" customHeight="1">
      <c r="A127" s="121" t="s">
        <v>46</v>
      </c>
      <c r="B127" s="122">
        <v>720</v>
      </c>
      <c r="C127" s="123"/>
      <c r="D127" s="118"/>
      <c r="E127" s="118"/>
      <c r="F127" s="124" t="s">
        <v>45</v>
      </c>
      <c r="G127" s="118"/>
      <c r="H127" s="125"/>
      <c r="J127" s="70"/>
      <c r="K127" s="70"/>
      <c r="L127" s="70"/>
      <c r="S127" s="70"/>
      <c r="T127" s="70">
        <f>+T125*1000/T131</f>
        <v>0</v>
      </c>
      <c r="U127" s="70"/>
      <c r="V127" s="70"/>
      <c r="W127" s="70"/>
      <c r="X127" s="70"/>
      <c r="Y127" s="70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 spans="1:45" ht="15" customHeight="1">
      <c r="A128" s="121" t="s">
        <v>44</v>
      </c>
      <c r="B128" s="126">
        <v>11.5</v>
      </c>
      <c r="C128" s="126"/>
      <c r="D128" s="126"/>
      <c r="E128" s="118"/>
      <c r="F128" s="183" t="s">
        <v>89</v>
      </c>
      <c r="G128" s="183"/>
      <c r="H128" s="127">
        <v>0</v>
      </c>
      <c r="J128" s="70"/>
      <c r="K128" s="70"/>
      <c r="L128" s="70"/>
      <c r="S128" s="70"/>
      <c r="T128" s="70">
        <f>+T126*1000/T136</f>
        <v>0</v>
      </c>
      <c r="U128" s="70"/>
      <c r="V128" s="70"/>
      <c r="W128" s="70"/>
      <c r="X128" s="70"/>
      <c r="Y128" s="70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 spans="1:45" ht="12.75" customHeight="1">
      <c r="A129" s="117"/>
      <c r="B129" s="128">
        <f>+B128*B127</f>
        <v>8280</v>
      </c>
      <c r="C129" s="129"/>
      <c r="D129" s="130"/>
      <c r="E129" s="118"/>
      <c r="F129" s="183" t="s">
        <v>88</v>
      </c>
      <c r="G129" s="183"/>
      <c r="H129" s="127">
        <f>+C116</f>
        <v>0</v>
      </c>
      <c r="J129" s="70"/>
      <c r="K129" s="70"/>
      <c r="L129" s="70"/>
      <c r="T129" s="70"/>
      <c r="U129" s="70"/>
      <c r="V129" s="70"/>
      <c r="W129" s="70"/>
      <c r="X129" s="70"/>
      <c r="Y129" s="70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 spans="1:45" ht="12.75" customHeight="1">
      <c r="A130" s="121" t="s">
        <v>43</v>
      </c>
      <c r="B130" s="118">
        <v>3600</v>
      </c>
      <c r="C130" s="131"/>
      <c r="D130" s="132"/>
      <c r="E130" s="118"/>
      <c r="F130" s="183" t="s">
        <v>87</v>
      </c>
      <c r="G130" s="183"/>
      <c r="H130" s="133">
        <f>+SUM(H128:H129)*0.45</f>
        <v>0</v>
      </c>
      <c r="J130" s="70"/>
      <c r="K130" s="70"/>
      <c r="L130" s="70"/>
      <c r="S130" s="70"/>
      <c r="T130" s="70"/>
      <c r="U130" s="70"/>
      <c r="V130" s="70"/>
      <c r="W130" s="70"/>
      <c r="X130" s="70"/>
      <c r="Y130" s="70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 spans="1:45" ht="15" customHeight="1">
      <c r="A131" s="121" t="s">
        <v>42</v>
      </c>
      <c r="B131" s="131">
        <f>+B129/B130</f>
        <v>2.2999999999999998</v>
      </c>
      <c r="C131" s="119"/>
      <c r="D131" s="134"/>
      <c r="E131" s="118"/>
      <c r="F131" s="183" t="s">
        <v>41</v>
      </c>
      <c r="G131" s="183"/>
      <c r="H131" s="135">
        <f>SUM(H128:H130)</f>
        <v>0</v>
      </c>
      <c r="J131" s="70"/>
      <c r="K131" s="70"/>
      <c r="L131" s="70"/>
      <c r="S131" s="70"/>
      <c r="T131" s="70">
        <v>900000</v>
      </c>
      <c r="U131" s="70"/>
      <c r="V131" s="70"/>
      <c r="W131" s="70"/>
      <c r="X131" s="70"/>
      <c r="Y131" s="70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 spans="1:45" ht="12.75" customHeight="1">
      <c r="A132" s="121" t="s">
        <v>40</v>
      </c>
      <c r="B132" s="136">
        <v>0.2</v>
      </c>
      <c r="C132" s="118"/>
      <c r="D132" s="137"/>
      <c r="E132" s="118"/>
      <c r="F132" s="183" t="s">
        <v>86</v>
      </c>
      <c r="G132" s="183"/>
      <c r="H132" s="138">
        <f>+H131/60</f>
        <v>0</v>
      </c>
      <c r="J132" s="70"/>
      <c r="K132" s="70"/>
      <c r="L132" s="70"/>
      <c r="S132" s="70"/>
      <c r="T132" s="70">
        <v>24</v>
      </c>
      <c r="U132" s="70"/>
      <c r="V132" s="70"/>
      <c r="W132" s="70"/>
      <c r="X132" s="70"/>
      <c r="Y132" s="70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 spans="1:45" ht="12.75" customHeight="1">
      <c r="A133" s="117" t="s">
        <v>39</v>
      </c>
      <c r="B133" s="139">
        <f>+B131*B132</f>
        <v>0.45999999999999996</v>
      </c>
      <c r="C133" s="140"/>
      <c r="D133" s="140"/>
      <c r="E133" s="140"/>
      <c r="F133" s="140"/>
      <c r="G133" s="140"/>
      <c r="H133" s="141"/>
      <c r="J133" s="70"/>
      <c r="K133" s="70"/>
      <c r="L133" s="70"/>
      <c r="S133" s="70"/>
      <c r="T133" s="70">
        <v>60</v>
      </c>
      <c r="U133" s="70"/>
      <c r="V133" s="70"/>
      <c r="W133" s="70"/>
      <c r="X133" s="70"/>
      <c r="Y133" s="70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 spans="1:45" ht="15" customHeight="1">
      <c r="A134" s="117"/>
      <c r="B134" s="126"/>
      <c r="C134" s="126"/>
      <c r="D134" s="126"/>
      <c r="E134" s="118"/>
      <c r="F134" s="142" t="s">
        <v>38</v>
      </c>
      <c r="G134" s="126"/>
      <c r="H134" s="143"/>
      <c r="J134" s="70"/>
      <c r="K134" s="70"/>
      <c r="L134" s="70"/>
      <c r="S134" s="70"/>
      <c r="T134" s="70">
        <f>+T131/T132/T133</f>
        <v>625</v>
      </c>
      <c r="U134" s="70"/>
      <c r="V134" s="70"/>
      <c r="W134" s="70"/>
      <c r="X134" s="70"/>
      <c r="Y134" s="70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 spans="1:45" ht="12.75" customHeight="1">
      <c r="A135" s="144"/>
      <c r="B135" s="140">
        <f>8.5*2*60</f>
        <v>1020</v>
      </c>
      <c r="C135" s="129"/>
      <c r="D135" s="130"/>
      <c r="E135" s="118"/>
      <c r="F135" s="183" t="s">
        <v>85</v>
      </c>
      <c r="G135" s="183"/>
      <c r="H135" s="145">
        <f>275*360</f>
        <v>99000</v>
      </c>
      <c r="J135" s="70"/>
      <c r="K135" s="70"/>
      <c r="L135" s="70"/>
      <c r="T135" s="70"/>
      <c r="U135" s="70"/>
      <c r="V135" s="70"/>
      <c r="W135" s="70"/>
      <c r="X135" s="70"/>
      <c r="Y135" s="70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 spans="1:45" ht="12.75" customHeight="1">
      <c r="A136" s="117"/>
      <c r="B136" s="146"/>
      <c r="C136" s="131"/>
      <c r="D136" s="132"/>
      <c r="E136" s="118"/>
      <c r="F136" s="183" t="s">
        <v>37</v>
      </c>
      <c r="G136" s="183"/>
      <c r="H136" s="147">
        <f>+(((H135/350)/24)/60)</f>
        <v>0.19642857142857142</v>
      </c>
      <c r="J136" s="70"/>
      <c r="K136" s="70"/>
      <c r="L136" s="70"/>
      <c r="S136" s="70"/>
      <c r="T136" s="70">
        <v>700000</v>
      </c>
      <c r="U136" s="70"/>
      <c r="V136" s="70"/>
      <c r="W136" s="70"/>
      <c r="X136" s="70"/>
      <c r="Y136" s="70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 spans="1:45" ht="15" customHeight="1">
      <c r="A137" s="121" t="s">
        <v>36</v>
      </c>
      <c r="B137" s="148">
        <v>546</v>
      </c>
      <c r="C137" s="119"/>
      <c r="D137" s="134"/>
      <c r="E137" s="118"/>
      <c r="F137" s="149"/>
      <c r="G137" s="119"/>
      <c r="H137" s="150"/>
      <c r="J137" s="70"/>
      <c r="K137" s="70"/>
      <c r="L137" s="70"/>
      <c r="S137" s="70"/>
      <c r="T137" s="70">
        <v>24</v>
      </c>
      <c r="U137" s="70"/>
      <c r="V137" s="70"/>
      <c r="W137" s="70"/>
      <c r="X137" s="70"/>
      <c r="Y137" s="70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 spans="1:45" ht="12.75" customHeight="1">
      <c r="A138" s="318" t="s">
        <v>35</v>
      </c>
      <c r="B138" s="319">
        <f>+B133+H132+H136</f>
        <v>0.65642857142857136</v>
      </c>
      <c r="C138" s="320"/>
      <c r="D138" s="321"/>
      <c r="E138" s="320"/>
      <c r="F138" s="322" t="s">
        <v>34</v>
      </c>
      <c r="G138" s="322"/>
      <c r="H138" s="323">
        <f>+B138/B137</f>
        <v>1.2022501308215593E-3</v>
      </c>
      <c r="J138" s="70"/>
      <c r="K138" s="70"/>
      <c r="L138" s="70"/>
      <c r="S138" s="70"/>
      <c r="T138" s="70">
        <v>60</v>
      </c>
      <c r="U138" s="70"/>
      <c r="V138" s="70"/>
      <c r="W138" s="70"/>
      <c r="X138" s="70"/>
      <c r="Y138" s="70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 spans="1:45" ht="12.75" customHeight="1">
      <c r="J139" s="70"/>
      <c r="K139" s="70"/>
      <c r="L139" s="70"/>
      <c r="S139" s="70"/>
      <c r="T139" s="70">
        <f>+T136/T137/T138</f>
        <v>486.11111111111114</v>
      </c>
      <c r="U139" s="70"/>
      <c r="V139" s="70"/>
      <c r="W139" s="70"/>
      <c r="X139" s="70"/>
      <c r="Y139" s="70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 spans="1:45" ht="15">
      <c r="A140" s="67" t="s">
        <v>33</v>
      </c>
      <c r="B140" s="305"/>
      <c r="C140" s="305"/>
      <c r="D140" s="217">
        <v>9.06</v>
      </c>
      <c r="E140" s="305"/>
      <c r="F140" s="305"/>
      <c r="G140" s="305"/>
      <c r="H140" s="305"/>
      <c r="I140" s="13"/>
      <c r="J140" s="216"/>
      <c r="M140" s="72"/>
      <c r="N140" s="57"/>
      <c r="O140" s="57"/>
      <c r="P140" s="5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 spans="1:45" ht="15">
      <c r="A141" s="15"/>
      <c r="B141" s="503" t="s">
        <v>32</v>
      </c>
      <c r="C141" s="504"/>
      <c r="D141" s="217">
        <v>9</v>
      </c>
      <c r="E141" s="503" t="s">
        <v>31</v>
      </c>
      <c r="F141" s="504"/>
      <c r="G141" s="217">
        <f>887724/13360543</f>
        <v>6.6443706666712579E-2</v>
      </c>
      <c r="H141" s="505" t="s">
        <v>199</v>
      </c>
      <c r="I141" s="506"/>
      <c r="J141" s="382">
        <f>450000*12</f>
        <v>5400000</v>
      </c>
      <c r="M141" s="22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 spans="1:45">
      <c r="A142" s="15"/>
      <c r="B142" s="14"/>
      <c r="C142" s="14"/>
      <c r="D142" s="14"/>
      <c r="E142" s="14"/>
      <c r="F142" s="14"/>
      <c r="G142" s="14"/>
      <c r="H142" s="498" t="s">
        <v>200</v>
      </c>
      <c r="I142" s="499"/>
      <c r="J142" s="223" t="e">
        <f>ROUND(J141/B49/1000,3)</f>
        <v>#DIV/0!</v>
      </c>
      <c r="M142" s="22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 spans="1:45" ht="15" customHeight="1">
      <c r="A143" s="15"/>
      <c r="B143" s="500" t="s">
        <v>209</v>
      </c>
      <c r="C143" s="501"/>
      <c r="D143" s="502"/>
      <c r="E143" s="500" t="s">
        <v>210</v>
      </c>
      <c r="F143" s="501"/>
      <c r="G143" s="502"/>
      <c r="H143" s="500" t="s">
        <v>231</v>
      </c>
      <c r="I143" s="501"/>
      <c r="J143" s="502"/>
      <c r="M143" s="22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 spans="1:45" ht="25.5">
      <c r="A144" s="15"/>
      <c r="B144" s="218" t="s">
        <v>186</v>
      </c>
      <c r="C144" s="77" t="s">
        <v>187</v>
      </c>
      <c r="D144" s="31" t="s">
        <v>188</v>
      </c>
      <c r="E144" s="218" t="s">
        <v>186</v>
      </c>
      <c r="F144" s="77" t="s">
        <v>187</v>
      </c>
      <c r="G144" s="31" t="s">
        <v>188</v>
      </c>
      <c r="H144" s="218" t="s">
        <v>186</v>
      </c>
      <c r="I144" s="77" t="s">
        <v>187</v>
      </c>
      <c r="J144" s="31" t="s">
        <v>188</v>
      </c>
      <c r="M144" s="222"/>
      <c r="S144" s="72"/>
      <c r="T144" s="72"/>
      <c r="U144" s="158"/>
      <c r="V144" s="158"/>
      <c r="W144" s="158"/>
      <c r="X144" s="158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 spans="1:45" ht="15">
      <c r="A145" s="15" t="s">
        <v>28</v>
      </c>
      <c r="B145" s="219">
        <f>4007378/6210546</f>
        <v>0.64525373453477364</v>
      </c>
      <c r="C145" s="398">
        <v>7.2999999999999995E-2</v>
      </c>
      <c r="D145" s="113">
        <f>B145*C145</f>
        <v>4.7103522621038472E-2</v>
      </c>
      <c r="E145" s="219" t="e">
        <f>0.215+$J$142</f>
        <v>#DIV/0!</v>
      </c>
      <c r="F145" s="76">
        <f>G141</f>
        <v>6.6443706666712579E-2</v>
      </c>
      <c r="G145" s="113" t="e">
        <f>E145*F145</f>
        <v>#DIV/0!</v>
      </c>
      <c r="H145" s="219">
        <v>0.12280000000000001</v>
      </c>
      <c r="I145" s="76">
        <f>$G$141</f>
        <v>6.6443706666712579E-2</v>
      </c>
      <c r="J145" s="113">
        <f>H145*I145</f>
        <v>8.1592871786723056E-3</v>
      </c>
      <c r="M145" s="22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 spans="1:45" ht="16.5">
      <c r="A146" s="15" t="s">
        <v>27</v>
      </c>
      <c r="B146" s="219">
        <f>91968/6210546</f>
        <v>1.4808359844689983E-2</v>
      </c>
      <c r="C146" s="399">
        <v>4</v>
      </c>
      <c r="D146" s="62">
        <f>B146*C146</f>
        <v>5.9233439378759932E-2</v>
      </c>
      <c r="E146" s="219">
        <f>0.008</f>
        <v>8.0000000000000002E-3</v>
      </c>
      <c r="F146" s="40">
        <f>$D$141</f>
        <v>9</v>
      </c>
      <c r="G146" s="62">
        <f>E146*F146</f>
        <v>7.2000000000000008E-2</v>
      </c>
      <c r="H146" s="219">
        <v>1.6999999999999999E-3</v>
      </c>
      <c r="I146" s="40">
        <f>$D$141</f>
        <v>9</v>
      </c>
      <c r="J146" s="62">
        <f>H146*I146</f>
        <v>1.5299999999999999E-2</v>
      </c>
      <c r="M146" s="22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 spans="1:45" ht="15">
      <c r="A147" s="15" t="s">
        <v>26</v>
      </c>
      <c r="B147" s="15"/>
      <c r="C147" s="14"/>
      <c r="D147" s="220">
        <f>SUM(D145:D146)</f>
        <v>0.1063369619997984</v>
      </c>
      <c r="E147" s="15"/>
      <c r="F147" s="14"/>
      <c r="G147" s="220" t="e">
        <f>SUM(G145:G146)</f>
        <v>#DIV/0!</v>
      </c>
      <c r="H147" s="15"/>
      <c r="I147" s="14"/>
      <c r="J147" s="220">
        <f>SUM(J145:J146)</f>
        <v>2.3459287178672305E-2</v>
      </c>
      <c r="M147" s="22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 spans="1:45">
      <c r="A148" s="26"/>
      <c r="B148" s="26"/>
      <c r="D148" s="21"/>
      <c r="E148" s="26"/>
      <c r="G148" s="21"/>
      <c r="H148" s="26"/>
      <c r="J148" s="21"/>
      <c r="L148" s="72"/>
      <c r="M148" s="22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 spans="1:45" ht="15" customHeight="1">
      <c r="A149" s="15"/>
      <c r="B149" s="495" t="s">
        <v>219</v>
      </c>
      <c r="C149" s="496"/>
      <c r="D149" s="497"/>
      <c r="E149" s="495" t="s">
        <v>30</v>
      </c>
      <c r="F149" s="496"/>
      <c r="G149" s="497"/>
      <c r="H149" s="495" t="s">
        <v>194</v>
      </c>
      <c r="I149" s="496"/>
      <c r="J149" s="497"/>
      <c r="L149" s="72"/>
      <c r="N149" s="156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 spans="1:45" ht="25.5">
      <c r="A150" s="15"/>
      <c r="B150" s="218" t="s">
        <v>186</v>
      </c>
      <c r="C150" s="77" t="s">
        <v>187</v>
      </c>
      <c r="D150" s="31" t="s">
        <v>188</v>
      </c>
      <c r="E150" s="218" t="s">
        <v>186</v>
      </c>
      <c r="F150" s="77" t="s">
        <v>187</v>
      </c>
      <c r="G150" s="31" t="s">
        <v>188</v>
      </c>
      <c r="H150" s="218" t="s">
        <v>186</v>
      </c>
      <c r="I150" s="77" t="s">
        <v>187</v>
      </c>
      <c r="J150" s="31" t="s">
        <v>188</v>
      </c>
      <c r="L150" s="72"/>
      <c r="N150" s="22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 spans="1:45" ht="15">
      <c r="A151" s="15" t="s">
        <v>28</v>
      </c>
      <c r="B151" s="400">
        <v>0.45300000000000001</v>
      </c>
      <c r="C151" s="398">
        <v>7.2999999999999995E-2</v>
      </c>
      <c r="D151" s="113">
        <f>B151*C151</f>
        <v>3.3069000000000001E-2</v>
      </c>
      <c r="E151" s="400">
        <f>345860/633600</f>
        <v>0.54586489898989898</v>
      </c>
      <c r="F151" s="398">
        <v>7.2999999999999995E-2</v>
      </c>
      <c r="G151" s="113">
        <f>E151*F151</f>
        <v>3.9848137626262624E-2</v>
      </c>
      <c r="H151" s="400">
        <f>385938/6147296</f>
        <v>6.2781749894587804E-2</v>
      </c>
      <c r="I151" s="398">
        <v>7.2999999999999995E-2</v>
      </c>
      <c r="J151" s="113">
        <f>H151*I151</f>
        <v>4.5830677423049091E-3</v>
      </c>
      <c r="L151" s="72"/>
      <c r="N151" s="22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 spans="1:45" ht="16.5">
      <c r="A152" s="15" t="s">
        <v>27</v>
      </c>
      <c r="B152" s="401">
        <v>0.01</v>
      </c>
      <c r="C152" s="399">
        <v>4</v>
      </c>
      <c r="D152" s="62">
        <f>B152*C152</f>
        <v>0.04</v>
      </c>
      <c r="E152" s="400">
        <f>8996/633600</f>
        <v>1.4198232323232323E-2</v>
      </c>
      <c r="F152" s="399">
        <v>4</v>
      </c>
      <c r="G152" s="62">
        <f>E152*F152</f>
        <v>5.6792929292929291E-2</v>
      </c>
      <c r="H152" s="400">
        <f>0</f>
        <v>0</v>
      </c>
      <c r="I152" s="399">
        <v>4</v>
      </c>
      <c r="J152" s="62">
        <f>H152*I152</f>
        <v>0</v>
      </c>
      <c r="L152" s="72"/>
      <c r="N152" s="340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 spans="1:45" ht="15">
      <c r="A153" s="37" t="s">
        <v>26</v>
      </c>
      <c r="B153" s="37"/>
      <c r="C153" s="64"/>
      <c r="D153" s="221">
        <f>SUM(D151:D152)</f>
        <v>7.3068999999999995E-2</v>
      </c>
      <c r="E153" s="37"/>
      <c r="F153" s="64"/>
      <c r="G153" s="221">
        <f>SUM(G151:G152)</f>
        <v>9.6641066919191915E-2</v>
      </c>
      <c r="H153" s="37"/>
      <c r="I153" s="64"/>
      <c r="J153" s="221">
        <f>SUM(J151:J152)</f>
        <v>4.5830677423049091E-3</v>
      </c>
      <c r="L153" s="72"/>
      <c r="M153" s="57"/>
      <c r="N153" s="79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 spans="1:45">
      <c r="J154" s="72"/>
      <c r="K154" s="72"/>
      <c r="L154" s="72"/>
      <c r="M154" s="57"/>
      <c r="N154" s="79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 spans="1:45">
      <c r="J155" s="72"/>
      <c r="K155" s="72"/>
      <c r="L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 spans="1:45">
      <c r="A156" s="488" t="s">
        <v>24</v>
      </c>
      <c r="B156" s="489"/>
      <c r="C156" s="489"/>
      <c r="D156" s="489"/>
      <c r="E156" s="489"/>
      <c r="F156" s="489"/>
      <c r="G156" s="489"/>
      <c r="H156" s="490"/>
      <c r="J156" s="72"/>
      <c r="K156" s="72"/>
      <c r="L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 spans="1:45" ht="25.5">
      <c r="A157" s="15" t="s">
        <v>23</v>
      </c>
      <c r="B157" s="387"/>
      <c r="C157" s="14"/>
      <c r="D157" s="14"/>
      <c r="E157" s="14"/>
      <c r="F157" s="14"/>
      <c r="G157" s="32" t="s">
        <v>22</v>
      </c>
      <c r="H157" s="31" t="s">
        <v>109</v>
      </c>
      <c r="J157" s="72"/>
      <c r="K157" s="72"/>
      <c r="L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 spans="1:45">
      <c r="A158" s="15" t="s">
        <v>21</v>
      </c>
      <c r="B158" s="388"/>
      <c r="C158" s="14"/>
      <c r="D158" s="14"/>
      <c r="E158" s="14"/>
      <c r="F158" s="14"/>
      <c r="G158" s="14"/>
      <c r="H158" s="17"/>
      <c r="J158" s="72"/>
      <c r="K158" s="72"/>
      <c r="L158" s="72"/>
      <c r="S158" s="74">
        <v>2.0000000000000001E-4</v>
      </c>
      <c r="T158" s="70" t="s">
        <v>20</v>
      </c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</row>
    <row r="159" spans="1:45" ht="16.5">
      <c r="A159" s="15" t="s">
        <v>19</v>
      </c>
      <c r="B159" s="14"/>
      <c r="C159" s="14"/>
      <c r="D159" s="14"/>
      <c r="E159" s="14"/>
      <c r="F159" s="14"/>
      <c r="G159" s="175">
        <v>297000</v>
      </c>
      <c r="H159" s="30" t="e">
        <f>G159/(B$49*1000)</f>
        <v>#DIV/0!</v>
      </c>
      <c r="J159" s="72"/>
      <c r="K159" s="72"/>
      <c r="L159" s="72"/>
      <c r="S159" s="74">
        <v>8.9999999999999998E-4</v>
      </c>
      <c r="T159" s="70" t="s">
        <v>18</v>
      </c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</row>
    <row r="160" spans="1:45">
      <c r="A160" s="26"/>
      <c r="H160" s="21"/>
      <c r="J160" s="72"/>
      <c r="K160" s="332"/>
      <c r="L160" s="332"/>
      <c r="S160" s="74">
        <v>5.0000000000000001E-4</v>
      </c>
      <c r="T160" s="70" t="s">
        <v>17</v>
      </c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</row>
    <row r="161" spans="1:45">
      <c r="A161" s="26"/>
      <c r="F161" s="7"/>
      <c r="G161" s="79"/>
      <c r="H161" s="21"/>
      <c r="J161" s="386"/>
      <c r="K161" s="72"/>
      <c r="L161" s="72"/>
      <c r="M161" s="232"/>
      <c r="N161" s="232"/>
      <c r="O161" s="232"/>
      <c r="P161" s="232"/>
      <c r="S161" s="74">
        <f>SUM(S158:S160)</f>
        <v>1.6000000000000001E-3</v>
      </c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</row>
    <row r="162" spans="1:45">
      <c r="A162" s="491" t="s">
        <v>84</v>
      </c>
      <c r="B162" s="492"/>
      <c r="C162" s="14"/>
      <c r="D162" s="14"/>
      <c r="E162" s="14"/>
      <c r="F162" s="14"/>
      <c r="G162" s="14"/>
      <c r="H162" s="17"/>
      <c r="J162" s="72"/>
      <c r="K162" s="72"/>
      <c r="L162" s="72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</row>
    <row r="163" spans="1:45" ht="16.5">
      <c r="A163" s="15" t="s">
        <v>16</v>
      </c>
      <c r="B163" s="14"/>
      <c r="C163" s="14"/>
      <c r="D163" s="14"/>
      <c r="E163" s="14"/>
      <c r="F163" s="14"/>
      <c r="G163" s="175">
        <v>16862</v>
      </c>
      <c r="H163" s="30" t="e">
        <f>G163/(B$49*1000)</f>
        <v>#DIV/0!</v>
      </c>
      <c r="J163" s="72"/>
      <c r="K163" s="72"/>
      <c r="L163" s="72"/>
      <c r="S163" s="174">
        <v>168000</v>
      </c>
      <c r="T163" s="70" t="s">
        <v>15</v>
      </c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</row>
    <row r="164" spans="1:45">
      <c r="A164" s="15"/>
      <c r="B164" s="14"/>
      <c r="C164" s="14"/>
      <c r="D164" s="14"/>
      <c r="E164" s="14"/>
      <c r="F164" s="14"/>
      <c r="G164" s="14"/>
      <c r="H164" s="17"/>
      <c r="J164" s="72"/>
      <c r="K164" s="72"/>
      <c r="L164" s="72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</row>
    <row r="165" spans="1:45">
      <c r="A165" s="491" t="s">
        <v>14</v>
      </c>
      <c r="B165" s="492"/>
      <c r="C165" s="14"/>
      <c r="D165" s="14"/>
      <c r="E165" s="14"/>
      <c r="F165" s="14"/>
      <c r="G165" s="14"/>
      <c r="H165" s="17"/>
      <c r="J165" s="72"/>
      <c r="K165" s="72"/>
      <c r="L165" s="72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</row>
    <row r="166" spans="1:45" ht="16.5">
      <c r="A166" s="15" t="s">
        <v>13</v>
      </c>
      <c r="B166" s="14"/>
      <c r="C166" s="14"/>
      <c r="D166" s="14"/>
      <c r="E166" s="14"/>
      <c r="F166" s="14"/>
      <c r="G166" s="175">
        <v>66000</v>
      </c>
      <c r="H166" s="30" t="e">
        <f>G166/(B$49*1000)</f>
        <v>#DIV/0!</v>
      </c>
      <c r="J166" s="72"/>
      <c r="K166" s="72"/>
      <c r="L166" s="72"/>
      <c r="S166" s="174">
        <v>41000</v>
      </c>
      <c r="T166" s="70" t="s">
        <v>12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</row>
    <row r="167" spans="1:45">
      <c r="A167" s="20"/>
      <c r="B167" s="19"/>
      <c r="C167" s="29"/>
      <c r="D167" s="19"/>
      <c r="E167" s="19"/>
      <c r="F167" s="19"/>
      <c r="G167" s="19"/>
      <c r="H167" s="18"/>
      <c r="J167" s="72"/>
      <c r="K167" s="72"/>
      <c r="L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 spans="1:45">
      <c r="C168" s="28"/>
      <c r="J168" s="72"/>
      <c r="K168" s="72"/>
      <c r="L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103" t="s">
        <v>222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 spans="1:45" ht="15">
      <c r="J169" s="72"/>
      <c r="K169" s="72"/>
      <c r="L169" s="72"/>
      <c r="S169" s="72"/>
      <c r="U169" s="291">
        <f>ROUND($Z$11*$AD169,0)</f>
        <v>0</v>
      </c>
      <c r="V169" s="291"/>
      <c r="W169" s="291"/>
      <c r="X169" s="291"/>
      <c r="Z169" s="291">
        <f>ROUND($AA$11*$AD169,0)</f>
        <v>0</v>
      </c>
      <c r="AA169" s="293" t="s">
        <v>163</v>
      </c>
      <c r="AB169" s="293" t="s">
        <v>163</v>
      </c>
      <c r="AC169" s="249">
        <v>631040</v>
      </c>
      <c r="AD169" s="295">
        <f>+AE169/AE176</f>
        <v>0.10291239825719668</v>
      </c>
      <c r="AE169" s="14">
        <v>29521.89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 spans="1:45" ht="15">
      <c r="A170" s="67" t="s">
        <v>11</v>
      </c>
      <c r="B170" s="493" t="s">
        <v>10</v>
      </c>
      <c r="C170" s="493"/>
      <c r="D170" s="493"/>
      <c r="E170" s="493"/>
      <c r="F170" s="493"/>
      <c r="G170" s="493"/>
      <c r="H170" s="494"/>
      <c r="J170" s="72"/>
      <c r="K170" s="72"/>
      <c r="L170" s="72"/>
      <c r="S170" s="72"/>
      <c r="U170" s="291">
        <f t="shared" ref="U170:U175" si="54">ROUND($Z$11*$AD170,0)</f>
        <v>0</v>
      </c>
      <c r="V170" s="291"/>
      <c r="W170" s="291"/>
      <c r="X170" s="291"/>
      <c r="Z170" s="291">
        <f t="shared" ref="Z170:Z175" si="55">ROUND($AA$11*$AD170,0)</f>
        <v>0</v>
      </c>
      <c r="AA170" s="293" t="s">
        <v>164</v>
      </c>
      <c r="AB170" s="293" t="s">
        <v>164</v>
      </c>
      <c r="AC170" s="249">
        <v>631060</v>
      </c>
      <c r="AD170" s="295">
        <f>+AE170/AE176</f>
        <v>0.24978656282289877</v>
      </c>
      <c r="AE170" s="14">
        <v>71654.84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 spans="1:45" ht="15">
      <c r="A171" s="26"/>
      <c r="H171" s="21"/>
      <c r="J171" s="72"/>
      <c r="K171" s="72"/>
      <c r="L171" s="72"/>
      <c r="S171" s="72"/>
      <c r="U171" s="291">
        <f t="shared" si="54"/>
        <v>0</v>
      </c>
      <c r="V171" s="291"/>
      <c r="W171" s="291"/>
      <c r="X171" s="291"/>
      <c r="Z171" s="291">
        <f t="shared" si="55"/>
        <v>0</v>
      </c>
      <c r="AA171" s="293" t="s">
        <v>165</v>
      </c>
      <c r="AB171" s="293" t="s">
        <v>165</v>
      </c>
      <c r="AC171" s="249">
        <v>630020</v>
      </c>
      <c r="AD171" s="295">
        <f>+AE171/AE176</f>
        <v>0</v>
      </c>
      <c r="AE171" s="14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 spans="1:45" ht="15">
      <c r="A172" s="26"/>
      <c r="B172" s="492" t="s">
        <v>9</v>
      </c>
      <c r="C172" s="492"/>
      <c r="D172" s="25">
        <f>B49</f>
        <v>0</v>
      </c>
      <c r="E172" s="14"/>
      <c r="F172" s="492" t="s">
        <v>8</v>
      </c>
      <c r="G172" s="492"/>
      <c r="H172" s="27">
        <f>D172/D173</f>
        <v>0</v>
      </c>
      <c r="J172" s="72"/>
      <c r="K172" s="72"/>
      <c r="L172" s="72"/>
      <c r="S172" s="72"/>
      <c r="U172" s="291">
        <f t="shared" si="54"/>
        <v>0</v>
      </c>
      <c r="V172" s="291"/>
      <c r="W172" s="291"/>
      <c r="X172" s="291"/>
      <c r="Z172" s="291">
        <f t="shared" si="55"/>
        <v>0</v>
      </c>
      <c r="AA172" s="293" t="s">
        <v>177</v>
      </c>
      <c r="AB172" s="293" t="s">
        <v>177</v>
      </c>
      <c r="AC172" s="249" t="s">
        <v>178</v>
      </c>
      <c r="AD172" s="295">
        <f>+AE172/AE176</f>
        <v>3.9050523789525963E-3</v>
      </c>
      <c r="AE172" s="14">
        <v>1120.22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 spans="1:45" ht="15">
      <c r="A173" s="26"/>
      <c r="B173" s="492" t="s">
        <v>7</v>
      </c>
      <c r="C173" s="492"/>
      <c r="D173" s="25">
        <v>275000</v>
      </c>
      <c r="E173" s="14"/>
      <c r="F173" s="14"/>
      <c r="G173" s="14"/>
      <c r="H173" s="24"/>
      <c r="J173" s="72"/>
      <c r="K173" s="72"/>
      <c r="L173" s="72"/>
      <c r="S173" s="72"/>
      <c r="U173" s="291">
        <f t="shared" si="54"/>
        <v>0</v>
      </c>
      <c r="V173" s="291"/>
      <c r="W173" s="291"/>
      <c r="X173" s="291"/>
      <c r="Z173" s="291">
        <f t="shared" si="55"/>
        <v>0</v>
      </c>
      <c r="AA173" s="293" t="s">
        <v>179</v>
      </c>
      <c r="AB173" s="293" t="s">
        <v>179</v>
      </c>
      <c r="AC173" s="249" t="s">
        <v>180</v>
      </c>
      <c r="AD173" s="295">
        <f>+AE173/AE176</f>
        <v>0</v>
      </c>
      <c r="AE173" s="14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 spans="1:45" ht="15">
      <c r="A174" s="26"/>
      <c r="B174" s="14"/>
      <c r="C174" s="14"/>
      <c r="D174" s="25"/>
      <c r="E174" s="14"/>
      <c r="F174" s="14"/>
      <c r="G174" s="14"/>
      <c r="H174" s="24"/>
      <c r="J174" s="72"/>
      <c r="K174" s="72"/>
      <c r="L174" s="72"/>
      <c r="S174" s="72"/>
      <c r="U174" s="291">
        <f t="shared" si="54"/>
        <v>0</v>
      </c>
      <c r="V174" s="291"/>
      <c r="W174" s="291"/>
      <c r="X174" s="291"/>
      <c r="Z174" s="291">
        <f t="shared" si="55"/>
        <v>0</v>
      </c>
      <c r="AA174" s="293" t="s">
        <v>166</v>
      </c>
      <c r="AB174" s="293" t="s">
        <v>166</v>
      </c>
      <c r="AC174" s="249">
        <v>630080</v>
      </c>
      <c r="AD174" s="295">
        <f>+AE174/AE176</f>
        <v>4.588201242350607E-2</v>
      </c>
      <c r="AE174" s="14">
        <v>13161.91</v>
      </c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 spans="1:45" ht="33" customHeight="1">
      <c r="A175" s="15"/>
      <c r="B175" s="77" t="s">
        <v>189</v>
      </c>
      <c r="C175" s="77" t="s">
        <v>6</v>
      </c>
      <c r="D175" s="77" t="s">
        <v>134</v>
      </c>
      <c r="E175" s="333" t="s">
        <v>135</v>
      </c>
      <c r="F175" s="77" t="s">
        <v>117</v>
      </c>
      <c r="G175" s="77" t="s">
        <v>136</v>
      </c>
      <c r="H175" s="168" t="s">
        <v>137</v>
      </c>
      <c r="J175" s="72"/>
      <c r="K175" s="72"/>
      <c r="L175" s="72"/>
      <c r="S175" s="72"/>
      <c r="U175" s="292">
        <f t="shared" si="54"/>
        <v>0</v>
      </c>
      <c r="V175" s="292"/>
      <c r="W175" s="292"/>
      <c r="X175" s="292"/>
      <c r="Z175" s="292">
        <f t="shared" si="55"/>
        <v>0</v>
      </c>
      <c r="AA175" s="293" t="s">
        <v>182</v>
      </c>
      <c r="AB175" s="293" t="s">
        <v>182</v>
      </c>
      <c r="AC175" s="249" t="s">
        <v>181</v>
      </c>
      <c r="AD175" s="295">
        <f>+AE175/AE176</f>
        <v>0.59751397411744578</v>
      </c>
      <c r="AE175" s="103">
        <v>171405.41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 spans="1:45" ht="15">
      <c r="A176" s="15" t="s">
        <v>5</v>
      </c>
      <c r="B176" s="169"/>
      <c r="C176" s="395">
        <v>99910</v>
      </c>
      <c r="D176" s="169">
        <f>ROUND($C$184/($C$184+$C$185)*12,0)*$B176</f>
        <v>0</v>
      </c>
      <c r="E176" s="334">
        <f>ROUND($C$185/($C$184+$C$185)*12,0)*$B176</f>
        <v>0</v>
      </c>
      <c r="F176" s="112" t="e">
        <f>$D176/$D$172/1000</f>
        <v>#DIV/0!</v>
      </c>
      <c r="G176" s="112" t="e">
        <f>$E176/$D$172/1000</f>
        <v>#DIV/0!</v>
      </c>
      <c r="H176" s="170" t="e">
        <f>SUM(F176:G176)</f>
        <v>#DIV/0!</v>
      </c>
      <c r="J176" s="72"/>
      <c r="K176" s="72"/>
      <c r="L176" s="72"/>
      <c r="S176" s="72"/>
      <c r="U176" s="291">
        <f>SUM(U169:U175)</f>
        <v>0</v>
      </c>
      <c r="V176" s="291"/>
      <c r="W176" s="291"/>
      <c r="X176" s="291"/>
      <c r="Z176" s="291">
        <f>SUM(Z169:Z175)</f>
        <v>0</v>
      </c>
      <c r="AA176" s="282" t="s">
        <v>76</v>
      </c>
      <c r="AB176" s="293"/>
      <c r="AC176" s="249"/>
      <c r="AD176" s="295">
        <f>SUM(AD169:AD175)</f>
        <v>1</v>
      </c>
      <c r="AE176" s="14">
        <f>SUM(AE169:AE175)</f>
        <v>286864.27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 spans="1:45" ht="15">
      <c r="A177" s="15" t="s">
        <v>4</v>
      </c>
      <c r="B177" s="169">
        <v>43878</v>
      </c>
      <c r="C177" s="383">
        <v>43577</v>
      </c>
      <c r="D177" s="169">
        <f>ROUND($C$184/($C$184+$C$185)*12,0)*$B177</f>
        <v>526536</v>
      </c>
      <c r="E177" s="334">
        <f>ROUND($C$185/($C$184+$C$185)*12,0)*$B177</f>
        <v>0</v>
      </c>
      <c r="F177" s="171" t="e">
        <f>$D177/D$172/1000</f>
        <v>#DIV/0!</v>
      </c>
      <c r="G177" s="171" t="e">
        <f>$E177/$D$172/1000</f>
        <v>#DIV/0!</v>
      </c>
      <c r="H177" s="83" t="e">
        <f t="shared" ref="H177:H178" si="56">SUM(F177:G177)</f>
        <v>#DIV/0!</v>
      </c>
      <c r="J177" s="72"/>
      <c r="K177" s="72"/>
      <c r="L177" s="72"/>
      <c r="S177" s="72"/>
      <c r="U177" s="160"/>
      <c r="V177" s="160"/>
      <c r="W177" s="160"/>
      <c r="X177" s="160"/>
      <c r="Y177" s="155"/>
      <c r="Z177" s="155"/>
      <c r="AA177" s="161"/>
      <c r="AB177" s="162"/>
      <c r="AC177" s="163"/>
      <c r="AD177" s="14"/>
      <c r="AE177" s="14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 spans="1:45" ht="16.5">
      <c r="A178" s="15" t="s">
        <v>3</v>
      </c>
      <c r="B178" s="169">
        <v>25872</v>
      </c>
      <c r="C178" s="383">
        <v>240215</v>
      </c>
      <c r="D178" s="169">
        <f>ROUND($C$184/($C$184+$C$185)*12,0)*$B178</f>
        <v>310464</v>
      </c>
      <c r="E178" s="334">
        <f>ROUND($C$185/($C$184+$C$185)*12,0)*$B178</f>
        <v>0</v>
      </c>
      <c r="F178" s="111" t="e">
        <f>$D178/D$172/1000</f>
        <v>#DIV/0!</v>
      </c>
      <c r="G178" s="111" t="e">
        <f>$E178/$D$172/1000</f>
        <v>#DIV/0!</v>
      </c>
      <c r="H178" s="85" t="e">
        <f t="shared" si="56"/>
        <v>#DIV/0!</v>
      </c>
      <c r="J178" s="72"/>
      <c r="K178" s="72"/>
      <c r="L178" s="72"/>
      <c r="S178" s="72"/>
      <c r="U178" s="291">
        <f>$Z$19*$AD178</f>
        <v>0</v>
      </c>
      <c r="V178" s="291"/>
      <c r="W178" s="291"/>
      <c r="X178" s="291"/>
      <c r="Z178" s="291">
        <f>AA19*$AD178</f>
        <v>0</v>
      </c>
      <c r="AA178" s="293" t="s">
        <v>167</v>
      </c>
      <c r="AB178" s="293" t="s">
        <v>167</v>
      </c>
      <c r="AC178" s="249" t="s">
        <v>168</v>
      </c>
      <c r="AD178" s="295">
        <f>+AE178/AE180</f>
        <v>0.69520454589425829</v>
      </c>
      <c r="AE178" s="14">
        <v>328425.57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 spans="1:45" ht="16.5">
      <c r="A179" s="15" t="s">
        <v>2</v>
      </c>
      <c r="F179" s="112" t="e">
        <f>SUM(F176:F178)</f>
        <v>#DIV/0!</v>
      </c>
      <c r="G179" s="112" t="e">
        <f>SUM(G176:G178)</f>
        <v>#DIV/0!</v>
      </c>
      <c r="H179" s="170" t="e">
        <f>SUM(H176:H178)</f>
        <v>#DIV/0!</v>
      </c>
      <c r="J179" s="72"/>
      <c r="K179" s="72"/>
      <c r="L179" s="72"/>
      <c r="S179" s="72"/>
      <c r="U179" s="292">
        <f>$Z$19*$AD179</f>
        <v>0</v>
      </c>
      <c r="V179" s="292"/>
      <c r="W179" s="292"/>
      <c r="X179" s="292"/>
      <c r="Z179" s="292">
        <f>AA19*$AD179</f>
        <v>0</v>
      </c>
      <c r="AA179" s="293" t="s">
        <v>169</v>
      </c>
      <c r="AB179" s="293" t="s">
        <v>169</v>
      </c>
      <c r="AC179" s="249">
        <v>630040</v>
      </c>
      <c r="AD179" s="295">
        <f>+AE179/AE180</f>
        <v>0.30479545410574171</v>
      </c>
      <c r="AE179" s="103">
        <v>143990.17000000001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 spans="1:45" ht="15">
      <c r="A180" s="20"/>
      <c r="B180" s="19"/>
      <c r="C180" s="19"/>
      <c r="D180" s="19"/>
      <c r="E180" s="19"/>
      <c r="F180" s="19"/>
      <c r="G180" s="19"/>
      <c r="H180" s="18"/>
      <c r="J180" s="72"/>
      <c r="K180" s="72"/>
      <c r="L180" s="72"/>
      <c r="S180" s="72"/>
      <c r="U180" s="296">
        <f>SUM(U178:U179)</f>
        <v>0</v>
      </c>
      <c r="V180" s="296"/>
      <c r="W180" s="296"/>
      <c r="X180" s="296"/>
      <c r="Z180" s="296">
        <f>SUM(Z178:Z179)</f>
        <v>0</v>
      </c>
      <c r="AA180" s="282" t="s">
        <v>82</v>
      </c>
      <c r="AB180" s="282" t="s">
        <v>82</v>
      </c>
      <c r="AC180" s="294" t="s">
        <v>120</v>
      </c>
      <c r="AD180" s="295">
        <f>SUM(AD178:AD179)</f>
        <v>1</v>
      </c>
      <c r="AE180" s="14">
        <f>SUM(AE178:AE179)</f>
        <v>472415.74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 spans="1:45">
      <c r="J181" s="72"/>
      <c r="K181" s="72"/>
      <c r="L181" s="72"/>
      <c r="S181" s="7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 spans="1:45">
      <c r="J182" s="72"/>
      <c r="K182" s="72"/>
      <c r="L182" s="72"/>
      <c r="S182" s="7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 spans="1:45">
      <c r="A183" s="488" t="s">
        <v>110</v>
      </c>
      <c r="B183" s="489"/>
      <c r="C183" s="489"/>
      <c r="D183" s="489"/>
      <c r="E183" s="489"/>
      <c r="F183" s="489"/>
      <c r="G183" s="489"/>
      <c r="H183" s="490"/>
      <c r="J183" s="72" t="s">
        <v>239</v>
      </c>
      <c r="K183" s="72"/>
      <c r="L183" s="72"/>
      <c r="S183" s="7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 spans="1:45" ht="15">
      <c r="A184" s="15"/>
      <c r="B184" s="14" t="s">
        <v>130</v>
      </c>
      <c r="C184" s="177">
        <f>D100/7</f>
        <v>12538.755714285713</v>
      </c>
      <c r="D184" s="54" t="s">
        <v>220</v>
      </c>
      <c r="E184" s="342">
        <v>0.04</v>
      </c>
      <c r="F184" s="14" t="s">
        <v>195</v>
      </c>
      <c r="G184" s="14"/>
      <c r="H184" s="17"/>
      <c r="J184" s="72" t="s">
        <v>240</v>
      </c>
      <c r="K184" s="1">
        <f>52-C184</f>
        <v>-12486.755714285713</v>
      </c>
      <c r="L184" s="72"/>
      <c r="S184" s="7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 spans="1:45" ht="15">
      <c r="A185" s="15"/>
      <c r="B185" s="14" t="s">
        <v>129</v>
      </c>
      <c r="C185" s="176">
        <v>0</v>
      </c>
      <c r="E185" s="14"/>
      <c r="F185" s="14" t="s">
        <v>196</v>
      </c>
      <c r="G185" s="14"/>
      <c r="H185" s="17"/>
      <c r="J185" s="72" t="s">
        <v>120</v>
      </c>
      <c r="K185" s="407">
        <f>274000/4.5*K184</f>
        <v>-760304681.26984119</v>
      </c>
      <c r="L185" s="72"/>
      <c r="S185" s="72"/>
      <c r="T185" s="7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9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 spans="1:45" ht="15">
      <c r="A186" s="15"/>
      <c r="B186" s="14" t="s">
        <v>131</v>
      </c>
      <c r="C186" s="177">
        <v>40</v>
      </c>
      <c r="E186" s="14"/>
      <c r="F186" s="14" t="s">
        <v>0</v>
      </c>
      <c r="G186" s="14"/>
      <c r="H186" s="17"/>
      <c r="J186" s="72"/>
      <c r="K186" s="72"/>
      <c r="L186" s="72"/>
      <c r="S186" s="72"/>
      <c r="T186" s="72"/>
      <c r="U186" s="291">
        <f t="shared" ref="U186:U192" si="57">ROUND($Z$18*$AD186,0)</f>
        <v>0</v>
      </c>
      <c r="V186" s="291"/>
      <c r="W186" s="291"/>
      <c r="X186" s="291"/>
      <c r="Y186" s="14"/>
      <c r="Z186" s="291">
        <f t="shared" ref="Z186:Z192" si="58">ROUND($AA$18*$AD186,0)</f>
        <v>0</v>
      </c>
      <c r="AA186" s="293" t="s">
        <v>206</v>
      </c>
      <c r="AB186" s="293" t="s">
        <v>206</v>
      </c>
      <c r="AC186" s="249" t="s">
        <v>171</v>
      </c>
      <c r="AD186" s="297">
        <f>+AE186/$AE$193</f>
        <v>6.819964542209905E-3</v>
      </c>
      <c r="AE186" s="164">
        <v>1072.99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 spans="1:45" ht="15">
      <c r="A187" s="15"/>
      <c r="B187" s="14" t="s">
        <v>1</v>
      </c>
      <c r="C187" s="178">
        <v>1.5</v>
      </c>
      <c r="E187" s="14"/>
      <c r="G187" s="14"/>
      <c r="H187" s="16"/>
      <c r="J187" s="72"/>
      <c r="K187" s="72"/>
      <c r="L187" s="72"/>
      <c r="S187" s="72"/>
      <c r="T187" s="72"/>
      <c r="U187" s="291">
        <f t="shared" si="57"/>
        <v>0</v>
      </c>
      <c r="V187" s="291"/>
      <c r="W187" s="291"/>
      <c r="X187" s="291"/>
      <c r="Z187" s="291">
        <f t="shared" si="58"/>
        <v>0</v>
      </c>
      <c r="AA187" s="293" t="s">
        <v>170</v>
      </c>
      <c r="AB187" s="293" t="s">
        <v>170</v>
      </c>
      <c r="AC187" s="249" t="s">
        <v>205</v>
      </c>
      <c r="AD187" s="297">
        <f t="shared" ref="AD187:AD192" si="59">+AE187/$AE$193</f>
        <v>0</v>
      </c>
      <c r="AE187" s="164">
        <v>0</v>
      </c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 spans="1:45" ht="15">
      <c r="A188" s="37"/>
      <c r="B188" s="97" t="s">
        <v>90</v>
      </c>
      <c r="C188" s="394">
        <v>0.3</v>
      </c>
      <c r="D188" s="19"/>
      <c r="E188" s="64"/>
      <c r="F188" s="64"/>
      <c r="G188" s="64"/>
      <c r="H188" s="81"/>
      <c r="J188" s="72"/>
      <c r="K188" s="72"/>
      <c r="L188" s="72"/>
      <c r="S188" s="72"/>
      <c r="T188" s="72"/>
      <c r="U188" s="291">
        <f t="shared" si="57"/>
        <v>0</v>
      </c>
      <c r="V188" s="291"/>
      <c r="W188" s="291"/>
      <c r="X188" s="291"/>
      <c r="Z188" s="291">
        <f t="shared" si="58"/>
        <v>0</v>
      </c>
      <c r="AA188" s="293" t="s">
        <v>172</v>
      </c>
      <c r="AB188" s="293" t="s">
        <v>172</v>
      </c>
      <c r="AC188" s="249" t="s">
        <v>207</v>
      </c>
      <c r="AD188" s="297">
        <f t="shared" si="59"/>
        <v>0.36299068846880711</v>
      </c>
      <c r="AE188" s="164">
        <v>57109.59</v>
      </c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 spans="1:45" ht="15">
      <c r="B189" s="487"/>
      <c r="C189" s="487"/>
      <c r="D189" s="487"/>
      <c r="J189" s="72"/>
      <c r="K189" s="72"/>
      <c r="L189" s="72"/>
      <c r="S189" s="72"/>
      <c r="T189" s="72"/>
      <c r="U189" s="291">
        <f t="shared" si="57"/>
        <v>0</v>
      </c>
      <c r="V189" s="291"/>
      <c r="W189" s="291"/>
      <c r="X189" s="291"/>
      <c r="Z189" s="291">
        <f t="shared" si="58"/>
        <v>0</v>
      </c>
      <c r="AA189" s="293" t="s">
        <v>173</v>
      </c>
      <c r="AB189" s="293" t="s">
        <v>173</v>
      </c>
      <c r="AC189" s="249" t="s">
        <v>208</v>
      </c>
      <c r="AD189" s="297">
        <f t="shared" si="59"/>
        <v>0.6301893469889831</v>
      </c>
      <c r="AE189" s="164">
        <v>99148.15</v>
      </c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 spans="1:45" ht="15">
      <c r="B190" s="11"/>
      <c r="C190" s="11"/>
      <c r="D190" s="10"/>
      <c r="F190" s="11"/>
      <c r="G190" s="11"/>
      <c r="H190" s="10"/>
      <c r="J190" s="72"/>
      <c r="K190" s="72"/>
      <c r="L190" s="72"/>
      <c r="S190" s="72"/>
      <c r="T190" s="72"/>
      <c r="U190" s="291">
        <f t="shared" si="57"/>
        <v>0</v>
      </c>
      <c r="V190" s="291"/>
      <c r="W190" s="291"/>
      <c r="X190" s="291"/>
      <c r="Z190" s="291">
        <f t="shared" si="58"/>
        <v>0</v>
      </c>
      <c r="AA190" s="293" t="s">
        <v>174</v>
      </c>
      <c r="AB190" s="293" t="s">
        <v>174</v>
      </c>
      <c r="AC190" s="249" t="s">
        <v>183</v>
      </c>
      <c r="AD190" s="297">
        <f t="shared" si="59"/>
        <v>0</v>
      </c>
      <c r="AE190" s="164">
        <v>0</v>
      </c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 spans="1:45" ht="15">
      <c r="C191" s="224"/>
      <c r="D191" s="9"/>
      <c r="G191" s="8"/>
      <c r="H191" s="9"/>
      <c r="J191" s="72"/>
      <c r="K191" s="72"/>
      <c r="L191" s="72"/>
      <c r="S191" s="72"/>
      <c r="T191" s="72"/>
      <c r="U191" s="291">
        <f t="shared" si="57"/>
        <v>0</v>
      </c>
      <c r="V191" s="291"/>
      <c r="W191" s="291"/>
      <c r="X191" s="291"/>
      <c r="Z191" s="291">
        <f t="shared" si="58"/>
        <v>0</v>
      </c>
      <c r="AA191" s="293" t="s">
        <v>175</v>
      </c>
      <c r="AB191" s="293" t="s">
        <v>175</v>
      </c>
      <c r="AC191" s="249">
        <v>640070</v>
      </c>
      <c r="AD191" s="297">
        <f t="shared" si="59"/>
        <v>0</v>
      </c>
      <c r="AE191" s="164">
        <v>0</v>
      </c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 spans="1:45" ht="16.5">
      <c r="C192" s="8"/>
      <c r="D192" s="5"/>
      <c r="G192" s="8"/>
      <c r="H192" s="5"/>
      <c r="J192" s="72"/>
      <c r="K192" s="72"/>
      <c r="L192" s="72"/>
      <c r="S192" s="72"/>
      <c r="T192" s="72"/>
      <c r="U192" s="292">
        <f t="shared" si="57"/>
        <v>0</v>
      </c>
      <c r="V192" s="292"/>
      <c r="W192" s="292"/>
      <c r="X192" s="292"/>
      <c r="Z192" s="292">
        <f t="shared" si="58"/>
        <v>0</v>
      </c>
      <c r="AA192" s="293" t="s">
        <v>176</v>
      </c>
      <c r="AB192" s="293" t="s">
        <v>176</v>
      </c>
      <c r="AC192" s="249">
        <v>640080</v>
      </c>
      <c r="AD192" s="297">
        <f t="shared" si="59"/>
        <v>0</v>
      </c>
      <c r="AE192" s="166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 spans="3:45" ht="15">
      <c r="C193" s="6"/>
      <c r="D193" s="5"/>
      <c r="G193" s="6"/>
      <c r="H193" s="5"/>
      <c r="J193" s="72"/>
      <c r="K193" s="72"/>
      <c r="L193" s="72"/>
      <c r="S193" s="72"/>
      <c r="T193" s="72"/>
      <c r="U193" s="296">
        <f>SUM(U186:U192)</f>
        <v>0</v>
      </c>
      <c r="V193" s="296"/>
      <c r="W193" s="296"/>
      <c r="X193" s="296"/>
      <c r="Z193" s="296">
        <f>SUM(Z186:Z192)</f>
        <v>0</v>
      </c>
      <c r="AA193" s="282" t="s">
        <v>83</v>
      </c>
      <c r="AB193" s="282" t="s">
        <v>83</v>
      </c>
      <c r="AC193" s="294" t="s">
        <v>120</v>
      </c>
      <c r="AD193" s="297">
        <f>SUM(AD186:AD192)</f>
        <v>1</v>
      </c>
      <c r="AE193" s="164">
        <f>SUM(AE186:AE192)</f>
        <v>157330.72999999998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 spans="3:45">
      <c r="C194" s="6"/>
      <c r="D194" s="5"/>
      <c r="G194" s="6"/>
      <c r="H194" s="5"/>
      <c r="J194" s="72"/>
      <c r="K194" s="72"/>
      <c r="L194" s="72"/>
      <c r="S194" s="72"/>
      <c r="T194" s="72"/>
      <c r="U194" s="72"/>
      <c r="V194" s="72"/>
      <c r="W194" s="72"/>
      <c r="X194" s="72"/>
      <c r="Y194" s="72"/>
      <c r="Z194" s="72"/>
      <c r="AB194" s="72"/>
      <c r="AC194" s="72"/>
      <c r="AD194" s="72"/>
      <c r="AE194" s="165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 spans="3:45">
      <c r="C195" s="7"/>
      <c r="D195" s="5"/>
      <c r="G195" s="7"/>
      <c r="H195" s="5"/>
      <c r="J195" s="72"/>
      <c r="K195" s="72"/>
      <c r="L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 spans="3:45">
      <c r="C196" s="6"/>
      <c r="D196" s="5"/>
      <c r="G196" s="6"/>
      <c r="H196" s="5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 spans="3:45" ht="15">
      <c r="C197" s="4"/>
      <c r="D197" s="3"/>
      <c r="G197" s="4"/>
      <c r="H197" s="3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 spans="3:45" ht="15">
      <c r="D198" s="2"/>
      <c r="H198" s="2"/>
    </row>
  </sheetData>
  <mergeCells count="43">
    <mergeCell ref="B189:D189"/>
    <mergeCell ref="A156:H156"/>
    <mergeCell ref="A162:B162"/>
    <mergeCell ref="A165:B165"/>
    <mergeCell ref="B170:H170"/>
    <mergeCell ref="B172:C172"/>
    <mergeCell ref="F172:G172"/>
    <mergeCell ref="B149:D149"/>
    <mergeCell ref="E149:G149"/>
    <mergeCell ref="H149:J149"/>
    <mergeCell ref="B173:C173"/>
    <mergeCell ref="A183:H183"/>
    <mergeCell ref="H142:I142"/>
    <mergeCell ref="B143:D143"/>
    <mergeCell ref="E143:G143"/>
    <mergeCell ref="H143:J143"/>
    <mergeCell ref="B141:C141"/>
    <mergeCell ref="E141:F141"/>
    <mergeCell ref="H141:I141"/>
    <mergeCell ref="B90:D90"/>
    <mergeCell ref="F90:H90"/>
    <mergeCell ref="B96:D96"/>
    <mergeCell ref="F96:H96"/>
    <mergeCell ref="T113:AD113"/>
    <mergeCell ref="J74:L74"/>
    <mergeCell ref="B82:D82"/>
    <mergeCell ref="F82:H82"/>
    <mergeCell ref="J82:L82"/>
    <mergeCell ref="B26:D26"/>
    <mergeCell ref="E26:G26"/>
    <mergeCell ref="H26:J26"/>
    <mergeCell ref="B51:K51"/>
    <mergeCell ref="C62:F62"/>
    <mergeCell ref="G62:K62"/>
    <mergeCell ref="B74:D74"/>
    <mergeCell ref="F74:H74"/>
    <mergeCell ref="A1:J1"/>
    <mergeCell ref="S1:AA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75b0e4-51e4-4b75-ad78-4294f7c634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7B5E53C24CC4D956332241316A0F8" ma:contentTypeVersion="15" ma:contentTypeDescription="Create a new document." ma:contentTypeScope="" ma:versionID="6de5b2a9203cf5aa50c7a1d55e025220">
  <xsd:schema xmlns:xsd="http://www.w3.org/2001/XMLSchema" xmlns:xs="http://www.w3.org/2001/XMLSchema" xmlns:p="http://schemas.microsoft.com/office/2006/metadata/properties" xmlns:ns3="e875b0e4-51e4-4b75-ad78-4294f7c634e3" xmlns:ns4="39d859fd-d89b-4bcd-8986-ad358537829d" targetNamespace="http://schemas.microsoft.com/office/2006/metadata/properties" ma:root="true" ma:fieldsID="c62cfc93de7de5d3030e562ffa7cfa1d" ns3:_="" ns4:_="">
    <xsd:import namespace="e875b0e4-51e4-4b75-ad78-4294f7c634e3"/>
    <xsd:import namespace="39d859fd-d89b-4bcd-8986-ad35853782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5b0e4-51e4-4b75-ad78-4294f7c63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859fd-d89b-4bcd-8986-ad35853782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39133-6F3F-4E98-90E3-B1A7DB5C5F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7339F-FD01-4CCC-ADB1-0C362AA47B67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9d859fd-d89b-4bcd-8986-ad358537829d"/>
    <ds:schemaRef ds:uri="http://purl.org/dc/elements/1.1/"/>
    <ds:schemaRef ds:uri="e875b0e4-51e4-4b75-ad78-4294f7c634e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EF06C6-0434-4947-802F-119818912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5b0e4-51e4-4b75-ad78-4294f7c634e3"/>
    <ds:schemaRef ds:uri="39d859fd-d89b-4bcd-8986-ad35853782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2025 Summary</vt:lpstr>
      <vt:lpstr>Nov23</vt:lpstr>
      <vt:lpstr>Dec23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CARBO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rlabutka</dc:creator>
  <cp:lastModifiedBy>Girouard,  David</cp:lastModifiedBy>
  <cp:lastPrinted>2021-12-20T23:34:41Z</cp:lastPrinted>
  <dcterms:created xsi:type="dcterms:W3CDTF">2013-09-17T19:47:47Z</dcterms:created>
  <dcterms:modified xsi:type="dcterms:W3CDTF">2024-09-05T18:07:15Z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14.7</vt:lpwstr>
  </property>
  <property fmtid="{D5CDD505-2E9C-101B-9397-08002B2CF9AE}" pid="3" name="ContentTypeId">
    <vt:lpwstr>0x010100CC37B5E53C24CC4D956332241316A0F8</vt:lpwstr>
  </property>
</Properties>
</file>
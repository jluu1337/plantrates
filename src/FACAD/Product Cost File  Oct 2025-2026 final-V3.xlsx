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ev\plant-rates\plantrates\src\FACAD\"/>
    </mc:Choice>
  </mc:AlternateContent>
  <xr:revisionPtr revIDLastSave="0" documentId="13_ncr:1_{6E75179C-8A0C-410A-8797-E1DDB17383C6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Cost File" sheetId="1" r:id="rId1"/>
    <sheet name="Operations Adder" sheetId="2" r:id="rId2"/>
  </sheets>
  <definedNames>
    <definedName name="_xlnm._FilterDatabase" localSheetId="0" hidden="1">'Cost File'!$A$1:$J$95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4" i="2"/>
  <c r="H5" i="2" l="1"/>
  <c r="H6" i="2"/>
  <c r="H7" i="2"/>
  <c r="H4" i="2"/>
  <c r="G7" i="2" a="1"/>
  <c r="G7" i="2" s="1"/>
  <c r="I7" i="2" s="1"/>
  <c r="G6" i="2" a="1"/>
  <c r="G6" i="2" s="1"/>
  <c r="I6" i="2" s="1"/>
  <c r="G5" i="2" a="1"/>
  <c r="G5" i="2" s="1"/>
  <c r="I5" i="2" s="1"/>
  <c r="G4" i="2" a="1"/>
  <c r="G4" i="2" s="1"/>
  <c r="I4" i="2" l="1"/>
  <c r="F70" i="1" s="1"/>
  <c r="F81" i="1"/>
  <c r="F82" i="1"/>
  <c r="F83" i="1"/>
  <c r="F84" i="1"/>
  <c r="F85" i="1"/>
  <c r="F86" i="1"/>
  <c r="F87" i="1"/>
  <c r="F88" i="1"/>
  <c r="F89" i="1"/>
  <c r="F90" i="1"/>
  <c r="F91" i="1"/>
  <c r="F92" i="1"/>
  <c r="F94" i="1"/>
  <c r="F95" i="1"/>
  <c r="F80" i="1"/>
  <c r="F69" i="1"/>
  <c r="F76" i="1"/>
  <c r="F77" i="1"/>
  <c r="F78" i="1"/>
  <c r="F79" i="1"/>
  <c r="F68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41" i="1"/>
  <c r="F36" i="1"/>
  <c r="F38" i="1"/>
  <c r="F39" i="1"/>
  <c r="F40" i="1"/>
  <c r="F37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8" i="1"/>
  <c r="F74" i="1" l="1"/>
  <c r="F73" i="1"/>
  <c r="F75" i="1"/>
  <c r="F72" i="1"/>
  <c r="F71" i="1"/>
  <c r="E95" i="1"/>
  <c r="E92" i="1"/>
  <c r="E91" i="1"/>
  <c r="E90" i="1"/>
  <c r="E89" i="1"/>
  <c r="E88" i="1"/>
  <c r="E86" i="1"/>
  <c r="E85" i="1"/>
  <c r="E84" i="1"/>
  <c r="E83" i="1"/>
  <c r="E80" i="1"/>
  <c r="E81" i="1"/>
  <c r="E79" i="1" l="1"/>
  <c r="E78" i="1"/>
  <c r="E76" i="1"/>
  <c r="E75" i="1"/>
  <c r="E74" i="1"/>
  <c r="E73" i="1"/>
  <c r="E72" i="1"/>
  <c r="E69" i="1"/>
  <c r="E70" i="1"/>
  <c r="E71" i="1"/>
  <c r="E68" i="1"/>
  <c r="E36" i="1" l="1"/>
  <c r="E65" i="1"/>
  <c r="E63" i="1"/>
  <c r="E62" i="1"/>
  <c r="E61" i="1"/>
  <c r="E59" i="1"/>
  <c r="E60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 l="1"/>
  <c r="E39" i="1"/>
  <c r="E38" i="1"/>
  <c r="E37" i="1"/>
  <c r="E35" i="1"/>
  <c r="E34" i="1"/>
  <c r="E33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2" i="1" l="1"/>
  <c r="E3" i="1"/>
  <c r="E4" i="1"/>
  <c r="E5" i="1"/>
  <c r="E6" i="1"/>
  <c r="D95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12" i="1"/>
  <c r="D11" i="1"/>
  <c r="D75" i="1" l="1"/>
  <c r="D74" i="1"/>
  <c r="D73" i="1"/>
  <c r="D71" i="1"/>
  <c r="D70" i="1"/>
  <c r="D69" i="1"/>
  <c r="D68" i="1"/>
  <c r="D40" i="1" l="1"/>
  <c r="D39" i="1"/>
  <c r="D37" i="1"/>
  <c r="D36" i="1"/>
  <c r="D35" i="1"/>
  <c r="D34" i="1"/>
  <c r="D33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9" i="1"/>
  <c r="D8" i="1"/>
  <c r="D50" i="1" l="1"/>
  <c r="D65" i="1"/>
  <c r="D63" i="1"/>
  <c r="D58" i="1"/>
  <c r="D62" i="1" l="1"/>
  <c r="D61" i="1"/>
  <c r="D60" i="1"/>
  <c r="D59" i="1"/>
  <c r="D57" i="1"/>
  <c r="D56" i="1"/>
  <c r="D54" i="1"/>
  <c r="D53" i="1"/>
  <c r="D52" i="1"/>
  <c r="D51" i="1"/>
  <c r="D49" i="1"/>
  <c r="D48" i="1"/>
  <c r="D45" i="1"/>
  <c r="D43" i="1"/>
  <c r="D42" i="1"/>
  <c r="D41" i="1"/>
  <c r="D4" i="1" l="1"/>
  <c r="D5" i="1"/>
  <c r="D6" i="1"/>
  <c r="D2" i="1"/>
  <c r="D3" i="1"/>
  <c r="D72" i="1" l="1"/>
  <c r="D38" i="1" l="1"/>
  <c r="D32" i="1"/>
  <c r="D10" i="1"/>
  <c r="D55" i="1" l="1"/>
  <c r="C86" i="1" l="1"/>
  <c r="C85" i="1"/>
  <c r="C83" i="1"/>
  <c r="C39" i="1" l="1"/>
  <c r="C91" i="1"/>
  <c r="C63" i="1"/>
  <c r="C87" i="1"/>
  <c r="C32" i="1"/>
  <c r="C51" i="1"/>
  <c r="C75" i="1"/>
  <c r="C74" i="1"/>
  <c r="C73" i="1"/>
  <c r="C71" i="1"/>
  <c r="C69" i="1"/>
  <c r="C70" i="1"/>
  <c r="C68" i="1"/>
  <c r="C93" i="1" l="1"/>
  <c r="C67" i="1"/>
  <c r="C65" i="1"/>
  <c r="C40" i="1"/>
  <c r="C92" i="1"/>
  <c r="C62" i="1"/>
  <c r="C88" i="1"/>
  <c r="C89" i="1"/>
  <c r="C90" i="1"/>
  <c r="C33" i="1"/>
  <c r="C61" i="1"/>
  <c r="C31" i="1"/>
  <c r="C20" i="1"/>
  <c r="C21" i="1"/>
  <c r="C22" i="1"/>
  <c r="C23" i="1"/>
  <c r="C24" i="1"/>
  <c r="C25" i="1"/>
  <c r="C26" i="1"/>
  <c r="C27" i="1"/>
  <c r="C28" i="1"/>
  <c r="C29" i="1"/>
  <c r="C30" i="1"/>
  <c r="C19" i="1"/>
  <c r="C81" i="1"/>
  <c r="C80" i="1"/>
  <c r="C16" i="1"/>
  <c r="C17" i="1"/>
  <c r="C18" i="1"/>
  <c r="C15" i="1"/>
  <c r="C60" i="1"/>
  <c r="C59" i="1"/>
  <c r="C56" i="1"/>
  <c r="C57" i="1"/>
  <c r="C58" i="1"/>
  <c r="C55" i="1"/>
  <c r="C14" i="1"/>
  <c r="C13" i="1"/>
  <c r="C54" i="1"/>
  <c r="C53" i="1"/>
  <c r="C12" i="1"/>
  <c r="C11" i="1"/>
  <c r="C10" i="1" l="1"/>
  <c r="C9" i="1"/>
  <c r="C49" i="1" l="1"/>
  <c r="C52" i="1"/>
  <c r="C48" i="1"/>
  <c r="C45" i="1"/>
  <c r="C42" i="1"/>
  <c r="C43" i="1"/>
  <c r="C41" i="1"/>
  <c r="B2" i="1" l="1"/>
  <c r="B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<sst xmlns="http://schemas.openxmlformats.org/spreadsheetml/2006/main" count="219" uniqueCount="122">
  <si>
    <t>X - HYDROPROP 40/80 BULK BAG</t>
  </si>
  <si>
    <t>X - HSP40/70 BULK BAG</t>
  </si>
  <si>
    <t>X - ACCUCAST ID 50 BULK BAG</t>
  </si>
  <si>
    <t>KRYPTOSPHERE XT 25</t>
  </si>
  <si>
    <t>KRYPTOSPHERE LD 25 BULK BAG</t>
  </si>
  <si>
    <t>KRYPTOSPHERE HD (B) 25</t>
  </si>
  <si>
    <t>FUSION LITE 16/20 BULK BAG</t>
  </si>
  <si>
    <t>FUSION ACTIVATOR C - 9.476 LB/GAL</t>
  </si>
  <si>
    <t>ECONO PROP 30/50 Bulk Bag</t>
  </si>
  <si>
    <t>ECONO PROP 30/50</t>
  </si>
  <si>
    <t>CARBONRT KRYPTOSPHERE LD 35 BULK BAG</t>
  </si>
  <si>
    <t>CARBONRT CP 30/50 Bulk Bag</t>
  </si>
  <si>
    <t>CARBONRT CL 20/40</t>
  </si>
  <si>
    <t>CARBONRT CL 16/30-FP</t>
  </si>
  <si>
    <t>CARBOBOND ULTRALITE 20/40 BB-2000lb</t>
  </si>
  <si>
    <t>CARBOBOND LITE 20/40 Bulk Bag</t>
  </si>
  <si>
    <t>CARBOBOND LITE 20/40</t>
  </si>
  <si>
    <t>CARBO SCALEGUARD IV 16/20</t>
  </si>
  <si>
    <t>CARBO SCALEGUARD II 40/70 BB-2600LB</t>
  </si>
  <si>
    <t>CARBO SCALEGUARD II 30/50 BB-2600LB</t>
  </si>
  <si>
    <t>CARBO SCALEGUARD II 16/20 BB-2600LB</t>
  </si>
  <si>
    <t>CARBO PROP 30/60</t>
  </si>
  <si>
    <t>CARBO PROP 20/40 50 lb Bag</t>
  </si>
  <si>
    <t>CARBO LITE 40/70 Bulk Bag</t>
  </si>
  <si>
    <t>CARBO LITE 30/50 Bulk Bag</t>
  </si>
  <si>
    <t>CARBO LITE 30/50 50 LB BAG</t>
  </si>
  <si>
    <t>CARBO LITE 30/50</t>
  </si>
  <si>
    <t>CARBO LITE 20/40 Bulk Bag</t>
  </si>
  <si>
    <t>CARBO LITE 20/40 50 lb Bag</t>
  </si>
  <si>
    <t>CARBO LITE 20/40</t>
  </si>
  <si>
    <t>CARBO LITE 16/20 Bulk Bag</t>
  </si>
  <si>
    <t>CARBO LITE 16/20</t>
  </si>
  <si>
    <t>CARBO LITE 12/18 Bulk Bag</t>
  </si>
  <si>
    <t>CARBO LITE 12/18</t>
  </si>
  <si>
    <t>CARBO HSP 40/70 BULK BAG</t>
  </si>
  <si>
    <t>CS CARBOGRIND ZIRPLUS 340-030 BB-2205</t>
  </si>
  <si>
    <t>CS CARBOGRIND XT 360-400 25KG (55LB)</t>
  </si>
  <si>
    <t>CS CARBOGRIND XT 360-300 BB-2205</t>
  </si>
  <si>
    <t>CS CARBOGRIND XT 360-100 25KG (55LB)</t>
  </si>
  <si>
    <t>CS CARBOGRIND NANO 370-018 25KG (55LB)</t>
  </si>
  <si>
    <t>CARBOGRIND 280-030 BULK BAG</t>
  </si>
  <si>
    <t>CARBOGRIND 260-030 BULK BAG</t>
  </si>
  <si>
    <t>CARBOGRIND 260-030 25KG BAG (55LB)</t>
  </si>
  <si>
    <t>CARBOGRIND 260-020 BULK BAG</t>
  </si>
  <si>
    <t>CARBOGRIND 260-020 3.5 GALLON (40lb)</t>
  </si>
  <si>
    <t>CARBOGRIND 260-020 25KG BAG (55LB)</t>
  </si>
  <si>
    <t>CARBOGRIND 260-015 BULK BAG</t>
  </si>
  <si>
    <t>CARBOGRIND 260-015 25KG BAG (55LB)</t>
  </si>
  <si>
    <t>CARBOGRIND 260-010 BULK BAG</t>
  </si>
  <si>
    <t>CARBOGRIND 260-010 25KG BAG (55LB)</t>
  </si>
  <si>
    <t>CARBOGRIND 260-008 BULK BAG</t>
  </si>
  <si>
    <t>CARBOGRIND 260-008 25KG BAG (55LB)</t>
  </si>
  <si>
    <t>CARBOGRIND 260-006 25KG BAG (55LB)</t>
  </si>
  <si>
    <t>CARBOBEAD-LT 60/80 50LB BAG</t>
  </si>
  <si>
    <t>CARBOBEAD-LT 40/60 BULK BAG</t>
  </si>
  <si>
    <t>CARBOBEAD-LT 20/40 BULK BAG</t>
  </si>
  <si>
    <t>CARBOBEAD-LT 16/20 BULK BAG</t>
  </si>
  <si>
    <t>CARBOBEAD-LT 16/20 50LB BAG</t>
  </si>
  <si>
    <t>CARBOBEAD-LT 12/18 BULK BAG</t>
  </si>
  <si>
    <t>CARBOBEAD-HSP 40/70 BUK BAG</t>
  </si>
  <si>
    <t>CARBOBEAD-HSP 16/30 BULK BAG</t>
  </si>
  <si>
    <t>CARBOBEAD-CP 30/60 BULK BAG</t>
  </si>
  <si>
    <t>CARBOBEAD-CP 20/40 BULK BAG</t>
  </si>
  <si>
    <t>CARBOBEAD-CP 20/40 50LB BAG</t>
  </si>
  <si>
    <t>CARBOBEAD-CP 12/18 BULK BAG</t>
  </si>
  <si>
    <t>CARBOBEAD SCOUR 16/20 BULK BAG</t>
  </si>
  <si>
    <t>CARBOBEAD SCOUR 12/18 BULK BAG</t>
  </si>
  <si>
    <t>CARBOBEAD HTM ID700 50LB BAG</t>
  </si>
  <si>
    <t>CARBOBEAD HTM HD350 BUK BAG</t>
  </si>
  <si>
    <t>ACCUCAST LD 45 50LB BAG</t>
  </si>
  <si>
    <t>ACCUCAST LD 40 BULK BAG</t>
  </si>
  <si>
    <t>ACCUCAST LD 10 BULK BAG</t>
  </si>
  <si>
    <t>ACCUCAST LB BULK BAG</t>
  </si>
  <si>
    <t>ACCUCAST ID 80 Bulk Bag</t>
  </si>
  <si>
    <t>ACCUCAST ID 80</t>
  </si>
  <si>
    <t>ACCUCAST ID 70 Bulk Bag</t>
  </si>
  <si>
    <t>ACCUCAST ID 50 Bulk Bag</t>
  </si>
  <si>
    <t>ACCUCAST ID 50</t>
  </si>
  <si>
    <t>ACCUCAST ID 40</t>
  </si>
  <si>
    <t>ACCUCAST HT 80 BULK BAG</t>
  </si>
  <si>
    <t>ACCUCAST HT 80</t>
  </si>
  <si>
    <t>ACCUCAST HT 70 BULK BAG</t>
  </si>
  <si>
    <t>ACCUCAST HT 70 50LB BAG</t>
  </si>
  <si>
    <t>ACCUCAST HT 50 BULK BAG</t>
  </si>
  <si>
    <t>Plt</t>
  </si>
  <si>
    <t>MCI</t>
  </si>
  <si>
    <t>EUF</t>
  </si>
  <si>
    <t>TMB</t>
  </si>
  <si>
    <t>NIL</t>
  </si>
  <si>
    <t>Buy/Resale</t>
  </si>
  <si>
    <t>Xieta</t>
  </si>
  <si>
    <t>Dakot</t>
  </si>
  <si>
    <t>Riteks</t>
  </si>
  <si>
    <t>recent from Albert</t>
  </si>
  <si>
    <t>$/lb (2023)</t>
  </si>
  <si>
    <t>$/lb (2025)</t>
  </si>
  <si>
    <t>$/lb (2026)</t>
  </si>
  <si>
    <t>NANOMITE E 325</t>
  </si>
  <si>
    <t>NANOMITE E 325 BULK BAG</t>
  </si>
  <si>
    <t>ACCUCAST ID 60 Bulk Bag</t>
  </si>
  <si>
    <t>EP30/50 (LD30)</t>
  </si>
  <si>
    <t>Fusion HSP</t>
  </si>
  <si>
    <t>CARBOBOND CP</t>
  </si>
  <si>
    <t>NP LWC</t>
  </si>
  <si>
    <t>ISP40/70</t>
  </si>
  <si>
    <t>RC ACCUCAST HT80</t>
  </si>
  <si>
    <t>OptiCast</t>
  </si>
  <si>
    <t>$/lb (2026) V1</t>
  </si>
  <si>
    <t>Facad Adder</t>
  </si>
  <si>
    <t>Volume</t>
  </si>
  <si>
    <t>Facad</t>
  </si>
  <si>
    <t>Total</t>
  </si>
  <si>
    <t>NI Plant 1</t>
  </si>
  <si>
    <t>QC (Global)</t>
  </si>
  <si>
    <t>EHS (Global)</t>
  </si>
  <si>
    <t>VP Ops</t>
  </si>
  <si>
    <t>L&amp;M</t>
  </si>
  <si>
    <t>Distribution</t>
  </si>
  <si>
    <t>Sum</t>
  </si>
  <si>
    <t>Facad General</t>
  </si>
  <si>
    <t>Total Prod Volume:</t>
  </si>
  <si>
    <t>Total Sales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</si>
</sst>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_(&quot;$&quot;* #,##0_);_(&quot;$&quot;* \(#,##0\);_(&quot;$&quot;* &quot;-&quot;??_);_(@_)"/>
    <numFmt numFmtId="166" formatCode="_(* #,##0_);_(* \(#,##0\);_(* &quot;-&quot;??_);_(@_)"/>
    <numFmt numFmtId="168" formatCode="_(&quot;$&quot;* #,##0.0000_);_(&quot;$&quot;* \(#,##0.00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165" fontId="2" fillId="2" borderId="0" xfId="2" applyNumberFormat="1" applyFont="1" applyFill="1"/>
    <xf numFmtId="166" fontId="0" fillId="0" borderId="0" xfId="1" applyNumberFormat="1" applyFont="1"/>
    <xf numFmtId="165" fontId="2" fillId="3" borderId="0" xfId="2" applyNumberFormat="1" applyFont="1" applyFill="1"/>
    <xf numFmtId="165" fontId="3" fillId="3" borderId="0" xfId="2" applyNumberFormat="1" applyFont="1" applyFill="1"/>
    <xf numFmtId="166" fontId="0" fillId="0" borderId="0" xfId="0" applyNumberFormat="1"/>
    <xf numFmtId="165" fontId="0" fillId="3" borderId="0" xfId="0" applyNumberFormat="1" applyFill="1"/>
    <xf numFmtId="165" fontId="0" fillId="2" borderId="0" xfId="0" applyNumberFormat="1" applyFill="1"/>
    <xf numFmtId="165" fontId="0" fillId="0" borderId="0" xfId="0" applyNumberFormat="1"/>
    <xf numFmtId="168" fontId="0" fillId="0" borderId="0" xfId="2" applyNumberFormat="1" applyFont="1"/>
    <xf numFmtId="168" fontId="1" fillId="0" borderId="0" xfId="2" applyNumberFormat="1" applyFont="1"/>
    <xf numFmtId="41" fontId="0" fillId="0" borderId="1" xfId="0" applyNumberFormat="1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5"/>
  <sheetViews>
    <sheetView topLeftCell="A22" zoomScaleNormal="100" workbookViewId="0">
      <selection activeCell="D1" sqref="D1"/>
    </sheetView>
  </sheetViews>
  <sheetFormatPr defaultRowHeight="15" x14ac:dyDescent="0.25"/>
  <cols>
    <col min="1" max="1" width="40.28515625" bestFit="1" customWidth="1"/>
    <col min="2" max="2" width="12" bestFit="1" customWidth="1"/>
    <col min="3" max="4" width="12" customWidth="1"/>
    <col min="5" max="5" width="15.5703125" bestFit="1" customWidth="1"/>
    <col min="6" max="6" width="15.5703125" style="15" customWidth="1"/>
  </cols>
  <sheetData>
    <row r="1" spans="1:10" x14ac:dyDescent="0.25">
      <c r="B1" t="s">
        <v>94</v>
      </c>
      <c r="C1" t="s">
        <v>95</v>
      </c>
      <c r="D1" t="s">
        <v>96</v>
      </c>
      <c r="E1" t="s">
        <v>107</v>
      </c>
      <c r="F1" s="15" t="s">
        <v>108</v>
      </c>
      <c r="G1" t="s">
        <v>84</v>
      </c>
    </row>
    <row r="2" spans="1:10" x14ac:dyDescent="0.25">
      <c r="A2" s="4" t="s">
        <v>39</v>
      </c>
      <c r="B2" s="5">
        <f>15.6/2.205</f>
        <v>7.074829931972789</v>
      </c>
      <c r="C2" s="5">
        <v>6.17</v>
      </c>
      <c r="D2" s="6">
        <f>12.5/2.205</f>
        <v>5.6689342403628116</v>
      </c>
      <c r="E2" s="6">
        <f>12.5/2.205</f>
        <v>5.6689342403628116</v>
      </c>
      <c r="F2" s="16"/>
      <c r="G2" t="s">
        <v>89</v>
      </c>
      <c r="I2" t="s">
        <v>90</v>
      </c>
      <c r="J2" t="s">
        <v>93</v>
      </c>
    </row>
    <row r="3" spans="1:10" x14ac:dyDescent="0.25">
      <c r="A3" s="1" t="s">
        <v>38</v>
      </c>
      <c r="B3">
        <v>2.04</v>
      </c>
      <c r="C3">
        <v>2.04</v>
      </c>
      <c r="D3" s="2">
        <f>3.85/2.205</f>
        <v>1.746031746031746</v>
      </c>
      <c r="E3" s="2">
        <f>3.85/2.205</f>
        <v>1.746031746031746</v>
      </c>
      <c r="G3" t="s">
        <v>89</v>
      </c>
      <c r="I3" t="s">
        <v>90</v>
      </c>
    </row>
    <row r="4" spans="1:10" x14ac:dyDescent="0.25">
      <c r="A4" s="1" t="s">
        <v>37</v>
      </c>
      <c r="B4">
        <v>0.76</v>
      </c>
      <c r="C4">
        <v>1.03</v>
      </c>
      <c r="D4" s="2">
        <f>1.62/2.205</f>
        <v>0.73469387755102045</v>
      </c>
      <c r="E4" s="2">
        <f>1.62/2.205</f>
        <v>0.73469387755102045</v>
      </c>
      <c r="G4" t="s">
        <v>89</v>
      </c>
      <c r="I4" t="s">
        <v>90</v>
      </c>
    </row>
    <row r="5" spans="1:10" x14ac:dyDescent="0.25">
      <c r="A5" s="1" t="s">
        <v>36</v>
      </c>
      <c r="B5">
        <v>0.76</v>
      </c>
      <c r="C5">
        <v>1.27</v>
      </c>
      <c r="D5" s="2">
        <f>1.57/2.205</f>
        <v>0.71201814058956914</v>
      </c>
      <c r="E5" s="2">
        <f>1.57/2.205</f>
        <v>0.71201814058956914</v>
      </c>
      <c r="G5" t="s">
        <v>89</v>
      </c>
      <c r="I5" t="s">
        <v>90</v>
      </c>
    </row>
    <row r="6" spans="1:10" x14ac:dyDescent="0.25">
      <c r="A6" s="1" t="s">
        <v>35</v>
      </c>
      <c r="B6" s="3">
        <f>1750/2205</f>
        <v>0.79365079365079361</v>
      </c>
      <c r="C6" s="3">
        <v>1.25</v>
      </c>
      <c r="D6" s="2">
        <f>1750/2205</f>
        <v>0.79365079365079361</v>
      </c>
      <c r="E6" s="2">
        <f>1750/2205</f>
        <v>0.79365079365079361</v>
      </c>
      <c r="G6" t="s">
        <v>89</v>
      </c>
      <c r="I6" t="s">
        <v>91</v>
      </c>
    </row>
    <row r="7" spans="1:10" x14ac:dyDescent="0.25">
      <c r="A7" s="1" t="s">
        <v>7</v>
      </c>
      <c r="B7">
        <v>8.1199999999999992</v>
      </c>
      <c r="D7">
        <v>8.1199999999999992</v>
      </c>
      <c r="E7">
        <v>8.1199999999999992</v>
      </c>
      <c r="G7" t="s">
        <v>89</v>
      </c>
      <c r="I7" t="s">
        <v>92</v>
      </c>
    </row>
    <row r="8" spans="1:10" x14ac:dyDescent="0.25">
      <c r="A8" s="1" t="s">
        <v>100</v>
      </c>
      <c r="D8">
        <f>0.2189</f>
        <v>0.21890000000000001</v>
      </c>
      <c r="E8">
        <v>0.23300000000000001</v>
      </c>
      <c r="F8" s="15">
        <f>E8+'Operations Adder'!$I$5</f>
        <v>0.25997576330604394</v>
      </c>
      <c r="G8" t="s">
        <v>86</v>
      </c>
    </row>
    <row r="9" spans="1:10" x14ac:dyDescent="0.25">
      <c r="A9" s="1" t="s">
        <v>72</v>
      </c>
      <c r="B9">
        <v>0.23</v>
      </c>
      <c r="C9">
        <f>0.19+0.03</f>
        <v>0.22</v>
      </c>
      <c r="D9">
        <f>0.2282+0.02</f>
        <v>0.24819999999999998</v>
      </c>
      <c r="E9">
        <f>0.2407+0.02</f>
        <v>0.26069999999999999</v>
      </c>
      <c r="F9" s="15">
        <f>E9+'Operations Adder'!$I$5</f>
        <v>0.28767576330604389</v>
      </c>
      <c r="G9" t="s">
        <v>86</v>
      </c>
    </row>
    <row r="10" spans="1:10" x14ac:dyDescent="0.25">
      <c r="A10" s="1" t="s">
        <v>71</v>
      </c>
      <c r="B10">
        <v>0.23</v>
      </c>
      <c r="C10">
        <f>0.19+0.03</f>
        <v>0.22</v>
      </c>
      <c r="D10">
        <f>0.2282+0.03</f>
        <v>0.25819999999999999</v>
      </c>
      <c r="E10">
        <f>0.2407+0.02</f>
        <v>0.26069999999999999</v>
      </c>
      <c r="F10" s="15">
        <f>E10+'Operations Adder'!$I$5</f>
        <v>0.28767576330604389</v>
      </c>
      <c r="G10" t="s">
        <v>86</v>
      </c>
    </row>
    <row r="11" spans="1:10" x14ac:dyDescent="0.25">
      <c r="A11" s="1" t="s">
        <v>70</v>
      </c>
      <c r="B11">
        <v>0.16</v>
      </c>
      <c r="C11">
        <f>0.16+0.03</f>
        <v>0.19</v>
      </c>
      <c r="D11">
        <f>0.2224+0.02</f>
        <v>0.24239999999999998</v>
      </c>
      <c r="E11">
        <f>0.2795+0.02</f>
        <v>0.29950000000000004</v>
      </c>
      <c r="F11" s="15">
        <f>E11+'Operations Adder'!$I$5</f>
        <v>0.32647576330604394</v>
      </c>
      <c r="G11" t="s">
        <v>86</v>
      </c>
    </row>
    <row r="12" spans="1:10" x14ac:dyDescent="0.25">
      <c r="A12" s="1" t="s">
        <v>69</v>
      </c>
      <c r="B12">
        <v>0.16</v>
      </c>
      <c r="C12">
        <f>0.16+0.03</f>
        <v>0.19</v>
      </c>
      <c r="D12">
        <f>0.2224+0.05</f>
        <v>0.27239999999999998</v>
      </c>
      <c r="E12">
        <f>0.2795+0.05</f>
        <v>0.32950000000000002</v>
      </c>
      <c r="F12" s="15">
        <f>E12+'Operations Adder'!$I$5</f>
        <v>0.35647576330604391</v>
      </c>
      <c r="G12" t="s">
        <v>86</v>
      </c>
    </row>
    <row r="13" spans="1:10" x14ac:dyDescent="0.25">
      <c r="A13" s="1" t="s">
        <v>66</v>
      </c>
      <c r="B13">
        <v>0.28000000000000003</v>
      </c>
      <c r="C13">
        <f t="shared" ref="C13:C30" si="0">0.19+0.03</f>
        <v>0.22</v>
      </c>
      <c r="D13">
        <f>0.233+0.02</f>
        <v>0.253</v>
      </c>
      <c r="E13">
        <f>0.2842+0.02</f>
        <v>0.30420000000000003</v>
      </c>
      <c r="F13" s="15">
        <f>E13+'Operations Adder'!$I$5</f>
        <v>0.33117576330604392</v>
      </c>
      <c r="G13" t="s">
        <v>86</v>
      </c>
    </row>
    <row r="14" spans="1:10" x14ac:dyDescent="0.25">
      <c r="A14" s="1" t="s">
        <v>65</v>
      </c>
      <c r="B14">
        <v>0.23</v>
      </c>
      <c r="C14">
        <f t="shared" si="0"/>
        <v>0.22</v>
      </c>
      <c r="D14">
        <f>0.2282+0.02</f>
        <v>0.24819999999999998</v>
      </c>
      <c r="E14">
        <f>0.2407+0.02</f>
        <v>0.26069999999999999</v>
      </c>
      <c r="F14" s="15">
        <f>E14+'Operations Adder'!$I$5</f>
        <v>0.28767576330604389</v>
      </c>
      <c r="G14" t="s">
        <v>86</v>
      </c>
    </row>
    <row r="15" spans="1:10" x14ac:dyDescent="0.25">
      <c r="A15" s="1" t="s">
        <v>58</v>
      </c>
      <c r="B15">
        <v>0.28000000000000003</v>
      </c>
      <c r="C15">
        <f t="shared" si="0"/>
        <v>0.22</v>
      </c>
      <c r="D15">
        <f>0.233+0.02</f>
        <v>0.253</v>
      </c>
      <c r="E15">
        <f>0.2842+0.02</f>
        <v>0.30420000000000003</v>
      </c>
      <c r="F15" s="15">
        <f>E15+'Operations Adder'!$I$5</f>
        <v>0.33117576330604392</v>
      </c>
      <c r="G15" t="s">
        <v>86</v>
      </c>
    </row>
    <row r="16" spans="1:10" x14ac:dyDescent="0.25">
      <c r="A16" s="1" t="s">
        <v>57</v>
      </c>
      <c r="B16">
        <v>0.23</v>
      </c>
      <c r="C16">
        <f t="shared" si="0"/>
        <v>0.22</v>
      </c>
      <c r="D16">
        <f>0.2282+0.05</f>
        <v>0.2782</v>
      </c>
      <c r="E16">
        <f>0.2407+0.05</f>
        <v>0.29070000000000001</v>
      </c>
      <c r="F16" s="15">
        <f>E16+'Operations Adder'!$I$5</f>
        <v>0.31767576330604391</v>
      </c>
      <c r="G16" t="s">
        <v>86</v>
      </c>
    </row>
    <row r="17" spans="1:7" x14ac:dyDescent="0.25">
      <c r="A17" s="1" t="s">
        <v>56</v>
      </c>
      <c r="B17">
        <v>0.23</v>
      </c>
      <c r="C17">
        <f t="shared" si="0"/>
        <v>0.22</v>
      </c>
      <c r="D17">
        <f>0.2282+0.02</f>
        <v>0.24819999999999998</v>
      </c>
      <c r="E17">
        <f>0.2407+0.02</f>
        <v>0.26069999999999999</v>
      </c>
      <c r="F17" s="15">
        <f>E17+'Operations Adder'!$I$5</f>
        <v>0.28767576330604389</v>
      </c>
      <c r="G17" t="s">
        <v>86</v>
      </c>
    </row>
    <row r="18" spans="1:7" x14ac:dyDescent="0.25">
      <c r="A18" s="1" t="s">
        <v>55</v>
      </c>
      <c r="B18">
        <v>0.23</v>
      </c>
      <c r="C18">
        <f t="shared" si="0"/>
        <v>0.22</v>
      </c>
      <c r="D18">
        <f>0.2224+0.02</f>
        <v>0.24239999999999998</v>
      </c>
      <c r="E18">
        <f>0.2432+0.02</f>
        <v>0.26319999999999999</v>
      </c>
      <c r="F18" s="15">
        <f>E18+'Operations Adder'!$I$5</f>
        <v>0.29017576330604389</v>
      </c>
      <c r="G18" t="s">
        <v>86</v>
      </c>
    </row>
    <row r="19" spans="1:7" x14ac:dyDescent="0.25">
      <c r="A19" s="1" t="s">
        <v>52</v>
      </c>
      <c r="B19">
        <v>0.23</v>
      </c>
      <c r="C19">
        <f t="shared" si="0"/>
        <v>0.22</v>
      </c>
      <c r="D19">
        <f>0.2224+0.05</f>
        <v>0.27239999999999998</v>
      </c>
      <c r="E19">
        <f>0.2432+0.05</f>
        <v>0.29320000000000002</v>
      </c>
      <c r="F19" s="15">
        <f>E19+'Operations Adder'!$I$5</f>
        <v>0.32017576330604391</v>
      </c>
      <c r="G19" t="s">
        <v>86</v>
      </c>
    </row>
    <row r="20" spans="1:7" x14ac:dyDescent="0.25">
      <c r="A20" s="1" t="s">
        <v>51</v>
      </c>
      <c r="B20">
        <v>0.23</v>
      </c>
      <c r="C20">
        <f t="shared" si="0"/>
        <v>0.22</v>
      </c>
      <c r="D20">
        <f>0.2224+0.05</f>
        <v>0.27239999999999998</v>
      </c>
      <c r="E20">
        <f>0.2432+0.05</f>
        <v>0.29320000000000002</v>
      </c>
      <c r="F20" s="15">
        <f>E20+'Operations Adder'!$I$5</f>
        <v>0.32017576330604391</v>
      </c>
      <c r="G20" t="s">
        <v>86</v>
      </c>
    </row>
    <row r="21" spans="1:7" x14ac:dyDescent="0.25">
      <c r="A21" s="1" t="s">
        <v>50</v>
      </c>
      <c r="B21">
        <v>0.23</v>
      </c>
      <c r="C21">
        <f t="shared" si="0"/>
        <v>0.22</v>
      </c>
      <c r="D21">
        <f>0.2224+0.02</f>
        <v>0.24239999999999998</v>
      </c>
      <c r="E21">
        <f>0.2423+0.02</f>
        <v>0.26229999999999998</v>
      </c>
      <c r="F21" s="15">
        <f>E21+'Operations Adder'!$I$5</f>
        <v>0.28927576330604388</v>
      </c>
      <c r="G21" t="s">
        <v>86</v>
      </c>
    </row>
    <row r="22" spans="1:7" x14ac:dyDescent="0.25">
      <c r="A22" s="1" t="s">
        <v>49</v>
      </c>
      <c r="B22">
        <v>0.23</v>
      </c>
      <c r="C22">
        <f t="shared" si="0"/>
        <v>0.22</v>
      </c>
      <c r="D22">
        <f>0.2282+0.05</f>
        <v>0.2782</v>
      </c>
      <c r="E22">
        <f>0.2007+0.05</f>
        <v>0.25069999999999998</v>
      </c>
      <c r="F22" s="15">
        <f>E22+'Operations Adder'!$I$5</f>
        <v>0.27767576330604388</v>
      </c>
      <c r="G22" t="s">
        <v>86</v>
      </c>
    </row>
    <row r="23" spans="1:7" x14ac:dyDescent="0.25">
      <c r="A23" s="1" t="s">
        <v>48</v>
      </c>
      <c r="B23">
        <v>0.23</v>
      </c>
      <c r="C23">
        <f t="shared" si="0"/>
        <v>0.22</v>
      </c>
      <c r="D23">
        <f>0.2282+0.02</f>
        <v>0.24819999999999998</v>
      </c>
      <c r="E23">
        <f>0.2077+0.02</f>
        <v>0.22769999999999999</v>
      </c>
      <c r="F23" s="15">
        <f>E23+'Operations Adder'!$I$5</f>
        <v>0.25467576330604391</v>
      </c>
      <c r="G23" t="s">
        <v>86</v>
      </c>
    </row>
    <row r="24" spans="1:7" x14ac:dyDescent="0.25">
      <c r="A24" s="1" t="s">
        <v>47</v>
      </c>
      <c r="B24">
        <v>0.28000000000000003</v>
      </c>
      <c r="C24">
        <f t="shared" si="0"/>
        <v>0.22</v>
      </c>
      <c r="D24">
        <f>0.233+0.05</f>
        <v>0.28300000000000003</v>
      </c>
      <c r="E24">
        <f>0.2842+0.05</f>
        <v>0.3342</v>
      </c>
      <c r="F24" s="15">
        <f>E24+'Operations Adder'!$I$5</f>
        <v>0.3611757633060439</v>
      </c>
      <c r="G24" t="s">
        <v>86</v>
      </c>
    </row>
    <row r="25" spans="1:7" x14ac:dyDescent="0.25">
      <c r="A25" s="1" t="s">
        <v>46</v>
      </c>
      <c r="B25">
        <v>0.28000000000000003</v>
      </c>
      <c r="C25">
        <f t="shared" si="0"/>
        <v>0.22</v>
      </c>
      <c r="D25">
        <f>0.233+0.02</f>
        <v>0.253</v>
      </c>
      <c r="E25">
        <f>0.2842+0.02</f>
        <v>0.30420000000000003</v>
      </c>
      <c r="F25" s="15">
        <f>E25+'Operations Adder'!$I$5</f>
        <v>0.33117576330604392</v>
      </c>
      <c r="G25" t="s">
        <v>86</v>
      </c>
    </row>
    <row r="26" spans="1:7" x14ac:dyDescent="0.25">
      <c r="A26" s="1" t="s">
        <v>45</v>
      </c>
      <c r="B26">
        <v>0.3</v>
      </c>
      <c r="C26">
        <f t="shared" si="0"/>
        <v>0.22</v>
      </c>
      <c r="D26">
        <f>0.233+0.05</f>
        <v>0.28300000000000003</v>
      </c>
      <c r="E26">
        <f>0.2432+0.05</f>
        <v>0.29320000000000002</v>
      </c>
      <c r="F26" s="15">
        <f>E26+'Operations Adder'!$I$5</f>
        <v>0.32017576330604391</v>
      </c>
      <c r="G26" t="s">
        <v>86</v>
      </c>
    </row>
    <row r="27" spans="1:7" x14ac:dyDescent="0.25">
      <c r="A27" s="1" t="s">
        <v>44</v>
      </c>
      <c r="B27">
        <v>0.3</v>
      </c>
      <c r="C27">
        <f t="shared" si="0"/>
        <v>0.22</v>
      </c>
      <c r="D27">
        <f>0.233+0.05</f>
        <v>0.28300000000000003</v>
      </c>
      <c r="E27">
        <f>0.2432+0.05</f>
        <v>0.29320000000000002</v>
      </c>
      <c r="F27" s="15">
        <f>E27+'Operations Adder'!$I$5</f>
        <v>0.32017576330604391</v>
      </c>
      <c r="G27" t="s">
        <v>86</v>
      </c>
    </row>
    <row r="28" spans="1:7" x14ac:dyDescent="0.25">
      <c r="A28" s="1" t="s">
        <v>43</v>
      </c>
      <c r="B28">
        <v>0.3</v>
      </c>
      <c r="C28">
        <f t="shared" si="0"/>
        <v>0.22</v>
      </c>
      <c r="D28">
        <f>0.233+0.02</f>
        <v>0.253</v>
      </c>
      <c r="E28">
        <f>0.2432+0.02</f>
        <v>0.26319999999999999</v>
      </c>
      <c r="F28" s="15">
        <f>E28+'Operations Adder'!$I$5</f>
        <v>0.29017576330604389</v>
      </c>
      <c r="G28" t="s">
        <v>86</v>
      </c>
    </row>
    <row r="29" spans="1:7" x14ac:dyDescent="0.25">
      <c r="A29" s="1" t="s">
        <v>42</v>
      </c>
      <c r="B29">
        <v>0.3</v>
      </c>
      <c r="C29">
        <f t="shared" si="0"/>
        <v>0.22</v>
      </c>
      <c r="D29">
        <f>0.2445+0.05</f>
        <v>0.29449999999999998</v>
      </c>
      <c r="E29">
        <f>0.2432+0.05</f>
        <v>0.29320000000000002</v>
      </c>
      <c r="F29" s="15">
        <f>E29+'Operations Adder'!$I$5</f>
        <v>0.32017576330604391</v>
      </c>
      <c r="G29" t="s">
        <v>86</v>
      </c>
    </row>
    <row r="30" spans="1:7" x14ac:dyDescent="0.25">
      <c r="A30" s="1" t="s">
        <v>41</v>
      </c>
      <c r="B30">
        <v>0.3</v>
      </c>
      <c r="C30">
        <f t="shared" si="0"/>
        <v>0.22</v>
      </c>
      <c r="D30">
        <f>0.2445+0.02</f>
        <v>0.26450000000000001</v>
      </c>
      <c r="E30">
        <f>0.2432+0.02</f>
        <v>0.26319999999999999</v>
      </c>
      <c r="F30" s="15">
        <f>E30+'Operations Adder'!$I$5</f>
        <v>0.29017576330604389</v>
      </c>
      <c r="G30" t="s">
        <v>86</v>
      </c>
    </row>
    <row r="31" spans="1:7" x14ac:dyDescent="0.25">
      <c r="A31" s="1" t="s">
        <v>40</v>
      </c>
      <c r="B31">
        <v>0.54</v>
      </c>
      <c r="C31">
        <f>0.4225+0.03</f>
        <v>0.45250000000000001</v>
      </c>
      <c r="D31">
        <f>0.4681+0.05</f>
        <v>0.5181</v>
      </c>
      <c r="E31">
        <f>0.4556+0.02</f>
        <v>0.47560000000000002</v>
      </c>
      <c r="F31" s="15">
        <f>E31+'Operations Adder'!$I$5</f>
        <v>0.50257576330604392</v>
      </c>
      <c r="G31" t="s">
        <v>86</v>
      </c>
    </row>
    <row r="32" spans="1:7" x14ac:dyDescent="0.25">
      <c r="A32" s="1" t="s">
        <v>33</v>
      </c>
      <c r="B32">
        <v>0.28000000000000003</v>
      </c>
      <c r="C32">
        <f>0.19</f>
        <v>0.19</v>
      </c>
      <c r="D32">
        <f>0.233</f>
        <v>0.23300000000000001</v>
      </c>
      <c r="E32">
        <v>0.28420000000000001</v>
      </c>
      <c r="F32" s="15">
        <f>E32+'Operations Adder'!$I$5</f>
        <v>0.31117576330604391</v>
      </c>
      <c r="G32" t="s">
        <v>86</v>
      </c>
    </row>
    <row r="33" spans="1:7" x14ac:dyDescent="0.25">
      <c r="A33" s="1" t="s">
        <v>32</v>
      </c>
      <c r="B33">
        <v>0.28000000000000003</v>
      </c>
      <c r="C33">
        <f>0.19+0.03</f>
        <v>0.22</v>
      </c>
      <c r="D33">
        <f>0.233+0.05</f>
        <v>0.28300000000000003</v>
      </c>
      <c r="E33">
        <f>0.2842+0.02</f>
        <v>0.30420000000000003</v>
      </c>
      <c r="F33" s="15">
        <f>E33+'Operations Adder'!$I$5</f>
        <v>0.33117576330604392</v>
      </c>
      <c r="G33" t="s">
        <v>86</v>
      </c>
    </row>
    <row r="34" spans="1:7" x14ac:dyDescent="0.25">
      <c r="A34" s="1" t="s">
        <v>13</v>
      </c>
      <c r="B34">
        <v>0.4</v>
      </c>
      <c r="C34">
        <v>0.4</v>
      </c>
      <c r="D34">
        <f>0.6162</f>
        <v>0.61619999999999997</v>
      </c>
      <c r="E34">
        <f>0.5372</f>
        <v>0.53720000000000001</v>
      </c>
      <c r="F34" s="15">
        <f>E34+'Operations Adder'!$I$5</f>
        <v>0.56417576330604391</v>
      </c>
      <c r="G34" t="s">
        <v>86</v>
      </c>
    </row>
    <row r="35" spans="1:7" x14ac:dyDescent="0.25">
      <c r="A35" s="1" t="s">
        <v>12</v>
      </c>
      <c r="B35">
        <v>0.45</v>
      </c>
      <c r="C35">
        <v>0.45</v>
      </c>
      <c r="D35">
        <f>0.5104</f>
        <v>0.51039999999999996</v>
      </c>
      <c r="E35">
        <f>0.5372</f>
        <v>0.53720000000000001</v>
      </c>
      <c r="F35" s="15">
        <f>E35+'Operations Adder'!$I$5</f>
        <v>0.56417576330604391</v>
      </c>
      <c r="G35" t="s">
        <v>86</v>
      </c>
    </row>
    <row r="36" spans="1:7" x14ac:dyDescent="0.25">
      <c r="A36" s="1" t="s">
        <v>11</v>
      </c>
      <c r="B36">
        <v>0.45</v>
      </c>
      <c r="C36">
        <v>0.45</v>
      </c>
      <c r="D36">
        <f>0.5104</f>
        <v>0.51039999999999996</v>
      </c>
      <c r="E36">
        <f>0.5372+0.04+0.02</f>
        <v>0.59720000000000006</v>
      </c>
      <c r="F36" s="15">
        <f>E36+'Operations Adder'!$I$6</f>
        <v>0.62339979202360174</v>
      </c>
      <c r="G36" t="s">
        <v>85</v>
      </c>
    </row>
    <row r="37" spans="1:7" x14ac:dyDescent="0.25">
      <c r="A37" s="1" t="s">
        <v>10</v>
      </c>
      <c r="B37">
        <v>0.65</v>
      </c>
      <c r="C37">
        <v>0.65</v>
      </c>
      <c r="D37">
        <f>0.7147+0.02</f>
        <v>0.73470000000000002</v>
      </c>
      <c r="E37">
        <f>0.7585+0.02</f>
        <v>0.77849999999999997</v>
      </c>
      <c r="F37" s="15">
        <f>E37+'Operations Adder'!$I$5</f>
        <v>0.80547576330604387</v>
      </c>
      <c r="G37" t="s">
        <v>86</v>
      </c>
    </row>
    <row r="38" spans="1:7" x14ac:dyDescent="0.25">
      <c r="A38" s="1" t="s">
        <v>5</v>
      </c>
      <c r="B38">
        <v>0.95</v>
      </c>
      <c r="C38">
        <v>1.08</v>
      </c>
      <c r="D38">
        <f>0.9406</f>
        <v>0.94059999999999999</v>
      </c>
      <c r="E38">
        <f>0.9341</f>
        <v>0.93410000000000004</v>
      </c>
      <c r="F38" s="15">
        <f>E38+'Operations Adder'!$I$5</f>
        <v>0.96107576330604394</v>
      </c>
      <c r="G38" t="s">
        <v>86</v>
      </c>
    </row>
    <row r="39" spans="1:7" x14ac:dyDescent="0.25">
      <c r="A39" s="1" t="s">
        <v>4</v>
      </c>
      <c r="B39">
        <v>0.55000000000000004</v>
      </c>
      <c r="C39">
        <f>0.46+0.03</f>
        <v>0.49</v>
      </c>
      <c r="D39">
        <f>0.4447+0.02</f>
        <v>0.4647</v>
      </c>
      <c r="E39">
        <f>0.4236+0.02</f>
        <v>0.44359999999999999</v>
      </c>
      <c r="F39" s="15">
        <f>E39+'Operations Adder'!$I$5</f>
        <v>0.47057576330604389</v>
      </c>
      <c r="G39" t="s">
        <v>86</v>
      </c>
    </row>
    <row r="40" spans="1:7" x14ac:dyDescent="0.25">
      <c r="A40" s="1" t="s">
        <v>3</v>
      </c>
      <c r="B40">
        <v>0.56999999999999995</v>
      </c>
      <c r="C40">
        <f>0.5</f>
        <v>0.5</v>
      </c>
      <c r="D40">
        <f>0.4447+0.005</f>
        <v>0.44969999999999999</v>
      </c>
      <c r="E40">
        <f>0.4236+0.005</f>
        <v>0.42859999999999998</v>
      </c>
      <c r="F40" s="15">
        <f>E40+'Operations Adder'!$I$5</f>
        <v>0.45557576330604388</v>
      </c>
      <c r="G40" t="s">
        <v>86</v>
      </c>
    </row>
    <row r="41" spans="1:7" x14ac:dyDescent="0.25">
      <c r="A41" s="1" t="s">
        <v>83</v>
      </c>
      <c r="B41">
        <v>0.39</v>
      </c>
      <c r="C41">
        <f>0.34+0.03</f>
        <v>0.37</v>
      </c>
      <c r="D41">
        <f>0.3506+0.05</f>
        <v>0.40060000000000001</v>
      </c>
      <c r="E41">
        <f>0.3284+0.02</f>
        <v>0.34840000000000004</v>
      </c>
      <c r="F41" s="15">
        <f>E41+'Operations Adder'!$I$6</f>
        <v>0.37459979202360166</v>
      </c>
      <c r="G41" t="s">
        <v>85</v>
      </c>
    </row>
    <row r="42" spans="1:7" x14ac:dyDescent="0.25">
      <c r="A42" s="1" t="s">
        <v>82</v>
      </c>
      <c r="B42">
        <v>0.39</v>
      </c>
      <c r="C42">
        <f>0.34+0.03</f>
        <v>0.37</v>
      </c>
      <c r="D42">
        <f>0.4881+0.05</f>
        <v>0.53810000000000002</v>
      </c>
      <c r="E42">
        <f>0.4937+0.05</f>
        <v>0.54370000000000007</v>
      </c>
      <c r="F42" s="15">
        <f>E42+'Operations Adder'!$I$6</f>
        <v>0.56989979202360175</v>
      </c>
      <c r="G42" t="s">
        <v>85</v>
      </c>
    </row>
    <row r="43" spans="1:7" x14ac:dyDescent="0.25">
      <c r="A43" s="1" t="s">
        <v>81</v>
      </c>
      <c r="B43">
        <v>0.39</v>
      </c>
      <c r="C43">
        <f>0.34+0.03</f>
        <v>0.37</v>
      </c>
      <c r="D43">
        <f>0.4881+0.03</f>
        <v>0.5181</v>
      </c>
      <c r="E43">
        <f>0.4937+0.02</f>
        <v>0.51370000000000005</v>
      </c>
      <c r="F43" s="15">
        <f>E43+'Operations Adder'!$I$6</f>
        <v>0.53989979202360172</v>
      </c>
      <c r="G43" t="s">
        <v>85</v>
      </c>
    </row>
    <row r="44" spans="1:7" x14ac:dyDescent="0.25">
      <c r="A44" s="1" t="s">
        <v>80</v>
      </c>
      <c r="B44">
        <v>0.39</v>
      </c>
      <c r="C44">
        <v>0.34</v>
      </c>
      <c r="D44">
        <v>0.49399999999999999</v>
      </c>
      <c r="E44">
        <f>0.4309</f>
        <v>0.43090000000000001</v>
      </c>
      <c r="F44" s="15">
        <f>E44+'Operations Adder'!$I$6</f>
        <v>0.45709979202360163</v>
      </c>
      <c r="G44" t="s">
        <v>85</v>
      </c>
    </row>
    <row r="45" spans="1:7" x14ac:dyDescent="0.25">
      <c r="A45" s="1" t="s">
        <v>79</v>
      </c>
      <c r="B45">
        <v>0.39</v>
      </c>
      <c r="C45">
        <f>0.34+0.03</f>
        <v>0.37</v>
      </c>
      <c r="D45">
        <f>0.494+0.03</f>
        <v>0.52400000000000002</v>
      </c>
      <c r="E45">
        <f>0.4309+0.02</f>
        <v>0.45090000000000002</v>
      </c>
      <c r="F45" s="15">
        <f>E45+'Operations Adder'!$I$6</f>
        <v>0.47709979202360164</v>
      </c>
      <c r="G45" t="s">
        <v>85</v>
      </c>
    </row>
    <row r="46" spans="1:7" x14ac:dyDescent="0.25">
      <c r="A46" s="1" t="s">
        <v>78</v>
      </c>
      <c r="B46">
        <v>0.33</v>
      </c>
      <c r="C46">
        <v>0.2984</v>
      </c>
      <c r="D46">
        <v>0.33500000000000002</v>
      </c>
      <c r="E46">
        <f>0.3253</f>
        <v>0.32529999999999998</v>
      </c>
      <c r="F46" s="15">
        <f>E46+'Operations Adder'!$I$6</f>
        <v>0.3514997920236016</v>
      </c>
      <c r="G46" t="s">
        <v>85</v>
      </c>
    </row>
    <row r="47" spans="1:7" x14ac:dyDescent="0.25">
      <c r="A47" s="1" t="s">
        <v>77</v>
      </c>
      <c r="B47">
        <v>0.33</v>
      </c>
      <c r="C47">
        <v>0.2984</v>
      </c>
      <c r="D47">
        <v>0.30259999999999998</v>
      </c>
      <c r="E47">
        <f>0.3181</f>
        <v>0.31809999999999999</v>
      </c>
      <c r="F47" s="15">
        <f>E47+'Operations Adder'!$I$6</f>
        <v>0.34429979202360161</v>
      </c>
      <c r="G47" t="s">
        <v>85</v>
      </c>
    </row>
    <row r="48" spans="1:7" x14ac:dyDescent="0.25">
      <c r="A48" s="1" t="s">
        <v>76</v>
      </c>
      <c r="B48">
        <v>0.33</v>
      </c>
      <c r="C48">
        <f>0.2984+0.03</f>
        <v>0.32840000000000003</v>
      </c>
      <c r="D48">
        <f>0.3026+0.02</f>
        <v>0.3226</v>
      </c>
      <c r="E48">
        <f>0.3181+0.02</f>
        <v>0.33810000000000001</v>
      </c>
      <c r="F48" s="15">
        <f>E48+'Operations Adder'!$I$6</f>
        <v>0.36429979202360163</v>
      </c>
      <c r="G48" t="s">
        <v>85</v>
      </c>
    </row>
    <row r="49" spans="1:7" x14ac:dyDescent="0.25">
      <c r="A49" s="1" t="s">
        <v>75</v>
      </c>
      <c r="B49">
        <v>0.33</v>
      </c>
      <c r="C49">
        <f>0.2984+0.03</f>
        <v>0.32840000000000003</v>
      </c>
      <c r="D49">
        <f>0.4043+0.02</f>
        <v>0.42430000000000001</v>
      </c>
      <c r="E49">
        <f>0.381+0.02</f>
        <v>0.40100000000000002</v>
      </c>
      <c r="F49" s="15">
        <f>E49+'Operations Adder'!$I$6</f>
        <v>0.42719979202360164</v>
      </c>
      <c r="G49" t="s">
        <v>85</v>
      </c>
    </row>
    <row r="50" spans="1:7" x14ac:dyDescent="0.25">
      <c r="A50" s="1" t="s">
        <v>99</v>
      </c>
      <c r="D50">
        <f>0.4411+0.02</f>
        <v>0.46110000000000001</v>
      </c>
      <c r="E50">
        <f>0.5216+0.02</f>
        <v>0.54159999999999997</v>
      </c>
      <c r="F50" s="15">
        <f>E50+'Operations Adder'!$I$6</f>
        <v>0.56779979202360165</v>
      </c>
      <c r="G50" t="s">
        <v>85</v>
      </c>
    </row>
    <row r="51" spans="1:7" x14ac:dyDescent="0.25">
      <c r="A51" s="1" t="s">
        <v>74</v>
      </c>
      <c r="B51">
        <v>0.33</v>
      </c>
      <c r="C51">
        <f>0.2984</f>
        <v>0.2984</v>
      </c>
      <c r="D51">
        <f>0.5253</f>
        <v>0.52529999999999999</v>
      </c>
      <c r="E51">
        <f>0.4266</f>
        <v>0.42659999999999998</v>
      </c>
      <c r="F51" s="15">
        <f>E51+'Operations Adder'!$I$6</f>
        <v>0.4527997920236016</v>
      </c>
      <c r="G51" t="s">
        <v>85</v>
      </c>
    </row>
    <row r="52" spans="1:7" x14ac:dyDescent="0.25">
      <c r="A52" s="1" t="s">
        <v>73</v>
      </c>
      <c r="B52">
        <v>0.33</v>
      </c>
      <c r="C52">
        <f>0.2984+0.03</f>
        <v>0.32840000000000003</v>
      </c>
      <c r="D52">
        <f>0.5253+0.02</f>
        <v>0.54530000000000001</v>
      </c>
      <c r="E52">
        <f>0.4266+0.02</f>
        <v>0.4466</v>
      </c>
      <c r="F52" s="15">
        <f>E52+'Operations Adder'!$I$6</f>
        <v>0.47279979202360162</v>
      </c>
      <c r="G52" t="s">
        <v>85</v>
      </c>
    </row>
    <row r="53" spans="1:7" x14ac:dyDescent="0.25">
      <c r="A53" s="1" t="s">
        <v>68</v>
      </c>
      <c r="B53">
        <v>0.34</v>
      </c>
      <c r="C53">
        <f>0.31+0.03</f>
        <v>0.33999999999999997</v>
      </c>
      <c r="D53">
        <f>0.4393+0.02</f>
        <v>0.45930000000000004</v>
      </c>
      <c r="E53">
        <f>0.4483+0.02</f>
        <v>0.46829999999999999</v>
      </c>
      <c r="F53" s="15">
        <f>E53+'Operations Adder'!$I$6</f>
        <v>0.49449979202360161</v>
      </c>
      <c r="G53" t="s">
        <v>85</v>
      </c>
    </row>
    <row r="54" spans="1:7" x14ac:dyDescent="0.25">
      <c r="A54" s="1" t="s">
        <v>67</v>
      </c>
      <c r="B54">
        <v>0.3</v>
      </c>
      <c r="C54">
        <f>0.2984+0.03</f>
        <v>0.32840000000000003</v>
      </c>
      <c r="D54">
        <f>0.4393+0.02</f>
        <v>0.45930000000000004</v>
      </c>
      <c r="E54">
        <f>0.4483+0.02</f>
        <v>0.46829999999999999</v>
      </c>
      <c r="F54" s="15">
        <f>E54+'Operations Adder'!$I$6</f>
        <v>0.49449979202360161</v>
      </c>
      <c r="G54" t="s">
        <v>85</v>
      </c>
    </row>
    <row r="55" spans="1:7" x14ac:dyDescent="0.25">
      <c r="A55" s="1" t="s">
        <v>64</v>
      </c>
      <c r="B55">
        <v>0.3</v>
      </c>
      <c r="C55">
        <f>0.26+0.03</f>
        <v>0.29000000000000004</v>
      </c>
      <c r="D55">
        <f>0.4073+0.03</f>
        <v>0.43730000000000002</v>
      </c>
      <c r="E55">
        <f>0.3969+0.02</f>
        <v>0.41689999999999999</v>
      </c>
      <c r="F55" s="15">
        <f>E55+'Operations Adder'!$I$6</f>
        <v>0.44309979202360161</v>
      </c>
      <c r="G55" t="s">
        <v>85</v>
      </c>
    </row>
    <row r="56" spans="1:7" x14ac:dyDescent="0.25">
      <c r="A56" s="1" t="s">
        <v>63</v>
      </c>
      <c r="B56">
        <v>0.3</v>
      </c>
      <c r="C56">
        <f>0.26+0.03</f>
        <v>0.29000000000000004</v>
      </c>
      <c r="D56">
        <f>0.3653+0.05</f>
        <v>0.4153</v>
      </c>
      <c r="E56">
        <f>0.2933+0.05</f>
        <v>0.34329999999999999</v>
      </c>
      <c r="F56" s="15">
        <f>E56+'Operations Adder'!$I$6</f>
        <v>0.36949979202360161</v>
      </c>
      <c r="G56" t="s">
        <v>85</v>
      </c>
    </row>
    <row r="57" spans="1:7" x14ac:dyDescent="0.25">
      <c r="A57" s="1" t="s">
        <v>62</v>
      </c>
      <c r="B57">
        <v>0.3</v>
      </c>
      <c r="C57">
        <f>0.26+0.03</f>
        <v>0.29000000000000004</v>
      </c>
      <c r="D57">
        <f>0.3653+0.02</f>
        <v>0.38530000000000003</v>
      </c>
      <c r="E57">
        <f>0.2933+0.02</f>
        <v>0.31330000000000002</v>
      </c>
      <c r="F57" s="15">
        <f>E57+'Operations Adder'!$I$6</f>
        <v>0.33949979202360164</v>
      </c>
      <c r="G57" t="s">
        <v>85</v>
      </c>
    </row>
    <row r="58" spans="1:7" x14ac:dyDescent="0.25">
      <c r="A58" s="1" t="s">
        <v>61</v>
      </c>
      <c r="B58">
        <v>0.3</v>
      </c>
      <c r="C58">
        <f>0.26+0.03</f>
        <v>0.29000000000000004</v>
      </c>
      <c r="D58">
        <f>0.3653+0.02</f>
        <v>0.38530000000000003</v>
      </c>
      <c r="E58">
        <f>0.2933+0.02</f>
        <v>0.31330000000000002</v>
      </c>
      <c r="F58" s="15">
        <f>E58+'Operations Adder'!$I$6</f>
        <v>0.33949979202360164</v>
      </c>
      <c r="G58" t="s">
        <v>85</v>
      </c>
    </row>
    <row r="59" spans="1:7" x14ac:dyDescent="0.25">
      <c r="A59" s="1" t="s">
        <v>60</v>
      </c>
      <c r="B59">
        <v>0.34</v>
      </c>
      <c r="C59">
        <f>0.31+0.03</f>
        <v>0.33999999999999997</v>
      </c>
      <c r="D59">
        <f>0.4945+0.02</f>
        <v>0.51449999999999996</v>
      </c>
      <c r="E59">
        <f>0.4945+0.02</f>
        <v>0.51449999999999996</v>
      </c>
      <c r="F59" s="15">
        <f>E59+'Operations Adder'!$I$6</f>
        <v>0.54069979202360163</v>
      </c>
      <c r="G59" t="s">
        <v>85</v>
      </c>
    </row>
    <row r="60" spans="1:7" x14ac:dyDescent="0.25">
      <c r="A60" s="1" t="s">
        <v>59</v>
      </c>
      <c r="B60">
        <v>0.34</v>
      </c>
      <c r="C60">
        <f>0.31+0.03</f>
        <v>0.33999999999999997</v>
      </c>
      <c r="D60">
        <f>0.4393+0.02</f>
        <v>0.45930000000000004</v>
      </c>
      <c r="E60">
        <f>0.4483+0.02</f>
        <v>0.46829999999999999</v>
      </c>
      <c r="F60" s="15">
        <f>E60+'Operations Adder'!$I$6</f>
        <v>0.49449979202360161</v>
      </c>
      <c r="G60" t="s">
        <v>85</v>
      </c>
    </row>
    <row r="61" spans="1:7" x14ac:dyDescent="0.25">
      <c r="A61" s="1" t="s">
        <v>34</v>
      </c>
      <c r="B61">
        <v>0.34</v>
      </c>
      <c r="C61">
        <f>0.31+0.03</f>
        <v>0.33999999999999997</v>
      </c>
      <c r="D61">
        <f>0.4393+0.02</f>
        <v>0.45930000000000004</v>
      </c>
      <c r="E61">
        <f>0.4483+0.02</f>
        <v>0.46829999999999999</v>
      </c>
      <c r="F61" s="15">
        <f>E61+'Operations Adder'!$I$6</f>
        <v>0.49449979202360161</v>
      </c>
      <c r="G61" t="s">
        <v>85</v>
      </c>
    </row>
    <row r="62" spans="1:7" x14ac:dyDescent="0.25">
      <c r="A62" s="1" t="s">
        <v>22</v>
      </c>
      <c r="B62">
        <v>0.3</v>
      </c>
      <c r="C62">
        <f>0.26+0.03</f>
        <v>0.29000000000000004</v>
      </c>
      <c r="D62">
        <f>0.3653+0.02</f>
        <v>0.38530000000000003</v>
      </c>
      <c r="E62">
        <f>0.2933+0.05</f>
        <v>0.34329999999999999</v>
      </c>
      <c r="F62" s="15">
        <f>E62+'Operations Adder'!$I$6</f>
        <v>0.36949979202360161</v>
      </c>
      <c r="G62" t="s">
        <v>85</v>
      </c>
    </row>
    <row r="63" spans="1:7" x14ac:dyDescent="0.25">
      <c r="A63" s="1" t="s">
        <v>21</v>
      </c>
      <c r="B63">
        <v>0.3</v>
      </c>
      <c r="C63">
        <f>0.26</f>
        <v>0.26</v>
      </c>
      <c r="D63">
        <f>0.3653</f>
        <v>0.36530000000000001</v>
      </c>
      <c r="E63">
        <f>0.2933</f>
        <v>0.29330000000000001</v>
      </c>
      <c r="F63" s="15">
        <f>E63+'Operations Adder'!$I$6</f>
        <v>0.31949979202360163</v>
      </c>
      <c r="G63" t="s">
        <v>85</v>
      </c>
    </row>
    <row r="64" spans="1:7" x14ac:dyDescent="0.25">
      <c r="A64" s="1" t="s">
        <v>97</v>
      </c>
      <c r="B64">
        <v>0.23</v>
      </c>
      <c r="C64">
        <v>0.2984</v>
      </c>
      <c r="D64" s="2">
        <v>0.32890000000000003</v>
      </c>
      <c r="E64" s="2">
        <v>0.32890000000000003</v>
      </c>
      <c r="F64" s="15">
        <f>E64+'Operations Adder'!$I$6</f>
        <v>0.35509979202360165</v>
      </c>
      <c r="G64" t="s">
        <v>85</v>
      </c>
    </row>
    <row r="65" spans="1:7" x14ac:dyDescent="0.25">
      <c r="A65" s="1" t="s">
        <v>98</v>
      </c>
      <c r="B65">
        <v>0.23</v>
      </c>
      <c r="C65">
        <f>0.2984+0.03</f>
        <v>0.32840000000000003</v>
      </c>
      <c r="D65" s="2">
        <f>0.3289+0.02</f>
        <v>0.34890000000000004</v>
      </c>
      <c r="E65" s="2">
        <f>0.3289+0.02</f>
        <v>0.34890000000000004</v>
      </c>
      <c r="F65" s="15">
        <f>E65+'Operations Adder'!$I$6</f>
        <v>0.37509979202360166</v>
      </c>
      <c r="G65" t="s">
        <v>85</v>
      </c>
    </row>
    <row r="66" spans="1:7" x14ac:dyDescent="0.25">
      <c r="A66" s="1" t="s">
        <v>2</v>
      </c>
      <c r="B66">
        <v>0.3</v>
      </c>
      <c r="C66">
        <v>0.2984</v>
      </c>
      <c r="G66" t="s">
        <v>85</v>
      </c>
    </row>
    <row r="67" spans="1:7" x14ac:dyDescent="0.25">
      <c r="A67" s="1" t="s">
        <v>1</v>
      </c>
      <c r="B67">
        <v>0.34</v>
      </c>
      <c r="C67">
        <f>0.34+0.03</f>
        <v>0.37</v>
      </c>
      <c r="G67" t="s">
        <v>85</v>
      </c>
    </row>
    <row r="68" spans="1:7" x14ac:dyDescent="0.25">
      <c r="A68" s="1" t="s">
        <v>20</v>
      </c>
      <c r="B68">
        <v>0.8</v>
      </c>
      <c r="C68">
        <f>0.85+0.03</f>
        <v>0.88</v>
      </c>
      <c r="D68">
        <f>0.8205+0.02</f>
        <v>0.84050000000000002</v>
      </c>
      <c r="E68">
        <f>0.9061+0.02</f>
        <v>0.92610000000000003</v>
      </c>
      <c r="F68" s="15">
        <f>E68+'Operations Adder'!$I$4</f>
        <v>0.95200306722294092</v>
      </c>
      <c r="G68" t="s">
        <v>88</v>
      </c>
    </row>
    <row r="69" spans="1:7" x14ac:dyDescent="0.25">
      <c r="A69" s="1" t="s">
        <v>19</v>
      </c>
      <c r="B69">
        <v>0.75</v>
      </c>
      <c r="C69">
        <f>0.85+0.03</f>
        <v>0.88</v>
      </c>
      <c r="D69">
        <f>0.8205+0.02</f>
        <v>0.84050000000000002</v>
      </c>
      <c r="E69">
        <f t="shared" ref="E69:E71" si="1">0.9061+0.02</f>
        <v>0.92610000000000003</v>
      </c>
      <c r="F69" s="15">
        <f>E69+'Operations Adder'!$I$4</f>
        <v>0.95200306722294092</v>
      </c>
      <c r="G69" t="s">
        <v>88</v>
      </c>
    </row>
    <row r="70" spans="1:7" x14ac:dyDescent="0.25">
      <c r="A70" s="1" t="s">
        <v>18</v>
      </c>
      <c r="B70">
        <v>0.75</v>
      </c>
      <c r="C70">
        <f>0.85+0.03</f>
        <v>0.88</v>
      </c>
      <c r="D70">
        <f>0.8205+0.02</f>
        <v>0.84050000000000002</v>
      </c>
      <c r="E70">
        <f t="shared" si="1"/>
        <v>0.92610000000000003</v>
      </c>
      <c r="F70" s="15">
        <f>E70+'Operations Adder'!$I$4</f>
        <v>0.95200306722294092</v>
      </c>
      <c r="G70" t="s">
        <v>88</v>
      </c>
    </row>
    <row r="71" spans="1:7" x14ac:dyDescent="0.25">
      <c r="A71" s="1" t="s">
        <v>17</v>
      </c>
      <c r="B71">
        <v>0.8</v>
      </c>
      <c r="C71">
        <f>0.85+0.03</f>
        <v>0.88</v>
      </c>
      <c r="D71">
        <f>0.8205+0.02</f>
        <v>0.84050000000000002</v>
      </c>
      <c r="E71">
        <f t="shared" si="1"/>
        <v>0.92610000000000003</v>
      </c>
      <c r="F71" s="15">
        <f>E71+'Operations Adder'!$I$4</f>
        <v>0.95200306722294092</v>
      </c>
      <c r="G71" t="s">
        <v>88</v>
      </c>
    </row>
    <row r="72" spans="1:7" x14ac:dyDescent="0.25">
      <c r="A72" s="1" t="s">
        <v>16</v>
      </c>
      <c r="B72">
        <v>0.33</v>
      </c>
      <c r="C72">
        <v>0.45</v>
      </c>
      <c r="D72">
        <f>0.3724</f>
        <v>0.37240000000000001</v>
      </c>
      <c r="E72">
        <f>0.4442</f>
        <v>0.44419999999999998</v>
      </c>
      <c r="F72" s="15">
        <f>E72+'Operations Adder'!$I$4</f>
        <v>0.47010306722294087</v>
      </c>
      <c r="G72" t="s">
        <v>88</v>
      </c>
    </row>
    <row r="73" spans="1:7" x14ac:dyDescent="0.25">
      <c r="A73" s="1" t="s">
        <v>15</v>
      </c>
      <c r="B73">
        <v>0.33</v>
      </c>
      <c r="C73">
        <f>0.45+0.03</f>
        <v>0.48</v>
      </c>
      <c r="D73">
        <f>0.3724+0.02</f>
        <v>0.39240000000000003</v>
      </c>
      <c r="E73">
        <f>0.4442+0.02</f>
        <v>0.4642</v>
      </c>
      <c r="F73" s="15">
        <f>E73+'Operations Adder'!$I$4</f>
        <v>0.49010306722294089</v>
      </c>
      <c r="G73" t="s">
        <v>88</v>
      </c>
    </row>
    <row r="74" spans="1:7" x14ac:dyDescent="0.25">
      <c r="A74" s="1" t="s">
        <v>14</v>
      </c>
      <c r="B74">
        <v>0.33</v>
      </c>
      <c r="C74">
        <f>0.45+0.03</f>
        <v>0.48</v>
      </c>
      <c r="D74">
        <f>0.3724+0.02</f>
        <v>0.39240000000000003</v>
      </c>
      <c r="E74">
        <f>0.4442+0.02</f>
        <v>0.4642</v>
      </c>
      <c r="F74" s="15">
        <f>E74+'Operations Adder'!$I$4</f>
        <v>0.49010306722294089</v>
      </c>
      <c r="G74" t="s">
        <v>88</v>
      </c>
    </row>
    <row r="75" spans="1:7" x14ac:dyDescent="0.25">
      <c r="A75" s="1" t="s">
        <v>6</v>
      </c>
      <c r="B75">
        <v>0.33</v>
      </c>
      <c r="C75">
        <f>0.57+0.03</f>
        <v>0.6</v>
      </c>
      <c r="D75">
        <f>0.4272+0.02</f>
        <v>0.44720000000000004</v>
      </c>
      <c r="E75">
        <f>0.4905+0.02</f>
        <v>0.51049999999999995</v>
      </c>
      <c r="F75" s="15">
        <f>E75+'Operations Adder'!$I$4</f>
        <v>0.53640306722294084</v>
      </c>
      <c r="G75" t="s">
        <v>88</v>
      </c>
    </row>
    <row r="76" spans="1:7" x14ac:dyDescent="0.25">
      <c r="A76" s="1" t="s">
        <v>105</v>
      </c>
      <c r="D76">
        <v>0.91500000000000004</v>
      </c>
      <c r="E76">
        <f>1.0108</f>
        <v>1.0107999999999999</v>
      </c>
      <c r="F76" s="15">
        <f>E76+'Operations Adder'!$I$4</f>
        <v>1.0367030672229407</v>
      </c>
      <c r="G76" t="s">
        <v>88</v>
      </c>
    </row>
    <row r="77" spans="1:7" x14ac:dyDescent="0.25">
      <c r="A77" s="1" t="s">
        <v>101</v>
      </c>
      <c r="D77">
        <v>0.53879999999999995</v>
      </c>
      <c r="E77">
        <v>0.68149999999999999</v>
      </c>
      <c r="F77" s="15">
        <f>E77+'Operations Adder'!$I$4</f>
        <v>0.70740306722294088</v>
      </c>
      <c r="G77" t="s">
        <v>88</v>
      </c>
    </row>
    <row r="78" spans="1:7" x14ac:dyDescent="0.25">
      <c r="A78" s="1" t="s">
        <v>102</v>
      </c>
      <c r="D78">
        <v>0.52139999999999997</v>
      </c>
      <c r="E78">
        <f>0.6788</f>
        <v>0.67879999999999996</v>
      </c>
      <c r="F78" s="15">
        <f>E78+'Operations Adder'!$I$4</f>
        <v>0.70470306722294085</v>
      </c>
      <c r="G78" t="s">
        <v>88</v>
      </c>
    </row>
    <row r="79" spans="1:7" x14ac:dyDescent="0.25">
      <c r="A79" s="1" t="s">
        <v>103</v>
      </c>
      <c r="D79">
        <v>0.57130000000000003</v>
      </c>
      <c r="E79">
        <f>0.6652</f>
        <v>0.66520000000000001</v>
      </c>
      <c r="F79" s="15">
        <f>E79+'Operations Adder'!$I$4</f>
        <v>0.6911030672229409</v>
      </c>
      <c r="G79" t="s">
        <v>88</v>
      </c>
    </row>
    <row r="80" spans="1:7" x14ac:dyDescent="0.25">
      <c r="A80" s="1" t="s">
        <v>54</v>
      </c>
      <c r="B80">
        <v>0.16</v>
      </c>
      <c r="C80">
        <f>0.16+0.03</f>
        <v>0.19</v>
      </c>
      <c r="D80">
        <f>0.2227+0.02</f>
        <v>0.2427</v>
      </c>
      <c r="E80" s="2">
        <f>0.1861/0.9+0.02</f>
        <v>0.22677777777777774</v>
      </c>
      <c r="F80" s="15">
        <f>E80+'Operations Adder'!$I$7</f>
        <v>0.25319597572278729</v>
      </c>
      <c r="G80" t="s">
        <v>87</v>
      </c>
    </row>
    <row r="81" spans="1:7" x14ac:dyDescent="0.25">
      <c r="A81" s="1" t="s">
        <v>53</v>
      </c>
      <c r="B81">
        <v>0.16</v>
      </c>
      <c r="C81">
        <f>0.16+0.03</f>
        <v>0.19</v>
      </c>
      <c r="D81">
        <f>0.2227+0.05</f>
        <v>0.2727</v>
      </c>
      <c r="E81">
        <f>0.1861+0.02</f>
        <v>0.20609999999999998</v>
      </c>
      <c r="F81" s="15">
        <f>E81+'Operations Adder'!$I$7</f>
        <v>0.23251819794500955</v>
      </c>
      <c r="G81" t="s">
        <v>87</v>
      </c>
    </row>
    <row r="82" spans="1:7" x14ac:dyDescent="0.25">
      <c r="A82" s="1" t="s">
        <v>31</v>
      </c>
      <c r="B82">
        <v>0.16</v>
      </c>
      <c r="C82" s="3">
        <v>0.20180000000000001</v>
      </c>
      <c r="D82" s="2">
        <f>0.2019</f>
        <v>0.2019</v>
      </c>
      <c r="E82" s="2">
        <v>0.1971</v>
      </c>
      <c r="F82" s="15">
        <f>E82+'Operations Adder'!$I$7</f>
        <v>0.22351819794500957</v>
      </c>
      <c r="G82" t="s">
        <v>87</v>
      </c>
    </row>
    <row r="83" spans="1:7" x14ac:dyDescent="0.25">
      <c r="A83" s="1" t="s">
        <v>30</v>
      </c>
      <c r="B83">
        <v>0.16</v>
      </c>
      <c r="C83" s="3">
        <f>0.2018+0.03</f>
        <v>0.23180000000000001</v>
      </c>
      <c r="D83" s="2">
        <f>0.2019+0.02</f>
        <v>0.22189999999999999</v>
      </c>
      <c r="E83" s="2">
        <f>0.1971+0.02</f>
        <v>0.21709999999999999</v>
      </c>
      <c r="F83" s="15">
        <f>E83+'Operations Adder'!$I$7</f>
        <v>0.24351819794500956</v>
      </c>
      <c r="G83" t="s">
        <v>87</v>
      </c>
    </row>
    <row r="84" spans="1:7" x14ac:dyDescent="0.25">
      <c r="A84" s="1" t="s">
        <v>29</v>
      </c>
      <c r="B84">
        <v>0.16</v>
      </c>
      <c r="C84" s="3">
        <v>0.1724</v>
      </c>
      <c r="D84" s="2">
        <f>0.1834+0.02</f>
        <v>0.2034</v>
      </c>
      <c r="E84" s="2">
        <f>0.1861</f>
        <v>0.18609999999999999</v>
      </c>
      <c r="F84" s="15">
        <f>E84+'Operations Adder'!$I$7</f>
        <v>0.21251819794500956</v>
      </c>
      <c r="G84" t="s">
        <v>87</v>
      </c>
    </row>
    <row r="85" spans="1:7" x14ac:dyDescent="0.25">
      <c r="A85" s="1" t="s">
        <v>28</v>
      </c>
      <c r="B85">
        <v>0.16</v>
      </c>
      <c r="C85" s="3">
        <f>0.1724+0.03</f>
        <v>0.2024</v>
      </c>
      <c r="D85" s="2">
        <f>0.1834+0.05</f>
        <v>0.2334</v>
      </c>
      <c r="E85" s="2">
        <f>0.1861+0.05</f>
        <v>0.23609999999999998</v>
      </c>
      <c r="F85" s="15">
        <f>E85+'Operations Adder'!$I$7</f>
        <v>0.26251819794500952</v>
      </c>
      <c r="G85" t="s">
        <v>87</v>
      </c>
    </row>
    <row r="86" spans="1:7" x14ac:dyDescent="0.25">
      <c r="A86" s="1" t="s">
        <v>27</v>
      </c>
      <c r="B86">
        <v>0.16</v>
      </c>
      <c r="C86" s="3">
        <f>0.1724*0.03</f>
        <v>5.1719999999999995E-3</v>
      </c>
      <c r="D86" s="2">
        <f>0.1834+0.02</f>
        <v>0.2034</v>
      </c>
      <c r="E86" s="2">
        <f>0.1861+0.02</f>
        <v>0.20609999999999998</v>
      </c>
      <c r="F86" s="15">
        <f>E86+'Operations Adder'!$I$7</f>
        <v>0.23251819794500955</v>
      </c>
      <c r="G86" t="s">
        <v>87</v>
      </c>
    </row>
    <row r="87" spans="1:7" x14ac:dyDescent="0.25">
      <c r="A87" s="1" t="s">
        <v>26</v>
      </c>
      <c r="B87">
        <v>0.16</v>
      </c>
      <c r="C87">
        <f>0.16</f>
        <v>0.16</v>
      </c>
      <c r="D87" s="2">
        <f>0.1834</f>
        <v>0.18340000000000001</v>
      </c>
      <c r="E87" s="2">
        <v>0.18609999999999999</v>
      </c>
      <c r="F87" s="15">
        <f>E87+'Operations Adder'!$I$7</f>
        <v>0.21251819794500956</v>
      </c>
      <c r="G87" t="s">
        <v>87</v>
      </c>
    </row>
    <row r="88" spans="1:7" x14ac:dyDescent="0.25">
      <c r="A88" s="1" t="s">
        <v>25</v>
      </c>
      <c r="B88">
        <v>0.16</v>
      </c>
      <c r="C88">
        <f>0.16+0.03</f>
        <v>0.19</v>
      </c>
      <c r="D88" s="2">
        <f>0.1834+0.02</f>
        <v>0.2034</v>
      </c>
      <c r="E88" s="2">
        <f>0.1861+0.05</f>
        <v>0.23609999999999998</v>
      </c>
      <c r="F88" s="15">
        <f>E88+'Operations Adder'!$I$7</f>
        <v>0.26251819794500952</v>
      </c>
      <c r="G88" t="s">
        <v>87</v>
      </c>
    </row>
    <row r="89" spans="1:7" x14ac:dyDescent="0.25">
      <c r="A89" s="1" t="s">
        <v>24</v>
      </c>
      <c r="B89">
        <v>0.16</v>
      </c>
      <c r="C89">
        <f>0.16+0.03</f>
        <v>0.19</v>
      </c>
      <c r="D89" s="2">
        <f>0.1834+0.05</f>
        <v>0.2334</v>
      </c>
      <c r="E89" s="2">
        <f>0.1861+0.02</f>
        <v>0.20609999999999998</v>
      </c>
      <c r="F89" s="15">
        <f>E89+'Operations Adder'!$I$7</f>
        <v>0.23251819794500955</v>
      </c>
      <c r="G89" t="s">
        <v>87</v>
      </c>
    </row>
    <row r="90" spans="1:7" x14ac:dyDescent="0.25">
      <c r="A90" s="1" t="s">
        <v>23</v>
      </c>
      <c r="B90">
        <v>0.16</v>
      </c>
      <c r="C90">
        <f>0.16+0.03</f>
        <v>0.19</v>
      </c>
      <c r="D90" s="2">
        <f>0.1865+0.02</f>
        <v>0.20649999999999999</v>
      </c>
      <c r="E90" s="2">
        <f>0.1861+0.02</f>
        <v>0.20609999999999998</v>
      </c>
      <c r="F90" s="15">
        <f>E90+'Operations Adder'!$I$7</f>
        <v>0.23251819794500955</v>
      </c>
      <c r="G90" t="s">
        <v>87</v>
      </c>
    </row>
    <row r="91" spans="1:7" x14ac:dyDescent="0.25">
      <c r="A91" s="1" t="s">
        <v>9</v>
      </c>
      <c r="B91">
        <v>0.16</v>
      </c>
      <c r="C91">
        <f>0.16</f>
        <v>0.16</v>
      </c>
      <c r="D91">
        <f>0.1865</f>
        <v>0.1865</v>
      </c>
      <c r="E91">
        <f>0.1861</f>
        <v>0.18609999999999999</v>
      </c>
      <c r="F91" s="15">
        <f>E91+'Operations Adder'!$I$7</f>
        <v>0.21251819794500956</v>
      </c>
      <c r="G91" t="s">
        <v>87</v>
      </c>
    </row>
    <row r="92" spans="1:7" x14ac:dyDescent="0.25">
      <c r="A92" s="1" t="s">
        <v>8</v>
      </c>
      <c r="B92">
        <v>0.16</v>
      </c>
      <c r="C92">
        <f>0.16+0.03</f>
        <v>0.19</v>
      </c>
      <c r="D92">
        <f>0.1865+0.02</f>
        <v>0.20649999999999999</v>
      </c>
      <c r="E92">
        <f>0.1861+0.02</f>
        <v>0.20609999999999998</v>
      </c>
      <c r="F92" s="15">
        <f>E92+'Operations Adder'!$I$7</f>
        <v>0.23251819794500955</v>
      </c>
      <c r="G92" t="s">
        <v>87</v>
      </c>
    </row>
    <row r="93" spans="1:7" x14ac:dyDescent="0.25">
      <c r="A93" s="1" t="s">
        <v>0</v>
      </c>
      <c r="B93">
        <v>0.16</v>
      </c>
      <c r="C93">
        <f>0.16</f>
        <v>0.16</v>
      </c>
      <c r="G93" t="s">
        <v>87</v>
      </c>
    </row>
    <row r="94" spans="1:7" x14ac:dyDescent="0.25">
      <c r="A94" s="1" t="s">
        <v>104</v>
      </c>
      <c r="D94">
        <v>0.1865</v>
      </c>
      <c r="E94">
        <v>0.17499999999999999</v>
      </c>
      <c r="F94" s="15">
        <f>E94+'Operations Adder'!$I$7</f>
        <v>0.20141819794500956</v>
      </c>
      <c r="G94" t="s">
        <v>87</v>
      </c>
    </row>
    <row r="95" spans="1:7" x14ac:dyDescent="0.25">
      <c r="A95" s="1" t="s">
        <v>106</v>
      </c>
      <c r="D95">
        <f>0.3506+0.2239</f>
        <v>0.57450000000000001</v>
      </c>
      <c r="E95">
        <f>0.3506+0.2239</f>
        <v>0.57450000000000001</v>
      </c>
      <c r="F95" s="15">
        <f>E95+'Operations Adder'!$I$7</f>
        <v>0.60091819794500956</v>
      </c>
      <c r="G95" t="s">
        <v>85</v>
      </c>
    </row>
  </sheetData>
  <autoFilter ref="A1:J95" xr:uid="{00000000-0001-0000-0000-000000000000}">
    <sortState xmlns:xlrd2="http://schemas.microsoft.com/office/spreadsheetml/2017/richdata2" ref="A2:J94">
      <sortCondition ref="G1:G94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71EF-B26E-4F69-99E2-5E44126B9373}">
  <dimension ref="C3:I16"/>
  <sheetViews>
    <sheetView tabSelected="1" topLeftCell="B1" zoomScale="200" workbookViewId="0">
      <selection activeCell="D4" sqref="D4:D7"/>
    </sheetView>
  </sheetViews>
  <sheetFormatPr defaultRowHeight="15" x14ac:dyDescent="0.25"/>
  <cols>
    <col min="3" max="3" width="11.85546875" bestFit="1" customWidth="1"/>
    <col min="4" max="4" width="11.5703125" bestFit="1" customWidth="1"/>
    <col min="5" max="5" width="15.5703125" bestFit="1" customWidth="1"/>
    <col min="6" max="6" width="9" bestFit="1" customWidth="1"/>
    <col min="7" max="7" width="13.5703125" bestFit="1" customWidth="1"/>
    <col min="8" max="8" width="11.5703125" bestFit="1" customWidth="1"/>
  </cols>
  <sheetData>
    <row r="3" spans="3:9" x14ac:dyDescent="0.25">
      <c r="E3" t="s">
        <v>109</v>
      </c>
      <c r="F3" t="s">
        <v>110</v>
      </c>
      <c r="G3" t="s">
        <v>119</v>
      </c>
      <c r="H3" t="s">
        <v>117</v>
      </c>
      <c r="I3" t="s">
        <v>111</v>
      </c>
    </row>
    <row r="4" spans="3:9" x14ac:dyDescent="0.25">
      <c r="C4" t="s">
        <v>88</v>
      </c>
      <c r="D4" s="7">
        <v>572475</v>
      </c>
      <c r="E4" s="8">
        <v>13700000</v>
      </c>
      <c r="F4" s="15">
        <f>$D4/$E$14</f>
        <v>1.8185933479462498E-3</v>
      </c>
      <c r="G4" s="15" cm="1">
        <f t="array" ref="G4">SUM($D$8:$D$12/$E$14)</f>
        <v>4.8037930048603827E-3</v>
      </c>
      <c r="H4" s="15">
        <f>$D$13/$E$15</f>
        <v>1.9280680870134254E-2</v>
      </c>
      <c r="I4" s="15">
        <f>SUM(F4:H4)</f>
        <v>2.5903067222940886E-2</v>
      </c>
    </row>
    <row r="5" spans="3:9" x14ac:dyDescent="0.25">
      <c r="C5" t="s">
        <v>86</v>
      </c>
      <c r="D5" s="7">
        <v>910149</v>
      </c>
      <c r="E5" s="17">
        <v>43750000</v>
      </c>
      <c r="F5" s="15">
        <f t="shared" ref="F5:F7" si="0">$D5/$E$14</f>
        <v>2.8912894310492709E-3</v>
      </c>
      <c r="G5" s="15" cm="1">
        <f t="array" ref="G5">SUM($D$8:$D$12/$E$14)</f>
        <v>4.8037930048603827E-3</v>
      </c>
      <c r="H5" s="15">
        <f t="shared" ref="H5:H16" si="1">$D$13/$E$15</f>
        <v>1.9280680870134254E-2</v>
      </c>
      <c r="I5" s="15">
        <f t="shared" ref="I5:I7" si="2">SUM(F5:H5)</f>
        <v>2.6975763306043909E-2</v>
      </c>
    </row>
    <row r="6" spans="3:9" x14ac:dyDescent="0.25">
      <c r="C6" t="s">
        <v>85</v>
      </c>
      <c r="D6" s="7">
        <v>665881</v>
      </c>
      <c r="E6" s="17">
        <v>56200000</v>
      </c>
      <c r="F6" s="15">
        <f t="shared" si="0"/>
        <v>2.1153181486070079E-3</v>
      </c>
      <c r="G6" s="15" cm="1">
        <f t="array" ref="G6">SUM($D$8:$D$12/$E$14)</f>
        <v>4.8037930048603827E-3</v>
      </c>
      <c r="H6" s="15">
        <f t="shared" si="1"/>
        <v>1.9280680870134254E-2</v>
      </c>
      <c r="I6" s="15">
        <f t="shared" si="2"/>
        <v>2.6199792023601644E-2</v>
      </c>
    </row>
    <row r="7" spans="3:9" x14ac:dyDescent="0.25">
      <c r="C7" t="s">
        <v>87</v>
      </c>
      <c r="D7" s="7">
        <v>734633</v>
      </c>
      <c r="E7" s="17">
        <v>201140000</v>
      </c>
      <c r="F7" s="15">
        <f t="shared" si="0"/>
        <v>2.3337240700149306E-3</v>
      </c>
      <c r="G7" s="15" cm="1">
        <f t="array" ref="G7">SUM($D$8:$D$12/$E$14)</f>
        <v>4.8037930048603827E-3</v>
      </c>
      <c r="H7" s="15">
        <f t="shared" si="1"/>
        <v>1.9280680870134254E-2</v>
      </c>
      <c r="I7" s="15">
        <f t="shared" si="2"/>
        <v>2.6418197945009568E-2</v>
      </c>
    </row>
    <row r="8" spans="3:9" x14ac:dyDescent="0.25">
      <c r="C8" t="s">
        <v>112</v>
      </c>
      <c r="D8" s="9">
        <v>14184</v>
      </c>
      <c r="E8" s="8"/>
      <c r="H8" s="15"/>
    </row>
    <row r="9" spans="3:9" x14ac:dyDescent="0.25">
      <c r="C9" t="s">
        <v>113</v>
      </c>
      <c r="D9" s="10">
        <v>151129</v>
      </c>
      <c r="H9" s="15"/>
    </row>
    <row r="10" spans="3:9" x14ac:dyDescent="0.25">
      <c r="C10" t="s">
        <v>114</v>
      </c>
      <c r="D10" s="10">
        <v>455159</v>
      </c>
      <c r="H10" s="15"/>
    </row>
    <row r="11" spans="3:9" x14ac:dyDescent="0.25">
      <c r="C11" t="s">
        <v>115</v>
      </c>
      <c r="D11" s="9">
        <v>259133</v>
      </c>
      <c r="H11" s="15"/>
    </row>
    <row r="12" spans="3:9" x14ac:dyDescent="0.25">
      <c r="C12" t="s">
        <v>116</v>
      </c>
      <c r="D12" s="9">
        <v>632581</v>
      </c>
      <c r="H12" s="15"/>
    </row>
    <row r="13" spans="3:9" x14ac:dyDescent="0.25">
      <c r="C13" t="s">
        <v>117</v>
      </c>
      <c r="D13" s="9">
        <v>5653825</v>
      </c>
      <c r="H13" s="15"/>
    </row>
    <row r="14" spans="3:9" x14ac:dyDescent="0.25">
      <c r="D14" t="s">
        <v>120</v>
      </c>
      <c r="E14" s="11">
        <v>314790000</v>
      </c>
      <c r="G14" s="12">
        <v>7166011</v>
      </c>
      <c r="H14" s="15"/>
    </row>
    <row r="15" spans="3:9" x14ac:dyDescent="0.25">
      <c r="D15" t="s">
        <v>121</v>
      </c>
      <c r="E15" s="8">
        <v>293237829</v>
      </c>
      <c r="G15" s="13">
        <v>2883138</v>
      </c>
      <c r="H15" s="15"/>
    </row>
    <row r="16" spans="3:9" x14ac:dyDescent="0.25">
      <c r="F16" t="s">
        <v>118</v>
      </c>
      <c r="G16" s="14">
        <v>10049149</v>
      </c>
      <c r="H1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File</vt:lpstr>
      <vt:lpstr>Operations Adder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Nikolaev, Max</dc:creator>
  <cp:lastModifiedBy>Luu,  John</cp:lastModifiedBy>
  <dcterms:created xsi:type="dcterms:W3CDTF">2023-07-12T17:45:42Z</dcterms:created>
  <dcterms:modified xsi:type="dcterms:W3CDTF">2025-11-21T17:56:41Z</dcterms:modified>
</cp:coreProperties>
</file>